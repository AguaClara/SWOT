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3.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414" codeName="{8C4F1C90-05EB-6A55-5F09-09C24B55AC0B}"/>
  <workbookPr codeName="ThisWorkbook"/>
  <mc:AlternateContent xmlns:mc="http://schemas.openxmlformats.org/markup-compatibility/2006">
    <mc:Choice Requires="x15">
      <x15ac:absPath xmlns:x15ac="http://schemas.microsoft.com/office/spreadsheetml/2010/11/ac" url="/Users/tran/Downloads/"/>
    </mc:Choice>
  </mc:AlternateContent>
  <xr:revisionPtr revIDLastSave="0" documentId="8_{FF786D56-ED47-1A45-B475-A4B8AF50CECF}" xr6:coauthVersionLast="43" xr6:coauthVersionMax="43" xr10:uidLastSave="{00000000-0000-0000-0000-000000000000}"/>
  <bookViews>
    <workbookView xWindow="0" yWindow="0" windowWidth="33600" windowHeight="21000" tabRatio="904" activeTab="9" xr2:uid="{00000000-000D-0000-FFFF-FFFF00000000}"/>
  </bookViews>
  <sheets>
    <sheet name="Title Page" sheetId="70" r:id="rId1"/>
    <sheet name="Index" sheetId="66" r:id="rId2"/>
    <sheet name="INPUT" sheetId="1" r:id="rId3"/>
    <sheet name="OUTPUT" sheetId="8" r:id="rId4"/>
    <sheet name="Critical Design Assumptions" sheetId="2" r:id="rId5"/>
    <sheet name="O&amp;M Assumptions" sheetId="48" r:id="rId6"/>
    <sheet name="Indirect Assumptions" sheetId="55" r:id="rId7"/>
    <sheet name="Retrofit" sheetId="62" r:id="rId8"/>
    <sheet name="Contactor Constraints" sheetId="3" r:id="rId9"/>
    <sheet name="Backwash and Regeneration" sheetId="6" r:id="rId10"/>
    <sheet name="Pumps Pipe Structure" sheetId="4" r:id="rId11"/>
    <sheet name="Instrumentation and Control" sheetId="49" r:id="rId12"/>
    <sheet name="Residuals Management" sheetId="60" r:id="rId13"/>
    <sheet name="O&amp;M" sheetId="11" r:id="rId14"/>
    <sheet name="HVAC" sheetId="64" r:id="rId15"/>
    <sheet name="Indirect" sheetId="56" r:id="rId16"/>
    <sheet name="Freundlich Reference" sheetId="58" r:id="rId17"/>
    <sheet name="Standard Inputs" sheetId="10" r:id="rId18"/>
    <sheet name="AutoSize" sheetId="57" r:id="rId19"/>
    <sheet name="Cost Equations" sheetId="12" r:id="rId20"/>
    <sheet name="Cost Coefficients" sheetId="69" r:id="rId21"/>
    <sheet name="Cost Data" sheetId="67" r:id="rId22"/>
    <sheet name="Engineering Data" sheetId="68" r:id="rId23"/>
    <sheet name="Lookup Tables" sheetId="5" r:id="rId24"/>
  </sheets>
  <definedNames>
    <definedName name="add_2nd_building">'Critical Design Assumptions'!$C$160</definedName>
    <definedName name="add_on">'Contactor Constraints'!$C$15</definedName>
    <definedName name="add_on_valid">'Lookup Tables'!$A$56:$A$57</definedName>
    <definedName name="add_pH_controls">'Critical Design Assumptions'!$C$106</definedName>
    <definedName name="add_pH_controls_small">'Critical Design Assumptions'!$C$107</definedName>
    <definedName name="add_ports">'Critical Design Assumptions'!$C$120</definedName>
    <definedName name="add_res_pipe_length">'Critical Design Assumptions'!$C$189</definedName>
    <definedName name="add_res_pipe_length_TCE">'Critical Design Assumptions'!$C$190</definedName>
    <definedName name="add_turb">'Critical Design Assumptions'!$C$112</definedName>
    <definedName name="add_turb_p">'Critical Design Assumptions'!$C$114</definedName>
    <definedName name="add_turb_small">'Critical Design Assumptions'!$C$113</definedName>
    <definedName name="add_turb_small_p">'Critical Design Assumptions'!$C$115</definedName>
    <definedName name="addon_cost">OUTPUT!$C$307</definedName>
    <definedName name="addon_I">INPUT!$G$103</definedName>
    <definedName name="af_units">INPUT!$H$30</definedName>
    <definedName name="air_changes_build1">HVAC!$C$11</definedName>
    <definedName name="air_changes_build2">HVAC!$C$12</definedName>
    <definedName name="Air_changes_chem_storage">'O&amp;M Assumptions'!$C$41</definedName>
    <definedName name="Air_changes_contactor">'O&amp;M Assumptions'!$C$39</definedName>
    <definedName name="Air_changes_office">'O&amp;M Assumptions'!$C$42</definedName>
    <definedName name="Air_changes_pump">'O&amp;M Assumptions'!$C$40</definedName>
    <definedName name="alarm_back">'Critical Design Assumptions'!$C$103</definedName>
    <definedName name="alarm_cost_cl">'Cost Data'!$B$7:$F$7</definedName>
    <definedName name="alarm_res">'Critical Design Assumptions'!$C$198</definedName>
    <definedName name="analog_inputs">'Instrumentation and Control'!$C$55</definedName>
    <definedName name="analog_outputs">'Instrumentation and Control'!$C$56</definedName>
    <definedName name="Annualized_Cost">OUTPUT!$C$392</definedName>
    <definedName name="architectural_table_cl">'Engineering Data'!$A$6:$C$12</definedName>
    <definedName name="average_flow">'Contactor Constraints'!$C$7</definedName>
    <definedName name="average_flow_I">INPUT!$G$30</definedName>
    <definedName name="average_flow_rate">'Contactor Constraints'!$C$9</definedName>
    <definedName name="back_backfill_vol">'Backwash and Regeneration'!$C$24</definedName>
    <definedName name="back_basin_depth">'Backwash and Regeneration'!$C$20</definedName>
    <definedName name="back_basin_length">'Backwash and Regeneration'!$C$19</definedName>
    <definedName name="back_basin_op_depth">'Backwash and Regeneration'!$C$17</definedName>
    <definedName name="back_basin_vol">'Backwash and Regeneration'!$C$21</definedName>
    <definedName name="back_basin_width">'Backwash and Regeneration'!$C$18</definedName>
    <definedName name="back_basins">'Backwash and Regeneration'!$C$16</definedName>
    <definedName name="back_basins_default">'Critical Design Assumptions'!$C$63</definedName>
    <definedName name="back_chv_no_back">'Critical Design Assumptions'!$C$88</definedName>
    <definedName name="back_chv_pump">'Critical Design Assumptions'!$C$89</definedName>
    <definedName name="back_conc_vol">'Backwash and Regeneration'!$C$22</definedName>
    <definedName name="back_excavation_vol">'Backwash and Regeneration'!$C$23</definedName>
    <definedName name="back_freeboard">'Critical Design Assumptions'!$C$65</definedName>
    <definedName name="back_hrs_yr">'O&amp;M'!$C$59</definedName>
    <definedName name="back_interval">'Backwash and Regeneration'!$C$8</definedName>
    <definedName name="back_interval_I">INPUT!$G$83</definedName>
    <definedName name="back_meter_size">'Instrumentation and Control'!$C$35</definedName>
    <definedName name="back_multiplier">'Critical Design Assumptions'!$C$62</definedName>
    <definedName name="back_pipe_diam">'Pumps Pipe Structure'!$C$31</definedName>
    <definedName name="back_pipe_flow">'Pumps Pipe Structure'!$C$30</definedName>
    <definedName name="back_pipe_length">'Pumps Pipe Structure'!$C$29</definedName>
    <definedName name="back_pump_cost_cl">'Cost Data'!$B$12:$F$34</definedName>
    <definedName name="back_pump_energy">'O&amp;M'!$C$60</definedName>
    <definedName name="back_pump_flow_total">'Pumps Pipe Structure'!$C$13</definedName>
    <definedName name="back_pump_head">'O&amp;M Assumptions'!$C$31</definedName>
    <definedName name="back_pump_hp">'O&amp;M'!$C$58</definedName>
    <definedName name="back_pump_mtl">'O&amp;M'!$C$7</definedName>
    <definedName name="back_pump_psi">'O&amp;M'!$C$57</definedName>
    <definedName name="back_pump_rating">'Pumps Pipe Structure'!$C$15</definedName>
    <definedName name="back_railing">'Backwash and Regeneration'!$C$25</definedName>
    <definedName name="back_ratio">'Critical Design Assumptions'!$C$64</definedName>
    <definedName name="back_tank_fp">'Pumps Pipe Structure'!$C$58</definedName>
    <definedName name="back_tank_vol">'Backwash and Regeneration'!$C$28</definedName>
    <definedName name="back_valve_size">'Instrumentation and Control'!$C$11</definedName>
    <definedName name="back_vol_ft">'Backwash and Regeneration'!$C$15</definedName>
    <definedName name="backfill_cost_cl">'Cost Data'!$B$39:$F$39</definedName>
    <definedName name="backfill_vol">'Contactor Constraints'!$C$75</definedName>
    <definedName name="backwash_pump_valid">'Lookup Tables'!$A$38:$A$40</definedName>
    <definedName name="backwash_pumps">'Pumps Pipe Structure'!$C$14</definedName>
    <definedName name="backwash_storage_valid">'Lookup Tables'!$A$42:$A$44</definedName>
    <definedName name="backwash_time">'Critical Design Assumptions'!$C$61</definedName>
    <definedName name="backwash_yr">'O&amp;M'!$C$17</definedName>
    <definedName name="basin_area">'Contactor Constraints'!$C$77</definedName>
    <definedName name="basin_conc_vol">'Contactor Constraints'!$C$73</definedName>
    <definedName name="basin_depth">'Contactor Constraints'!$C$68</definedName>
    <definedName name="basin_freeboard">'Critical Design Assumptions'!$C$33</definedName>
    <definedName name="basin_length">INPUT!$G$76</definedName>
    <definedName name="basin_op_depth">INPUT!$G$77</definedName>
    <definedName name="basin_vol">'Contactor Constraints'!$C$69</definedName>
    <definedName name="basin_width">INPUT!$G$75</definedName>
    <definedName name="bearing_area">Indirect!$C$49</definedName>
    <definedName name="bed_depth">INPUT!$G$57</definedName>
    <definedName name="bed_expansion">'Critical Design Assumptions'!$C$11</definedName>
    <definedName name="bed_life">'Backwash and Regeneration'!$C$36</definedName>
    <definedName name="bedding_cost_cl">'Cost Data'!$B$44:$F$44</definedName>
    <definedName name="bedding_depth">'Indirect Assumptions'!$C$40</definedName>
    <definedName name="bedding_pct">'Indirect Assumptions'!$C$41</definedName>
    <definedName name="bedding_vol">Indirect!$C$63</definedName>
    <definedName name="bldg_hi_cost_cl">'Cost Data'!$B$1131:$F$1155</definedName>
    <definedName name="bldg_hi_eq_1">'Cost Equations'!$C$192</definedName>
    <definedName name="bldg_hi_eq_1_r">'Cost Equations'!$C$218</definedName>
    <definedName name="bldg_hi_eq_2">'Cost Equations'!$C$205</definedName>
    <definedName name="bldg_hi_eq_2_r">'Cost Equations'!$C$222</definedName>
    <definedName name="bldg_lo_cost_cl">'Cost Data'!$B$1160:$F$1184</definedName>
    <definedName name="bldg_lo_eq_1">'Cost Equations'!$C$190</definedName>
    <definedName name="bldg_lo_eq_1_r">'Cost Equations'!$C$216</definedName>
    <definedName name="bldg_lo_eq_2">'Cost Equations'!$C$203</definedName>
    <definedName name="bldg_lo_eq_2_r">'Cost Equations'!$C$220</definedName>
    <definedName name="bldg_maint_cost">'O&amp;M'!$C$49</definedName>
    <definedName name="bldg_mid_cost_cl">'Cost Data'!$B$1189:$F$1213</definedName>
    <definedName name="bldg_mid_eq_1">'Cost Equations'!$C$191</definedName>
    <definedName name="bldg_mid_eq_1_r">'Cost Equations'!$C$217</definedName>
    <definedName name="bldg_mid_eq_2">'Cost Equations'!$C$204</definedName>
    <definedName name="bldg_mid_eq_2_r">'Cost Equations'!$C$221</definedName>
    <definedName name="bldg_shed_cost_cl">'Cost Data'!$B$1218:$F$1219</definedName>
    <definedName name="block_vol">Indirect!$C$54</definedName>
    <definedName name="booster_pump_maintenance">'O&amp;M Assumptions'!$C$6</definedName>
    <definedName name="booster_pumps">'Pumps Pipe Structure'!$C$10</definedName>
    <definedName name="bore_cost_cl">'Cost Data'!$B$49:$F$49</definedName>
    <definedName name="bore_depth">Indirect!$C$29</definedName>
    <definedName name="bore_depth_max">'Indirect Assumptions'!$C$58</definedName>
    <definedName name="bore_depth_min">'Indirect Assumptions'!$C$57</definedName>
    <definedName name="bore_depth_p">'Indirect Assumptions'!$C$56</definedName>
    <definedName name="bore_draw_cost_cl">'Cost Data'!$B$54:$F$54</definedName>
    <definedName name="bore_mob_cost_cl">'Cost Data'!$B$59:$F$59</definedName>
    <definedName name="bore_need">'Indirect Assumptions'!$C$60</definedName>
    <definedName name="bore_report_cost_cl">'Cost Data'!$B$64:$F$64</definedName>
    <definedName name="bore_rig_cost_cl">'Cost Data'!$B$69:$F$69</definedName>
    <definedName name="bp_flow_rate">'Contactor Constraints'!$C$10</definedName>
    <definedName name="bp_pct">'Critical Design Assumptions'!$C$57</definedName>
    <definedName name="bp_pipe_diam">'Pumps Pipe Structure'!$C$33</definedName>
    <definedName name="bp_pipe_length">'Pumps Pipe Structure'!$C$32</definedName>
    <definedName name="br_ins_pct">'Indirect Assumptions'!$C$106</definedName>
    <definedName name="bt_diam">'Pumps Pipe Structure'!$C$39</definedName>
    <definedName name="build_UL">OUTPUT!$AJ$297</definedName>
    <definedName name="build1_cfm">HVAC!$C$17</definedName>
    <definedName name="build1_cool">HVAC!$C$119</definedName>
    <definedName name="build1_cool_options">HVAC!$A$97:$L$98</definedName>
    <definedName name="build1_cool_zones">HVAC!$C$56</definedName>
    <definedName name="build1_cooling_loss_hr">HVAC!$C$51</definedName>
    <definedName name="build1_cooling_loss_yr">HVAC!$C$50</definedName>
    <definedName name="build1_cooling_req">HVAC!$C$53</definedName>
    <definedName name="build1_cooling_tons">HVAC!$C$55</definedName>
    <definedName name="build1_cooling_yr">HVAC!$C$54</definedName>
    <definedName name="build1_elec_cool">Indirect!$C$17</definedName>
    <definedName name="build1_elec_cool_power">Indirect!$C$18</definedName>
    <definedName name="build1_elec_heat">Indirect!$C$11</definedName>
    <definedName name="build1_elec_heat_power">Indirect!$C$12</definedName>
    <definedName name="build1_fp">'Pumps Pipe Structure'!$C$73</definedName>
    <definedName name="build1_heat">HVAC!$C$118</definedName>
    <definedName name="build1_heat_loss_yr">HVAC!$C$30</definedName>
    <definedName name="build1_heat_mbh">HVAC!$C$31</definedName>
    <definedName name="build1_heat_options">HVAC!$A$78:$L$83</definedName>
    <definedName name="build1_heat_zones">HVAC!$C$32</definedName>
    <definedName name="build1_need_cool">HVAC!$C$22</definedName>
    <definedName name="build1_need_heat">HVAC!$C$21</definedName>
    <definedName name="build1_row">HVAC!$C$117</definedName>
    <definedName name="build1_side">HVAC!$C$7</definedName>
    <definedName name="build1_zones">HVAC!$C$70</definedName>
    <definedName name="build2_cfm">HVAC!$C$18</definedName>
    <definedName name="build2_cool">HVAC!$C$133</definedName>
    <definedName name="build2_cool_options">HVAC!$A$102:$L$103</definedName>
    <definedName name="build2_cool_zones">HVAC!$C$67</definedName>
    <definedName name="build2_cooling_loss_hr">HVAC!$C$62</definedName>
    <definedName name="build2_cooling_loss_yr">HVAC!$C$61</definedName>
    <definedName name="build2_cooling_req">HVAC!$C$64</definedName>
    <definedName name="build2_cooling_tons">HVAC!$C$66</definedName>
    <definedName name="build2_cooling_yr">HVAC!$C$65</definedName>
    <definedName name="build2_elec_cool">Indirect!$C$19</definedName>
    <definedName name="build2_elec_cool_power">Indirect!$C$20</definedName>
    <definedName name="build2_elec_heat">Indirect!$C$13</definedName>
    <definedName name="build2_elec_heat_power">Indirect!$C$14</definedName>
    <definedName name="build2_fp">'Pumps Pipe Structure'!$C$74</definedName>
    <definedName name="build2_heat">HVAC!$C$132</definedName>
    <definedName name="build2_heat_loss_yr">HVAC!$C$37</definedName>
    <definedName name="build2_heat_mbh">HVAC!$C$38</definedName>
    <definedName name="build2_heat_options">HVAC!$A$87:$L$92</definedName>
    <definedName name="build2_heat_zones">HVAC!$C$39</definedName>
    <definedName name="build2_need_cool">HVAC!$C$24</definedName>
    <definedName name="build2_need_heat">HVAC!$C$23</definedName>
    <definedName name="build2_row">HVAC!$C$131</definedName>
    <definedName name="build2_side">HVAC!$C$8</definedName>
    <definedName name="build2_zones">HVAC!$C$71</definedName>
    <definedName name="building_cost">OUTPUT!$C$299</definedName>
    <definedName name="Building_height">HVAC!$C$6</definedName>
    <definedName name="Building_height_g">'Critical Design Assumptions'!$C$155</definedName>
    <definedName name="building_matl_rate_cl">'Cost Data'!$D$1315</definedName>
    <definedName name="buried_res_pipe_length">'Residuals Management'!$C$97</definedName>
    <definedName name="bypass_valve_size">'Instrumentation and Control'!$C$12</definedName>
    <definedName name="C_0">INPUT!$G$39</definedName>
    <definedName name="C_b">INPUT!$G$40</definedName>
    <definedName name="chem_break_table_cl">'Engineering Data'!$A$17:$B$58</definedName>
    <definedName name="chem_cost_cl">'Cost Data'!$B$74:$F$129</definedName>
    <definedName name="ci_bfv_cost_cl">'Cost Data'!$B$134:$F$150</definedName>
    <definedName name="ci_bfv_eq">'Cost Equations'!$C$88</definedName>
    <definedName name="ci_bfv_eq_proc">'Cost Equations'!$C$91</definedName>
    <definedName name="ci_chv_cost_cl">'Cost Data'!$B$155:$F$165</definedName>
    <definedName name="ci_chv_eq_back">'Cost Equations'!$C$107</definedName>
    <definedName name="ci_chv_eq_bp">'Cost Equations'!$C$119</definedName>
    <definedName name="ci_chv_eq_in">'Cost Equations'!$C$116</definedName>
    <definedName name="ci_chv_eq_polymer">'Cost Equations'!$C$113</definedName>
    <definedName name="ci_chv_eq_res">'Cost Equations'!$C$110</definedName>
    <definedName name="ci_man_eq_back">'Cost Equations'!$C$94</definedName>
    <definedName name="ci_man_eq_bp">'Cost Equations'!$C$103</definedName>
    <definedName name="ci_man_eq_polymer">'Cost Equations'!$C$100</definedName>
    <definedName name="ci_man_eq_res">'Cost Equations'!$C$97</definedName>
    <definedName name="ci_mov_cost_cl">'Cost Data'!$B$170:$F$185</definedName>
    <definedName name="ci_mov_eq_back">'Cost Equations'!$C$75</definedName>
    <definedName name="ci_mov_eq_bp">'Cost Equations'!$C$84</definedName>
    <definedName name="ci_mov_eq_polymer">'Cost Equations'!$C$81</definedName>
    <definedName name="ci_mov_eq_res">'Cost Equations'!$C$78</definedName>
    <definedName name="ci_mov_eq_tank">'Cost Equations'!$C$72</definedName>
    <definedName name="cimp_mix_eq_polymer">'Cost Equations'!$C$163</definedName>
    <definedName name="City_Index">OUTPUT!$C$331</definedName>
    <definedName name="Clerical_LOE">'O&amp;M'!$C$41</definedName>
    <definedName name="Clerical_percent">'O&amp;M Assumptions'!$C$11</definedName>
    <definedName name="cm_cost">Indirect!$C$88</definedName>
    <definedName name="cm_pump_rating_polymer">'Residuals Management'!$C$76</definedName>
    <definedName name="cm_pumps_polymer">'Residuals Management'!$C$75</definedName>
    <definedName name="cmix_hp_max">'Residuals Management'!$C$70</definedName>
    <definedName name="cmix_hp_per">'Critical Design Assumptions'!$C$169</definedName>
    <definedName name="cmount_mix_eq_polymer">'Cost Equations'!$C$162</definedName>
    <definedName name="coag_density">'Critical Design Assumptions'!$C$171</definedName>
    <definedName name="coag_dose">'Critical Design Assumptions'!$C$170</definedName>
    <definedName name="coag_purchase">'Residuals Management'!$C$164</definedName>
    <definedName name="coag_res">'Critical Design Assumptions'!$C$163</definedName>
    <definedName name="coag_spf">'Critical Design Assumptions'!$C$172</definedName>
    <definedName name="coag_store">'Residuals Management'!$C$61</definedName>
    <definedName name="coag_TSSrem">'Critical Design Assumptions'!$C$178</definedName>
    <definedName name="coag_type">'Critical Design Assumptions'!$C$164</definedName>
    <definedName name="coag_yr">'Residuals Management'!$C$157</definedName>
    <definedName name="Coeff_Kp">'Indirect Assumptions'!$C$38</definedName>
    <definedName name="comm_diam">INPUT!$G$60</definedName>
    <definedName name="comm_height_length">INPUT!$G$59</definedName>
    <definedName name="comm_load_rate">'Contactor Constraints'!$C$44</definedName>
    <definedName name="comm_SA">'Contactor Constraints'!$C$43</definedName>
    <definedName name="comm_vol">'Contactor Constraints'!$C$45</definedName>
    <definedName name="comm_vol_gal">'Contactor Constraints'!$C$46</definedName>
    <definedName name="comp_bed_depth">AutoSize!$C$74</definedName>
    <definedName name="comp_bed_depth_a">AutoSize!$E$160</definedName>
    <definedName name="comp_horiz_bed_depth">AutoSize!$E$71</definedName>
    <definedName name="comp_horiz_diam">AutoSize!$E$67</definedName>
    <definedName name="comp_horiz_expanded_bd">AutoSize!$C$66</definedName>
    <definedName name="comp_horiz_length">AutoSize!$E$69</definedName>
    <definedName name="comp_horiz_max_media">AutoSize!$C$42</definedName>
    <definedName name="comp_horiz_min_number">AutoSize!$C$47</definedName>
    <definedName name="comp_horiz_void_area">AutoSize!$C$65</definedName>
    <definedName name="comp_horiz_void_required">AutoSize!$C$41</definedName>
    <definedName name="comp_in_nlines">AutoSize!$C$51</definedName>
    <definedName name="comp_in_nlines_a">AutoSize!$C$152</definedName>
    <definedName name="comp_length_width_a">AutoSize!$E$157</definedName>
    <definedName name="comp_level_valid">'Lookup Tables'!$A$46:$A$49</definedName>
    <definedName name="comp_long_bed_depth">AutoSize!$E$68</definedName>
    <definedName name="comp_long_diam">AutoSize!$E$65</definedName>
    <definedName name="comp_long_length">AutoSize!$E$66</definedName>
    <definedName name="comp_max_bed_depth">AutoSize!$C$42</definedName>
    <definedName name="comp_max_bed_depth_a">AutoSize!$C$167</definedName>
    <definedName name="comp_max_horiz_bed_depth">AutoSize!$C$125</definedName>
    <definedName name="comp_max_horiz_diam">AutoSize!$C$109</definedName>
    <definedName name="comp_max_horiz_length">AutoSize!$C$117</definedName>
    <definedName name="comp_max_horiz_sa">AutoSize!$C$35</definedName>
    <definedName name="comp_max_length">AutoSize!$C$50</definedName>
    <definedName name="comp_max_length_a">AutoSize!$C$175</definedName>
    <definedName name="comp_max_sa_a">AutoSize!$C$171</definedName>
    <definedName name="comp_max_sa_vessel">AutoSize!$C$79</definedName>
    <definedName name="comp_max_vert_bed_depth">AutoSize!$C$103</definedName>
    <definedName name="comp_max_vert_diam">AutoSize!$C$95</definedName>
    <definedName name="comp_max_vert_height">AutoSize!$C$85</definedName>
    <definedName name="comp_max_vol">AutoSize!$C$32</definedName>
    <definedName name="comp_max_vol_length">AutoSize!$C$34</definedName>
    <definedName name="comp_max_width">AutoSize!$C$54</definedName>
    <definedName name="comp_max_width_a">AutoSize!$C$179</definedName>
    <definedName name="comp_min_bed_depth_a">AutoSize!$C$166</definedName>
    <definedName name="comp_min_horiz_bed_depth">AutoSize!$C$122</definedName>
    <definedName name="comp_min_horiz_diam">AutoSize!$C$106</definedName>
    <definedName name="comp_min_horiz_length">AutoSize!$C$114</definedName>
    <definedName name="comp_min_length_a">AutoSize!$C$174</definedName>
    <definedName name="comp_min_sa_a">AutoSize!$C$170</definedName>
    <definedName name="comp_min_sa_vessel">AutoSize!$C$78</definedName>
    <definedName name="comp_min_vert_bed_depth">AutoSize!$C$100</definedName>
    <definedName name="comp_min_vert_diam">AutoSize!$C$91</definedName>
    <definedName name="comp_min_vert_height">AutoSize!$C$82</definedName>
    <definedName name="comp_min_width_a">AutoSize!$C$178</definedName>
    <definedName name="comp_nlines_extra_search">AutoSize!$C$50</definedName>
    <definedName name="comp_nlines_extra_search_a">AutoSize!$C$151</definedName>
    <definedName name="comp_out_success">AutoSize!$C$128</definedName>
    <definedName name="comp_out_success_a">AutoSize!$C$182</definedName>
    <definedName name="comp_pv_max_sizes">'Cost Equations'!$P$7:$P$10</definedName>
    <definedName name="comp_round_sa">AutoSize!$C$15</definedName>
    <definedName name="comp_round_sa_a">AutoSize!$C$135</definedName>
    <definedName name="comp_sa_max">AutoSize!$C$17</definedName>
    <definedName name="comp_sa_max_a">AutoSize!$C$141</definedName>
    <definedName name="comp_sa_min">AutoSize!$C$16</definedName>
    <definedName name="comp_sa_min_a">AutoSize!$C$140</definedName>
    <definedName name="comp_sa_required_horiz">AutoSize!$C$37</definedName>
    <definedName name="comp_sa_required_vert">AutoSize!$C$24</definedName>
    <definedName name="comp_sa_required_vert_a">AutoSize!$C$143</definedName>
    <definedName name="comp_tank_geom">AutoSize!$C$55</definedName>
    <definedName name="comp_target_bed_depth_horiz">AutoSize!$C$36</definedName>
    <definedName name="comp_target_bed_depth_vert">AutoSize!$C$23</definedName>
    <definedName name="comp_target_bed_depth_vert_a">AutoSize!$C$142</definedName>
    <definedName name="comp_vert_bed_depth">AutoSize!$E$61</definedName>
    <definedName name="comp_vert_diam">AutoSize!$E$58</definedName>
    <definedName name="comp_vert_height">AutoSize!$E$62</definedName>
    <definedName name="comp_vert_max_media">AutoSize!$C$21</definedName>
    <definedName name="comp_vert_max_media_a">AutoSize!$C$139</definedName>
    <definedName name="comp_vert_max_sa">AutoSize!$C$22</definedName>
    <definedName name="comp_vert_min_number">AutoSize!$C$29</definedName>
    <definedName name="comp_vert_min_number_a">AutoSize!$C$148</definedName>
    <definedName name="comp_vol_required">AutoSize!$C$18</definedName>
    <definedName name="comp_vol_required_a">AutoSize!$C$136</definedName>
    <definedName name="comp_vol_required_stg1">AutoSize!$C$14</definedName>
    <definedName name="complexity">'Indirect Assumptions'!$C$85</definedName>
    <definedName name="component_level">'Instrumentation and Control'!$C$5</definedName>
    <definedName name="component_level_I">INPUT!$G$99</definedName>
    <definedName name="conc_basin_cost_cl">'Cost Data'!$B$190:$F$190</definedName>
    <definedName name="conc_pad_cost_cl">'Cost Data'!$B$195:$F$195</definedName>
    <definedName name="conc_thick">'Critical Design Assumptions'!$C$48</definedName>
    <definedName name="concrete">'Pumps Pipe Structure'!$C$76</definedName>
    <definedName name="construction_mgt_table_cl">'Engineering Data'!$A$63:$C$68</definedName>
    <definedName name="cont_int_eq">'Cost Equations'!$C$16</definedName>
    <definedName name="cont_top_cost_cl">'Cost Data'!$B$200:$F$212</definedName>
    <definedName name="contact_mat_per_vessel">'Contactor Constraints'!$C$39</definedName>
    <definedName name="contact_material">'Contactor Constraints'!$C$38</definedName>
    <definedName name="contact_vendor">'Cost Equations'!$C$62</definedName>
    <definedName name="contam_I">INPUT!$G$4</definedName>
    <definedName name="contam_list">'Lookup Tables'!$B$19:$B$36</definedName>
    <definedName name="contam_lookup">'Lookup Tables'!$A$19:$B$36</definedName>
    <definedName name="contam_type">'Contactor Constraints'!$C$12</definedName>
    <definedName name="contingency_table_cl">'Engineering Data'!$A$73:$C$78</definedName>
    <definedName name="cool_DD">'O&amp;M Assumptions'!$C$54</definedName>
    <definedName name="cool_viload">'O&amp;M Assumptions'!$C$56</definedName>
    <definedName name="cooling">'O&amp;M'!$C$81</definedName>
    <definedName name="cooling_hp">'O&amp;M'!$C$82</definedName>
    <definedName name="cooling_matl_rate_cl">'Cost Data'!$D$1318</definedName>
    <definedName name="cooling_table">'Indirect Assumptions'!$A$131:$E$133</definedName>
    <definedName name="cooling_table_shed">'Indirect Assumptions'!$A$135:$E$137</definedName>
    <definedName name="COP">'O&amp;M Assumptions'!$C$58</definedName>
    <definedName name="cost_buildup_error">OUTPUT!$C$420</definedName>
    <definedName name="cpvc_pipe_cost_cl">'Cost Data'!$B$217:$F$232</definedName>
    <definedName name="cpvc_pipe_eq_back">'Cost Equations'!$C$43</definedName>
    <definedName name="cpvc_pipe_eq_bp">'Cost Equations'!$C$64</definedName>
    <definedName name="cpvc_pipe_eq_in_out">'Cost Equations'!$C$49</definedName>
    <definedName name="cpvc_pipe_eq_polymer">'Cost Equations'!$C$59</definedName>
    <definedName name="cpvc_pipe_eq_proc">'Cost Equations'!$C$38</definedName>
    <definedName name="cpvc_pipe_eq_res">'Cost Equations'!$C$54</definedName>
    <definedName name="cs_pv_cost_cl">'Cost Data'!$B$237:$F$252</definedName>
    <definedName name="cs_pv_eq">'Cost Equations'!$C$8</definedName>
    <definedName name="csp_pv_cost_cl">'Cost Data'!$B$257:$F$272</definedName>
    <definedName name="csp_pv_eq">'Cost Equations'!$C$9</definedName>
    <definedName name="cstore_days">'Critical Design Assumptions'!$C$173</definedName>
    <definedName name="cstore_fp">'Pumps Pipe Structure'!$C$70</definedName>
    <definedName name="cul_indir_add_table">OUTPUT!$B$398:$C$399,OUTPUT!$B$401:$C$405,OUTPUT!$B$413:$C$413,OUTPUT!$B$304:$C$306</definedName>
    <definedName name="cul_indir_mult_table">OUTPUT!$B$406:$C$412,OUTPUT!$B$400:$C$400</definedName>
    <definedName name="cul_om_table">OUTPUT!$B$340:$H$380</definedName>
    <definedName name="cul_overall_mult">OUTPUT!$B$331:$C$331</definedName>
    <definedName name="current_year_cl">'Cost Data'!$C$276</definedName>
    <definedName name="curve">'Critical Design Assumptions'!$C$5</definedName>
    <definedName name="D">'Backwash and Regeneration'!$C$35</definedName>
    <definedName name="deep_bore_need">'Indirect Assumptions'!$C$59</definedName>
    <definedName name="design_flow">'Contactor Constraints'!$C$6</definedName>
    <definedName name="design_flow_I">INPUT!$G$29</definedName>
    <definedName name="design_flow_rate">'Contactor Constraints'!$C$8</definedName>
    <definedName name="design_type">'Contactor Constraints'!$C$13</definedName>
    <definedName name="df_units">INPUT!$H$29</definedName>
    <definedName name="di_pipe_cost_cl">'Cost Data'!$B$281:$F$294</definedName>
    <definedName name="di_pipe_eq_in_out">'Cost Equations'!$C$48</definedName>
    <definedName name="di_pipe_eq_proc">'Cost Equations'!$C$37</definedName>
    <definedName name="diameter">'Contactor Constraints'!$C$51</definedName>
    <definedName name="diesel_cost_cl">'Cost Data'!$D$1321</definedName>
    <definedName name="diesel_eff">'O&amp;M Assumptions'!$C$62</definedName>
    <definedName name="diesel_heat_content">'O&amp;M Assumptions'!$C$66</definedName>
    <definedName name="diesel_non_eff">'O&amp;M Assumptions'!$C$61</definedName>
    <definedName name="dike_volume">'Residuals Management'!$C$146</definedName>
    <definedName name="dike_xsection">'Critical Design Assumptions'!$C$240</definedName>
    <definedName name="direct_cost">OUTPUT!$C$300</definedName>
    <definedName name="direct_for_UL">OUTPUT!$AG$297</definedName>
    <definedName name="Discount_rate">OUTPUT!$C$385</definedName>
    <definedName name="discrete_inputs">'Instrumentation and Control'!$C$53</definedName>
    <definedName name="discrete_outputs">'Instrumentation and Control'!$C$54</definedName>
    <definedName name="disp_freq">'Residuals Management'!$C$27</definedName>
    <definedName name="disposal_fee">'Residuals Management'!$C$187</definedName>
    <definedName name="disposal_miles">'Residuals Management'!$C$185</definedName>
    <definedName name="disposal_shipments">'Residuals Management'!$C$182</definedName>
    <definedName name="distance_above">'Contactor Constraints'!$C$29</definedName>
    <definedName name="dotmatrix_printer_cost_cl">'Cost Data'!$B$299:$F$299</definedName>
    <definedName name="dredging_freq">'Critical Design Assumptions'!$C$238</definedName>
    <definedName name="EBCT">'Contactor Constraints'!$C$14</definedName>
    <definedName name="EBCT_I">INPUT!$G$46</definedName>
    <definedName name="EBCT_O">INPUT!$G$47</definedName>
    <definedName name="EBCT_tank">'Contactor Constraints'!$C$27</definedName>
    <definedName name="EBCT_type">'Contactor Constraints'!$C$11</definedName>
    <definedName name="EBCT_type_I">INPUT!$G$45</definedName>
    <definedName name="eductor_size">'Pumps Pipe Structure'!$C$20</definedName>
    <definedName name="eductor_size_table">'Lookup Tables'!$A$6:$B$12</definedName>
    <definedName name="eductor_size_table_cl">'Engineering Data'!$A$83:$B$89</definedName>
    <definedName name="eductors">'Pumps Pipe Structure'!$C$19</definedName>
    <definedName name="EER">'O&amp;M Assumptions'!$C$63</definedName>
    <definedName name="effluent_TSS">'Critical Design Assumptions'!$C$200</definedName>
    <definedName name="elec_encl">'Critical Design Assumptions'!$C$121</definedName>
    <definedName name="elec_encl_cost_cl">'Cost Data'!$B$304:$F$304</definedName>
    <definedName name="elect_pct">'Indirect Assumptions'!$C$76</definedName>
    <definedName name="eloss_bw_pumps">HVAC!$C$44</definedName>
    <definedName name="eloss_pumps">HVAC!$C$42</definedName>
    <definedName name="energy_cost_cl">'Cost Data'!$D$1324</definedName>
    <definedName name="eng_pct_large">'Indirect Assumptions'!$C$90</definedName>
    <definedName name="eng_pct_medium">'Indirect Assumptions'!$C$89</definedName>
    <definedName name="eng_pct_small">'Indirect Assumptions'!$C$88</definedName>
    <definedName name="ep_backfill_vol">'Residuals Management'!$C$145</definedName>
    <definedName name="ep_cell_side">'Residuals Management'!$C$143</definedName>
    <definedName name="ep_cells">'Residuals Management'!$C$142</definedName>
    <definedName name="ep_depth">'Residuals Management'!$C$141</definedName>
    <definedName name="ep_dike_construct_cl">'Cost Data'!$D$308</definedName>
    <definedName name="ep_excavation_vol">'Residuals Management'!$C$144</definedName>
    <definedName name="ep_fp">'Pumps Pipe Structure'!$C$78</definedName>
    <definedName name="ep_freeboard">'Critical Design Assumptions'!$C$236</definedName>
    <definedName name="ep_liner_cost_cl">'Cost Data'!$B$313:$F$313</definedName>
    <definedName name="ep_overexcavate">'Critical Design Assumptions'!$C$237</definedName>
    <definedName name="ep_safety_factor">'Critical Design Assumptions'!$C$233</definedName>
    <definedName name="ep_solids">'Residuals Management'!$C$18</definedName>
    <definedName name="ep_solids_density">'Critical Design Assumptions'!$C$239</definedName>
    <definedName name="ep_solids_depth">'Residuals Management'!$C$139</definedName>
    <definedName name="ep_total_sa">'Residuals Management'!$C$138</definedName>
    <definedName name="ep_water_depth">'Residuals Management'!$C$140</definedName>
    <definedName name="eq_table_cl">'Cost Coefficients'!$A$6:$Q$64</definedName>
    <definedName name="evap_ratio">'Critical Design Assumptions'!$C$230</definedName>
    <definedName name="ex_TSS_total">'Residuals Management'!$C$174</definedName>
    <definedName name="excavate_cost_cl">'Cost Data'!$B$318:$F$318</definedName>
    <definedName name="excavation_vol">'Contactor Constraints'!$C$74</definedName>
    <definedName name="facil_length">'Pumps Pipe Structure'!$C$77</definedName>
    <definedName name="fan_days_build1_large">'O&amp;M Assumptions'!$C$48</definedName>
    <definedName name="fan_days_build1_medium">'O&amp;M Assumptions'!$C$46</definedName>
    <definedName name="fan_days_build1_small">'O&amp;M Assumptions'!$C$44</definedName>
    <definedName name="fan_days_build2_large">'O&amp;M Assumptions'!$C$49</definedName>
    <definedName name="fan_days_build2_medium">'O&amp;M Assumptions'!$C$47</definedName>
    <definedName name="fan_days_build2_small">'O&amp;M Assumptions'!$C$45</definedName>
    <definedName name="Fan_pressure_drop">'O&amp;M Assumptions'!$C$43</definedName>
    <definedName name="fg_bwt_cost_cl">'Cost Data'!$B$323:$F$348</definedName>
    <definedName name="fg_bwt_eq">'Cost Equations'!$C$25</definedName>
    <definedName name="fg_cst_cost_cl">'Cost Data'!$B$353:$F$377</definedName>
    <definedName name="fg_ht_eq">'Cost Equations'!$C$29</definedName>
    <definedName name="fg_polymer_st_eq">'Cost Equations'!$C$33</definedName>
    <definedName name="fg_pv_cost_cl">'Cost Data'!$B$382:$F$387</definedName>
    <definedName name="fg_pv_eq">'Cost Equations'!$C$10</definedName>
    <definedName name="filter_labor">'O&amp;M'!$C$36</definedName>
    <definedName name="filter_materials">'O&amp;M'!$C$8</definedName>
    <definedName name="final_num_tanks">'Contactor Constraints'!$C$35</definedName>
    <definedName name="finance_pct">'Indirect Assumptions'!$C$102</definedName>
    <definedName name="finance_pct_small">'Indirect Assumptions'!$C$103</definedName>
    <definedName name="fire_buffer">'Critical Design Assumptions'!$C$153</definedName>
    <definedName name="flow_per_vessel">'Contactor Constraints'!$C$31</definedName>
    <definedName name="fm_in">'Critical Design Assumptions'!$C$95</definedName>
    <definedName name="fm_in_addon">'Critical Design Assumptions'!$C$96</definedName>
    <definedName name="fm_lkp_back">'Instrumentation and Control'!$C$51</definedName>
    <definedName name="fm_lkp_io">'Instrumentation and Control'!$C$49</definedName>
    <definedName name="fm_lkp_proc">'Instrumentation and Control'!$C$50</definedName>
    <definedName name="fm_lkp_res">'Instrumentation and Control'!$C$52</definedName>
    <definedName name="fm_proc">'Critical Design Assumptions'!$C$97</definedName>
    <definedName name="fp_required">'Pumps Pipe Structure'!$C$72</definedName>
    <definedName name="free_board">'Critical Design Assumptions'!$C$20</definedName>
    <definedName name="freeboard_horiz_void">'Contactor Constraints'!$C$56</definedName>
    <definedName name="freund_1">INPUT!$G$37</definedName>
    <definedName name="freund_2">INPUT!$G$38</definedName>
    <definedName name="freund_type">'Backwash and Regeneration'!$C$5</definedName>
    <definedName name="freund_type_I">INPUT!$G$36</definedName>
    <definedName name="frost">'Indirect Assumptions'!$C$35</definedName>
    <definedName name="furnace_size">'Backwash and Regeneration'!$C$42</definedName>
    <definedName name="GAC">'Contactor Constraints'!$C$82</definedName>
    <definedName name="gac_cost_cl">'Cost Data'!$B$392:$F$394</definedName>
    <definedName name="GAC_density">'Critical Design Assumptions'!$C$68</definedName>
    <definedName name="GAC_each">'Contactor Constraints'!$C$81</definedName>
    <definedName name="gac_eq">'Cost Equations'!$C$165</definedName>
    <definedName name="GAC_makeup">'Backwash and Regeneration'!$C$45</definedName>
    <definedName name="gac_slurry_cost_cl">'Cost Data'!$B$399:$F$402</definedName>
    <definedName name="GAC_yr">'Backwash and Regeneration'!$C$43</definedName>
    <definedName name="gas_cost_cl">'Cost Data'!$D$1327</definedName>
    <definedName name="gas_eff">'O&amp;M Assumptions'!$C$60</definedName>
    <definedName name="gas_non_eff">'O&amp;M Assumptions'!$C$59</definedName>
    <definedName name="General_Oper_Labor">'O&amp;M'!$C$33</definedName>
    <definedName name="geotech_cost">Indirect!$C$41</definedName>
    <definedName name="grav_feed_cost_cl">'Cost Data'!$B$407:$F$411</definedName>
    <definedName name="grav_feed_rate">'Residuals Management'!$C$55</definedName>
    <definedName name="GSOutput">OUTPUT!$A$20:$M$300</definedName>
    <definedName name="h2oflush_backwash_rate">'Critical Design Assumptions'!$C$60</definedName>
    <definedName name="haz_disposal_cost_cl">'Cost Data'!$D$1330</definedName>
    <definedName name="haz_miles">'Critical Design Assumptions'!$C$209</definedName>
    <definedName name="haz_regen_transp">'Residuals Management'!$C$204</definedName>
    <definedName name="haz_trans_min_cost_cl">'Cost Data'!$D$1333</definedName>
    <definedName name="haz_transportation_cost_cl">'Cost Data'!$D$1336</definedName>
    <definedName name="hazrad_annual_fee_cl">'Cost Data'!$D$1339</definedName>
    <definedName name="hazrad_disposal_cost_cl">'Cost Data'!$D$1342</definedName>
    <definedName name="hazrad_miles">'Critical Design Assumptions'!$C$211</definedName>
    <definedName name="hazrad_trans_min_cost_cl">'Cost Data'!$D$1345</definedName>
    <definedName name="hazrad_transportation_cost_cl">'Cost Data'!$D$1348</definedName>
    <definedName name="hbackfill_vol">'Residuals Management'!$C$49</definedName>
    <definedName name="hbasin_depth">'Residuals Management'!$C$45</definedName>
    <definedName name="hbasin_fp">'Pumps Pipe Structure'!$C$68</definedName>
    <definedName name="hbasin_length">'Residuals Management'!$C$44</definedName>
    <definedName name="hbasin_op_depth">'Residuals Management'!$C$42</definedName>
    <definedName name="hbasin_redun">'Residuals Management'!$C$38</definedName>
    <definedName name="hbasin_vol">'Residuals Management'!$C$46</definedName>
    <definedName name="hbasin_width">'Residuals Management'!$C$43</definedName>
    <definedName name="hbasins">'Residuals Management'!$C$39</definedName>
    <definedName name="hbasins_default">'Critical Design Assumptions'!$C$181</definedName>
    <definedName name="hconc_vol">'Residuals Management'!$C$47</definedName>
    <definedName name="hdpe_bwt_cost_cl">'Cost Data'!$B$416:$F$434</definedName>
    <definedName name="hdpe_bwt_eq">'Cost Equations'!$C$26</definedName>
    <definedName name="hdpe_ht_eq">'Cost Equations'!$C$30</definedName>
    <definedName name="head_tank">'Critical Design Assumptions'!$C$116</definedName>
    <definedName name="head_tank_small">'Critical Design Assumptions'!$C$117</definedName>
    <definedName name="headloss_cost_cl">'Cost Data'!$B$439:$F$439</definedName>
    <definedName name="heat_DD">'O&amp;M Assumptions'!$C$53</definedName>
    <definedName name="heat_viload">'O&amp;M Assumptions'!$C$55</definedName>
    <definedName name="heating">'O&amp;M'!$C$73</definedName>
    <definedName name="heating_diesel">'O&amp;M'!$C$77</definedName>
    <definedName name="heating_diesel_non">'O&amp;M'!$C$76</definedName>
    <definedName name="heating_gas">'O&amp;M'!$C$75</definedName>
    <definedName name="heating_gas_non">'O&amp;M'!$C$74</definedName>
    <definedName name="heating_hp">'O&amp;M'!$C$78</definedName>
    <definedName name="heating_matl_rate_cl">'Cost Data'!$D$1351</definedName>
    <definedName name="heating_table">'Indirect Assumptions'!$A$119:$E$121</definedName>
    <definedName name="heating_table_shed">'Indirect Assumptions'!$A$123:$E$125</definedName>
    <definedName name="height">'Contactor Constraints'!$C$50</definedName>
    <definedName name="hexcavation_vol">'Residuals Management'!$C$48</definedName>
    <definedName name="hh_size">OUTPUT!$C$387</definedName>
    <definedName name="himp_mix_eq">'Cost Equations'!$C$159</definedName>
    <definedName name="hmix_hp_max">'Residuals Management'!$C$58</definedName>
    <definedName name="hmix_hp_per">'Critical Design Assumptions'!$C$184</definedName>
    <definedName name="hmix_per_tank">'Residuals Management'!$C$57</definedName>
    <definedName name="hmix_size">'Residuals Management'!$C$60</definedName>
    <definedName name="hmixers">'Residuals Management'!$C$59</definedName>
    <definedName name="hmount_mix_eq">'Cost Equations'!$C$158</definedName>
    <definedName name="holding_freeboard">'Critical Design Assumptions'!$C$183</definedName>
    <definedName name="holding_ratio">'Critical Design Assumptions'!$C$182</definedName>
    <definedName name="hole_per_day">'Indirect Assumptions'!$C$64</definedName>
    <definedName name="hole_per_job">'Indirect Assumptions'!$C$63</definedName>
    <definedName name="hole_per_sf">'Indirect Assumptions'!$C$62</definedName>
    <definedName name="horiz_underdrain">'Critical Design Assumptions'!$C$21</definedName>
    <definedName name="horiz_void">'Contactor Constraints'!$C$58</definedName>
    <definedName name="horiz_vol_available">'Contactor Constraints'!$C$62</definedName>
    <definedName name="households">OUTPUT!$C$391</definedName>
    <definedName name="hp_EER">'O&amp;M Assumptions'!$C$64</definedName>
    <definedName name="hp_max_cool_cl">'Engineering Data'!$C$92</definedName>
    <definedName name="hp_max_heat_cl">'Engineering Data'!$C$95</definedName>
    <definedName name="hp_ok_1">HVAC!$C$73</definedName>
    <definedName name="hp_ok_2">HVAC!$C$74</definedName>
    <definedName name="hrailing">'Residuals Management'!$C$50</definedName>
    <definedName name="ht_diam">'Pumps Pipe Structure'!$C$43</definedName>
    <definedName name="ht_solids">'Residuals Management'!$C$21</definedName>
    <definedName name="ht_solids_density">'Critical Design Assumptions'!$C$176</definedName>
    <definedName name="htank_clean_pc">'Residuals Management'!$C$24</definedName>
    <definedName name="htank_clean_pct">'Critical Design Assumptions'!$C$179</definedName>
    <definedName name="htank_fp">'Pumps Pipe Structure'!$C$67</definedName>
    <definedName name="htank_TSSrem">'Critical Design Assumptions'!$C$177</definedName>
    <definedName name="htank_vol">'Residuals Management'!$C$35</definedName>
    <definedName name="htanks">'Residuals Management'!$C$34</definedName>
    <definedName name="htransfer_time">'Critical Design Assumptions'!$C$74</definedName>
    <definedName name="hvac_ac_cost_cl">'Cost Data'!$B$1224:$F$1230</definedName>
    <definedName name="hvac_ac_eq_1">'Cost Equations'!$C$200</definedName>
    <definedName name="hvac_ac_eq_2">'Cost Equations'!$C$213</definedName>
    <definedName name="hvac_elec_cost_cl">'Cost Data'!$B$1235:$F$1244</definedName>
    <definedName name="hvac_elec_eq_1">'Cost Equations'!$C$194</definedName>
    <definedName name="hvac_elec_eq_2">'Cost Equations'!$C$207</definedName>
    <definedName name="hvac_gas_cost_cl">'Cost Data'!$B$1249:$F$1255</definedName>
    <definedName name="hvac_gas_eq_1">'Cost Equations'!$C$196</definedName>
    <definedName name="hvac_gas_eq_2">'Cost Equations'!$C$209</definedName>
    <definedName name="hvac_gas_non_cost_cl">'Cost Data'!$B$1260:$F$1266</definedName>
    <definedName name="hvac_gas_non_eq_1">'Cost Equations'!$C$195</definedName>
    <definedName name="hvac_gas_non_eq_2">'Cost Equations'!$C$208</definedName>
    <definedName name="hvac_hp_cost_cl">'Cost Data'!$B$1271:$F$1290</definedName>
    <definedName name="hvac_hp_eq_1">'Cost Equations'!$C$201</definedName>
    <definedName name="hvac_hp_eq_2">'Cost Equations'!$C$214</definedName>
    <definedName name="hvac_oil_mid_cost_cl">'Cost Data'!$B$1295:$F$1301</definedName>
    <definedName name="hvac_oil_mid_eq_1">'Cost Equations'!$C$198</definedName>
    <definedName name="hvac_oil_mid_eq_2">'Cost Equations'!$C$211</definedName>
    <definedName name="hvac_oil_std_cost_cl">'Cost Data'!$B$1306:$F$1312</definedName>
    <definedName name="hvac_oil_std_eq_1">'Cost Equations'!$C$197</definedName>
    <definedName name="hvac_oil_std_eq_2">'Cost Equations'!$C$210</definedName>
    <definedName name="hvol_ft">'Residuals Management'!$C$41</definedName>
    <definedName name="i_c_pct">'Indirect Assumptions'!$C$79</definedName>
    <definedName name="imp_mix_cost_cl">'Cost Data'!$B$444:$F$452</definedName>
    <definedName name="in_chv">'Critical Design Assumptions'!$C$90</definedName>
    <definedName name="in_chv_addon">'Critical Design Assumptions'!$C$91</definedName>
    <definedName name="in_man">'Critical Design Assumptions'!$C$85</definedName>
    <definedName name="in_man_addon">'Critical Design Assumptions'!$C$86</definedName>
    <definedName name="in_meter_size">'Instrumentation and Control'!$C$33</definedName>
    <definedName name="in_out_pipe_diam">'Pumps Pipe Structure'!$C$25</definedName>
    <definedName name="in_out_pipe_flow">'Pumps Pipe Structure'!$C$24</definedName>
    <definedName name="in_out_pipe_length">'Pumps Pipe Structure'!$C$23</definedName>
    <definedName name="in_valve_size">'Instrumentation and Control'!$C$9</definedName>
    <definedName name="include_add_res_pipe_addon">'Critical Design Assumptions'!$C$191</definedName>
    <definedName name="include_arch">'Indirect Assumptions'!$C$23</definedName>
    <definedName name="include_arch_small">'Indirect Assumptions'!$C$24</definedName>
    <definedName name="include_bond">'Indirect Assumptions'!$C$107</definedName>
    <definedName name="include_buildings">'Indirect Assumptions'!$C$112</definedName>
    <definedName name="include_cm">'Indirect Assumptions'!$C$108</definedName>
    <definedName name="include_cm_pre">'Indirect Assumptions'!$C$109</definedName>
    <definedName name="include_conting_high">'Indirect Assumptions'!$C$84</definedName>
    <definedName name="include_conting_low">'Indirect Assumptions'!$C$82</definedName>
    <definedName name="include_conting_medium">'Indirect Assumptions'!$C$83</definedName>
    <definedName name="include_geo_high">'Indirect Assumptions'!$C$49</definedName>
    <definedName name="include_geo_high_g">'Indirect Assumptions'!$C$52</definedName>
    <definedName name="include_geo_low">'Indirect Assumptions'!$C$47</definedName>
    <definedName name="include_geo_low_g">'Indirect Assumptions'!$C$50</definedName>
    <definedName name="include_geo_medium">'Indirect Assumptions'!$C$48</definedName>
    <definedName name="include_geo_medium_g">'Indirect Assumptions'!$C$51</definedName>
    <definedName name="include_land">'Indirect Assumptions'!$C$14</definedName>
    <definedName name="include_NEPA">'Indirect Assumptions'!$C$7</definedName>
    <definedName name="include_pad">'Indirect Assumptions'!$C$113</definedName>
    <definedName name="include_permits">'Indirect Assumptions'!$C$6</definedName>
    <definedName name="include_pilot">'Indirect Assumptions'!$C$10</definedName>
    <definedName name="include_pilot_addon">'Indirect Assumptions'!$C$11</definedName>
    <definedName name="include_sitework">'Indirect Assumptions'!$C$30</definedName>
    <definedName name="include_standby">'Indirect Assumptions'!$C$67</definedName>
    <definedName name="include_standby_addon">'Indirect Assumptions'!$C$69</definedName>
    <definedName name="include_standby_small">'Indirect Assumptions'!$C$68</definedName>
    <definedName name="include_yardpipe">'Indirect Assumptions'!$C$33</definedName>
    <definedName name="include_yardpipe_addon">'Indirect Assumptions'!$C$34</definedName>
    <definedName name="indirect_cost">OUTPUT!$C$327</definedName>
    <definedName name="indirect_cost_add">OUTPUT!$C$415</definedName>
    <definedName name="indirect_cost_mult">OUTPUT!$C$414</definedName>
    <definedName name="influent_TSS">'Critical Design Assumptions'!$C$199</definedName>
    <definedName name="inp_sel">'Standard Inputs'!$A$299:$AQ$299</definedName>
    <definedName name="inp_used">'Standard Inputs'!$D$298:$AQ$298</definedName>
    <definedName name="inp_used_minimal">'Standard Inputs'!$D$298:$G$298</definedName>
    <definedName name="inp_used_usersel">'Standard Inputs'!$A$298</definedName>
    <definedName name="Input_Checks">OUTPUT!$C$418:$AN$418</definedName>
    <definedName name="input_status">INPUT!$G$19</definedName>
    <definedName name="input_vol_vess">'Contactor Constraints'!$C$63</definedName>
    <definedName name="inst_pct">'Indirect Assumptions'!$C$27</definedName>
    <definedName name="Kss">INPUT!$G$48</definedName>
    <definedName name="labor_table_cl">'Cost Data'!$B$1356:$G$1363</definedName>
    <definedName name="land_cost">'Pumps Pipe Structure'!$C$80</definedName>
    <definedName name="land_cost_cl">'Cost Data'!$B$1369:$D$1376</definedName>
    <definedName name="land_required">'Pumps Pipe Structure'!$C$79</definedName>
    <definedName name="laser_printer_cost_cl">'Cost Data'!$B$457:$F$457</definedName>
    <definedName name="legal_pct">'Indirect Assumptions'!$C$96</definedName>
    <definedName name="length_diam_ratio">'Critical Design Assumptions'!$C$22</definedName>
    <definedName name="level_switch">'Critical Design Assumptions'!$C$99</definedName>
    <definedName name="level_switch_g">'Critical Design Assumptions'!$C$101</definedName>
    <definedName name="level_switch_small">'Critical Design Assumptions'!$C$100</definedName>
    <definedName name="level_switch_small_g">'Critical Design Assumptions'!$C$102</definedName>
    <definedName name="lighting">'O&amp;M'!$C$69</definedName>
    <definedName name="lighting_energy_1">'O&amp;M'!$C$67</definedName>
    <definedName name="lighting_energy_2">'O&amp;M'!$C$68</definedName>
    <definedName name="lighting_power_high">'O&amp;M Assumptions'!$C$37</definedName>
    <definedName name="lighting_power_low">'O&amp;M Assumptions'!$C$35</definedName>
    <definedName name="lighting_power_mid">'O&amp;M Assumptions'!$C$36</definedName>
    <definedName name="liner_area">'Residuals Management'!$C$147</definedName>
    <definedName name="lines_pump_I">INPUT!$G$91</definedName>
    <definedName name="link_annc">OUTPUT!$A$383:$L$394</definedName>
    <definedName name="link_aoc">OUTPUT!$A$302:$L$307</definedName>
    <definedName name="link_bed_constraints">'Critical Design Assumptions'!$C$23:$C$24</definedName>
    <definedName name="link_bed_depth">'Critical Design Assumptions'!$C$34:$C$35</definedName>
    <definedName name="link_dcc">OUTPUT!$A$28:$L$300</definedName>
    <definedName name="link_dim_constraints">'Critical Design Assumptions'!$C$17:$C$21</definedName>
    <definedName name="link_GHG">OUTPUT!#REF!</definedName>
    <definedName name="link_icc">OUTPUT!$A$309:$L$327</definedName>
    <definedName name="link_length">'Critical Design Assumptions'!$C$38:$C$39</definedName>
    <definedName name="link_load">'Critical Design Assumptions'!$C$12:$C$13</definedName>
    <definedName name="link_omc">OUTPUT!$A$339:$L$381</definedName>
    <definedName name="link_output">OUTPUT!$A$1</definedName>
    <definedName name="link_tcc">OUTPUT!$A$329:$L$337</definedName>
    <definedName name="link_width">'Critical Design Assumptions'!$C$36:$C$37</definedName>
    <definedName name="load_max">'Critical Design Assumptions'!$C$13</definedName>
    <definedName name="load_min">'Critical Design Assumptions'!$C$12</definedName>
    <definedName name="low_sa">'Contactor Constraints'!$C$28</definedName>
    <definedName name="M">'Backwash and Regeneration'!$C$31</definedName>
    <definedName name="mag_fm_cost_cl">'Cost Data'!$B$462:$F$477</definedName>
    <definedName name="mag_fm_eq_back">'Cost Equations'!$C$144</definedName>
    <definedName name="mag_fm_eq_in">'Cost Equations'!$C$134</definedName>
    <definedName name="mag_fm_eq_proc">'Cost Equations'!$C$139</definedName>
    <definedName name="mag_fm_eq_res">'Cost Equations'!$C$149</definedName>
    <definedName name="makeup_rate">'Critical Design Assumptions'!$C$71</definedName>
    <definedName name="makeup_rate_off">'Critical Design Assumptions'!$C$72</definedName>
    <definedName name="Manager_LOE">'O&amp;M'!$C$40</definedName>
    <definedName name="Manager_percent">'O&amp;M Assumptions'!$C$10</definedName>
    <definedName name="manual">'Instrumentation and Control'!$C$6</definedName>
    <definedName name="manual_I">INPUT!$G$100</definedName>
    <definedName name="Materials_pct">'O&amp;M Assumptions'!$C$7</definedName>
    <definedName name="max_back_tank_size">'Backwash and Regeneration'!$C$26</definedName>
    <definedName name="max_bed_depth">'Critical Design Assumptions'!$C$24</definedName>
    <definedName name="max_chem_tank_size">'Residuals Management'!$C$67</definedName>
    <definedName name="max_cm_pump_size">'Pumps Pipe Structure'!$C$9</definedName>
    <definedName name="max_comm_height">'Contactor Constraints'!$C$53</definedName>
    <definedName name="max_cool_cl">'Engineering Data'!$C$98</definedName>
    <definedName name="max_depth">'Critical Design Assumptions'!$C$34</definedName>
    <definedName name="max_diam">'Contactor Constraints'!$C$24</definedName>
    <definedName name="max_diam_override">'Critical Design Assumptions'!$C$18</definedName>
    <definedName name="max_diam_std_size">'Contactor Constraints'!$C$22</definedName>
    <definedName name="max_eductor_size">'Pumps Pipe Structure'!$C$18</definedName>
    <definedName name="max_ep_cell_area">'Critical Design Assumptions'!$C$234</definedName>
    <definedName name="max_excav_depth">Indirect!$C$28</definedName>
    <definedName name="max_furnace_size">'Backwash and Regeneration'!$C$40</definedName>
    <definedName name="max_heat_cl">'Engineering Data'!$C$101</definedName>
    <definedName name="max_height">'Critical Design Assumptions'!$C$17</definedName>
    <definedName name="max_htank_size">'Residuals Management'!$C$33</definedName>
    <definedName name="max_length">'Critical Design Assumptions'!$C$19</definedName>
    <definedName name="max_length_g">'Critical Design Assumptions'!$C$38</definedName>
    <definedName name="max_pump_size">'Pumps Pipe Structure'!$C$8</definedName>
    <definedName name="max_sa">'Contactor Constraints'!$C$28</definedName>
    <definedName name="max_sept_tank_vol">'Residuals Management'!$C$121</definedName>
    <definedName name="max_space_vessels">'Pumps Pipe Structure'!$C$45</definedName>
    <definedName name="max_space_vessels_cust">'Critical Design Assumptions'!$C$148</definedName>
    <definedName name="max_space_vessels_pre">'Critical Design Assumptions'!$C$149</definedName>
    <definedName name="max_vessel_diam_cl">'Engineering Data'!$C$104</definedName>
    <definedName name="max_waste_ship">'Critical Design Assumptions'!$C$207</definedName>
    <definedName name="max_width">'Critical Design Assumptions'!$C$36</definedName>
    <definedName name="media_changes">'O&amp;M'!$C$19</definedName>
    <definedName name="media_changes_cf">'O&amp;M'!$C$20</definedName>
    <definedName name="media_volume">'Contactor Constraints'!$C$80</definedName>
    <definedName name="media_volume_expanded">'Contactor Constraints'!$C$83</definedName>
    <definedName name="metal_cost_cl">'Cost Data'!$B$482:$F$485</definedName>
    <definedName name="min_avg_flow">'Critical Design Assumptions'!$C$6</definedName>
    <definedName name="min_basin_vol">'Contactor Constraints'!$C$66</definedName>
    <definedName name="min_bed_depth">'Critical Design Assumptions'!$C$23</definedName>
    <definedName name="min_comm_height">'Contactor Constraints'!$C$52</definedName>
    <definedName name="min_depth">'Critical Design Assumptions'!$C$35</definedName>
    <definedName name="min_diam">'Contactor Constraints'!$C$23</definedName>
    <definedName name="min_ep_cells">'Critical Design Assumptions'!$C$235</definedName>
    <definedName name="min_holes">'Indirect Assumptions'!$C$61</definedName>
    <definedName name="min_length_g">'Critical Design Assumptions'!$C$39</definedName>
    <definedName name="min_res_pipe_size">'Critical Design Assumptions'!$C$188</definedName>
    <definedName name="min_sept_disch_time">'Critical Design Assumptions'!$C$213</definedName>
    <definedName name="min_sept_tank_vol">'Critical Design Assumptions'!$C$214</definedName>
    <definedName name="min_standby">'Indirect Assumptions'!$C$73</definedName>
    <definedName name="min_trench_depth">'Indirect Assumptions'!$C$36</definedName>
    <definedName name="min_vessel_diam_cl">'Engineering Data'!$C$107</definedName>
    <definedName name="min_width">'Critical Design Assumptions'!$C$37</definedName>
    <definedName name="misc_pct">'Indirect Assumptions'!$C$93</definedName>
    <definedName name="Missing_Cost">OUTPUT!$C$419</definedName>
    <definedName name="mob_pct_large">'Indirect Assumptions'!$C$20</definedName>
    <definedName name="mob_pct_medium">'Indirect Assumptions'!$C$19</definedName>
    <definedName name="mob_pct_pre">'Indirect Assumptions'!$C$17</definedName>
    <definedName name="mob_pct_small">'Indirect Assumptions'!$C$18</definedName>
    <definedName name="mount_mix_cost_cl">'Cost Data'!$B$490:$F$498</definedName>
    <definedName name="N_0_e">'Backwash and Regeneration'!$C$33</definedName>
    <definedName name="need_cool">'Indirect Assumptions'!$C$72</definedName>
    <definedName name="need_heat">'Indirect Assumptions'!$C$71</definedName>
    <definedName name="NEPA_cost_cl">'Cost Data'!$B$1381:$C$1382</definedName>
    <definedName name="next_loc_marker">'Cost Data'!$A$1616</definedName>
    <definedName name="no_back_tank">'Backwash and Regeneration'!$C$10</definedName>
    <definedName name="no_back_tank_I">INPUT!$G$96</definedName>
    <definedName name="no_backwash">'Backwash and Regeneration'!$C$9</definedName>
    <definedName name="no_backwash_I">INPUT!$G$95</definedName>
    <definedName name="non_fire_buffer">'Critical Design Assumptions'!$C$152</definedName>
    <definedName name="non_haz_miles">'Critical Design Assumptions'!$C$208</definedName>
    <definedName name="nonhaz_disposal_cost_cl">'Cost Data'!$D$1385</definedName>
    <definedName name="nonhaz_transportation_cost_cl">'Cost Data'!$D$1388</definedName>
    <definedName name="NPDES_permit_cost_cl">'Cost Data'!$B$1394:$C$1396</definedName>
    <definedName name="NRD">'Contactor Constraints'!$C$34</definedName>
    <definedName name="NRD_back_pumps">'Critical Design Assumptions'!$C$53</definedName>
    <definedName name="NRD_basins_large">'Critical Design Assumptions'!$C$32</definedName>
    <definedName name="NRD_basins_medium">'Critical Design Assumptions'!$C$31</definedName>
    <definedName name="NRD_cm_pump">'Critical Design Assumptions'!$C$54</definedName>
    <definedName name="NRD_eductors">'Critical Design Assumptions'!$C$75</definedName>
    <definedName name="NRD_g">'Contactor Constraints'!$C$71</definedName>
    <definedName name="NRD_I">INPUT!$G$93</definedName>
    <definedName name="NRD_pumps">'Critical Design Assumptions'!$C$52</definedName>
    <definedName name="NRD_res_pump">'Critical Design Assumptions'!$C$187</definedName>
    <definedName name="NRD_small">'Critical Design Assumptions'!$C$10</definedName>
    <definedName name="NRD_small_1">'Critical Design Assumptions'!$C$9</definedName>
    <definedName name="num_back_tanks">'Backwash and Regeneration'!$C$27</definedName>
    <definedName name="num_furnaces">'Backwash and Regeneration'!$C$41</definedName>
    <definedName name="num_holes">Indirect!$C$31</definedName>
    <definedName name="num_pits">Indirect!$C$30</definedName>
    <definedName name="num_sept_tanks">'Residuals Management'!$C$122</definedName>
    <definedName name="Num_tanks">'Contactor Constraints'!$C$18</definedName>
    <definedName name="Num_tanks_I">INPUT!$G$49</definedName>
    <definedName name="num_treat_lines">'Contactor Constraints'!$C$32</definedName>
    <definedName name="off_regen_cost_cl">'Cost Data'!$B$503:$F$505</definedName>
    <definedName name="off_regen_eq">'Cost Equations'!$C$182</definedName>
    <definedName name="office_fp">'Pumps Pipe Structure'!$C$71</definedName>
    <definedName name="OM_cost">OUTPUT!$G$381</definedName>
    <definedName name="on_regen_cost_cl">'Cost Data'!$B$510:$F$517</definedName>
    <definedName name="on_regen_eq">'Cost Equations'!$C$168</definedName>
    <definedName name="Onsite_regeneration_fp">'Pumps Pipe Structure'!$C$63</definedName>
    <definedName name="op_fm_cost_cl">'Cost Data'!$B$522:$F$528</definedName>
    <definedName name="op_fm_eq_back">'Cost Equations'!$C$141</definedName>
    <definedName name="op_fm_eq_in">'Cost Equations'!$C$131</definedName>
    <definedName name="op_fm_eq_proc">'Cost Equations'!$C$136</definedName>
    <definedName name="op_fm_eq_res">'Cost Equations'!$C$146</definedName>
    <definedName name="op_interface_software_cost_cl">'Cost Data'!$B$533:$F$533</definedName>
    <definedName name="op_num_basins">'Contactor Constraints'!$C$67</definedName>
    <definedName name="op_num_tanks">'Contactor Constraints'!$C$33</definedName>
    <definedName name="Operator_LOE">'O&amp;M'!$C$39</definedName>
    <definedName name="output_db">OUTPUT!$A$32:$V$300</definedName>
    <definedName name="output_page">OUTPUT!$A$21:$M$294</definedName>
    <definedName name="overexcavate">'Critical Design Assumptions'!$C$47</definedName>
    <definedName name="pad_thick">'Critical Design Assumptions'!$C$158</definedName>
    <definedName name="pad_thick_small">'Critical Design Assumptions'!$C$159</definedName>
    <definedName name="pan_evap">'Critical Design Assumptions'!$C$229</definedName>
    <definedName name="pc_workstation_cost_cl">'Cost Data'!$B$538:$F$538</definedName>
    <definedName name="performance_bond_table_cl">'Engineering Data'!$A$112:$E$117</definedName>
    <definedName name="permit_cost">Indirect!$C$81</definedName>
    <definedName name="pH_controls">'Instrumentation and Control'!$C$41</definedName>
    <definedName name="pH_controls_g">'Critical Design Assumptions'!$C$104</definedName>
    <definedName name="pH_controls_small_g">'Critical Design Assumptions'!$C$105</definedName>
    <definedName name="pH_meter_cost_cl">'Cost Data'!$B$543:$F$543</definedName>
    <definedName name="pilot_cost_large_cl">'Cost Data'!$B$1457:$C$1482</definedName>
    <definedName name="pilot_cost_medium_cl">'Cost Data'!$B$1516:$C$1541</definedName>
    <definedName name="pilot_cost_small_cl">'Cost Data'!$B$1548:$C$1573</definedName>
    <definedName name="pipe_size_table_cl">'Engineering Data'!$A$122:$B$142</definedName>
    <definedName name="pit_cost_cl">'Cost Data'!$B$548:$F$548</definedName>
    <definedName name="pit_depth">'Indirect Assumptions'!$C$55</definedName>
    <definedName name="pit_length">'Indirect Assumptions'!$C$53</definedName>
    <definedName name="pit_width">'Indirect Assumptions'!$C$54</definedName>
    <definedName name="pl_cst_cost_cl">'Cost Data'!$B$553:$F$593</definedName>
    <definedName name="pl_polymer_st_eq">'Cost Equations'!$C$32</definedName>
    <definedName name="plant_intel_software_cost_cl">'Cost Data'!$B$598:$F$598</definedName>
    <definedName name="plc_base_expansion">'Instrumentation and Control'!$C$66</definedName>
    <definedName name="plc_base_expansion_controller">'Instrumentation and Control'!$C$67</definedName>
    <definedName name="plc_base_expansion_controller_cost_cl">'Cost Data'!$B$603:$F$603</definedName>
    <definedName name="plc_base_expansion_cost_cl">'Cost Data'!$B$608:$F$608</definedName>
    <definedName name="plc_combination_analog">'Instrumentation and Control'!$C$60</definedName>
    <definedName name="plc_combination_analog_cost_cl">'Cost Data'!$B$613:$F$613</definedName>
    <definedName name="plc_cpu">'Instrumentation and Control'!$C$61</definedName>
    <definedName name="plc_cpu_addon">'Critical Design Assumptions'!$C$134</definedName>
    <definedName name="plc_cpu_cost_cl">'Cost Data'!$B$618:$F$618</definedName>
    <definedName name="plc_cpu_standalone">'Critical Design Assumptions'!$C$133</definedName>
    <definedName name="plc_data_software_cost_cl">'Cost Data'!$B$623:$F$623</definedName>
    <definedName name="plc_discrete_input">'Instrumentation and Control'!$C$59</definedName>
    <definedName name="plc_discrete_input_cost_cl">'Cost Data'!$B$628:$F$628</definedName>
    <definedName name="plc_discrete_output">'Instrumentation and Control'!$C$58</definedName>
    <definedName name="plc_discrete_output_cost_cl">'Cost Data'!$B$633:$F$633</definedName>
    <definedName name="plc_ethernet">'Instrumentation and Control'!$C$62</definedName>
    <definedName name="plc_ethernet_addon">'Critical Design Assumptions'!$C$136</definedName>
    <definedName name="plc_ethernet_cost_cl">'Cost Data'!$B$638:$F$638</definedName>
    <definedName name="plc_ethernet_standalone">'Critical Design Assumptions'!$C$135</definedName>
    <definedName name="plc_expansions">'Instrumentation and Control'!$C$64</definedName>
    <definedName name="plc_interface">'Instrumentation and Control'!$C$68</definedName>
    <definedName name="plc_interface_addon">'Critical Design Assumptions'!$C$138</definedName>
    <definedName name="plc_interface_standalone">'Critical Design Assumptions'!$C$137</definedName>
    <definedName name="plc_op_interface_cost_cl">'Cost Data'!$B$643:$F$644</definedName>
    <definedName name="plc_rack">'Instrumentation and Control'!$C$65</definedName>
    <definedName name="plc_rack_addon">'Critical Design Assumptions'!$C$132</definedName>
    <definedName name="plc_rack_cost_cl">'Cost Data'!$B$649:$F$649</definedName>
    <definedName name="plc_slots">'Instrumentation and Control'!$C$63</definedName>
    <definedName name="plc_software_cost_cl">'Cost Data'!$B$654:$F$654</definedName>
    <definedName name="polymer_chv_pump">'Critical Design Assumptions'!$C$93</definedName>
    <definedName name="polymer_cmix_per_tank">'Residuals Management'!$C$71</definedName>
    <definedName name="polymer_cmix_size">'Residuals Management'!$C$73</definedName>
    <definedName name="polymer_cmixers">'Residuals Management'!$C$72</definedName>
    <definedName name="polymer_day">'Residuals Management'!$C$64</definedName>
    <definedName name="polymer_density">'Critical Design Assumptions'!$C$167</definedName>
    <definedName name="polymer_dose">'Critical Design Assumptions'!$C$166</definedName>
    <definedName name="polymer_fp">'Pumps Pipe Structure'!$C$69</definedName>
    <definedName name="polymer_pipe_diam">'Pumps Pipe Structure'!$C$36</definedName>
    <definedName name="polymer_pipe_flow">'Pumps Pipe Structure'!$C$35</definedName>
    <definedName name="polymer_pipe_length">'Pumps Pipe Structure'!$C$34</definedName>
    <definedName name="polymer_purchase">'Residuals Management'!$C$170</definedName>
    <definedName name="polymer_rate">'Residuals Management'!$C$74</definedName>
    <definedName name="polymer_spf">'Critical Design Assumptions'!$C$168</definedName>
    <definedName name="polymer_st_diam">'Pumps Pipe Structure'!$C$44</definedName>
    <definedName name="polymer_storage">'Residuals Management'!$C$65</definedName>
    <definedName name="polymer_storage_lbs">'Residuals Management'!$C$66</definedName>
    <definedName name="polymer_tank_vol">'Residuals Management'!$C$69</definedName>
    <definedName name="polymer_tanks">'Residuals Management'!$C$68</definedName>
    <definedName name="polymer_valve_size">'Instrumentation and Control'!$C$13</definedName>
    <definedName name="polymer_yr">'Residuals Management'!$C$158</definedName>
    <definedName name="port_mix_cost_cl">'Cost Data'!$B$659:$F$660</definedName>
    <definedName name="port_table">'Critical Design Assumptions'!$B$275:$F$286</definedName>
    <definedName name="ports">'Instrumentation and Control'!$C$45</definedName>
    <definedName name="ports_bp">'Critical Design Assumptions'!$C$119</definedName>
    <definedName name="ports_tank">'Critical Design Assumptions'!$C$118</definedName>
    <definedName name="POTW_base_cost_avg_cl">'Cost Data'!$D$1576</definedName>
    <definedName name="POTW_base_cost_typ_cl">'Cost Data'!$D$1579</definedName>
    <definedName name="POTW_base_fee">'Critical Design Assumptions'!$C$202</definedName>
    <definedName name="POTW_fee">'Residuals Management'!$C$178</definedName>
    <definedName name="POTW_rate_type">'Critical Design Assumptions'!$C$201</definedName>
    <definedName name="POTW_TSS_cost_avg_cl">'Cost Data'!$D$1582</definedName>
    <definedName name="POTW_TSS_cost_typ_cl">'Cost Data'!$D$1585</definedName>
    <definedName name="POTW_TSS_fee">'Critical Design Assumptions'!$C$204</definedName>
    <definedName name="POTW_TSS_limit">'Critical Design Assumptions'!$C$205</definedName>
    <definedName name="POTW_vol_cost_avg_cl">'Cost Data'!$D$1588</definedName>
    <definedName name="POTW_vol_cost_typ_cl">'Cost Data'!$D$1591</definedName>
    <definedName name="POTW_volume_fee">'Critical Design Assumptions'!$C$203</definedName>
    <definedName name="pp_chv_cost_cl">'Cost Data'!$B$665:$F$677</definedName>
    <definedName name="pp_chv_eq_back">'Cost Equations'!$C$105</definedName>
    <definedName name="pp_chv_eq_bp">'Cost Equations'!$C$117</definedName>
    <definedName name="pp_chv_eq_in">'Cost Equations'!$C$114</definedName>
    <definedName name="pp_chv_eq_polymer">'Cost Equations'!$C$111</definedName>
    <definedName name="pp_chv_eq_res">'Cost Equations'!$C$108</definedName>
    <definedName name="pp_man_cost_cl">'Cost Data'!$B$682:$F$698</definedName>
    <definedName name="pp_man_eq">'Cost Equations'!$C$86</definedName>
    <definedName name="pp_man_eq_back">'Cost Equations'!$C$92</definedName>
    <definedName name="pp_man_eq_bp">'Cost Equations'!$C$101</definedName>
    <definedName name="pp_man_eq_polymer">'Cost Equations'!$C$98</definedName>
    <definedName name="pp_man_eq_proc">'Cost Equations'!$C$89</definedName>
    <definedName name="pp_man_eq_res">'Cost Equations'!$C$95</definedName>
    <definedName name="pp_mov_cost_cl">'Cost Data'!$B$703:$F$717</definedName>
    <definedName name="pp_mov_eq_back">'Cost Equations'!$C$73</definedName>
    <definedName name="pp_mov_eq_bp">'Cost Equations'!$C$82</definedName>
    <definedName name="pp_mov_eq_polymer">'Cost Equations'!$C$79</definedName>
    <definedName name="pp_mov_eq_res">'Cost Equations'!$C$76</definedName>
    <definedName name="pp_mov_eq_tank">'Cost Equations'!$C$70</definedName>
    <definedName name="precip">'Critical Design Assumptions'!$C$231</definedName>
    <definedName name="_xlnm.Print_Area" localSheetId="4">'Critical Design Assumptions'!$A$274:$F$286</definedName>
    <definedName name="_xlnm.Print_Area" localSheetId="3">OUTPUT!$A$158:$D$189</definedName>
    <definedName name="printer_addon">'Critical Design Assumptions'!$C$145</definedName>
    <definedName name="printer_ratio">'Critical Design Assumptions'!$C$144</definedName>
    <definedName name="printers">'Instrumentation and Control'!$C$71</definedName>
    <definedName name="proc_man_vessel">'Critical Design Assumptions'!$C$87</definedName>
    <definedName name="proc_man_vessel_cont">'Instrumentation and Control'!$C$23</definedName>
    <definedName name="proc_meter_size">'Instrumentation and Control'!$C$34</definedName>
    <definedName name="proc_MOV_vessel">'Instrumentation and Control'!$C$15</definedName>
    <definedName name="proc_pipe_diam">'Pumps Pipe Structure'!$C$28</definedName>
    <definedName name="proc_pipe_flow">'Pumps Pipe Structure'!$C$27</definedName>
    <definedName name="proc_pipe_length">'Pumps Pipe Structure'!$C$26</definedName>
    <definedName name="process_cost">OUTPUT!$C$298</definedName>
    <definedName name="prop_fm_cost_cl">'Cost Data'!$B$722:$F$730</definedName>
    <definedName name="prop_fm_eq_back">'Cost Equations'!$C$142</definedName>
    <definedName name="prop_fm_eq_in">'Cost Equations'!$C$132</definedName>
    <definedName name="prop_fm_eq_proc">'Cost Equations'!$C$137</definedName>
    <definedName name="prop_fm_eq_res">'Cost Equations'!$C$147</definedName>
    <definedName name="pump_cost_cl">'Cost Data'!$B$735:$F$757</definedName>
    <definedName name="pump_dim_table_cl">'Engineering Data'!$A$147:$D$150</definedName>
    <definedName name="pump_efficiency">'O&amp;M Assumptions'!$C$33</definedName>
    <definedName name="pump_energy">'O&amp;M'!$C$55</definedName>
    <definedName name="pump_eq">'Cost Equations'!$C$121</definedName>
    <definedName name="pump_eq_back">'Cost Equations'!$C$122</definedName>
    <definedName name="pump_fp">'Pumps Pipe Structure'!$C$62</definedName>
    <definedName name="pump_head">'O&amp;M Assumptions'!$C$30</definedName>
    <definedName name="pump_hp">'O&amp;M'!$C$53</definedName>
    <definedName name="pump_mtl">'O&amp;M'!$C$6</definedName>
    <definedName name="pump_rating">'Pumps Pipe Structure'!$C$7</definedName>
    <definedName name="pump_safety_factor">'Critical Design Assumptions'!$C$51</definedName>
    <definedName name="pvc_empump_cost_cl">'Cost Data'!$B$762:$F$779</definedName>
    <definedName name="pvc_mmpump_cost_cl">'Cost Data'!$B$784:$F$794</definedName>
    <definedName name="pvc_pipe_cost_cl">'Cost Data'!$B$799:$F$820</definedName>
    <definedName name="pvc_pipe_eq_back">'Cost Equations'!$C$44</definedName>
    <definedName name="pvc_pipe_eq_bp">'Cost Equations'!$C$65</definedName>
    <definedName name="pvc_pipe_eq_in_out">'Cost Equations'!$C$50</definedName>
    <definedName name="pvc_pipe_eq_polymer">'Cost Equations'!$C$60</definedName>
    <definedName name="pvc_pipe_eq_proc">'Cost Equations'!$C$39</definedName>
    <definedName name="pvc_pipe_eq_res">'Cost Equations'!$C$55</definedName>
    <definedName name="pvc_polymer_empump_eq">'Cost Equations'!$C$127</definedName>
    <definedName name="pvc_polymer_mmpump_eq">'Cost Equations'!$C$125</definedName>
    <definedName name="QL">'Backwash and Regeneration'!$C$32</definedName>
    <definedName name="r_air_changes_build1">Retrofit!$C$93</definedName>
    <definedName name="r_air_changes_build2">Retrofit!$C$94</definedName>
    <definedName name="r_bed_life">Retrofit!$C$13</definedName>
    <definedName name="r_bldg_maint_cost">Retrofit!$C$82</definedName>
    <definedName name="r_build1_fp">Retrofit!$C$54</definedName>
    <definedName name="r_build2_fp">Retrofit!$C$55</definedName>
    <definedName name="r_C_0">INPUT!$G$110</definedName>
    <definedName name="r_C_b">INPUT!$G$111</definedName>
    <definedName name="R_ceiling">'O&amp;M Assumptions'!$C$52</definedName>
    <definedName name="r_concrete">Retrofit!$C$60</definedName>
    <definedName name="r_disp_freq">Retrofit!$C$20</definedName>
    <definedName name="r_disposal_fee">Retrofit!$C$32</definedName>
    <definedName name="r_freund_1">INPUT!$G$108</definedName>
    <definedName name="r_freund_2">INPUT!$G$109</definedName>
    <definedName name="r_freund_type">Retrofit!$C$6</definedName>
    <definedName name="r_freund_type_I">INPUT!$G$107</definedName>
    <definedName name="r_furnace_lighting">Retrofit!$C$91</definedName>
    <definedName name="r_GAC_makeup">Retrofit!$C$18</definedName>
    <definedName name="r_GAC_yr">Retrofit!$C$16</definedName>
    <definedName name="r_haz_regen_transp">Retrofit!$C$37</definedName>
    <definedName name="r_inc_build1_fp">Retrofit!$C$56</definedName>
    <definedName name="r_inc_build2_fp">Retrofit!$C$57</definedName>
    <definedName name="r_inc_fp_required">Retrofit!$C$53</definedName>
    <definedName name="r_inc_Operator_LOE">Retrofit!$C$24</definedName>
    <definedName name="r_inc_regen_capacity">Retrofit!$C$48</definedName>
    <definedName name="r_inc_std_power">Retrofit!$C$42</definedName>
    <definedName name="r_inc_total_fp">Retrofit!$C$59</definedName>
    <definedName name="r_land_required">Retrofit!$C$61</definedName>
    <definedName name="r_lighting">Retrofit!$C$39</definedName>
    <definedName name="r_media_changes">Retrofit!$C$22</definedName>
    <definedName name="r_media_changes_cf">Retrofit!$C$23</definedName>
    <definedName name="r_N_0_e">Retrofit!$C$10</definedName>
    <definedName name="r_new_furnace">Retrofit!$C$49</definedName>
    <definedName name="r_off_regen_eq">'Cost Equations'!$C$184</definedName>
    <definedName name="r_on_regen_eq">'Cost Equations'!$C$169</definedName>
    <definedName name="r_onsite_regeneration_fp">Retrofit!$C$52</definedName>
    <definedName name="r_permit_cost">Retrofit!$C$71</definedName>
    <definedName name="r_regen_capacity">Retrofit!$C$47</definedName>
    <definedName name="r_regen_day">Retrofit!$C$15</definedName>
    <definedName name="r_regen_energy">Retrofit!$C$87</definedName>
    <definedName name="r_regen_labor">Retrofit!$C$86</definedName>
    <definedName name="r_regen_materials">Retrofit!$C$85</definedName>
    <definedName name="r_regen_ng">Retrofit!$C$88</definedName>
    <definedName name="r_regen_yr">Retrofit!$C$17</definedName>
    <definedName name="r_replace_gac_eq">'Cost Equations'!$C$183</definedName>
    <definedName name="r_sitework_cost">Retrofit!$C$74</definedName>
    <definedName name="r_spent_media_yr">Retrofit!$C$21</definedName>
    <definedName name="r_std_lighting">Retrofit!$C$40</definedName>
    <definedName name="r_std_power">Retrofit!$C$41</definedName>
    <definedName name="r_std_power_cost">Retrofit!$C$43</definedName>
    <definedName name="r_std_vent">Retrofit!$C$101</definedName>
    <definedName name="r_total_fp">Retrofit!$C$58</definedName>
    <definedName name="r_ventilation">Retrofit!$C$97</definedName>
    <definedName name="R_wall">'O&amp;M Assumptions'!$C$51</definedName>
    <definedName name="rad_annual_fee_cl">'Cost Data'!$D$1594</definedName>
    <definedName name="rad_disposal_cost_cl">'Cost Data'!$D$1597</definedName>
    <definedName name="rad_miles">'Critical Design Assumptions'!$C$210</definedName>
    <definedName name="rad_trans_min_cost_cl">'Cost Data'!$D$1600</definedName>
    <definedName name="rad_transportation_cost_cl">'Cost Data'!$D$1603</definedName>
    <definedName name="railing">'Contactor Constraints'!$C$76</definedName>
    <definedName name="Reduction">'Indirect Assumptions'!$C$39</definedName>
    <definedName name="redund_freq">'Critical Design Assumptions'!$C$16</definedName>
    <definedName name="regen_backfill_vol">'Backwash and Regeneration'!$C$83</definedName>
    <definedName name="regen_basin_depth">'Backwash and Regeneration'!$C$79</definedName>
    <definedName name="regen_basin_length">'Backwash and Regeneration'!$C$78</definedName>
    <definedName name="regen_basin_op_depth">'Backwash and Regeneration'!$C$76</definedName>
    <definedName name="regen_basin_vol">'Backwash and Regeneration'!$C$80</definedName>
    <definedName name="regen_basin_width">'Backwash and Regeneration'!$C$77</definedName>
    <definedName name="regen_capacity">'Backwash and Regeneration'!$C$39</definedName>
    <definedName name="regen_conc_vol">'Backwash and Regeneration'!$C$81</definedName>
    <definedName name="regen_day">'Backwash and Regeneration'!$C$38</definedName>
    <definedName name="regen_energy">'O&amp;M'!$C$63</definedName>
    <definedName name="regen_excavation_vol">'Backwash and Regeneration'!$C$82</definedName>
    <definedName name="regen_labor">'O&amp;M'!$C$37</definedName>
    <definedName name="regen_materials">'O&amp;M'!$C$9</definedName>
    <definedName name="regen_ng">'O&amp;M'!$C$64</definedName>
    <definedName name="regen_railing">'Backwash and Regeneration'!$C$84</definedName>
    <definedName name="regen_redund">'Critical Design Assumptions'!$C$70</definedName>
    <definedName name="regen_runtime">'Critical Design Assumptions'!$C$69</definedName>
    <definedName name="regen_storage">'Backwash and Regeneration'!$C$50</definedName>
    <definedName name="regen_storage_bv">'Critical Design Assumptions'!$C$78</definedName>
    <definedName name="regen_tank_vol">'Backwash and Regeneration'!$C$86</definedName>
    <definedName name="regen_tanks">'Backwash and Regeneration'!$C$85</definedName>
    <definedName name="regen_type">'Backwash and Regeneration'!$C$6</definedName>
    <definedName name="regen_type_I">INPUT!$G$86</definedName>
    <definedName name="regen_yr">'Backwash and Regeneration'!$C$44</definedName>
    <definedName name="Regenerated_GAC_storage_fp">'Pumps Pipe Structure'!$C$66</definedName>
    <definedName name="replace_gac_eq">'Cost Equations'!$C$181</definedName>
    <definedName name="res_bearing_area">'Residuals Management'!$C$100</definedName>
    <definedName name="res_block_vol">'Residuals Management'!$C$105</definedName>
    <definedName name="res_cap_factor">'Critical Design Assumptions'!$C$180</definedName>
    <definedName name="res_chv_no_pump">'Critical Design Assumptions'!$C$193</definedName>
    <definedName name="res_chv_pump">'Critical Design Assumptions'!$C$192</definedName>
    <definedName name="res_coag_settle_time">'Critical Design Assumptions'!$C$165</definedName>
    <definedName name="res_eductor_size">'Residuals Management'!$C$88</definedName>
    <definedName name="res_eductors">'Residuals Management'!$C$86</definedName>
    <definedName name="res_eff_transfer_rate">'Residuals Management'!$C$87</definedName>
    <definedName name="res_flow">'Residuals Management'!$C$13</definedName>
    <definedName name="res_flow_actual">'Residuals Management'!$C$12</definedName>
    <definedName name="res_flow_annual">'Residuals Management'!$C$14</definedName>
    <definedName name="res_holding">'Residuals Management'!$C$52</definedName>
    <definedName name="res_meter_size">'Residuals Management'!$C$118</definedName>
    <definedName name="res_MOV_pump">'Critical Design Assumptions'!$C$253</definedName>
    <definedName name="res_MOV_tank">'Critical Design Assumptions'!$C$254</definedName>
    <definedName name="res_pipe_bedding_vol">'Residuals Management'!$C$110</definedName>
    <definedName name="res_pipe_diam">'Residuals Management'!$C$96</definedName>
    <definedName name="res_pipe_length">'Residuals Management'!$C$95</definedName>
    <definedName name="res_pump_addon">'Critical Design Assumptions'!$C$186</definedName>
    <definedName name="res_pump_energy">'Residuals Management'!$C$153</definedName>
    <definedName name="res_pump_eq">'Cost Equations'!$C$123</definedName>
    <definedName name="res_pump_mtl">'Residuals Management'!$C$154</definedName>
    <definedName name="res_pump_psi">'O&amp;M Assumptions'!$C$32</definedName>
    <definedName name="res_pump_rating">'Residuals Management'!$C$80</definedName>
    <definedName name="res_pumps">'Residuals Management'!$C$79</definedName>
    <definedName name="res_s1_opt">'Residuals Management'!$C$6</definedName>
    <definedName name="res_s1_opt_I">INPUT!$G$85</definedName>
    <definedName name="res_s1_valid">'Lookup Tables'!$A$62:$A$63</definedName>
    <definedName name="res_s2_opt">'Residuals Management'!$C$5</definedName>
    <definedName name="res_s2_opt_I">INPUT!$G$84</definedName>
    <definedName name="res_seductor_eq">'Cost Equations'!$C$154</definedName>
    <definedName name="res_slurry_eq">'Cost Equations'!$C$153</definedName>
    <definedName name="res_slurry_pumps">'Residuals Management'!$C$85</definedName>
    <definedName name="res_sol_validation">'Lookup Tables'!$A$65:$A$68</definedName>
    <definedName name="res_solids">'Residuals Management'!$C$24</definedName>
    <definedName name="res_stagger_time">'Residuals Management'!$C$11</definedName>
    <definedName name="res_thrust_force">'Residuals Management'!$C$99</definedName>
    <definedName name="res_transfer_method">'Critical Design Assumptions'!$C$185</definedName>
    <definedName name="res_transfer_rate">'Residuals Management'!$C$83</definedName>
    <definedName name="res_transfer_rate_gal">'Residuals Management'!$C$84</definedName>
    <definedName name="res_trench_area">'Residuals Management'!$C$106</definedName>
    <definedName name="res_trench_vol">'Residuals Management'!$C$108</definedName>
    <definedName name="res_trn_depth">'Residuals Management'!$C$98</definedName>
    <definedName name="res_valve_size">'Residuals Management'!$C$113</definedName>
    <definedName name="res_vol">'Residuals Management'!$C$10</definedName>
    <definedName name="resist_eff">'O&amp;M Assumptions'!$C$57</definedName>
    <definedName name="retrofit">Retrofit!$C$5</definedName>
    <definedName name="retrofit_I">INPUT!$G$106</definedName>
    <definedName name="retrofit_valid">'Lookup Tables'!$A$59:$A$60</definedName>
    <definedName name="risers">'Critical Design Assumptions'!$C$46</definedName>
    <definedName name="rt_diam">'Pumps Pipe Structure'!$C$42</definedName>
    <definedName name="S_back_pump">'Critical Design Assumptions'!$C$128</definedName>
    <definedName name="S_booster_pump">'Critical Design Assumptions'!$C$127</definedName>
    <definedName name="S_eductor">'Critical Design Assumptions'!$C$129</definedName>
    <definedName name="S_feeder">'Critical Design Assumptions'!$C$195</definedName>
    <definedName name="S_mixer">'Critical Design Assumptions'!$C$196</definedName>
    <definedName name="S_res_pump">'Critical Design Assumptions'!$C$194</definedName>
    <definedName name="S_slurry">'Critical Design Assumptions'!$C$130</definedName>
    <definedName name="SA">'Contactor Constraints'!$C$40</definedName>
    <definedName name="seductor_cost_cl">'Cost Data'!$B$825:$F$831</definedName>
    <definedName name="seductor_eq">'Cost Equations'!$C$152</definedName>
    <definedName name="sept_buffer">'Critical Design Assumptions'!$C$224</definedName>
    <definedName name="sept_design_flow">'Residuals Management'!$C$124</definedName>
    <definedName name="sept_dist_boxes">'Residuals Management'!$C$133</definedName>
    <definedName name="sept_dist_connections">'Critical Design Assumptions'!$C$226</definedName>
    <definedName name="sept_distbox_cost_cl">'Cost Data'!$B$836:$F$836</definedName>
    <definedName name="sept_distpipe_cost_cl">'Cost Data'!$B$841:$F$841</definedName>
    <definedName name="sept_fp">'Residuals Management'!$C$135</definedName>
    <definedName name="sept_gravel_cost_cl">'Cost Data'!$D$845</definedName>
    <definedName name="sept_gravel_d">'Critical Design Assumptions'!$C$223</definedName>
    <definedName name="sept_gravel_d_below">'Critical Design Assumptions'!$C$219</definedName>
    <definedName name="sept_gravel_vol">'Residuals Management'!$C$129</definedName>
    <definedName name="sept_infil_area">'Residuals Management'!$C$125</definedName>
    <definedName name="sept_LTAR">'Critical Design Assumptions'!$C$216</definedName>
    <definedName name="sept_max_trench_l">'Critical Design Assumptions'!$C$221</definedName>
    <definedName name="sept_min_trenches">'Critical Design Assumptions'!$C$220</definedName>
    <definedName name="sept_overexcav">'Critical Design Assumptions'!$C$225</definedName>
    <definedName name="sept_pipe_diam">'Critical Design Assumptions'!$C$227</definedName>
    <definedName name="sept_pipe_length">'Residuals Management'!$C$134</definedName>
    <definedName name="sept_tank_exav_vol">'Residuals Management'!$C$132</definedName>
    <definedName name="sept_tank_excav_cost_cl">'Cost Data'!$D$849</definedName>
    <definedName name="sept_tank_sf">'Critical Design Assumptions'!$C$215</definedName>
    <definedName name="sept_tank_side">'Residuals Management'!$C$131</definedName>
    <definedName name="sept_tank_vol">'Residuals Management'!$C$123</definedName>
    <definedName name="sept_trench_bot_area">'Residuals Management'!$C$126</definedName>
    <definedName name="sept_trench_d">'Critical Design Assumptions'!$C$218</definedName>
    <definedName name="sept_trench_dist">'Critical Design Assumptions'!$C$222</definedName>
    <definedName name="sept_trench_excav_cost_cl">'Cost Data'!$D$853</definedName>
    <definedName name="sept_trench_excav_vol">'Residuals Management'!$C$130</definedName>
    <definedName name="sept_trench_l">'Residuals Management'!$C$128</definedName>
    <definedName name="sept_trench_w">'Critical Design Assumptions'!$C$217</definedName>
    <definedName name="sept_trenches">'Residuals Management'!$C$127</definedName>
    <definedName name="septic_disp_freq">'Residuals Management'!$C$23</definedName>
    <definedName name="septic_disposal_cost_cl">'Cost Data'!$D$1606</definedName>
    <definedName name="septic_disposal_fee">'Residuals Management'!$C$199</definedName>
    <definedName name="septic_tank_cost_cl">'Cost Data'!$B$858:$F$871</definedName>
    <definedName name="septic_tank_eq">'Cost Equations'!$C$186</definedName>
    <definedName name="shifts_day">'Critical Design Assumptions'!$C$142</definedName>
    <definedName name="sitework_cost">Indirect!$C$43</definedName>
    <definedName name="sitework_sf_cl">'Cost Data'!$D$875</definedName>
    <definedName name="slurry_eq">'Cost Equations'!$C$151</definedName>
    <definedName name="soil_dens">'Indirect Assumptions'!$C$37</definedName>
    <definedName name="sol_disp_freq">'Residuals Management'!$C$22</definedName>
    <definedName name="sol_disposal_fee">'Residuals Management'!$C$196</definedName>
    <definedName name="sol_disposal_miles">'Residuals Management'!$C$194</definedName>
    <definedName name="sol_disposal_shipments">'Residuals Management'!$C$191</definedName>
    <definedName name="solids_haz">'Residuals Management'!$C$7</definedName>
    <definedName name="solids_haz_I">INPUT!$G$88</definedName>
    <definedName name="solids_method">'Critical Design Assumptions'!$C$206</definedName>
    <definedName name="solids_pad_area">'Residuals Management'!$C$91</definedName>
    <definedName name="solids_pad_concrete">'Residuals Management'!$C$92</definedName>
    <definedName name="solids_storage_height">'Critical Design Assumptions'!$C$175</definedName>
    <definedName name="source_select">OUTPUT!$C$386</definedName>
    <definedName name="space_bt">'Pumps Pipe Structure'!$C$47</definedName>
    <definedName name="space_ht">'Pumps Pipe Structure'!$C$51</definedName>
    <definedName name="space_office">'Critical Design Assumptions'!$C$156</definedName>
    <definedName name="space_office_small">'Critical Design Assumptions'!$C$157</definedName>
    <definedName name="space_polymer_st">'Pumps Pipe Structure'!$C$52</definedName>
    <definedName name="space_pumps">'Pumps Pipe Structure'!$C$53</definedName>
    <definedName name="space_pumps_cust">'Critical Design Assumptions'!$C$150</definedName>
    <definedName name="space_pumps_pre">'Critical Design Assumptions'!$C$151</definedName>
    <definedName name="space_rt">'Pumps Pipe Structure'!$C$50</definedName>
    <definedName name="space_st">'Pumps Pipe Structure'!$C$49</definedName>
    <definedName name="space_vessels">'Pumps Pipe Structure'!$C$46</definedName>
    <definedName name="space_vt">'Pumps Pipe Structure'!$C$48</definedName>
    <definedName name="spent_backfill_vol">'Backwash and Regeneration'!$C$71</definedName>
    <definedName name="spent_basin_depth">'Backwash and Regeneration'!$C$67</definedName>
    <definedName name="spent_basin_length">'Backwash and Regeneration'!$C$66</definedName>
    <definedName name="spent_basin_op_depth">'Backwash and Regeneration'!$C$64</definedName>
    <definedName name="spent_basin_vol">'Backwash and Regeneration'!$C$68</definedName>
    <definedName name="spent_basin_width">'Backwash and Regeneration'!$C$65</definedName>
    <definedName name="spent_conc_vol">'Backwash and Regeneration'!$C$69</definedName>
    <definedName name="spent_excavation_vol">'Backwash and Regeneration'!$C$70</definedName>
    <definedName name="Spent_GAC_storage_fp">'Pumps Pipe Structure'!$C$65</definedName>
    <definedName name="spent_media">'Residuals Management'!$C$28</definedName>
    <definedName name="spent_media_yr">'Residuals Management'!$C$29</definedName>
    <definedName name="spent_railing">'Backwash and Regeneration'!$C$72</definedName>
    <definedName name="spent_storage">'Backwash and Regeneration'!$C$49</definedName>
    <definedName name="spent_storage_bv">'Critical Design Assumptions'!$C$77</definedName>
    <definedName name="spent_tank_vol">'Backwash and Regeneration'!$C$74</definedName>
    <definedName name="spent_tanks">'Backwash and Regeneration'!$C$73</definedName>
    <definedName name="ss_cat">OUTPUT!$C$4</definedName>
    <definedName name="ss_cat2">HVAC!$C$5</definedName>
    <definedName name="ss_chv_cost_cl">'Cost Data'!$B$880:$F$901</definedName>
    <definedName name="ss_chv_eq_back">'Cost Equations'!$C$106</definedName>
    <definedName name="ss_chv_eq_bp">'Cost Equations'!$C$118</definedName>
    <definedName name="ss_chv_eq_in">'Cost Equations'!$C$115</definedName>
    <definedName name="ss_chv_eq_polymer">'Cost Equations'!$C$112</definedName>
    <definedName name="ss_chv_eq_res">'Cost Equations'!$C$109</definedName>
    <definedName name="ss_cst_cost_cl">'Cost Data'!$B$906:$F$915</definedName>
    <definedName name="ss_empump_cost_cl">'Cost Data'!$B$920:$F$939</definedName>
    <definedName name="ss_man_cost_cl">'Cost Data'!$B$944:$F$953</definedName>
    <definedName name="ss_man_eq">'Cost Equations'!$C$87</definedName>
    <definedName name="ss_man_eq_back">'Cost Equations'!$C$93</definedName>
    <definedName name="ss_man_eq_bp">'Cost Equations'!$C$102</definedName>
    <definedName name="ss_man_eq_polymer">'Cost Equations'!$C$99</definedName>
    <definedName name="ss_man_eq_proc">'Cost Equations'!$C$90</definedName>
    <definedName name="ss_man_eq_res">'Cost Equations'!$C$96</definedName>
    <definedName name="ss_mmpump_cost_cl">'Cost Data'!$B$958:$F$978</definedName>
    <definedName name="ss_mov_cost_cl">'Cost Data'!$B$983:$F$996</definedName>
    <definedName name="ss_mov_eq_back">'Cost Equations'!$C$74</definedName>
    <definedName name="ss_mov_eq_bp">'Cost Equations'!$C$83</definedName>
    <definedName name="ss_mov_eq_polymer">'Cost Equations'!$C$80</definedName>
    <definedName name="ss_mov_eq_res">'Cost Equations'!$C$77</definedName>
    <definedName name="ss_mov_eq_tank">'Cost Equations'!$C$71</definedName>
    <definedName name="ss_pipe_cost_cl">'Cost Data'!$B$1001:$F$1017</definedName>
    <definedName name="ss_pipe_eq_back">'Cost Equations'!$C$45</definedName>
    <definedName name="ss_pipe_eq_bp">'Cost Equations'!$C$66</definedName>
    <definedName name="ss_pipe_eq_in_out">'Cost Equations'!$C$51</definedName>
    <definedName name="ss_pipe_eq_polymer">'Cost Equations'!$C$61</definedName>
    <definedName name="ss_pipe_eq_proc">'Cost Equations'!$C$40</definedName>
    <definedName name="ss_pipe_eq_res">'Cost Equations'!$C$56</definedName>
    <definedName name="ss_polymer_empump_eq">'Cost Equations'!$C$128</definedName>
    <definedName name="ss_polymer_mmpump_eq">'Cost Equations'!$C$126</definedName>
    <definedName name="ss_polymer_st_eq">'Cost Equations'!$C$34</definedName>
    <definedName name="ss_pv_cost_cl">'Cost Data'!$B$1022:$F$1037</definedName>
    <definedName name="ss_pv_eq">'Cost Equations'!$C$7</definedName>
    <definedName name="st_bwt_cost_cl">'Cost Data'!$B$1042:$F$1049</definedName>
    <definedName name="st_bwt_eq">'Cost Equations'!$C$24</definedName>
    <definedName name="st_diam">'Pumps Pipe Structure'!$C$41</definedName>
    <definedName name="st_ht_eq">'Cost Equations'!$C$28</definedName>
    <definedName name="st_pipe_cost_cl">'Cost Data'!$B$1054:$F$1066</definedName>
    <definedName name="st_pipe_eq_back">'Cost Equations'!$C$46</definedName>
    <definedName name="st_pipe_eq_bp">'Cost Equations'!$C$67</definedName>
    <definedName name="st_pipe_eq_in_out">'Cost Equations'!$C$52</definedName>
    <definedName name="st_pipe_eq_polymer">'Cost Equations'!$C$62</definedName>
    <definedName name="st_pipe_eq_proc">'Cost Equations'!$C$41</definedName>
    <definedName name="st_pipe_eq_res">'Cost Equations'!$C$57</definedName>
    <definedName name="st_rt_eq">'Cost Equations'!$C$178</definedName>
    <definedName name="st_st_eq">'Cost Equations'!$C$175</definedName>
    <definedName name="st_vt_eq">'Cost Equations'!$C$172</definedName>
    <definedName name="stake_out_cost_cl">'Cost Data'!$B$1071:$F$1071</definedName>
    <definedName name="std_base">Indirect!$C$9</definedName>
    <definedName name="std_cool">Indirect!$C$21</definedName>
    <definedName name="std_design_params">'Standard Inputs'!$A$8:$AQ$296</definedName>
    <definedName name="std_gen_cost_cl">'Cost Data'!$B$1076:$F$1088</definedName>
    <definedName name="std_heat">Indirect!$C$15</definedName>
    <definedName name="std_power">Indirect!$C$23</definedName>
    <definedName name="std_power_cost">Indirect!$C$24</definedName>
    <definedName name="std_safety_factor">'Indirect Assumptions'!$C$70</definedName>
    <definedName name="storage_basins">'Critical Design Assumptions'!$C$79</definedName>
    <definedName name="storage_freeboard">'Critical Design Assumptions'!$C$81</definedName>
    <definedName name="storage_height">'Critical Design Assumptions'!$C$174</definedName>
    <definedName name="storage_ratio">'Critical Design Assumptions'!$C$80</definedName>
    <definedName name="surface_loading_rate_g">'Contactor Constraints'!$C$70</definedName>
    <definedName name="SW_permit_cost_cl">'Cost Data'!$B$1611:$C$1613</definedName>
    <definedName name="switch_cost_cl">'Cost Data'!$B$1093:$F$1093</definedName>
    <definedName name="system_automation_valid">'Lookup Tables'!$A$51:$A$54</definedName>
    <definedName name="system_cost">OUTPUT!$C$337</definedName>
    <definedName name="system_type">'Contactor Constraints'!$C$19</definedName>
    <definedName name="tank_geom">'Contactor Constraints'!$C$19</definedName>
    <definedName name="tank_geom_I">INPUT!$G$58</definedName>
    <definedName name="tank_solids_valid">'Critical Design Assumptions'!$A$223:$A$224</definedName>
    <definedName name="tank_valid">'Critical Design Assumptions'!$A$220:$A$221</definedName>
    <definedName name="tank_valve_size">'Instrumentation and Control'!$C$10</definedName>
    <definedName name="target_bed_depth_horiz">'Critical Design Assumptions'!$C$27</definedName>
    <definedName name="target_bed_depth_over">'Critical Design Assumptions'!$C$26</definedName>
    <definedName name="target_bed_depth_over_g">'Critical Design Assumptions'!$C$42</definedName>
    <definedName name="target_bed_depth_over_g_UVAOP">'Critical Design Assumptions'!$C$43</definedName>
    <definedName name="target_bed_depth_under">'Critical Design Assumptions'!$C$25</definedName>
    <definedName name="target_bed_depth_under_g">'Critical Design Assumptions'!$C$40</definedName>
    <definedName name="target_bed_depth_under_g_UVAOP">'Critical Design Assumptions'!$C$41</definedName>
    <definedName name="tax_pct">'Indirect Assumptions'!$C$99</definedName>
    <definedName name="tech_fp">Indirect!$C$27</definedName>
    <definedName name="tech_name">OUTPUT!$C$5</definedName>
    <definedName name="temp_meter_cost_cl">'Cost Data'!$B$1098:$F$1098</definedName>
    <definedName name="temp_meters">'Critical Design Assumptions'!$C$108</definedName>
    <definedName name="temp_meters_small">'Critical Design Assumptions'!$C$109</definedName>
    <definedName name="thrust_block_table_cl">'Engineering Data'!$A$156:$B$172</definedName>
    <definedName name="thrust_force">Indirect!$C$48</definedName>
    <definedName name="Top_bottom_Vessel_space">'Critical Design Assumptions'!$C$154</definedName>
    <definedName name="tot_back_alarm">'Instrumentation and Control'!$C$40</definedName>
    <definedName name="tot_back_chv">'Instrumentation and Control'!$C$30</definedName>
    <definedName name="tot_back_man">'Instrumentation and Control'!$C$25</definedName>
    <definedName name="tot_back_MOVs">'Instrumentation and Control'!$C$17</definedName>
    <definedName name="tot_bp_chv">'Critical Design Assumptions'!$C$92</definedName>
    <definedName name="tot_bp_man">'Instrumentation and Control'!$C$26</definedName>
    <definedName name="tot_bp_MOVs">'Instrumentation and Control'!$C$18</definedName>
    <definedName name="tot_chem">'O&amp;M'!$C$18</definedName>
    <definedName name="tot_fm_back">'Critical Design Assumptions'!$C$98</definedName>
    <definedName name="tot_fm_in">'Instrumentation and Control'!$C$37</definedName>
    <definedName name="tot_fm_proc">'Instrumentation and Control'!$C$36</definedName>
    <definedName name="tot_fm_res">'Critical Design Assumptions'!$C$197</definedName>
    <definedName name="tot_head_sens">'Instrumentation and Control'!$C$44</definedName>
    <definedName name="tot_in_chv">'Instrumentation and Control'!$C$29</definedName>
    <definedName name="tot_in_man">'Instrumentation and Control'!$C$22</definedName>
    <definedName name="tot_inst">'O&amp;M'!$C$12</definedName>
    <definedName name="tot_inst_maint">'O&amp;M'!$C$13</definedName>
    <definedName name="tot_level_switch">'Instrumentation and Control'!$C$39</definedName>
    <definedName name="tot_MOVs">'Instrumentation and Control'!$C$20</definedName>
    <definedName name="tot_polymer_chv">'Instrumentation and Control'!$C$31</definedName>
    <definedName name="tot_polymer_man">'Instrumentation and Control'!$C$27</definedName>
    <definedName name="tot_polymer_MOVs">'Instrumentation and Control'!$C$19</definedName>
    <definedName name="tot_proc_man">'Instrumentation and Control'!$C$24</definedName>
    <definedName name="tot_proc_MOVs">'Instrumentation and Control'!$C$16</definedName>
    <definedName name="tot_pumps">'O&amp;M'!$C$14</definedName>
    <definedName name="tot_pumps_maint">'O&amp;M'!$C$15</definedName>
    <definedName name="tot_res_alarm">'Residuals Management'!$C$117</definedName>
    <definedName name="tot_res_chv">'Residuals Management'!$C$116</definedName>
    <definedName name="tot_switches">'Instrumentation and Control'!$C$46</definedName>
    <definedName name="tot_temp_meters">'Instrumentation and Control'!$C$42</definedName>
    <definedName name="tot_turb_meters">'Instrumentation and Control'!$C$43</definedName>
    <definedName name="tot_valves">'O&amp;M'!$C$16</definedName>
    <definedName name="total_backwash">'Backwash and Regeneration'!$C$14</definedName>
    <definedName name="total_booster_pumps">'Pumps Pipe Structure'!$C$11</definedName>
    <definedName name="total_direct_depreciation">OUTPUT!$AH$297</definedName>
    <definedName name="total_fp">'Pumps Pipe Structure'!$C$75</definedName>
    <definedName name="total_hvol_ft">'Residuals Management'!$C$40</definedName>
    <definedName name="total_num_basins">'Contactor Constraints'!$C$72</definedName>
    <definedName name="total_res_man">'Residuals Management'!$C$115</definedName>
    <definedName name="total_res_MOVs">'Residuals Management'!$C$114</definedName>
    <definedName name="transfer_method">'Pumps Pipe Structure'!$C$5</definedName>
    <definedName name="transfer_method_I">INPUT!$G$87</definedName>
    <definedName name="transfer_rate" localSheetId="9">'Pumps Pipe Structure'!$C$17</definedName>
    <definedName name="transfer_rate">'Pumps Pipe Structure'!$C$17</definedName>
    <definedName name="transfer_time">'Critical Design Assumptions'!$C$73</definedName>
    <definedName name="trench_angle">'Indirect Assumptions'!$C$42</definedName>
    <definedName name="trench_area">Indirect!$C$55</definedName>
    <definedName name="trench_depth">Indirect!$C$47</definedName>
    <definedName name="trench_vol">Indirect!$C$60</definedName>
    <definedName name="TSS_residuals">'Residuals Management'!$C$17</definedName>
    <definedName name="TSS_residuals_dis">'Residuals Management'!$C$173</definedName>
    <definedName name="turb_tank">'Critical Design Assumptions'!$C$110</definedName>
    <definedName name="turb_tank_g">'Critical Design Assumptions'!$C$111</definedName>
    <definedName name="turbidimeter_cost_cl">'Cost Data'!$B$1103:$F$1103</definedName>
    <definedName name="uloe_autoback">'O&amp;M Assumptions'!$C$20</definedName>
    <definedName name="uloe_chem_maint">'O&amp;M Assumptions'!$C$27</definedName>
    <definedName name="uloe_fp">'O&amp;M Assumptions'!$C$19</definedName>
    <definedName name="uloe_inst">'O&amp;M Assumptions'!$C$15</definedName>
    <definedName name="uloe_inst_auto">'O&amp;M Assumptions'!$C$16</definedName>
    <definedName name="uloe_inst_maint">'O&amp;M Assumptions'!$C$24</definedName>
    <definedName name="uloe_pump">'O&amp;M Assumptions'!$C$17</definedName>
    <definedName name="uloe_pump_maint">'O&amp;M Assumptions'!$C$25</definedName>
    <definedName name="uloe_throwaway">'O&amp;M Assumptions'!$C$21</definedName>
    <definedName name="uloe_valve">'O&amp;M Assumptions'!$C$18</definedName>
    <definedName name="uloe_valve_maint">'O&amp;M Assumptions'!$C$26</definedName>
    <definedName name="underdrain_horiz_void">'Contactor Constraints'!$C$57</definedName>
    <definedName name="ups">'Instrumentation and Control'!$C$69</definedName>
    <definedName name="ups_addon">'Critical Design Assumptions'!$C$140</definedName>
    <definedName name="ups_cost_cl">'Cost Data'!$B$1108:$F$1108</definedName>
    <definedName name="ups_standalone">'Critical Design Assumptions'!$C$139</definedName>
    <definedName name="use_column">OUTPUT!$L$34:$L$294</definedName>
    <definedName name="useful_life">OUTPUT!$C$390</definedName>
    <definedName name="v">'Backwash and Regeneration'!$C$34</definedName>
    <definedName name="v_diam">'Critical Design Assumptions'!$C$17</definedName>
    <definedName name="valve_table">'Critical Design Assumptions'!$B$246:$E$269</definedName>
    <definedName name="ven_fm_cost_cl">'Cost Data'!$B$1113:$F$1118</definedName>
    <definedName name="ven_fm_eq_back">'Cost Equations'!$C$143</definedName>
    <definedName name="ven_fm_eq_in">'Cost Equations'!$C$133</definedName>
    <definedName name="ven_fm_eq_proc">'Cost Equations'!$C$138</definedName>
    <definedName name="ven_fm_eq_res">'Cost Equations'!$C$148</definedName>
    <definedName name="ventilation">HVAC!$C$15</definedName>
    <definedName name="vert_vol_available">'Contactor Constraints'!$C$61</definedName>
    <definedName name="vessel_fp">'Pumps Pipe Structure'!$C$57</definedName>
    <definedName name="vessel_size_table_cl">'Engineering Data'!$A$179:$C$201</definedName>
    <definedName name="Vessel_thickness">'Critical Design Assumptions'!$C$28</definedName>
    <definedName name="virgin_backfill_vol">'Backwash and Regeneration'!$C$59</definedName>
    <definedName name="virgin_basin_depth">'Backwash and Regeneration'!$C$55</definedName>
    <definedName name="virgin_basin_length">'Backwash and Regeneration'!$C$54</definedName>
    <definedName name="virgin_basin_op_depth">'Backwash and Regeneration'!$C$52</definedName>
    <definedName name="virgin_basin_vol">'Backwash and Regeneration'!$C$56</definedName>
    <definedName name="virgin_basin_width">'Backwash and Regeneration'!$C$53</definedName>
    <definedName name="virgin_conc_vol">'Backwash and Regeneration'!$C$57</definedName>
    <definedName name="virgin_excavation_vol">'Backwash and Regeneration'!$C$58</definedName>
    <definedName name="Virgin_GAC_storage_fp">'Pumps Pipe Structure'!$C$64</definedName>
    <definedName name="virgin_railing">'Backwash and Regeneration'!$C$60</definedName>
    <definedName name="virgin_storage">'Backwash and Regeneration'!$C$48</definedName>
    <definedName name="virgin_storage_bv">'Critical Design Assumptions'!$C$76</definedName>
    <definedName name="virgin_tank_vol">'Backwash and Regeneration'!$C$62</definedName>
    <definedName name="virgin_tanks">'Backwash and Regeneration'!$C$61</definedName>
    <definedName name="void_above">'Contactor Constraints'!$C$30</definedName>
    <definedName name="vol_feed_cost_cl">'Cost Data'!$B$1123:$F$1126</definedName>
    <definedName name="vol_feed_rate">'Residuals Management'!$C$56</definedName>
    <definedName name="vt_diam">'Pumps Pipe Structure'!$C$40</definedName>
    <definedName name="waste_heat_bw_pumps">HVAC!$C$45</definedName>
    <definedName name="waste_heat_pumps">HVAC!$C$43</definedName>
    <definedName name="water_flush">'Backwash and Regeneration'!$C$13</definedName>
    <definedName name="Weekly_labor">'O&amp;M Assumptions'!$C$12</definedName>
    <definedName name="winter_days">'Critical Design Assumptions'!$C$232</definedName>
    <definedName name="workstation_addon">'Critical Design Assumptions'!$C$143</definedName>
    <definedName name="workstation_ratio">'Critical Design Assumptions'!$C$141</definedName>
    <definedName name="workstations">'Instrumentation and Control'!$C$70</definedName>
    <definedName name="yard_cost">Indirect!$C$71</definedName>
    <definedName name="yard_in">'Indirect Assumptions'!$C$43</definedName>
    <definedName name="yard_out">'Indirect Assumptions'!$C$44</definedName>
    <definedName name="yard_pipe_diam">Indirect!$C$46</definedName>
    <definedName name="yard_pipe_length">Indirect!$C$61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222" i="12" l="1"/>
  <c r="P222" i="12"/>
  <c r="O222" i="12"/>
  <c r="N222" i="12"/>
  <c r="M222" i="12"/>
  <c r="L222" i="12"/>
  <c r="K222" i="12"/>
  <c r="J222" i="12"/>
  <c r="I222" i="12"/>
  <c r="H222" i="12"/>
  <c r="G222" i="12"/>
  <c r="F222" i="12"/>
  <c r="Q221" i="12"/>
  <c r="P221" i="12"/>
  <c r="O221" i="12"/>
  <c r="N221" i="12"/>
  <c r="M221" i="12"/>
  <c r="L221" i="12"/>
  <c r="K221" i="12"/>
  <c r="J221" i="12"/>
  <c r="I221" i="12"/>
  <c r="H221" i="12"/>
  <c r="G221" i="12"/>
  <c r="F221" i="12"/>
  <c r="Q220" i="12"/>
  <c r="P220" i="12"/>
  <c r="O220" i="12"/>
  <c r="N220" i="12"/>
  <c r="M220" i="12"/>
  <c r="L220" i="12"/>
  <c r="K220" i="12"/>
  <c r="J220" i="12"/>
  <c r="I220" i="12"/>
  <c r="H220" i="12"/>
  <c r="G220" i="12"/>
  <c r="F220" i="12"/>
  <c r="Q218" i="12"/>
  <c r="P218" i="12"/>
  <c r="O218" i="12"/>
  <c r="N218" i="12"/>
  <c r="M218" i="12"/>
  <c r="L218" i="12"/>
  <c r="K218" i="12"/>
  <c r="J218" i="12"/>
  <c r="I218" i="12"/>
  <c r="H218" i="12"/>
  <c r="G218" i="12"/>
  <c r="F218" i="12"/>
  <c r="Q217" i="12"/>
  <c r="P217" i="12"/>
  <c r="O217" i="12"/>
  <c r="N217" i="12"/>
  <c r="M217" i="12"/>
  <c r="L217" i="12"/>
  <c r="K217" i="12"/>
  <c r="J217" i="12"/>
  <c r="I217" i="12"/>
  <c r="H217" i="12"/>
  <c r="G217" i="12"/>
  <c r="F217" i="12"/>
  <c r="Q216" i="12"/>
  <c r="P216" i="12"/>
  <c r="O216" i="12"/>
  <c r="N216" i="12"/>
  <c r="M216" i="12"/>
  <c r="L216" i="12"/>
  <c r="K216" i="12"/>
  <c r="J216" i="12"/>
  <c r="I216" i="12"/>
  <c r="H216" i="12"/>
  <c r="G216" i="12"/>
  <c r="F216" i="12"/>
  <c r="Q213" i="12"/>
  <c r="P213" i="12"/>
  <c r="O213" i="12"/>
  <c r="N213" i="12"/>
  <c r="M213" i="12"/>
  <c r="L213" i="12"/>
  <c r="K213" i="12"/>
  <c r="J213" i="12"/>
  <c r="I213" i="12"/>
  <c r="H213" i="12"/>
  <c r="G213" i="12"/>
  <c r="F213" i="12"/>
  <c r="Q211" i="12"/>
  <c r="P211" i="12"/>
  <c r="O211" i="12"/>
  <c r="N211" i="12"/>
  <c r="M211" i="12"/>
  <c r="L211" i="12"/>
  <c r="K211" i="12"/>
  <c r="J211" i="12"/>
  <c r="I211" i="12"/>
  <c r="H211" i="12"/>
  <c r="G211" i="12"/>
  <c r="F211" i="12"/>
  <c r="Q210" i="12"/>
  <c r="P210" i="12"/>
  <c r="O210" i="12"/>
  <c r="N210" i="12"/>
  <c r="M210" i="12"/>
  <c r="L210" i="12"/>
  <c r="K210" i="12"/>
  <c r="J210" i="12"/>
  <c r="I210" i="12"/>
  <c r="H210" i="12"/>
  <c r="G210" i="12"/>
  <c r="F210" i="12"/>
  <c r="Q209" i="12"/>
  <c r="P209" i="12"/>
  <c r="O209" i="12"/>
  <c r="N209" i="12"/>
  <c r="M209" i="12"/>
  <c r="L209" i="12"/>
  <c r="K209" i="12"/>
  <c r="J209" i="12"/>
  <c r="I209" i="12"/>
  <c r="H209" i="12"/>
  <c r="G209" i="12"/>
  <c r="F209" i="12"/>
  <c r="Q208" i="12"/>
  <c r="P208" i="12"/>
  <c r="O208" i="12"/>
  <c r="N208" i="12"/>
  <c r="M208" i="12"/>
  <c r="L208" i="12"/>
  <c r="K208" i="12"/>
  <c r="J208" i="12"/>
  <c r="I208" i="12"/>
  <c r="H208" i="12"/>
  <c r="G208" i="12"/>
  <c r="F208" i="12"/>
  <c r="Q207" i="12"/>
  <c r="P207" i="12"/>
  <c r="O207" i="12"/>
  <c r="N207" i="12"/>
  <c r="M207" i="12"/>
  <c r="L207" i="12"/>
  <c r="K207" i="12"/>
  <c r="J207" i="12"/>
  <c r="I207" i="12"/>
  <c r="H207" i="12"/>
  <c r="G207" i="12"/>
  <c r="F207" i="12"/>
  <c r="Q205" i="12"/>
  <c r="P205" i="12"/>
  <c r="O205" i="12"/>
  <c r="N205" i="12"/>
  <c r="M205" i="12"/>
  <c r="L205" i="12"/>
  <c r="K205" i="12"/>
  <c r="J205" i="12"/>
  <c r="I205" i="12"/>
  <c r="H205" i="12"/>
  <c r="G205" i="12"/>
  <c r="F205" i="12"/>
  <c r="Q204" i="12"/>
  <c r="P204" i="12"/>
  <c r="O204" i="12"/>
  <c r="N204" i="12"/>
  <c r="M204" i="12"/>
  <c r="L204" i="12"/>
  <c r="K204" i="12"/>
  <c r="J204" i="12"/>
  <c r="I204" i="12"/>
  <c r="H204" i="12"/>
  <c r="G204" i="12"/>
  <c r="F204" i="12"/>
  <c r="Q203" i="12"/>
  <c r="P203" i="12"/>
  <c r="O203" i="12"/>
  <c r="N203" i="12"/>
  <c r="M203" i="12"/>
  <c r="L203" i="12"/>
  <c r="K203" i="12"/>
  <c r="J203" i="12"/>
  <c r="I203" i="12"/>
  <c r="H203" i="12"/>
  <c r="G203" i="12"/>
  <c r="F203" i="12"/>
  <c r="Q200" i="12"/>
  <c r="P200" i="12"/>
  <c r="O200" i="12"/>
  <c r="N200" i="12"/>
  <c r="M200" i="12"/>
  <c r="L200" i="12"/>
  <c r="K200" i="12"/>
  <c r="J200" i="12"/>
  <c r="I200" i="12"/>
  <c r="H200" i="12"/>
  <c r="G200" i="12"/>
  <c r="F200" i="12"/>
  <c r="Q198" i="12"/>
  <c r="P198" i="12"/>
  <c r="O198" i="12"/>
  <c r="N198" i="12"/>
  <c r="M198" i="12"/>
  <c r="L198" i="12"/>
  <c r="K198" i="12"/>
  <c r="J198" i="12"/>
  <c r="I198" i="12"/>
  <c r="H198" i="12"/>
  <c r="G198" i="12"/>
  <c r="F198" i="12"/>
  <c r="Q197" i="12"/>
  <c r="P197" i="12"/>
  <c r="O197" i="12"/>
  <c r="N197" i="12"/>
  <c r="M197" i="12"/>
  <c r="L197" i="12"/>
  <c r="K197" i="12"/>
  <c r="J197" i="12"/>
  <c r="I197" i="12"/>
  <c r="H197" i="12"/>
  <c r="G197" i="12"/>
  <c r="F197" i="12"/>
  <c r="Q196" i="12"/>
  <c r="P196" i="12"/>
  <c r="O196" i="12"/>
  <c r="N196" i="12"/>
  <c r="M196" i="12"/>
  <c r="L196" i="12"/>
  <c r="K196" i="12"/>
  <c r="J196" i="12"/>
  <c r="I196" i="12"/>
  <c r="H196" i="12"/>
  <c r="G196" i="12"/>
  <c r="F196" i="12"/>
  <c r="Q195" i="12"/>
  <c r="P195" i="12"/>
  <c r="O195" i="12"/>
  <c r="N195" i="12"/>
  <c r="M195" i="12"/>
  <c r="L195" i="12"/>
  <c r="K195" i="12"/>
  <c r="J195" i="12"/>
  <c r="I195" i="12"/>
  <c r="H195" i="12"/>
  <c r="G195" i="12"/>
  <c r="F195" i="12"/>
  <c r="Q194" i="12"/>
  <c r="P194" i="12"/>
  <c r="O194" i="12"/>
  <c r="N194" i="12"/>
  <c r="M194" i="12"/>
  <c r="L194" i="12"/>
  <c r="K194" i="12"/>
  <c r="J194" i="12"/>
  <c r="I194" i="12"/>
  <c r="H194" i="12"/>
  <c r="G194" i="12"/>
  <c r="F194" i="12"/>
  <c r="Q192" i="12"/>
  <c r="P192" i="12"/>
  <c r="O192" i="12"/>
  <c r="N192" i="12"/>
  <c r="M192" i="12"/>
  <c r="L192" i="12"/>
  <c r="K192" i="12"/>
  <c r="J192" i="12"/>
  <c r="I192" i="12"/>
  <c r="H192" i="12"/>
  <c r="G192" i="12"/>
  <c r="F192" i="12"/>
  <c r="Q191" i="12"/>
  <c r="P191" i="12"/>
  <c r="O191" i="12"/>
  <c r="N191" i="12"/>
  <c r="M191" i="12"/>
  <c r="L191" i="12"/>
  <c r="K191" i="12"/>
  <c r="J191" i="12"/>
  <c r="I191" i="12"/>
  <c r="H191" i="12"/>
  <c r="G191" i="12"/>
  <c r="F191" i="12"/>
  <c r="Q190" i="12"/>
  <c r="P190" i="12"/>
  <c r="O190" i="12"/>
  <c r="N190" i="12"/>
  <c r="M190" i="12"/>
  <c r="L190" i="12"/>
  <c r="K190" i="12"/>
  <c r="J190" i="12"/>
  <c r="I190" i="12"/>
  <c r="H190" i="12"/>
  <c r="G190" i="12"/>
  <c r="F190" i="12"/>
  <c r="Q189" i="12"/>
  <c r="P189" i="12"/>
  <c r="O189" i="12"/>
  <c r="N189" i="12"/>
  <c r="M189" i="12"/>
  <c r="L189" i="12"/>
  <c r="K189" i="12"/>
  <c r="J189" i="12"/>
  <c r="I189" i="12"/>
  <c r="H189" i="12"/>
  <c r="G189" i="12"/>
  <c r="F189" i="12"/>
  <c r="Q188" i="12"/>
  <c r="P188" i="12"/>
  <c r="O188" i="12"/>
  <c r="N188" i="12"/>
  <c r="M188" i="12"/>
  <c r="L188" i="12"/>
  <c r="K188" i="12"/>
  <c r="J188" i="12"/>
  <c r="I188" i="12"/>
  <c r="H188" i="12"/>
  <c r="G188" i="12"/>
  <c r="F188" i="12"/>
  <c r="Q186" i="12"/>
  <c r="P186" i="12"/>
  <c r="O186" i="12"/>
  <c r="N186" i="12"/>
  <c r="M186" i="12"/>
  <c r="L186" i="12"/>
  <c r="K186" i="12"/>
  <c r="J186" i="12"/>
  <c r="I186" i="12"/>
  <c r="H186" i="12"/>
  <c r="G186" i="12"/>
  <c r="F186" i="12"/>
  <c r="Q184" i="12"/>
  <c r="P184" i="12"/>
  <c r="O184" i="12"/>
  <c r="N184" i="12"/>
  <c r="M184" i="12"/>
  <c r="L184" i="12"/>
  <c r="K184" i="12"/>
  <c r="J184" i="12"/>
  <c r="I184" i="12"/>
  <c r="H184" i="12"/>
  <c r="G184" i="12"/>
  <c r="F184" i="12"/>
  <c r="Q183" i="12"/>
  <c r="P183" i="12"/>
  <c r="O183" i="12"/>
  <c r="N183" i="12"/>
  <c r="M183" i="12"/>
  <c r="L183" i="12"/>
  <c r="K183" i="12"/>
  <c r="J183" i="12"/>
  <c r="I183" i="12"/>
  <c r="H183" i="12"/>
  <c r="G183" i="12"/>
  <c r="F183" i="12"/>
  <c r="Q182" i="12"/>
  <c r="P182" i="12"/>
  <c r="O182" i="12"/>
  <c r="N182" i="12"/>
  <c r="M182" i="12"/>
  <c r="L182" i="12"/>
  <c r="K182" i="12"/>
  <c r="J182" i="12"/>
  <c r="I182" i="12"/>
  <c r="H182" i="12"/>
  <c r="G182" i="12"/>
  <c r="F182" i="12"/>
  <c r="Q181" i="12"/>
  <c r="P181" i="12"/>
  <c r="O181" i="12"/>
  <c r="N181" i="12"/>
  <c r="M181" i="12"/>
  <c r="L181" i="12"/>
  <c r="K181" i="12"/>
  <c r="J181" i="12"/>
  <c r="I181" i="12"/>
  <c r="H181" i="12"/>
  <c r="G181" i="12"/>
  <c r="F181" i="12"/>
  <c r="Q178" i="12"/>
  <c r="P178" i="12"/>
  <c r="O178" i="12"/>
  <c r="N178" i="12"/>
  <c r="M178" i="12"/>
  <c r="L178" i="12"/>
  <c r="K178" i="12"/>
  <c r="J178" i="12"/>
  <c r="I178" i="12"/>
  <c r="H178" i="12"/>
  <c r="G178" i="12"/>
  <c r="F178" i="12"/>
  <c r="Q175" i="12"/>
  <c r="P175" i="12"/>
  <c r="O175" i="12"/>
  <c r="N175" i="12"/>
  <c r="M175" i="12"/>
  <c r="L175" i="12"/>
  <c r="K175" i="12"/>
  <c r="J175" i="12"/>
  <c r="I175" i="12"/>
  <c r="H175" i="12"/>
  <c r="G175" i="12"/>
  <c r="F175" i="12"/>
  <c r="Q172" i="12"/>
  <c r="P172" i="12"/>
  <c r="O172" i="12"/>
  <c r="N172" i="12"/>
  <c r="M172" i="12"/>
  <c r="L172" i="12"/>
  <c r="K172" i="12"/>
  <c r="J172" i="12"/>
  <c r="I172" i="12"/>
  <c r="H172" i="12"/>
  <c r="G172" i="12"/>
  <c r="F172" i="12"/>
  <c r="Q169" i="12"/>
  <c r="P169" i="12"/>
  <c r="O169" i="12"/>
  <c r="N169" i="12"/>
  <c r="M169" i="12"/>
  <c r="L169" i="12"/>
  <c r="K169" i="12"/>
  <c r="J169" i="12"/>
  <c r="I169" i="12"/>
  <c r="H169" i="12"/>
  <c r="G169" i="12"/>
  <c r="F169" i="12"/>
  <c r="Q168" i="12"/>
  <c r="P168" i="12"/>
  <c r="O168" i="12"/>
  <c r="N168" i="12"/>
  <c r="M168" i="12"/>
  <c r="L168" i="12"/>
  <c r="K168" i="12"/>
  <c r="J168" i="12"/>
  <c r="I168" i="12"/>
  <c r="H168" i="12"/>
  <c r="G168" i="12"/>
  <c r="F168" i="12"/>
  <c r="Q165" i="12"/>
  <c r="P165" i="12"/>
  <c r="O165" i="12"/>
  <c r="N165" i="12"/>
  <c r="M165" i="12"/>
  <c r="L165" i="12"/>
  <c r="K165" i="12"/>
  <c r="J165" i="12"/>
  <c r="I165" i="12"/>
  <c r="H165" i="12"/>
  <c r="G165" i="12"/>
  <c r="F165" i="12"/>
  <c r="Q163" i="12"/>
  <c r="P163" i="12"/>
  <c r="O163" i="12"/>
  <c r="N163" i="12"/>
  <c r="M163" i="12"/>
  <c r="L163" i="12"/>
  <c r="K163" i="12"/>
  <c r="J163" i="12"/>
  <c r="I163" i="12"/>
  <c r="H163" i="12"/>
  <c r="G163" i="12"/>
  <c r="F163" i="12"/>
  <c r="Q162" i="12"/>
  <c r="P162" i="12"/>
  <c r="O162" i="12"/>
  <c r="N162" i="12"/>
  <c r="M162" i="12"/>
  <c r="L162" i="12"/>
  <c r="K162" i="12"/>
  <c r="J162" i="12"/>
  <c r="I162" i="12"/>
  <c r="H162" i="12"/>
  <c r="G162" i="12"/>
  <c r="F162" i="12"/>
  <c r="Q159" i="12"/>
  <c r="P159" i="12"/>
  <c r="O159" i="12"/>
  <c r="N159" i="12"/>
  <c r="M159" i="12"/>
  <c r="L159" i="12"/>
  <c r="K159" i="12"/>
  <c r="J159" i="12"/>
  <c r="I159" i="12"/>
  <c r="H159" i="12"/>
  <c r="G159" i="12"/>
  <c r="F159" i="12"/>
  <c r="Q158" i="12"/>
  <c r="P158" i="12"/>
  <c r="O158" i="12"/>
  <c r="N158" i="12"/>
  <c r="M158" i="12"/>
  <c r="L158" i="12"/>
  <c r="K158" i="12"/>
  <c r="J158" i="12"/>
  <c r="I158" i="12"/>
  <c r="H158" i="12"/>
  <c r="G158" i="12"/>
  <c r="F158" i="12"/>
  <c r="Q154" i="12"/>
  <c r="P154" i="12"/>
  <c r="O154" i="12"/>
  <c r="N154" i="12"/>
  <c r="M154" i="12"/>
  <c r="L154" i="12"/>
  <c r="K154" i="12"/>
  <c r="J154" i="12"/>
  <c r="I154" i="12"/>
  <c r="H154" i="12"/>
  <c r="G154" i="12"/>
  <c r="F154" i="12"/>
  <c r="Q153" i="12"/>
  <c r="P153" i="12"/>
  <c r="O153" i="12"/>
  <c r="N153" i="12"/>
  <c r="M153" i="12"/>
  <c r="L153" i="12"/>
  <c r="K153" i="12"/>
  <c r="J153" i="12"/>
  <c r="I153" i="12"/>
  <c r="H153" i="12"/>
  <c r="G153" i="12"/>
  <c r="F153" i="12"/>
  <c r="Q152" i="12"/>
  <c r="P152" i="12"/>
  <c r="O152" i="12"/>
  <c r="N152" i="12"/>
  <c r="M152" i="12"/>
  <c r="L152" i="12"/>
  <c r="K152" i="12"/>
  <c r="J152" i="12"/>
  <c r="I152" i="12"/>
  <c r="H152" i="12"/>
  <c r="G152" i="12"/>
  <c r="F152" i="12"/>
  <c r="Q151" i="12"/>
  <c r="P151" i="12"/>
  <c r="O151" i="12"/>
  <c r="N151" i="12"/>
  <c r="M151" i="12"/>
  <c r="L151" i="12"/>
  <c r="K151" i="12"/>
  <c r="J151" i="12"/>
  <c r="I151" i="12"/>
  <c r="H151" i="12"/>
  <c r="G151" i="12"/>
  <c r="F151" i="12"/>
  <c r="Q149" i="12"/>
  <c r="P149" i="12"/>
  <c r="O149" i="12"/>
  <c r="N149" i="12"/>
  <c r="M149" i="12"/>
  <c r="L149" i="12"/>
  <c r="K149" i="12"/>
  <c r="J149" i="12"/>
  <c r="I149" i="12"/>
  <c r="H149" i="12"/>
  <c r="G149" i="12"/>
  <c r="F149" i="12"/>
  <c r="Q148" i="12"/>
  <c r="P148" i="12"/>
  <c r="O148" i="12"/>
  <c r="N148" i="12"/>
  <c r="M148" i="12"/>
  <c r="L148" i="12"/>
  <c r="K148" i="12"/>
  <c r="J148" i="12"/>
  <c r="I148" i="12"/>
  <c r="H148" i="12"/>
  <c r="G148" i="12"/>
  <c r="F148" i="12"/>
  <c r="Q147" i="12"/>
  <c r="P147" i="12"/>
  <c r="O147" i="12"/>
  <c r="N147" i="12"/>
  <c r="M147" i="12"/>
  <c r="L147" i="12"/>
  <c r="K147" i="12"/>
  <c r="J147" i="12"/>
  <c r="I147" i="12"/>
  <c r="H147" i="12"/>
  <c r="G147" i="12"/>
  <c r="F147" i="12"/>
  <c r="Q146" i="12"/>
  <c r="P146" i="12"/>
  <c r="O146" i="12"/>
  <c r="N146" i="12"/>
  <c r="M146" i="12"/>
  <c r="L146" i="12"/>
  <c r="K146" i="12"/>
  <c r="J146" i="12"/>
  <c r="I146" i="12"/>
  <c r="H146" i="12"/>
  <c r="G146" i="12"/>
  <c r="F146" i="12"/>
  <c r="Q144" i="12"/>
  <c r="P144" i="12"/>
  <c r="O144" i="12"/>
  <c r="N144" i="12"/>
  <c r="M144" i="12"/>
  <c r="L144" i="12"/>
  <c r="K144" i="12"/>
  <c r="J144" i="12"/>
  <c r="I144" i="12"/>
  <c r="H144" i="12"/>
  <c r="G144" i="12"/>
  <c r="F144" i="12"/>
  <c r="Q143" i="12"/>
  <c r="P143" i="12"/>
  <c r="O143" i="12"/>
  <c r="N143" i="12"/>
  <c r="M143" i="12"/>
  <c r="L143" i="12"/>
  <c r="K143" i="12"/>
  <c r="J143" i="12"/>
  <c r="I143" i="12"/>
  <c r="H143" i="12"/>
  <c r="G143" i="12"/>
  <c r="F143" i="12"/>
  <c r="Q142" i="12"/>
  <c r="P142" i="12"/>
  <c r="O142" i="12"/>
  <c r="N142" i="12"/>
  <c r="M142" i="12"/>
  <c r="L142" i="12"/>
  <c r="K142" i="12"/>
  <c r="J142" i="12"/>
  <c r="I142" i="12"/>
  <c r="H142" i="12"/>
  <c r="G142" i="12"/>
  <c r="F142" i="12"/>
  <c r="Q141" i="12"/>
  <c r="P141" i="12"/>
  <c r="O141" i="12"/>
  <c r="N141" i="12"/>
  <c r="M141" i="12"/>
  <c r="L141" i="12"/>
  <c r="K141" i="12"/>
  <c r="J141" i="12"/>
  <c r="I141" i="12"/>
  <c r="H141" i="12"/>
  <c r="G141" i="12"/>
  <c r="F141" i="12"/>
  <c r="Q139" i="12"/>
  <c r="P139" i="12"/>
  <c r="O139" i="12"/>
  <c r="N139" i="12"/>
  <c r="M139" i="12"/>
  <c r="L139" i="12"/>
  <c r="K139" i="12"/>
  <c r="J139" i="12"/>
  <c r="I139" i="12"/>
  <c r="H139" i="12"/>
  <c r="G139" i="12"/>
  <c r="F139" i="12"/>
  <c r="Q138" i="12"/>
  <c r="P138" i="12"/>
  <c r="O138" i="12"/>
  <c r="N138" i="12"/>
  <c r="M138" i="12"/>
  <c r="L138" i="12"/>
  <c r="K138" i="12"/>
  <c r="J138" i="12"/>
  <c r="I138" i="12"/>
  <c r="H138" i="12"/>
  <c r="G138" i="12"/>
  <c r="F138" i="12"/>
  <c r="Q137" i="12"/>
  <c r="P137" i="12"/>
  <c r="O137" i="12"/>
  <c r="N137" i="12"/>
  <c r="M137" i="12"/>
  <c r="L137" i="12"/>
  <c r="K137" i="12"/>
  <c r="J137" i="12"/>
  <c r="I137" i="12"/>
  <c r="H137" i="12"/>
  <c r="G137" i="12"/>
  <c r="F137" i="12"/>
  <c r="Q136" i="12"/>
  <c r="P136" i="12"/>
  <c r="O136" i="12"/>
  <c r="N136" i="12"/>
  <c r="M136" i="12"/>
  <c r="L136" i="12"/>
  <c r="K136" i="12"/>
  <c r="J136" i="12"/>
  <c r="I136" i="12"/>
  <c r="H136" i="12"/>
  <c r="G136" i="12"/>
  <c r="F136" i="12"/>
  <c r="Q134" i="12"/>
  <c r="P134" i="12"/>
  <c r="O134" i="12"/>
  <c r="N134" i="12"/>
  <c r="M134" i="12"/>
  <c r="L134" i="12"/>
  <c r="K134" i="12"/>
  <c r="J134" i="12"/>
  <c r="I134" i="12"/>
  <c r="H134" i="12"/>
  <c r="G134" i="12"/>
  <c r="F134" i="12"/>
  <c r="Q133" i="12"/>
  <c r="P133" i="12"/>
  <c r="O133" i="12"/>
  <c r="N133" i="12"/>
  <c r="M133" i="12"/>
  <c r="L133" i="12"/>
  <c r="K133" i="12"/>
  <c r="J133" i="12"/>
  <c r="I133" i="12"/>
  <c r="H133" i="12"/>
  <c r="G133" i="12"/>
  <c r="F133" i="12"/>
  <c r="Q132" i="12"/>
  <c r="P132" i="12"/>
  <c r="O132" i="12"/>
  <c r="N132" i="12"/>
  <c r="M132" i="12"/>
  <c r="L132" i="12"/>
  <c r="K132" i="12"/>
  <c r="J132" i="12"/>
  <c r="I132" i="12"/>
  <c r="H132" i="12"/>
  <c r="G132" i="12"/>
  <c r="F132" i="12"/>
  <c r="Q131" i="12"/>
  <c r="P131" i="12"/>
  <c r="O131" i="12"/>
  <c r="N131" i="12"/>
  <c r="M131" i="12"/>
  <c r="L131" i="12"/>
  <c r="K131" i="12"/>
  <c r="J131" i="12"/>
  <c r="I131" i="12"/>
  <c r="H131" i="12"/>
  <c r="G131" i="12"/>
  <c r="F131" i="12"/>
  <c r="Q128" i="12"/>
  <c r="P128" i="12"/>
  <c r="O128" i="12"/>
  <c r="N128" i="12"/>
  <c r="M128" i="12"/>
  <c r="L128" i="12"/>
  <c r="K128" i="12"/>
  <c r="J128" i="12"/>
  <c r="I128" i="12"/>
  <c r="H128" i="12"/>
  <c r="G128" i="12"/>
  <c r="F128" i="12"/>
  <c r="Q127" i="12"/>
  <c r="P127" i="12"/>
  <c r="O127" i="12"/>
  <c r="N127" i="12"/>
  <c r="M127" i="12"/>
  <c r="L127" i="12"/>
  <c r="K127" i="12"/>
  <c r="J127" i="12"/>
  <c r="I127" i="12"/>
  <c r="H127" i="12"/>
  <c r="G127" i="12"/>
  <c r="F127" i="12"/>
  <c r="Q126" i="12"/>
  <c r="P126" i="12"/>
  <c r="O126" i="12"/>
  <c r="N126" i="12"/>
  <c r="M126" i="12"/>
  <c r="L126" i="12"/>
  <c r="K126" i="12"/>
  <c r="J126" i="12"/>
  <c r="I126" i="12"/>
  <c r="H126" i="12"/>
  <c r="G126" i="12"/>
  <c r="F126" i="12"/>
  <c r="Q125" i="12"/>
  <c r="P125" i="12"/>
  <c r="O125" i="12"/>
  <c r="N125" i="12"/>
  <c r="M125" i="12"/>
  <c r="L125" i="12"/>
  <c r="K125" i="12"/>
  <c r="J125" i="12"/>
  <c r="I125" i="12"/>
  <c r="H125" i="12"/>
  <c r="G125" i="12"/>
  <c r="F125" i="12"/>
  <c r="Q123" i="12"/>
  <c r="P123" i="12"/>
  <c r="O123" i="12"/>
  <c r="N123" i="12"/>
  <c r="M123" i="12"/>
  <c r="L123" i="12"/>
  <c r="K123" i="12"/>
  <c r="J123" i="12"/>
  <c r="I123" i="12"/>
  <c r="H123" i="12"/>
  <c r="G123" i="12"/>
  <c r="F123" i="12"/>
  <c r="Q122" i="12"/>
  <c r="P122" i="12"/>
  <c r="O122" i="12"/>
  <c r="N122" i="12"/>
  <c r="M122" i="12"/>
  <c r="L122" i="12"/>
  <c r="K122" i="12"/>
  <c r="J122" i="12"/>
  <c r="I122" i="12"/>
  <c r="H122" i="12"/>
  <c r="G122" i="12"/>
  <c r="F122" i="12"/>
  <c r="Q121" i="12"/>
  <c r="P121" i="12"/>
  <c r="O121" i="12"/>
  <c r="N121" i="12"/>
  <c r="M121" i="12"/>
  <c r="L121" i="12"/>
  <c r="K121" i="12"/>
  <c r="J121" i="12"/>
  <c r="I121" i="12"/>
  <c r="H121" i="12"/>
  <c r="G121" i="12"/>
  <c r="F121" i="12"/>
  <c r="Q119" i="12"/>
  <c r="P119" i="12"/>
  <c r="O119" i="12"/>
  <c r="N119" i="12"/>
  <c r="M119" i="12"/>
  <c r="L119" i="12"/>
  <c r="K119" i="12"/>
  <c r="J119" i="12"/>
  <c r="I119" i="12"/>
  <c r="H119" i="12"/>
  <c r="G119" i="12"/>
  <c r="F119" i="12"/>
  <c r="Q118" i="12"/>
  <c r="P118" i="12"/>
  <c r="O118" i="12"/>
  <c r="N118" i="12"/>
  <c r="M118" i="12"/>
  <c r="L118" i="12"/>
  <c r="K118" i="12"/>
  <c r="J118" i="12"/>
  <c r="I118" i="12"/>
  <c r="H118" i="12"/>
  <c r="G118" i="12"/>
  <c r="F118" i="12"/>
  <c r="Q117" i="12"/>
  <c r="P117" i="12"/>
  <c r="O117" i="12"/>
  <c r="N117" i="12"/>
  <c r="M117" i="12"/>
  <c r="L117" i="12"/>
  <c r="K117" i="12"/>
  <c r="J117" i="12"/>
  <c r="I117" i="12"/>
  <c r="H117" i="12"/>
  <c r="G117" i="12"/>
  <c r="F117" i="12"/>
  <c r="Q116" i="12"/>
  <c r="P116" i="12"/>
  <c r="O116" i="12"/>
  <c r="N116" i="12"/>
  <c r="M116" i="12"/>
  <c r="L116" i="12"/>
  <c r="K116" i="12"/>
  <c r="J116" i="12"/>
  <c r="I116" i="12"/>
  <c r="H116" i="12"/>
  <c r="G116" i="12"/>
  <c r="F116" i="12"/>
  <c r="Q115" i="12"/>
  <c r="P115" i="12"/>
  <c r="O115" i="12"/>
  <c r="N115" i="12"/>
  <c r="M115" i="12"/>
  <c r="L115" i="12"/>
  <c r="K115" i="12"/>
  <c r="J115" i="12"/>
  <c r="I115" i="12"/>
  <c r="H115" i="12"/>
  <c r="G115" i="12"/>
  <c r="F115" i="12"/>
  <c r="Q114" i="12"/>
  <c r="P114" i="12"/>
  <c r="O114" i="12"/>
  <c r="N114" i="12"/>
  <c r="M114" i="12"/>
  <c r="L114" i="12"/>
  <c r="K114" i="12"/>
  <c r="J114" i="12"/>
  <c r="I114" i="12"/>
  <c r="H114" i="12"/>
  <c r="G114" i="12"/>
  <c r="F114" i="12"/>
  <c r="Q113" i="12"/>
  <c r="P113" i="12"/>
  <c r="O113" i="12"/>
  <c r="N113" i="12"/>
  <c r="M113" i="12"/>
  <c r="L113" i="12"/>
  <c r="K113" i="12"/>
  <c r="J113" i="12"/>
  <c r="I113" i="12"/>
  <c r="H113" i="12"/>
  <c r="G113" i="12"/>
  <c r="F113" i="12"/>
  <c r="Q112" i="12"/>
  <c r="P112" i="12"/>
  <c r="O112" i="12"/>
  <c r="N112" i="12"/>
  <c r="M112" i="12"/>
  <c r="L112" i="12"/>
  <c r="K112" i="12"/>
  <c r="J112" i="12"/>
  <c r="I112" i="12"/>
  <c r="H112" i="12"/>
  <c r="G112" i="12"/>
  <c r="F112" i="12"/>
  <c r="Q111" i="12"/>
  <c r="P111" i="12"/>
  <c r="O111" i="12"/>
  <c r="N111" i="12"/>
  <c r="M111" i="12"/>
  <c r="L111" i="12"/>
  <c r="K111" i="12"/>
  <c r="J111" i="12"/>
  <c r="I111" i="12"/>
  <c r="H111" i="12"/>
  <c r="G111" i="12"/>
  <c r="F111" i="12"/>
  <c r="Q110" i="12"/>
  <c r="P110" i="12"/>
  <c r="O110" i="12"/>
  <c r="N110" i="12"/>
  <c r="M110" i="12"/>
  <c r="L110" i="12"/>
  <c r="K110" i="12"/>
  <c r="J110" i="12"/>
  <c r="I110" i="12"/>
  <c r="H110" i="12"/>
  <c r="G110" i="12"/>
  <c r="F110" i="12"/>
  <c r="Q109" i="12"/>
  <c r="P109" i="12"/>
  <c r="O109" i="12"/>
  <c r="N109" i="12"/>
  <c r="M109" i="12"/>
  <c r="L109" i="12"/>
  <c r="K109" i="12"/>
  <c r="J109" i="12"/>
  <c r="I109" i="12"/>
  <c r="H109" i="12"/>
  <c r="G109" i="12"/>
  <c r="F109" i="12"/>
  <c r="Q108" i="12"/>
  <c r="P108" i="12"/>
  <c r="O108" i="12"/>
  <c r="N108" i="12"/>
  <c r="M108" i="12"/>
  <c r="L108" i="12"/>
  <c r="K108" i="12"/>
  <c r="J108" i="12"/>
  <c r="I108" i="12"/>
  <c r="H108" i="12"/>
  <c r="G108" i="12"/>
  <c r="F108" i="12"/>
  <c r="Q107" i="12"/>
  <c r="P107" i="12"/>
  <c r="O107" i="12"/>
  <c r="N107" i="12"/>
  <c r="M107" i="12"/>
  <c r="L107" i="12"/>
  <c r="K107" i="12"/>
  <c r="J107" i="12"/>
  <c r="I107" i="12"/>
  <c r="H107" i="12"/>
  <c r="G107" i="12"/>
  <c r="F107" i="12"/>
  <c r="Q106" i="12"/>
  <c r="P106" i="12"/>
  <c r="O106" i="12"/>
  <c r="N106" i="12"/>
  <c r="M106" i="12"/>
  <c r="L106" i="12"/>
  <c r="K106" i="12"/>
  <c r="J106" i="12"/>
  <c r="I106" i="12"/>
  <c r="H106" i="12"/>
  <c r="G106" i="12"/>
  <c r="F106" i="12"/>
  <c r="Q105" i="12"/>
  <c r="P105" i="12"/>
  <c r="O105" i="12"/>
  <c r="N105" i="12"/>
  <c r="M105" i="12"/>
  <c r="L105" i="12"/>
  <c r="K105" i="12"/>
  <c r="J105" i="12"/>
  <c r="I105" i="12"/>
  <c r="H105" i="12"/>
  <c r="G105" i="12"/>
  <c r="F105" i="12"/>
  <c r="Q102" i="12"/>
  <c r="P102" i="12"/>
  <c r="O102" i="12"/>
  <c r="N102" i="12"/>
  <c r="M102" i="12"/>
  <c r="L102" i="12"/>
  <c r="K102" i="12"/>
  <c r="J102" i="12"/>
  <c r="I102" i="12"/>
  <c r="H102" i="12"/>
  <c r="G102" i="12"/>
  <c r="F102" i="12"/>
  <c r="Q99" i="12"/>
  <c r="P99" i="12"/>
  <c r="O99" i="12"/>
  <c r="N99" i="12"/>
  <c r="M99" i="12"/>
  <c r="L99" i="12"/>
  <c r="K99" i="12"/>
  <c r="J99" i="12"/>
  <c r="I99" i="12"/>
  <c r="H99" i="12"/>
  <c r="G99" i="12"/>
  <c r="F99" i="12"/>
  <c r="Q96" i="12"/>
  <c r="P96" i="12"/>
  <c r="O96" i="12"/>
  <c r="N96" i="12"/>
  <c r="M96" i="12"/>
  <c r="L96" i="12"/>
  <c r="K96" i="12"/>
  <c r="J96" i="12"/>
  <c r="I96" i="12"/>
  <c r="H96" i="12"/>
  <c r="G96" i="12"/>
  <c r="F96" i="12"/>
  <c r="Q93" i="12"/>
  <c r="P93" i="12"/>
  <c r="O93" i="12"/>
  <c r="N93" i="12"/>
  <c r="M93" i="12"/>
  <c r="L93" i="12"/>
  <c r="K93" i="12"/>
  <c r="J93" i="12"/>
  <c r="I93" i="12"/>
  <c r="H93" i="12"/>
  <c r="G93" i="12"/>
  <c r="F93" i="12"/>
  <c r="Q90" i="12"/>
  <c r="P90" i="12"/>
  <c r="O90" i="12"/>
  <c r="N90" i="12"/>
  <c r="M90" i="12"/>
  <c r="L90" i="12"/>
  <c r="K90" i="12"/>
  <c r="J90" i="12"/>
  <c r="I90" i="12"/>
  <c r="H90" i="12"/>
  <c r="G90" i="12"/>
  <c r="F90" i="12"/>
  <c r="Q87" i="12"/>
  <c r="P87" i="12"/>
  <c r="O87" i="12"/>
  <c r="N87" i="12"/>
  <c r="M87" i="12"/>
  <c r="L87" i="12"/>
  <c r="K87" i="12"/>
  <c r="J87" i="12"/>
  <c r="I87" i="12"/>
  <c r="H87" i="12"/>
  <c r="G87" i="12"/>
  <c r="F87" i="12"/>
  <c r="Q84" i="12"/>
  <c r="P84" i="12"/>
  <c r="O84" i="12"/>
  <c r="N84" i="12"/>
  <c r="M84" i="12"/>
  <c r="L84" i="12"/>
  <c r="K84" i="12"/>
  <c r="J84" i="12"/>
  <c r="I84" i="12"/>
  <c r="H84" i="12"/>
  <c r="G84" i="12"/>
  <c r="F84" i="12"/>
  <c r="Q83" i="12"/>
  <c r="P83" i="12"/>
  <c r="O83" i="12"/>
  <c r="N83" i="12"/>
  <c r="M83" i="12"/>
  <c r="L83" i="12"/>
  <c r="K83" i="12"/>
  <c r="J83" i="12"/>
  <c r="I83" i="12"/>
  <c r="H83" i="12"/>
  <c r="G83" i="12"/>
  <c r="F83" i="12"/>
  <c r="Q81" i="12"/>
  <c r="P81" i="12"/>
  <c r="O81" i="12"/>
  <c r="N81" i="12"/>
  <c r="M81" i="12"/>
  <c r="L81" i="12"/>
  <c r="K81" i="12"/>
  <c r="J81" i="12"/>
  <c r="I81" i="12"/>
  <c r="H81" i="12"/>
  <c r="G81" i="12"/>
  <c r="F81" i="12"/>
  <c r="Q80" i="12"/>
  <c r="P80" i="12"/>
  <c r="O80" i="12"/>
  <c r="N80" i="12"/>
  <c r="M80" i="12"/>
  <c r="L80" i="12"/>
  <c r="K80" i="12"/>
  <c r="J80" i="12"/>
  <c r="I80" i="12"/>
  <c r="H80" i="12"/>
  <c r="G80" i="12"/>
  <c r="F80" i="12"/>
  <c r="Q78" i="12"/>
  <c r="P78" i="12"/>
  <c r="O78" i="12"/>
  <c r="N78" i="12"/>
  <c r="M78" i="12"/>
  <c r="L78" i="12"/>
  <c r="K78" i="12"/>
  <c r="J78" i="12"/>
  <c r="I78" i="12"/>
  <c r="H78" i="12"/>
  <c r="G78" i="12"/>
  <c r="F78" i="12"/>
  <c r="Q77" i="12"/>
  <c r="P77" i="12"/>
  <c r="O77" i="12"/>
  <c r="N77" i="12"/>
  <c r="M77" i="12"/>
  <c r="L77" i="12"/>
  <c r="K77" i="12"/>
  <c r="J77" i="12"/>
  <c r="I77" i="12"/>
  <c r="H77" i="12"/>
  <c r="G77" i="12"/>
  <c r="F77" i="12"/>
  <c r="Q75" i="12"/>
  <c r="P75" i="12"/>
  <c r="O75" i="12"/>
  <c r="N75" i="12"/>
  <c r="M75" i="12"/>
  <c r="L75" i="12"/>
  <c r="K75" i="12"/>
  <c r="J75" i="12"/>
  <c r="I75" i="12"/>
  <c r="H75" i="12"/>
  <c r="G75" i="12"/>
  <c r="F75" i="12"/>
  <c r="Q74" i="12"/>
  <c r="P74" i="12"/>
  <c r="O74" i="12"/>
  <c r="N74" i="12"/>
  <c r="M74" i="12"/>
  <c r="L74" i="12"/>
  <c r="K74" i="12"/>
  <c r="J74" i="12"/>
  <c r="I74" i="12"/>
  <c r="H74" i="12"/>
  <c r="G74" i="12"/>
  <c r="F74" i="12"/>
  <c r="Q72" i="12"/>
  <c r="P72" i="12"/>
  <c r="O72" i="12"/>
  <c r="N72" i="12"/>
  <c r="M72" i="12"/>
  <c r="L72" i="12"/>
  <c r="K72" i="12"/>
  <c r="J72" i="12"/>
  <c r="I72" i="12"/>
  <c r="H72" i="12"/>
  <c r="G72" i="12"/>
  <c r="F72" i="12"/>
  <c r="Q71" i="12"/>
  <c r="P71" i="12"/>
  <c r="O71" i="12"/>
  <c r="N71" i="12"/>
  <c r="M71" i="12"/>
  <c r="L71" i="12"/>
  <c r="K71" i="12"/>
  <c r="J71" i="12"/>
  <c r="I71" i="12"/>
  <c r="H71" i="12"/>
  <c r="G71" i="12"/>
  <c r="F71" i="12"/>
  <c r="Q67" i="12"/>
  <c r="P67" i="12"/>
  <c r="O67" i="12"/>
  <c r="N67" i="12"/>
  <c r="M67" i="12"/>
  <c r="L67" i="12"/>
  <c r="K67" i="12"/>
  <c r="J67" i="12"/>
  <c r="I67" i="12"/>
  <c r="H67" i="12"/>
  <c r="G67" i="12"/>
  <c r="F67" i="12"/>
  <c r="Q66" i="12"/>
  <c r="P66" i="12"/>
  <c r="O66" i="12"/>
  <c r="N66" i="12"/>
  <c r="M66" i="12"/>
  <c r="L66" i="12"/>
  <c r="K66" i="12"/>
  <c r="J66" i="12"/>
  <c r="I66" i="12"/>
  <c r="H66" i="12"/>
  <c r="G66" i="12"/>
  <c r="F66" i="12"/>
  <c r="Q65" i="12"/>
  <c r="P65" i="12"/>
  <c r="O65" i="12"/>
  <c r="N65" i="12"/>
  <c r="M65" i="12"/>
  <c r="L65" i="12"/>
  <c r="K65" i="12"/>
  <c r="J65" i="12"/>
  <c r="I65" i="12"/>
  <c r="H65" i="12"/>
  <c r="G65" i="12"/>
  <c r="F65" i="12"/>
  <c r="Q64" i="12"/>
  <c r="P64" i="12"/>
  <c r="O64" i="12"/>
  <c r="N64" i="12"/>
  <c r="M64" i="12"/>
  <c r="L64" i="12"/>
  <c r="K64" i="12"/>
  <c r="J64" i="12"/>
  <c r="I64" i="12"/>
  <c r="H64" i="12"/>
  <c r="G64" i="12"/>
  <c r="F64" i="12"/>
  <c r="Q62" i="12"/>
  <c r="P62" i="12"/>
  <c r="O62" i="12"/>
  <c r="N62" i="12"/>
  <c r="M62" i="12"/>
  <c r="L62" i="12"/>
  <c r="K62" i="12"/>
  <c r="J62" i="12"/>
  <c r="I62" i="12"/>
  <c r="H62" i="12"/>
  <c r="G62" i="12"/>
  <c r="F62" i="12"/>
  <c r="Q61" i="12"/>
  <c r="P61" i="12"/>
  <c r="O61" i="12"/>
  <c r="N61" i="12"/>
  <c r="M61" i="12"/>
  <c r="L61" i="12"/>
  <c r="K61" i="12"/>
  <c r="J61" i="12"/>
  <c r="I61" i="12"/>
  <c r="H61" i="12"/>
  <c r="G61" i="12"/>
  <c r="F61" i="12"/>
  <c r="Q60" i="12"/>
  <c r="P60" i="12"/>
  <c r="O60" i="12"/>
  <c r="N60" i="12"/>
  <c r="M60" i="12"/>
  <c r="L60" i="12"/>
  <c r="K60" i="12"/>
  <c r="J60" i="12"/>
  <c r="I60" i="12"/>
  <c r="H60" i="12"/>
  <c r="G60" i="12"/>
  <c r="F60" i="12"/>
  <c r="Q59" i="12"/>
  <c r="P59" i="12"/>
  <c r="O59" i="12"/>
  <c r="N59" i="12"/>
  <c r="M59" i="12"/>
  <c r="L59" i="12"/>
  <c r="K59" i="12"/>
  <c r="J59" i="12"/>
  <c r="I59" i="12"/>
  <c r="H59" i="12"/>
  <c r="G59" i="12"/>
  <c r="F59" i="12"/>
  <c r="Q57" i="12"/>
  <c r="P57" i="12"/>
  <c r="O57" i="12"/>
  <c r="N57" i="12"/>
  <c r="M57" i="12"/>
  <c r="L57" i="12"/>
  <c r="K57" i="12"/>
  <c r="J57" i="12"/>
  <c r="I57" i="12"/>
  <c r="H57" i="12"/>
  <c r="G57" i="12"/>
  <c r="F57" i="12"/>
  <c r="Q56" i="12"/>
  <c r="P56" i="12"/>
  <c r="O56" i="12"/>
  <c r="N56" i="12"/>
  <c r="M56" i="12"/>
  <c r="L56" i="12"/>
  <c r="K56" i="12"/>
  <c r="J56" i="12"/>
  <c r="I56" i="12"/>
  <c r="H56" i="12"/>
  <c r="G56" i="12"/>
  <c r="F56" i="12"/>
  <c r="Q55" i="12"/>
  <c r="P55" i="12"/>
  <c r="O55" i="12"/>
  <c r="N55" i="12"/>
  <c r="M55" i="12"/>
  <c r="L55" i="12"/>
  <c r="K55" i="12"/>
  <c r="J55" i="12"/>
  <c r="I55" i="12"/>
  <c r="H55" i="12"/>
  <c r="G55" i="12"/>
  <c r="F55" i="12"/>
  <c r="Q54" i="12"/>
  <c r="P54" i="12"/>
  <c r="O54" i="12"/>
  <c r="N54" i="12"/>
  <c r="M54" i="12"/>
  <c r="L54" i="12"/>
  <c r="K54" i="12"/>
  <c r="J54" i="12"/>
  <c r="I54" i="12"/>
  <c r="H54" i="12"/>
  <c r="G54" i="12"/>
  <c r="F54" i="12"/>
  <c r="Q52" i="12"/>
  <c r="P52" i="12"/>
  <c r="O52" i="12"/>
  <c r="N52" i="12"/>
  <c r="M52" i="12"/>
  <c r="L52" i="12"/>
  <c r="K52" i="12"/>
  <c r="J52" i="12"/>
  <c r="I52" i="12"/>
  <c r="H52" i="12"/>
  <c r="G52" i="12"/>
  <c r="F52" i="12"/>
  <c r="Q51" i="12"/>
  <c r="P51" i="12"/>
  <c r="O51" i="12"/>
  <c r="N51" i="12"/>
  <c r="M51" i="12"/>
  <c r="L51" i="12"/>
  <c r="K51" i="12"/>
  <c r="J51" i="12"/>
  <c r="I51" i="12"/>
  <c r="H51" i="12"/>
  <c r="G51" i="12"/>
  <c r="F51" i="12"/>
  <c r="Q50" i="12"/>
  <c r="P50" i="12"/>
  <c r="O50" i="12"/>
  <c r="N50" i="12"/>
  <c r="M50" i="12"/>
  <c r="L50" i="12"/>
  <c r="K50" i="12"/>
  <c r="J50" i="12"/>
  <c r="I50" i="12"/>
  <c r="H50" i="12"/>
  <c r="G50" i="12"/>
  <c r="F50" i="12"/>
  <c r="Q49" i="12"/>
  <c r="P49" i="12"/>
  <c r="O49" i="12"/>
  <c r="N49" i="12"/>
  <c r="M49" i="12"/>
  <c r="L49" i="12"/>
  <c r="K49" i="12"/>
  <c r="J49" i="12"/>
  <c r="I49" i="12"/>
  <c r="H49" i="12"/>
  <c r="G49" i="12"/>
  <c r="F49" i="12"/>
  <c r="Q48" i="12"/>
  <c r="P48" i="12"/>
  <c r="O48" i="12"/>
  <c r="N48" i="12"/>
  <c r="M48" i="12"/>
  <c r="L48" i="12"/>
  <c r="K48" i="12"/>
  <c r="J48" i="12"/>
  <c r="I48" i="12"/>
  <c r="H48" i="12"/>
  <c r="G48" i="12"/>
  <c r="F48" i="12"/>
  <c r="Q46" i="12"/>
  <c r="P46" i="12"/>
  <c r="O46" i="12"/>
  <c r="N46" i="12"/>
  <c r="M46" i="12"/>
  <c r="L46" i="12"/>
  <c r="K46" i="12"/>
  <c r="J46" i="12"/>
  <c r="I46" i="12"/>
  <c r="H46" i="12"/>
  <c r="G46" i="12"/>
  <c r="F46" i="12"/>
  <c r="Q45" i="12"/>
  <c r="P45" i="12"/>
  <c r="O45" i="12"/>
  <c r="N45" i="12"/>
  <c r="M45" i="12"/>
  <c r="L45" i="12"/>
  <c r="K45" i="12"/>
  <c r="J45" i="12"/>
  <c r="I45" i="12"/>
  <c r="H45" i="12"/>
  <c r="G45" i="12"/>
  <c r="F45" i="12"/>
  <c r="Q44" i="12"/>
  <c r="P44" i="12"/>
  <c r="O44" i="12"/>
  <c r="N44" i="12"/>
  <c r="M44" i="12"/>
  <c r="L44" i="12"/>
  <c r="K44" i="12"/>
  <c r="J44" i="12"/>
  <c r="I44" i="12"/>
  <c r="H44" i="12"/>
  <c r="G44" i="12"/>
  <c r="F44" i="12"/>
  <c r="Q43" i="12"/>
  <c r="P43" i="12"/>
  <c r="O43" i="12"/>
  <c r="N43" i="12"/>
  <c r="M43" i="12"/>
  <c r="L43" i="12"/>
  <c r="K43" i="12"/>
  <c r="J43" i="12"/>
  <c r="I43" i="12"/>
  <c r="H43" i="12"/>
  <c r="G43" i="12"/>
  <c r="F43" i="12"/>
  <c r="Q41" i="12"/>
  <c r="P41" i="12"/>
  <c r="O41" i="12"/>
  <c r="N41" i="12"/>
  <c r="M41" i="12"/>
  <c r="L41" i="12"/>
  <c r="K41" i="12"/>
  <c r="J41" i="12"/>
  <c r="I41" i="12"/>
  <c r="H41" i="12"/>
  <c r="G41" i="12"/>
  <c r="F41" i="12"/>
  <c r="Q40" i="12"/>
  <c r="P40" i="12"/>
  <c r="O40" i="12"/>
  <c r="N40" i="12"/>
  <c r="M40" i="12"/>
  <c r="L40" i="12"/>
  <c r="K40" i="12"/>
  <c r="J40" i="12"/>
  <c r="I40" i="12"/>
  <c r="H40" i="12"/>
  <c r="G40" i="12"/>
  <c r="F40" i="12"/>
  <c r="Q39" i="12"/>
  <c r="P39" i="12"/>
  <c r="O39" i="12"/>
  <c r="N39" i="12"/>
  <c r="M39" i="12"/>
  <c r="L39" i="12"/>
  <c r="K39" i="12"/>
  <c r="J39" i="12"/>
  <c r="I39" i="12"/>
  <c r="H39" i="12"/>
  <c r="G39" i="12"/>
  <c r="F39" i="12"/>
  <c r="Q38" i="12"/>
  <c r="P38" i="12"/>
  <c r="O38" i="12"/>
  <c r="N38" i="12"/>
  <c r="M38" i="12"/>
  <c r="L38" i="12"/>
  <c r="K38" i="12"/>
  <c r="J38" i="12"/>
  <c r="I38" i="12"/>
  <c r="H38" i="12"/>
  <c r="G38" i="12"/>
  <c r="F38" i="12"/>
  <c r="Q37" i="12"/>
  <c r="P37" i="12"/>
  <c r="O37" i="12"/>
  <c r="N37" i="12"/>
  <c r="M37" i="12"/>
  <c r="L37" i="12"/>
  <c r="K37" i="12"/>
  <c r="J37" i="12"/>
  <c r="I37" i="12"/>
  <c r="H37" i="12"/>
  <c r="G37" i="12"/>
  <c r="F37" i="12"/>
  <c r="Q34" i="12"/>
  <c r="P34" i="12"/>
  <c r="O34" i="12"/>
  <c r="N34" i="12"/>
  <c r="M34" i="12"/>
  <c r="L34" i="12"/>
  <c r="K34" i="12"/>
  <c r="J34" i="12"/>
  <c r="I34" i="12"/>
  <c r="H34" i="12"/>
  <c r="G34" i="12"/>
  <c r="F34" i="12"/>
  <c r="Q33" i="12"/>
  <c r="P33" i="12"/>
  <c r="O33" i="12"/>
  <c r="N33" i="12"/>
  <c r="M33" i="12"/>
  <c r="L33" i="12"/>
  <c r="K33" i="12"/>
  <c r="J33" i="12"/>
  <c r="I33" i="12"/>
  <c r="H33" i="12"/>
  <c r="G33" i="12"/>
  <c r="F33" i="12"/>
  <c r="Q32" i="12"/>
  <c r="P32" i="12"/>
  <c r="O32" i="12"/>
  <c r="N32" i="12"/>
  <c r="M32" i="12"/>
  <c r="L32" i="12"/>
  <c r="K32" i="12"/>
  <c r="J32" i="12"/>
  <c r="I32" i="12"/>
  <c r="H32" i="12"/>
  <c r="G32" i="12"/>
  <c r="F32" i="12"/>
  <c r="Q30" i="12"/>
  <c r="P30" i="12"/>
  <c r="O30" i="12"/>
  <c r="N30" i="12"/>
  <c r="M30" i="12"/>
  <c r="L30" i="12"/>
  <c r="K30" i="12"/>
  <c r="J30" i="12"/>
  <c r="I30" i="12"/>
  <c r="H30" i="12"/>
  <c r="G30" i="12"/>
  <c r="F30" i="12"/>
  <c r="Q29" i="12"/>
  <c r="P29" i="12"/>
  <c r="O29" i="12"/>
  <c r="N29" i="12"/>
  <c r="M29" i="12"/>
  <c r="L29" i="12"/>
  <c r="K29" i="12"/>
  <c r="J29" i="12"/>
  <c r="I29" i="12"/>
  <c r="H29" i="12"/>
  <c r="G29" i="12"/>
  <c r="F29" i="12"/>
  <c r="Q28" i="12"/>
  <c r="P28" i="12"/>
  <c r="O28" i="12"/>
  <c r="N28" i="12"/>
  <c r="M28" i="12"/>
  <c r="L28" i="12"/>
  <c r="K28" i="12"/>
  <c r="J28" i="12"/>
  <c r="I28" i="12"/>
  <c r="H28" i="12"/>
  <c r="G28" i="12"/>
  <c r="F28" i="12"/>
  <c r="Q26" i="12"/>
  <c r="P26" i="12"/>
  <c r="O26" i="12"/>
  <c r="N26" i="12"/>
  <c r="M26" i="12"/>
  <c r="L26" i="12"/>
  <c r="K26" i="12"/>
  <c r="J26" i="12"/>
  <c r="I26" i="12"/>
  <c r="H26" i="12"/>
  <c r="G26" i="12"/>
  <c r="F26" i="12"/>
  <c r="Q25" i="12"/>
  <c r="P25" i="12"/>
  <c r="O25" i="12"/>
  <c r="N25" i="12"/>
  <c r="M25" i="12"/>
  <c r="L25" i="12"/>
  <c r="K25" i="12"/>
  <c r="J25" i="12"/>
  <c r="I25" i="12"/>
  <c r="H25" i="12"/>
  <c r="G25" i="12"/>
  <c r="F25" i="12"/>
  <c r="Q24" i="12"/>
  <c r="P24" i="12"/>
  <c r="O24" i="12"/>
  <c r="N24" i="12"/>
  <c r="M24" i="12"/>
  <c r="L24" i="12"/>
  <c r="K24" i="12"/>
  <c r="J24" i="12"/>
  <c r="I24" i="12"/>
  <c r="H24" i="12"/>
  <c r="G24" i="12"/>
  <c r="F24" i="12"/>
  <c r="Q15" i="12"/>
  <c r="P15" i="12"/>
  <c r="O15" i="12"/>
  <c r="N15" i="12"/>
  <c r="M15" i="12"/>
  <c r="L15" i="12"/>
  <c r="K15" i="12"/>
  <c r="J15" i="12"/>
  <c r="I15" i="12"/>
  <c r="H15" i="12"/>
  <c r="G15" i="12"/>
  <c r="F15" i="12"/>
  <c r="Q14" i="12"/>
  <c r="P14" i="12"/>
  <c r="O14" i="12"/>
  <c r="N14" i="12"/>
  <c r="M14" i="12"/>
  <c r="L14" i="12"/>
  <c r="K14" i="12"/>
  <c r="J14" i="12"/>
  <c r="I14" i="12"/>
  <c r="H14" i="12"/>
  <c r="G14" i="12"/>
  <c r="F14" i="12"/>
  <c r="Q13" i="12"/>
  <c r="P13" i="12"/>
  <c r="O13" i="12"/>
  <c r="N13" i="12"/>
  <c r="M13" i="12"/>
  <c r="L13" i="12"/>
  <c r="K13" i="12"/>
  <c r="J13" i="12"/>
  <c r="I13" i="12"/>
  <c r="H13" i="12"/>
  <c r="G13" i="12"/>
  <c r="F13" i="12"/>
  <c r="Q10" i="12"/>
  <c r="P10" i="12"/>
  <c r="O10" i="12"/>
  <c r="N10" i="12"/>
  <c r="M10" i="12"/>
  <c r="L10" i="12"/>
  <c r="K10" i="12"/>
  <c r="J10" i="12"/>
  <c r="I10" i="12"/>
  <c r="H10" i="12"/>
  <c r="G10" i="12"/>
  <c r="F10" i="12"/>
  <c r="Q9" i="12"/>
  <c r="P9" i="12"/>
  <c r="O9" i="12"/>
  <c r="N9" i="12"/>
  <c r="M9" i="12"/>
  <c r="L9" i="12"/>
  <c r="K9" i="12"/>
  <c r="J9" i="12"/>
  <c r="I9" i="12"/>
  <c r="H9" i="12"/>
  <c r="G9" i="12"/>
  <c r="F9" i="12"/>
  <c r="Q8" i="12"/>
  <c r="P8" i="12"/>
  <c r="O8" i="12"/>
  <c r="N8" i="12"/>
  <c r="M8" i="12"/>
  <c r="L8" i="12"/>
  <c r="K8" i="12"/>
  <c r="J8" i="12"/>
  <c r="I8" i="12"/>
  <c r="H8" i="12"/>
  <c r="G8" i="12"/>
  <c r="F8" i="12"/>
  <c r="Q7" i="12"/>
  <c r="P7" i="12"/>
  <c r="O7" i="12"/>
  <c r="N7" i="12"/>
  <c r="M7" i="12"/>
  <c r="L7" i="12"/>
  <c r="K7" i="12"/>
  <c r="J7" i="12"/>
  <c r="I7" i="12"/>
  <c r="H7" i="12"/>
  <c r="G7" i="12"/>
  <c r="F7" i="12"/>
  <c r="I103" i="64"/>
  <c r="I102" i="64"/>
  <c r="I98" i="64"/>
  <c r="I97" i="64"/>
  <c r="I92" i="64"/>
  <c r="I91" i="64"/>
  <c r="I90" i="64"/>
  <c r="I89" i="64"/>
  <c r="I88" i="64"/>
  <c r="I87" i="64"/>
  <c r="I83" i="64"/>
  <c r="I82" i="64"/>
  <c r="I81" i="64"/>
  <c r="I80" i="64"/>
  <c r="I79" i="64"/>
  <c r="I78" i="64"/>
  <c r="C175" i="60"/>
  <c r="C169" i="60"/>
  <c r="C168" i="60"/>
  <c r="C167" i="60"/>
  <c r="C163" i="60"/>
  <c r="C162" i="60"/>
  <c r="C161" i="60"/>
  <c r="C121" i="60"/>
  <c r="C88" i="60"/>
  <c r="C70" i="60"/>
  <c r="C67" i="60"/>
  <c r="C58" i="60"/>
  <c r="C33" i="60"/>
  <c r="C33" i="4"/>
  <c r="C18" i="4"/>
  <c r="C9" i="4"/>
  <c r="C8" i="4"/>
  <c r="C40" i="6"/>
  <c r="C26" i="6"/>
  <c r="C53" i="3"/>
  <c r="C52" i="3"/>
  <c r="C23" i="3"/>
  <c r="C22" i="3"/>
  <c r="E374" i="8"/>
  <c r="E373" i="8"/>
  <c r="E372" i="8"/>
  <c r="E371" i="8"/>
  <c r="E370" i="8"/>
  <c r="E369" i="8"/>
  <c r="E367" i="8"/>
  <c r="E366" i="8"/>
  <c r="E364" i="8"/>
  <c r="E363" i="8"/>
  <c r="E359" i="8"/>
  <c r="E358" i="8"/>
  <c r="I148" i="8"/>
  <c r="G148" i="8"/>
  <c r="I147" i="8"/>
  <c r="G147" i="8"/>
  <c r="I146" i="8"/>
  <c r="G146" i="8"/>
  <c r="I132" i="8"/>
  <c r="G132" i="8"/>
  <c r="I131" i="8"/>
  <c r="G131" i="8"/>
  <c r="I130" i="8"/>
  <c r="G130" i="8"/>
  <c r="I113" i="8"/>
  <c r="G113" i="8"/>
  <c r="I112" i="8"/>
  <c r="G112" i="8"/>
  <c r="I111" i="8"/>
  <c r="G111" i="8"/>
  <c r="I96" i="8"/>
  <c r="G96" i="8"/>
  <c r="I95" i="8"/>
  <c r="G95" i="8"/>
  <c r="I94" i="8"/>
  <c r="G94" i="8"/>
  <c r="I93" i="8"/>
  <c r="G93" i="8"/>
  <c r="B18" i="8"/>
  <c r="C5" i="60" l="1"/>
  <c r="D154" i="12"/>
  <c r="C12" i="49"/>
  <c r="D101" i="12" s="1"/>
  <c r="E101" i="12" s="1"/>
  <c r="C90" i="57"/>
  <c r="C24" i="3"/>
  <c r="C123" i="57" s="1"/>
  <c r="I49" i="1"/>
  <c r="C87" i="1"/>
  <c r="AJ418" i="8" s="1"/>
  <c r="H5" i="1"/>
  <c r="H4" i="1"/>
  <c r="C3" i="8"/>
  <c r="A12" i="5"/>
  <c r="M226" i="8"/>
  <c r="M225" i="8"/>
  <c r="M224" i="8"/>
  <c r="AG223" i="8"/>
  <c r="AH223" i="8" s="1"/>
  <c r="C15" i="8"/>
  <c r="M59" i="8"/>
  <c r="D15" i="12"/>
  <c r="C15" i="3"/>
  <c r="C61" i="49" s="1"/>
  <c r="C5" i="62"/>
  <c r="T55" i="8" s="1"/>
  <c r="D298" i="10"/>
  <c r="E298" i="10"/>
  <c r="F298" i="10"/>
  <c r="AT107" i="10" s="1" a="1"/>
  <c r="G298" i="10"/>
  <c r="A298" i="10"/>
  <c r="H298" i="10"/>
  <c r="I298" i="10"/>
  <c r="AS267" i="10" s="1" a="1"/>
  <c r="J298" i="10"/>
  <c r="K298" i="10"/>
  <c r="L298" i="10"/>
  <c r="M298" i="10"/>
  <c r="N298" i="10"/>
  <c r="O298" i="10"/>
  <c r="P298" i="10"/>
  <c r="Q298" i="10"/>
  <c r="R298" i="10"/>
  <c r="S298" i="10"/>
  <c r="T298" i="10"/>
  <c r="U298" i="10"/>
  <c r="V298" i="10"/>
  <c r="W298" i="10"/>
  <c r="X298" i="10"/>
  <c r="Y298" i="10"/>
  <c r="Z298" i="10"/>
  <c r="AA298" i="10"/>
  <c r="AB298" i="10"/>
  <c r="AC298" i="10"/>
  <c r="AD298" i="10"/>
  <c r="AE298" i="10"/>
  <c r="AF298" i="10"/>
  <c r="AG298" i="10"/>
  <c r="AH298" i="10"/>
  <c r="AI298" i="10"/>
  <c r="AJ298" i="10"/>
  <c r="AK298" i="10"/>
  <c r="AL298" i="10"/>
  <c r="AM298" i="10"/>
  <c r="AN298" i="10"/>
  <c r="AO298" i="10"/>
  <c r="AP298" i="10"/>
  <c r="AQ298" i="10"/>
  <c r="C19" i="3"/>
  <c r="E60" i="1" s="1"/>
  <c r="C11" i="3"/>
  <c r="C18" i="3"/>
  <c r="C10" i="8" s="1"/>
  <c r="C45" i="3"/>
  <c r="C46" i="3" s="1"/>
  <c r="C57" i="3"/>
  <c r="C6" i="3"/>
  <c r="C7" i="3"/>
  <c r="C5" i="6"/>
  <c r="C36" i="1"/>
  <c r="D418" i="8" s="1"/>
  <c r="C37" i="1"/>
  <c r="E418" i="8" s="1"/>
  <c r="C8" i="6"/>
  <c r="C5" i="49"/>
  <c r="C5" i="4"/>
  <c r="C6" i="6"/>
  <c r="C68" i="3"/>
  <c r="C69" i="3" s="1"/>
  <c r="C77" i="3"/>
  <c r="D13" i="12" s="1"/>
  <c r="C98" i="60"/>
  <c r="C111" i="8"/>
  <c r="C112" i="8"/>
  <c r="C130" i="8"/>
  <c r="C131" i="8"/>
  <c r="C132" i="8"/>
  <c r="J146" i="8"/>
  <c r="J147" i="8"/>
  <c r="J148" i="8"/>
  <c r="C175" i="8"/>
  <c r="C176" i="8"/>
  <c r="C177" i="8"/>
  <c r="C178" i="8"/>
  <c r="C18" i="49"/>
  <c r="C49" i="49"/>
  <c r="C50" i="49"/>
  <c r="C51" i="49"/>
  <c r="C52" i="49"/>
  <c r="C26" i="49"/>
  <c r="C170" i="8"/>
  <c r="C42" i="8"/>
  <c r="C189" i="8"/>
  <c r="C6" i="62"/>
  <c r="E110" i="1" s="1"/>
  <c r="D318" i="8"/>
  <c r="M293" i="8"/>
  <c r="M292" i="8"/>
  <c r="M291" i="8"/>
  <c r="M290" i="8"/>
  <c r="M288" i="8"/>
  <c r="M287" i="8"/>
  <c r="M286" i="8"/>
  <c r="M285" i="8"/>
  <c r="AF293" i="8"/>
  <c r="AC293" i="8"/>
  <c r="Z293" i="8"/>
  <c r="AE292" i="8"/>
  <c r="AB292" i="8"/>
  <c r="Y292" i="8"/>
  <c r="AD291" i="8"/>
  <c r="AA291" i="8"/>
  <c r="X291" i="8"/>
  <c r="AF290" i="8"/>
  <c r="AE290" i="8"/>
  <c r="AD290" i="8"/>
  <c r="AC290" i="8"/>
  <c r="AB290" i="8"/>
  <c r="AA290" i="8"/>
  <c r="Z290" i="8"/>
  <c r="Y290" i="8"/>
  <c r="X290" i="8"/>
  <c r="AG289" i="8"/>
  <c r="AH289" i="8" s="1"/>
  <c r="AF288" i="8"/>
  <c r="AC288" i="8"/>
  <c r="Z288" i="8"/>
  <c r="AE287" i="8"/>
  <c r="AB287" i="8"/>
  <c r="Y287" i="8"/>
  <c r="AD286" i="8"/>
  <c r="AA286" i="8"/>
  <c r="X286" i="8"/>
  <c r="AF285" i="8"/>
  <c r="AE285" i="8"/>
  <c r="AD285" i="8"/>
  <c r="AC285" i="8"/>
  <c r="AB285" i="8"/>
  <c r="AA285" i="8"/>
  <c r="Z285" i="8"/>
  <c r="Y285" i="8"/>
  <c r="X285" i="8"/>
  <c r="AG284" i="8"/>
  <c r="AH284" i="8" s="1"/>
  <c r="M142" i="8"/>
  <c r="M141" i="8"/>
  <c r="M140" i="8"/>
  <c r="C23" i="57"/>
  <c r="C7" i="60"/>
  <c r="C148" i="8"/>
  <c r="C146" i="8"/>
  <c r="C113" i="8"/>
  <c r="C32" i="4"/>
  <c r="M58" i="8"/>
  <c r="M57" i="8"/>
  <c r="C101" i="57"/>
  <c r="C102" i="57"/>
  <c r="C171" i="8"/>
  <c r="C172" i="8"/>
  <c r="C173" i="8"/>
  <c r="C223" i="2"/>
  <c r="C159" i="2"/>
  <c r="C147" i="8"/>
  <c r="AG250" i="8"/>
  <c r="AH250" i="8" s="1"/>
  <c r="AG255" i="8"/>
  <c r="AH255" i="8" s="1"/>
  <c r="AG256" i="8"/>
  <c r="AH256" i="8" s="1"/>
  <c r="M252" i="8"/>
  <c r="M253" i="8"/>
  <c r="M254" i="8"/>
  <c r="M251" i="8"/>
  <c r="A7" i="5"/>
  <c r="A8" i="5"/>
  <c r="A9" i="5"/>
  <c r="A10" i="5"/>
  <c r="A11" i="5"/>
  <c r="C36" i="57"/>
  <c r="C66" i="57" s="1"/>
  <c r="C84" i="57"/>
  <c r="C98" i="57"/>
  <c r="C99" i="57"/>
  <c r="C107" i="57"/>
  <c r="C115" i="57"/>
  <c r="C120" i="57"/>
  <c r="C121" i="57"/>
  <c r="C124" i="57"/>
  <c r="C164" i="57"/>
  <c r="C167" i="57"/>
  <c r="C174" i="57"/>
  <c r="C175" i="57"/>
  <c r="C178" i="57"/>
  <c r="C179" i="57"/>
  <c r="C188" i="12"/>
  <c r="C189" i="12"/>
  <c r="C47" i="56"/>
  <c r="C57" i="11"/>
  <c r="C85" i="60"/>
  <c r="C86" i="60"/>
  <c r="C87" i="60" s="1"/>
  <c r="C33" i="6"/>
  <c r="C35" i="6"/>
  <c r="C12" i="62" s="1"/>
  <c r="C50" i="3"/>
  <c r="C56" i="3"/>
  <c r="C61" i="3"/>
  <c r="C10" i="62"/>
  <c r="C42" i="55"/>
  <c r="C21" i="48"/>
  <c r="C64" i="2"/>
  <c r="C80" i="2"/>
  <c r="C158" i="2"/>
  <c r="C182" i="2"/>
  <c r="I20" i="58"/>
  <c r="J20" i="58"/>
  <c r="I22" i="58"/>
  <c r="J22" i="58"/>
  <c r="I23" i="58"/>
  <c r="J23" i="58"/>
  <c r="I6" i="58"/>
  <c r="J6" i="58"/>
  <c r="I12" i="58"/>
  <c r="J12" i="58"/>
  <c r="I11" i="58"/>
  <c r="J11" i="58"/>
  <c r="I27" i="58"/>
  <c r="J27" i="58"/>
  <c r="I41" i="58"/>
  <c r="J41" i="58"/>
  <c r="I32" i="58"/>
  <c r="J32" i="58"/>
  <c r="I35" i="58"/>
  <c r="J35" i="58"/>
  <c r="I36" i="58"/>
  <c r="J36" i="58"/>
  <c r="I37" i="58"/>
  <c r="J37" i="58"/>
  <c r="I39" i="58"/>
  <c r="J39" i="58"/>
  <c r="I5" i="58"/>
  <c r="J5" i="58"/>
  <c r="I8" i="58"/>
  <c r="J8" i="58"/>
  <c r="I26" i="58"/>
  <c r="J26" i="58"/>
  <c r="I14" i="58"/>
  <c r="J14" i="58"/>
  <c r="I10" i="58"/>
  <c r="J10" i="58"/>
  <c r="I15" i="58"/>
  <c r="J15" i="58"/>
  <c r="I16" i="58"/>
  <c r="J16" i="58"/>
  <c r="I17" i="58"/>
  <c r="J17" i="58"/>
  <c r="I28" i="58"/>
  <c r="J28" i="58"/>
  <c r="I30" i="58"/>
  <c r="J30" i="58"/>
  <c r="I31" i="58"/>
  <c r="J31" i="58"/>
  <c r="I18" i="58"/>
  <c r="J18" i="58"/>
  <c r="I38" i="58"/>
  <c r="J38" i="58"/>
  <c r="I34" i="58"/>
  <c r="J34" i="58"/>
  <c r="I40" i="58"/>
  <c r="J40" i="58"/>
  <c r="I42" i="58"/>
  <c r="J42" i="58"/>
  <c r="I43" i="58"/>
  <c r="J43" i="58"/>
  <c r="I44" i="58"/>
  <c r="J44" i="58"/>
  <c r="I45" i="58"/>
  <c r="J45" i="58"/>
  <c r="I13" i="58"/>
  <c r="J13" i="58"/>
  <c r="C6" i="8"/>
  <c r="C14" i="8"/>
  <c r="C16" i="8"/>
  <c r="B17" i="8"/>
  <c r="C17" i="8"/>
  <c r="M34" i="8"/>
  <c r="M35" i="8"/>
  <c r="M36" i="8"/>
  <c r="M37" i="8"/>
  <c r="AG38" i="8"/>
  <c r="AH38" i="8" s="1"/>
  <c r="M39" i="8"/>
  <c r="M40" i="8"/>
  <c r="M41" i="8"/>
  <c r="M42" i="8"/>
  <c r="M43" i="8"/>
  <c r="M44" i="8"/>
  <c r="AG45" i="8"/>
  <c r="AH45" i="8" s="1"/>
  <c r="AG46" i="8"/>
  <c r="AH46" i="8" s="1"/>
  <c r="M47" i="8"/>
  <c r="M48" i="8"/>
  <c r="M49" i="8"/>
  <c r="M50" i="8"/>
  <c r="AG51" i="8"/>
  <c r="AH51" i="8" s="1"/>
  <c r="M52" i="8"/>
  <c r="M53" i="8"/>
  <c r="M54" i="8"/>
  <c r="M55" i="8"/>
  <c r="AG56" i="8"/>
  <c r="AH56" i="8" s="1"/>
  <c r="AG60" i="8"/>
  <c r="AH60" i="8" s="1"/>
  <c r="AG61" i="8"/>
  <c r="AH61" i="8" s="1"/>
  <c r="M62" i="8"/>
  <c r="M63" i="8"/>
  <c r="M64" i="8"/>
  <c r="M65" i="8"/>
  <c r="M66" i="8"/>
  <c r="AG67" i="8"/>
  <c r="AH67" i="8" s="1"/>
  <c r="M68" i="8"/>
  <c r="M69" i="8"/>
  <c r="M70" i="8"/>
  <c r="M71" i="8"/>
  <c r="AG72" i="8"/>
  <c r="AH72" i="8" s="1"/>
  <c r="M73" i="8"/>
  <c r="M74" i="8"/>
  <c r="M75" i="8"/>
  <c r="M76" i="8"/>
  <c r="M77" i="8"/>
  <c r="AG78" i="8"/>
  <c r="AH78" i="8" s="1"/>
  <c r="M79" i="8"/>
  <c r="M80" i="8"/>
  <c r="M81" i="8"/>
  <c r="M82" i="8"/>
  <c r="M83" i="8"/>
  <c r="M84" i="8"/>
  <c r="M85" i="8"/>
  <c r="M86" i="8"/>
  <c r="AG87" i="8"/>
  <c r="AH87" i="8" s="1"/>
  <c r="M88" i="8"/>
  <c r="M89" i="8"/>
  <c r="M90" i="8"/>
  <c r="M91" i="8"/>
  <c r="AG92" i="8"/>
  <c r="AH92" i="8" s="1"/>
  <c r="E93" i="8"/>
  <c r="F93" i="8"/>
  <c r="H93" i="8"/>
  <c r="M93" i="8"/>
  <c r="E94" i="8"/>
  <c r="F94" i="8"/>
  <c r="H94" i="8"/>
  <c r="M94" i="8"/>
  <c r="E95" i="8"/>
  <c r="F95" i="8"/>
  <c r="H95" i="8"/>
  <c r="M95" i="8"/>
  <c r="E96" i="8"/>
  <c r="F96" i="8"/>
  <c r="H96" i="8"/>
  <c r="M96" i="8"/>
  <c r="AG97" i="8"/>
  <c r="AH97" i="8" s="1"/>
  <c r="AG98" i="8"/>
  <c r="AH98" i="8" s="1"/>
  <c r="M99" i="8"/>
  <c r="M100" i="8"/>
  <c r="M101" i="8"/>
  <c r="M102" i="8"/>
  <c r="M103" i="8"/>
  <c r="M104" i="8"/>
  <c r="M105" i="8"/>
  <c r="M106" i="8"/>
  <c r="M107" i="8"/>
  <c r="M108" i="8"/>
  <c r="M109" i="8"/>
  <c r="M110" i="8"/>
  <c r="E111" i="8"/>
  <c r="F111" i="8"/>
  <c r="H111" i="8"/>
  <c r="M111" i="8"/>
  <c r="E112" i="8"/>
  <c r="F112" i="8"/>
  <c r="H112" i="8"/>
  <c r="M112" i="8"/>
  <c r="E113" i="8"/>
  <c r="F113" i="8"/>
  <c r="H113" i="8"/>
  <c r="M113" i="8"/>
  <c r="AG114" i="8"/>
  <c r="AH114" i="8" s="1"/>
  <c r="M115" i="8"/>
  <c r="M116" i="8"/>
  <c r="M117" i="8"/>
  <c r="M118" i="8"/>
  <c r="M119" i="8"/>
  <c r="M120" i="8"/>
  <c r="M121" i="8"/>
  <c r="M122" i="8"/>
  <c r="M123" i="8"/>
  <c r="M124" i="8"/>
  <c r="M125" i="8"/>
  <c r="M126" i="8"/>
  <c r="M127" i="8"/>
  <c r="M128" i="8"/>
  <c r="M129" i="8"/>
  <c r="E130" i="8"/>
  <c r="F130" i="8"/>
  <c r="H130" i="8"/>
  <c r="M130" i="8"/>
  <c r="E131" i="8"/>
  <c r="F131" i="8"/>
  <c r="H131" i="8"/>
  <c r="M131" i="8"/>
  <c r="E132" i="8"/>
  <c r="F132" i="8"/>
  <c r="H132" i="8"/>
  <c r="M132" i="8"/>
  <c r="AG133" i="8"/>
  <c r="AH133" i="8" s="1"/>
  <c r="M134" i="8"/>
  <c r="M135" i="8"/>
  <c r="M136" i="8"/>
  <c r="M137" i="8"/>
  <c r="M138" i="8"/>
  <c r="M139" i="8"/>
  <c r="M143" i="8"/>
  <c r="M144" i="8"/>
  <c r="M145" i="8"/>
  <c r="E146" i="8"/>
  <c r="F146" i="8"/>
  <c r="H146" i="8"/>
  <c r="M146" i="8"/>
  <c r="E147" i="8"/>
  <c r="F147" i="8"/>
  <c r="H147" i="8"/>
  <c r="M147" i="8"/>
  <c r="E148" i="8"/>
  <c r="F148" i="8"/>
  <c r="H148" i="8"/>
  <c r="M148" i="8"/>
  <c r="AG149" i="8"/>
  <c r="AH149" i="8" s="1"/>
  <c r="M150" i="8"/>
  <c r="M151" i="8"/>
  <c r="M152" i="8"/>
  <c r="AG153" i="8"/>
  <c r="AH153" i="8" s="1"/>
  <c r="M154" i="8"/>
  <c r="M155" i="8"/>
  <c r="M156" i="8"/>
  <c r="M157" i="8"/>
  <c r="AG158" i="8"/>
  <c r="AH158" i="8" s="1"/>
  <c r="AG159" i="8"/>
  <c r="AH159" i="8" s="1"/>
  <c r="M160" i="8"/>
  <c r="M161" i="8"/>
  <c r="M162" i="8"/>
  <c r="M163" i="8"/>
  <c r="AG164" i="8"/>
  <c r="AH164" i="8" s="1"/>
  <c r="M165" i="8"/>
  <c r="M166" i="8"/>
  <c r="M167" i="8"/>
  <c r="M168" i="8"/>
  <c r="AG169" i="8"/>
  <c r="AH169" i="8" s="1"/>
  <c r="M170" i="8"/>
  <c r="M171" i="8"/>
  <c r="M172" i="8"/>
  <c r="M173" i="8"/>
  <c r="AG174" i="8"/>
  <c r="AH174" i="8" s="1"/>
  <c r="M175" i="8"/>
  <c r="M176" i="8"/>
  <c r="M177" i="8"/>
  <c r="M178" i="8"/>
  <c r="M179" i="8"/>
  <c r="M180" i="8"/>
  <c r="M181" i="8"/>
  <c r="M182" i="8"/>
  <c r="M183" i="8"/>
  <c r="M184" i="8"/>
  <c r="M185" i="8"/>
  <c r="AG186" i="8"/>
  <c r="AH186" i="8" s="1"/>
  <c r="M187" i="8"/>
  <c r="M188" i="8"/>
  <c r="M189" i="8"/>
  <c r="AG190" i="8"/>
  <c r="AH190" i="8" s="1"/>
  <c r="AG191" i="8"/>
  <c r="AH191" i="8" s="1"/>
  <c r="M192" i="8"/>
  <c r="M193" i="8"/>
  <c r="M194" i="8"/>
  <c r="M195" i="8"/>
  <c r="M196" i="8"/>
  <c r="M197" i="8"/>
  <c r="M198" i="8"/>
  <c r="M199" i="8"/>
  <c r="M200" i="8"/>
  <c r="AG201" i="8"/>
  <c r="AH201" i="8" s="1"/>
  <c r="M202" i="8"/>
  <c r="M203" i="8"/>
  <c r="M204" i="8"/>
  <c r="M205" i="8"/>
  <c r="M206" i="8"/>
  <c r="AG207" i="8"/>
  <c r="AH207" i="8" s="1"/>
  <c r="M208" i="8"/>
  <c r="M209" i="8"/>
  <c r="M210" i="8"/>
  <c r="M211" i="8"/>
  <c r="AG212" i="8"/>
  <c r="AH212" i="8" s="1"/>
  <c r="AG213" i="8"/>
  <c r="AH213" i="8" s="1"/>
  <c r="B215" i="8"/>
  <c r="M215" i="8" s="1"/>
  <c r="AG216" i="8"/>
  <c r="AH216" i="8" s="1"/>
  <c r="M217" i="8"/>
  <c r="M218" i="8"/>
  <c r="AG219" i="8"/>
  <c r="AH219" i="8" s="1"/>
  <c r="M220" i="8"/>
  <c r="M221" i="8"/>
  <c r="M222" i="8"/>
  <c r="AG227" i="8"/>
  <c r="AH227" i="8" s="1"/>
  <c r="M228" i="8"/>
  <c r="AG229" i="8"/>
  <c r="AH229" i="8" s="1"/>
  <c r="M230" i="8"/>
  <c r="M231" i="8"/>
  <c r="AG232" i="8"/>
  <c r="AH232" i="8" s="1"/>
  <c r="M233" i="8"/>
  <c r="M234" i="8"/>
  <c r="AG235" i="8"/>
  <c r="AH235" i="8" s="1"/>
  <c r="M236" i="8"/>
  <c r="M237" i="8"/>
  <c r="AG238" i="8"/>
  <c r="AH238" i="8" s="1"/>
  <c r="M239" i="8"/>
  <c r="M240" i="8"/>
  <c r="AG241" i="8"/>
  <c r="AH241" i="8" s="1"/>
  <c r="M242" i="8"/>
  <c r="M243" i="8"/>
  <c r="M244" i="8"/>
  <c r="M245" i="8"/>
  <c r="M246" i="8"/>
  <c r="M247" i="8"/>
  <c r="AG248" i="8"/>
  <c r="AH248" i="8" s="1"/>
  <c r="M249" i="8"/>
  <c r="M257" i="8"/>
  <c r="X257" i="8"/>
  <c r="Y257" i="8"/>
  <c r="Z257" i="8"/>
  <c r="AA257" i="8"/>
  <c r="AB257" i="8"/>
  <c r="AC257" i="8"/>
  <c r="AD257" i="8"/>
  <c r="AE257" i="8"/>
  <c r="AF257" i="8"/>
  <c r="M258" i="8"/>
  <c r="X258" i="8"/>
  <c r="AA258" i="8"/>
  <c r="AD258" i="8"/>
  <c r="M259" i="8"/>
  <c r="Y259" i="8"/>
  <c r="AB259" i="8"/>
  <c r="AE259" i="8"/>
  <c r="M260" i="8"/>
  <c r="Z260" i="8"/>
  <c r="AC260" i="8"/>
  <c r="AF260" i="8"/>
  <c r="AG261" i="8"/>
  <c r="AH261" i="8" s="1"/>
  <c r="AG267" i="8"/>
  <c r="AH267" i="8" s="1"/>
  <c r="AG270" i="8"/>
  <c r="AH270" i="8" s="1"/>
  <c r="M271" i="8"/>
  <c r="X271" i="8"/>
  <c r="Y271" i="8"/>
  <c r="Z271" i="8"/>
  <c r="AA271" i="8"/>
  <c r="AB271" i="8"/>
  <c r="AC271" i="8"/>
  <c r="AD271" i="8"/>
  <c r="AE271" i="8"/>
  <c r="AF271" i="8"/>
  <c r="M272" i="8"/>
  <c r="X272" i="8"/>
  <c r="AA272" i="8"/>
  <c r="AD272" i="8"/>
  <c r="M273" i="8"/>
  <c r="Y273" i="8"/>
  <c r="AB273" i="8"/>
  <c r="AE273" i="8"/>
  <c r="M274" i="8"/>
  <c r="Z274" i="8"/>
  <c r="AC274" i="8"/>
  <c r="AF274" i="8"/>
  <c r="AG275" i="8"/>
  <c r="AH275" i="8" s="1"/>
  <c r="AG281" i="8"/>
  <c r="AH281" i="8" s="1"/>
  <c r="X294" i="8"/>
  <c r="Y294" i="8"/>
  <c r="Z294" i="8"/>
  <c r="AA294" i="8"/>
  <c r="AB294" i="8"/>
  <c r="AC294" i="8"/>
  <c r="AD294" i="8"/>
  <c r="AE294" i="8"/>
  <c r="AF294" i="8"/>
  <c r="D313" i="8"/>
  <c r="C400" i="8" s="1"/>
  <c r="D319" i="8"/>
  <c r="C406" i="8" s="1"/>
  <c r="D322" i="8"/>
  <c r="C409" i="8" s="1"/>
  <c r="D323" i="8"/>
  <c r="C410" i="8" s="1"/>
  <c r="D324" i="8"/>
  <c r="C411" i="8" s="1"/>
  <c r="C380" i="8"/>
  <c r="H380" i="8" s="1"/>
  <c r="H32" i="1"/>
  <c r="H33" i="1"/>
  <c r="I33" i="1"/>
  <c r="C45" i="1"/>
  <c r="J418" i="8" s="1"/>
  <c r="C46" i="1"/>
  <c r="K418" i="8" s="1"/>
  <c r="B49" i="1"/>
  <c r="C49" i="1" s="1"/>
  <c r="N418" i="8" s="1"/>
  <c r="B55" i="1"/>
  <c r="C57" i="1" s="1"/>
  <c r="P418" i="8" s="1"/>
  <c r="B73" i="1"/>
  <c r="C80" i="1" s="1"/>
  <c r="AD418" i="8" s="1"/>
  <c r="C79" i="1"/>
  <c r="C83" i="1"/>
  <c r="AF418" i="8" s="1"/>
  <c r="C84" i="1"/>
  <c r="AG418" i="8" s="1"/>
  <c r="C86" i="1"/>
  <c r="E98" i="1"/>
  <c r="B298" i="10"/>
  <c r="C420" i="8"/>
  <c r="C419" i="8"/>
  <c r="C69" i="49"/>
  <c r="AT103" i="10" a="1"/>
  <c r="AS280" i="10" a="1"/>
  <c r="AT267" i="10" a="1"/>
  <c r="AS42" i="10" a="1"/>
  <c r="AS221" i="10" a="1"/>
  <c r="E88" i="1"/>
  <c r="C38" i="60"/>
  <c r="R266" i="8"/>
  <c r="N262" i="8"/>
  <c r="V266" i="8"/>
  <c r="P266" i="8"/>
  <c r="Q266" i="8"/>
  <c r="S265" i="8"/>
  <c r="V262" i="8"/>
  <c r="U264" i="8"/>
  <c r="O263" i="8"/>
  <c r="O264" i="8"/>
  <c r="R265" i="8"/>
  <c r="P264" i="8"/>
  <c r="V264" i="8"/>
  <c r="P263" i="8"/>
  <c r="O262" i="8"/>
  <c r="U266" i="8"/>
  <c r="N264" i="8"/>
  <c r="S263" i="8"/>
  <c r="R264" i="8"/>
  <c r="U265" i="8"/>
  <c r="S262" i="8"/>
  <c r="N266" i="8"/>
  <c r="T266" i="8"/>
  <c r="O265" i="8"/>
  <c r="Q263" i="8"/>
  <c r="T263" i="8"/>
  <c r="O266" i="8"/>
  <c r="U263" i="8"/>
  <c r="R262" i="8"/>
  <c r="T264" i="8"/>
  <c r="T265" i="8"/>
  <c r="R268" i="8"/>
  <c r="T262" i="8"/>
  <c r="N263" i="8"/>
  <c r="N265" i="8"/>
  <c r="P262" i="8"/>
  <c r="R263" i="8"/>
  <c r="Q265" i="8"/>
  <c r="S264" i="8"/>
  <c r="U262" i="8"/>
  <c r="Q264" i="8"/>
  <c r="P265" i="8"/>
  <c r="V265" i="8"/>
  <c r="S266" i="8"/>
  <c r="V263" i="8"/>
  <c r="Q262" i="8"/>
  <c r="U279" i="8"/>
  <c r="P279" i="8"/>
  <c r="U278" i="8"/>
  <c r="R278" i="8"/>
  <c r="O277" i="8"/>
  <c r="O280" i="8"/>
  <c r="U280" i="8"/>
  <c r="S277" i="8"/>
  <c r="Q277" i="8"/>
  <c r="P277" i="8"/>
  <c r="R280" i="8"/>
  <c r="T277" i="8"/>
  <c r="T276" i="8"/>
  <c r="N276" i="8"/>
  <c r="R279" i="8"/>
  <c r="N278" i="8"/>
  <c r="R276" i="8"/>
  <c r="R277" i="8"/>
  <c r="T280" i="8"/>
  <c r="V280" i="8"/>
  <c r="V279" i="8"/>
  <c r="U277" i="8"/>
  <c r="P280" i="8"/>
  <c r="Q279" i="8"/>
  <c r="N279" i="8"/>
  <c r="V276" i="8"/>
  <c r="O276" i="8"/>
  <c r="O278" i="8"/>
  <c r="S279" i="8"/>
  <c r="Q280" i="8"/>
  <c r="P276" i="8"/>
  <c r="Q278" i="8"/>
  <c r="S276" i="8"/>
  <c r="V278" i="8"/>
  <c r="T278" i="8"/>
  <c r="O279" i="8"/>
  <c r="Q276" i="8"/>
  <c r="P278" i="8"/>
  <c r="S280" i="8"/>
  <c r="V277" i="8"/>
  <c r="U276" i="8"/>
  <c r="N277" i="8"/>
  <c r="T279" i="8"/>
  <c r="S278" i="8"/>
  <c r="N280" i="8"/>
  <c r="U283" i="8"/>
  <c r="V282" i="8"/>
  <c r="Q283" i="8"/>
  <c r="N283" i="8"/>
  <c r="S283" i="8"/>
  <c r="T283" i="8"/>
  <c r="R282" i="8"/>
  <c r="R283" i="8"/>
  <c r="V283" i="8"/>
  <c r="S282" i="8"/>
  <c r="P283" i="8"/>
  <c r="O283" i="8"/>
  <c r="N282" i="8"/>
  <c r="U282" i="8"/>
  <c r="P282" i="8"/>
  <c r="O282" i="8"/>
  <c r="Q282" i="8"/>
  <c r="T282" i="8"/>
  <c r="O269" i="8"/>
  <c r="T269" i="8"/>
  <c r="Q269" i="8"/>
  <c r="V269" i="8"/>
  <c r="R269" i="8"/>
  <c r="N269" i="8"/>
  <c r="U268" i="8"/>
  <c r="Q268" i="8"/>
  <c r="S268" i="8"/>
  <c r="P269" i="8"/>
  <c r="V268" i="8"/>
  <c r="N268" i="8"/>
  <c r="S269" i="8"/>
  <c r="O268" i="8"/>
  <c r="T268" i="8"/>
  <c r="P268" i="8"/>
  <c r="U269" i="8"/>
  <c r="AT48" i="10" l="1" a="1"/>
  <c r="AT132" i="10" a="1"/>
  <c r="E108" i="1"/>
  <c r="C36" i="6"/>
  <c r="AT278" i="10" a="1"/>
  <c r="AS230" i="10" a="1"/>
  <c r="AT248" i="10" a="1"/>
  <c r="AT194" i="10" a="1"/>
  <c r="AT194" i="10" s="1"/>
  <c r="AT295" i="10" a="1"/>
  <c r="AT295" i="10" s="1"/>
  <c r="AT13" i="10" a="1"/>
  <c r="AT13" i="10" s="1"/>
  <c r="AT162" i="10" a="1"/>
  <c r="AS24" i="10" a="1"/>
  <c r="AT32" i="10" a="1"/>
  <c r="AT36" i="10" a="1"/>
  <c r="AT109" i="10" a="1"/>
  <c r="AT104" i="10" a="1"/>
  <c r="AT219" i="10" a="1"/>
  <c r="AS56" i="10" a="1"/>
  <c r="AS56" i="10" s="1"/>
  <c r="AS270" i="10" a="1"/>
  <c r="AS187" i="10" a="1"/>
  <c r="AT183" i="10" a="1"/>
  <c r="AT183" i="10" s="1"/>
  <c r="AT167" i="10" a="1"/>
  <c r="K147" i="8"/>
  <c r="AG147" i="8" s="1"/>
  <c r="AH147" i="8" s="1"/>
  <c r="AS102" i="10" a="1"/>
  <c r="AS102" i="10" s="1"/>
  <c r="AT106" i="10" a="1"/>
  <c r="AT35" i="10" a="1"/>
  <c r="AT280" i="10" a="1"/>
  <c r="AT280" i="10" s="1"/>
  <c r="AT251" i="10" a="1"/>
  <c r="AT251" i="10" s="1"/>
  <c r="I189" i="8"/>
  <c r="K189" i="8"/>
  <c r="AT38" i="10" a="1"/>
  <c r="AT38" i="10" s="1"/>
  <c r="AS259" i="10" a="1"/>
  <c r="AT190" i="10" a="1"/>
  <c r="AS149" i="10" a="1"/>
  <c r="AS212" i="10" a="1"/>
  <c r="AS212" i="10" s="1"/>
  <c r="AT179" i="10" a="1"/>
  <c r="AT179" i="10" s="1"/>
  <c r="K146" i="8"/>
  <c r="AG146" i="8" s="1"/>
  <c r="AH146" i="8" s="1"/>
  <c r="J42" i="8"/>
  <c r="K42" i="8"/>
  <c r="I42" i="8"/>
  <c r="AS162" i="10" a="1"/>
  <c r="AS157" i="10" a="1"/>
  <c r="C75" i="1"/>
  <c r="Y418" i="8" s="1"/>
  <c r="AT10" i="10" a="1"/>
  <c r="AT140" i="10" a="1"/>
  <c r="AS169" i="10" a="1"/>
  <c r="AT127" i="10" a="1"/>
  <c r="AT17" i="10" a="1"/>
  <c r="AT17" i="10" s="1"/>
  <c r="AT187" i="10" a="1"/>
  <c r="AT53" i="10" a="1"/>
  <c r="AT270" i="10" a="1"/>
  <c r="AT270" i="10" s="1"/>
  <c r="AS48" i="10" a="1"/>
  <c r="AT178" i="10" a="1"/>
  <c r="K148" i="8"/>
  <c r="AG148" i="8" s="1"/>
  <c r="AH148" i="8" s="1"/>
  <c r="AS196" i="10" a="1"/>
  <c r="V84" i="8"/>
  <c r="O197" i="8"/>
  <c r="G101" i="1"/>
  <c r="C80" i="56"/>
  <c r="C192" i="60"/>
  <c r="C193" i="60"/>
  <c r="I214" i="8"/>
  <c r="G214" i="8"/>
  <c r="K214" i="8"/>
  <c r="C6" i="60"/>
  <c r="A67" i="5" s="1"/>
  <c r="C77" i="56"/>
  <c r="G34" i="8"/>
  <c r="G37" i="8"/>
  <c r="G36" i="8"/>
  <c r="G35" i="8"/>
  <c r="C29" i="62"/>
  <c r="K240" i="8"/>
  <c r="AG240" i="8" s="1"/>
  <c r="AH240" i="8" s="1"/>
  <c r="K236" i="8"/>
  <c r="AG236" i="8" s="1"/>
  <c r="AH236" i="8" s="1"/>
  <c r="C28" i="62"/>
  <c r="I240" i="8"/>
  <c r="J236" i="8"/>
  <c r="K239" i="8"/>
  <c r="AG239" i="8" s="1"/>
  <c r="AH239" i="8" s="1"/>
  <c r="I234" i="8"/>
  <c r="C204" i="60"/>
  <c r="G240" i="8"/>
  <c r="K234" i="8"/>
  <c r="AG234" i="8" s="1"/>
  <c r="AH234" i="8" s="1"/>
  <c r="C183" i="60"/>
  <c r="I237" i="8"/>
  <c r="J233" i="8"/>
  <c r="C37" i="62"/>
  <c r="G237" i="8"/>
  <c r="G231" i="8"/>
  <c r="C49" i="62" s="1"/>
  <c r="E362" i="8"/>
  <c r="J239" i="8"/>
  <c r="G234" i="8"/>
  <c r="C184" i="60"/>
  <c r="E361" i="8"/>
  <c r="K237" i="8"/>
  <c r="AG237" i="8" s="1"/>
  <c r="AH237" i="8" s="1"/>
  <c r="K233" i="8"/>
  <c r="AG233" i="8" s="1"/>
  <c r="AH233" i="8" s="1"/>
  <c r="K111" i="8"/>
  <c r="AG111" i="8" s="1"/>
  <c r="AH111" i="8" s="1"/>
  <c r="O101" i="12"/>
  <c r="G101" i="12"/>
  <c r="N101" i="12"/>
  <c r="F101" i="12"/>
  <c r="M101" i="12"/>
  <c r="L101" i="12"/>
  <c r="K101" i="12"/>
  <c r="I101" i="12"/>
  <c r="H101" i="12"/>
  <c r="P101" i="12"/>
  <c r="J101" i="12"/>
  <c r="Q101" i="12"/>
  <c r="K113" i="8"/>
  <c r="AG113" i="8" s="1"/>
  <c r="AH113" i="8" s="1"/>
  <c r="K132" i="8"/>
  <c r="AG132" i="8" s="1"/>
  <c r="AH132" i="8" s="1"/>
  <c r="K131" i="8"/>
  <c r="AG131" i="8" s="1"/>
  <c r="AH131" i="8" s="1"/>
  <c r="K112" i="8"/>
  <c r="AG112" i="8" s="1"/>
  <c r="AH112" i="8" s="1"/>
  <c r="E344" i="8"/>
  <c r="E343" i="8"/>
  <c r="C80" i="4"/>
  <c r="E342" i="8"/>
  <c r="K130" i="8"/>
  <c r="AG130" i="8" s="1"/>
  <c r="AH130" i="8" s="1"/>
  <c r="D117" i="12"/>
  <c r="C117" i="12" s="1"/>
  <c r="C100" i="57"/>
  <c r="C103" i="57"/>
  <c r="C139" i="57"/>
  <c r="A62" i="5"/>
  <c r="F376" i="8"/>
  <c r="C15" i="62"/>
  <c r="C47" i="62" s="1"/>
  <c r="D169" i="12" s="1"/>
  <c r="C169" i="12" s="1"/>
  <c r="C76" i="1"/>
  <c r="Z418" i="8" s="1"/>
  <c r="C77" i="1"/>
  <c r="AA418" i="8" s="1"/>
  <c r="B16" i="8"/>
  <c r="N44" i="8"/>
  <c r="T85" i="8"/>
  <c r="C37" i="49"/>
  <c r="C160" i="8" s="1"/>
  <c r="E315" i="8"/>
  <c r="H85" i="1"/>
  <c r="S146" i="8"/>
  <c r="C43" i="3"/>
  <c r="C13" i="6" s="1"/>
  <c r="C14" i="6" s="1"/>
  <c r="C10" i="60" s="1"/>
  <c r="C28" i="3"/>
  <c r="U127" i="8"/>
  <c r="N197" i="8"/>
  <c r="C58" i="3"/>
  <c r="C62" i="3" s="1"/>
  <c r="C63" i="3" s="1"/>
  <c r="C29" i="3"/>
  <c r="C30" i="3" s="1"/>
  <c r="C6" i="64"/>
  <c r="S125" i="8"/>
  <c r="Q134" i="8"/>
  <c r="S224" i="8"/>
  <c r="Q132" i="8"/>
  <c r="R104" i="8"/>
  <c r="Q226" i="8"/>
  <c r="O150" i="8"/>
  <c r="S156" i="8"/>
  <c r="U70" i="8"/>
  <c r="Q220" i="8"/>
  <c r="Q111" i="8"/>
  <c r="T132" i="8"/>
  <c r="R198" i="8"/>
  <c r="C97" i="60"/>
  <c r="C62" i="49"/>
  <c r="C29" i="49"/>
  <c r="C144" i="8" s="1"/>
  <c r="C6" i="49"/>
  <c r="I202" i="8" s="1"/>
  <c r="AC418" i="8"/>
  <c r="E59" i="1"/>
  <c r="C59" i="1"/>
  <c r="R418" i="8" s="1"/>
  <c r="C58" i="1"/>
  <c r="C60" i="1"/>
  <c r="S418" i="8" s="1"/>
  <c r="N224" i="8"/>
  <c r="P155" i="8"/>
  <c r="P117" i="8"/>
  <c r="O222" i="8"/>
  <c r="R170" i="8"/>
  <c r="T215" i="8"/>
  <c r="V58" i="8"/>
  <c r="P95" i="8"/>
  <c r="O60" i="8"/>
  <c r="Q253" i="8"/>
  <c r="S188" i="8"/>
  <c r="U89" i="8"/>
  <c r="P180" i="8"/>
  <c r="T231" i="8"/>
  <c r="S171" i="8"/>
  <c r="S290" i="8"/>
  <c r="O196" i="8"/>
  <c r="R65" i="8"/>
  <c r="V211" i="8"/>
  <c r="P185" i="8"/>
  <c r="T258" i="8"/>
  <c r="R197" i="8"/>
  <c r="O59" i="8"/>
  <c r="R50" i="8"/>
  <c r="O288" i="8"/>
  <c r="N136" i="8"/>
  <c r="U86" i="8"/>
  <c r="U137" i="8"/>
  <c r="S150" i="8"/>
  <c r="O143" i="8"/>
  <c r="O294" i="8"/>
  <c r="U273" i="8"/>
  <c r="N271" i="8"/>
  <c r="S285" i="8"/>
  <c r="R287" i="8"/>
  <c r="R226" i="8"/>
  <c r="Q222" i="8"/>
  <c r="R167" i="8"/>
  <c r="U75" i="8"/>
  <c r="S205" i="8"/>
  <c r="S178" i="8"/>
  <c r="U39" i="8"/>
  <c r="S272" i="8"/>
  <c r="P49" i="8"/>
  <c r="V128" i="8"/>
  <c r="T96" i="8"/>
  <c r="U59" i="8"/>
  <c r="V115" i="8"/>
  <c r="U208" i="8"/>
  <c r="S126" i="8"/>
  <c r="R40" i="8"/>
  <c r="T35" i="8"/>
  <c r="V83" i="8"/>
  <c r="V286" i="8"/>
  <c r="V36" i="8"/>
  <c r="N64" i="8"/>
  <c r="R59" i="8"/>
  <c r="V117" i="8"/>
  <c r="N70" i="8"/>
  <c r="R228" i="8"/>
  <c r="P63" i="8"/>
  <c r="V127" i="8"/>
  <c r="U236" i="8"/>
  <c r="R82" i="8"/>
  <c r="C203" i="60"/>
  <c r="I85" i="1"/>
  <c r="C122" i="60"/>
  <c r="B379" i="8" s="1"/>
  <c r="F379" i="8" s="1"/>
  <c r="B85" i="1"/>
  <c r="C85" i="1" s="1"/>
  <c r="AH418" i="8" s="1"/>
  <c r="A63" i="5"/>
  <c r="S288" i="8"/>
  <c r="O259" i="8"/>
  <c r="T202" i="8"/>
  <c r="U150" i="8"/>
  <c r="O274" i="8"/>
  <c r="P96" i="8"/>
  <c r="O178" i="8"/>
  <c r="T39" i="8"/>
  <c r="U182" i="8"/>
  <c r="R160" i="8"/>
  <c r="Q202" i="8"/>
  <c r="P187" i="8"/>
  <c r="P183" i="8"/>
  <c r="N83" i="8"/>
  <c r="P104" i="8"/>
  <c r="P81" i="8"/>
  <c r="R260" i="8"/>
  <c r="N252" i="8"/>
  <c r="R93" i="8"/>
  <c r="R203" i="8"/>
  <c r="O54" i="8"/>
  <c r="C86" i="62"/>
  <c r="C294" i="8"/>
  <c r="H231" i="8"/>
  <c r="P294" i="8"/>
  <c r="T226" i="8"/>
  <c r="T150" i="8"/>
  <c r="R221" i="8"/>
  <c r="S187" i="8"/>
  <c r="O138" i="8"/>
  <c r="V205" i="8"/>
  <c r="R177" i="8"/>
  <c r="R94" i="8"/>
  <c r="V230" i="8"/>
  <c r="T244" i="8"/>
  <c r="U103" i="8"/>
  <c r="P162" i="8"/>
  <c r="U260" i="8"/>
  <c r="N47" i="8"/>
  <c r="O168" i="8"/>
  <c r="N140" i="8"/>
  <c r="R211" i="8"/>
  <c r="Q205" i="8"/>
  <c r="P111" i="8"/>
  <c r="C85" i="62"/>
  <c r="H351" i="8"/>
  <c r="T294" i="8"/>
  <c r="T225" i="8"/>
  <c r="U124" i="8"/>
  <c r="P61" i="8"/>
  <c r="R146" i="8"/>
  <c r="P113" i="8"/>
  <c r="V245" i="8"/>
  <c r="O87" i="8"/>
  <c r="T43" i="8"/>
  <c r="N117" i="8"/>
  <c r="N272" i="8"/>
  <c r="P34" i="8"/>
  <c r="U110" i="8"/>
  <c r="S239" i="8"/>
  <c r="P184" i="8"/>
  <c r="O182" i="8"/>
  <c r="U151" i="8"/>
  <c r="S160" i="8"/>
  <c r="U61" i="8"/>
  <c r="O122" i="8"/>
  <c r="N286" i="8"/>
  <c r="R273" i="8"/>
  <c r="S226" i="8"/>
  <c r="U81" i="8"/>
  <c r="R243" i="8"/>
  <c r="Q254" i="8"/>
  <c r="N65" i="8"/>
  <c r="R163" i="8"/>
  <c r="Q196" i="8"/>
  <c r="S62" i="8"/>
  <c r="U157" i="8"/>
  <c r="N273" i="8"/>
  <c r="S88" i="8"/>
  <c r="S196" i="8"/>
  <c r="V76" i="8"/>
  <c r="V143" i="8"/>
  <c r="V220" i="8"/>
  <c r="V63" i="8"/>
  <c r="Q50" i="8"/>
  <c r="V183" i="8"/>
  <c r="S242" i="8"/>
  <c r="H59" i="1"/>
  <c r="H60" i="1"/>
  <c r="E111" i="1"/>
  <c r="F236" i="8"/>
  <c r="A184" i="12"/>
  <c r="G239" i="8"/>
  <c r="F237" i="8"/>
  <c r="H240" i="8"/>
  <c r="E236" i="8"/>
  <c r="E39" i="1"/>
  <c r="C24" i="62"/>
  <c r="C87" i="62"/>
  <c r="O285" i="8"/>
  <c r="V260" i="8"/>
  <c r="S294" i="8"/>
  <c r="R225" i="8"/>
  <c r="Q224" i="8"/>
  <c r="R194" i="8"/>
  <c r="Q293" i="8"/>
  <c r="V237" i="8"/>
  <c r="N167" i="8"/>
  <c r="Q172" i="8"/>
  <c r="R117" i="8"/>
  <c r="Q62" i="8"/>
  <c r="U104" i="8"/>
  <c r="T162" i="8"/>
  <c r="T196" i="8"/>
  <c r="P40" i="8"/>
  <c r="Q43" i="8"/>
  <c r="V233" i="8"/>
  <c r="T217" i="8"/>
  <c r="V118" i="8"/>
  <c r="N155" i="8"/>
  <c r="H107" i="1"/>
  <c r="T195" i="8"/>
  <c r="U34" i="8"/>
  <c r="S129" i="8"/>
  <c r="U258" i="8"/>
  <c r="T47" i="8"/>
  <c r="T112" i="8"/>
  <c r="O88" i="8"/>
  <c r="U84" i="8"/>
  <c r="R141" i="8"/>
  <c r="Q243" i="8"/>
  <c r="Q87" i="8"/>
  <c r="P154" i="8"/>
  <c r="S220" i="8"/>
  <c r="R138" i="8"/>
  <c r="P249" i="8"/>
  <c r="R193" i="8"/>
  <c r="P230" i="8"/>
  <c r="N182" i="8"/>
  <c r="S61" i="8"/>
  <c r="P48" i="8"/>
  <c r="P161" i="8"/>
  <c r="V66" i="8"/>
  <c r="Q39" i="8"/>
  <c r="B107" i="1"/>
  <c r="C107" i="1" s="1"/>
  <c r="P125" i="8"/>
  <c r="V88" i="8"/>
  <c r="Q217" i="8"/>
  <c r="V136" i="8"/>
  <c r="R162" i="8"/>
  <c r="Q231" i="8"/>
  <c r="S166" i="8"/>
  <c r="N187" i="8"/>
  <c r="N294" i="8"/>
  <c r="U259" i="8"/>
  <c r="T285" i="8"/>
  <c r="U287" i="8"/>
  <c r="Q290" i="8"/>
  <c r="V274" i="8"/>
  <c r="R292" i="8"/>
  <c r="V225" i="8"/>
  <c r="P225" i="8"/>
  <c r="N258" i="8"/>
  <c r="P237" i="8"/>
  <c r="N124" i="8"/>
  <c r="N179" i="8"/>
  <c r="N115" i="8"/>
  <c r="N259" i="8"/>
  <c r="P257" i="8"/>
  <c r="N73" i="8"/>
  <c r="Q234" i="8"/>
  <c r="T199" i="8"/>
  <c r="Q136" i="8"/>
  <c r="O251" i="8"/>
  <c r="S137" i="8"/>
  <c r="Q79" i="8"/>
  <c r="Q245" i="8"/>
  <c r="Q109" i="8"/>
  <c r="U274" i="8"/>
  <c r="U210" i="8"/>
  <c r="P41" i="8"/>
  <c r="R118" i="8"/>
  <c r="U217" i="8"/>
  <c r="R208" i="8"/>
  <c r="U162" i="8"/>
  <c r="Q61" i="8"/>
  <c r="V218" i="8"/>
  <c r="T155" i="8"/>
  <c r="N134" i="8"/>
  <c r="T136" i="8"/>
  <c r="U254" i="8"/>
  <c r="N170" i="8"/>
  <c r="R244" i="8"/>
  <c r="O36" i="8"/>
  <c r="Q152" i="8"/>
  <c r="R236" i="8"/>
  <c r="V192" i="8"/>
  <c r="Q143" i="8"/>
  <c r="P210" i="8"/>
  <c r="R60" i="8"/>
  <c r="R129" i="8"/>
  <c r="N287" i="8"/>
  <c r="U66" i="8"/>
  <c r="U58" i="8"/>
  <c r="V43" i="8"/>
  <c r="Q121" i="8"/>
  <c r="T221" i="8"/>
  <c r="R237" i="8"/>
  <c r="U49" i="8"/>
  <c r="P84" i="8"/>
  <c r="U181" i="8"/>
  <c r="O258" i="8"/>
  <c r="Q258" i="8"/>
  <c r="V285" i="8"/>
  <c r="R224" i="8"/>
  <c r="P224" i="8"/>
  <c r="N91" i="8"/>
  <c r="R288" i="8"/>
  <c r="Q157" i="8"/>
  <c r="U50" i="8"/>
  <c r="T106" i="8"/>
  <c r="R119" i="8"/>
  <c r="N195" i="8"/>
  <c r="N132" i="8"/>
  <c r="S236" i="8"/>
  <c r="O79" i="8"/>
  <c r="Q183" i="8"/>
  <c r="P87" i="8"/>
  <c r="Q137" i="8"/>
  <c r="R64" i="8"/>
  <c r="T165" i="8"/>
  <c r="R103" i="8"/>
  <c r="U222" i="8"/>
  <c r="V65" i="8"/>
  <c r="R251" i="8"/>
  <c r="V246" i="8"/>
  <c r="S107" i="8"/>
  <c r="N177" i="8"/>
  <c r="U41" i="8"/>
  <c r="N196" i="8"/>
  <c r="T287" i="8"/>
  <c r="S194" i="8"/>
  <c r="V200" i="8"/>
  <c r="S58" i="8"/>
  <c r="Q203" i="8"/>
  <c r="R111" i="8"/>
  <c r="U85" i="8"/>
  <c r="P156" i="8"/>
  <c r="V50" i="8"/>
  <c r="P150" i="8"/>
  <c r="T173" i="8"/>
  <c r="P234" i="8"/>
  <c r="R115" i="8"/>
  <c r="S252" i="8"/>
  <c r="V171" i="8"/>
  <c r="N141" i="8"/>
  <c r="T100" i="8"/>
  <c r="Q139" i="8"/>
  <c r="T205" i="8"/>
  <c r="Q214" i="8"/>
  <c r="U200" i="8"/>
  <c r="P148" i="8"/>
  <c r="S50" i="8"/>
  <c r="V202" i="8"/>
  <c r="O136" i="8"/>
  <c r="N55" i="8"/>
  <c r="Q291" i="8"/>
  <c r="R257" i="8"/>
  <c r="U271" i="8"/>
  <c r="S140" i="8"/>
  <c r="V224" i="8"/>
  <c r="O225" i="8"/>
  <c r="U253" i="8"/>
  <c r="R95" i="8"/>
  <c r="Q162" i="8"/>
  <c r="U240" i="8"/>
  <c r="N50" i="8"/>
  <c r="N60" i="8"/>
  <c r="S184" i="8"/>
  <c r="V198" i="8"/>
  <c r="T245" i="8"/>
  <c r="P152" i="8"/>
  <c r="O125" i="8"/>
  <c r="V250" i="8"/>
  <c r="N106" i="8"/>
  <c r="N103" i="8"/>
  <c r="U233" i="8"/>
  <c r="O116" i="8"/>
  <c r="S85" i="8"/>
  <c r="N69" i="8"/>
  <c r="U87" i="8"/>
  <c r="T189" i="8"/>
  <c r="T88" i="8"/>
  <c r="S116" i="8"/>
  <c r="R199" i="8"/>
  <c r="N151" i="8"/>
  <c r="Q36" i="8"/>
  <c r="R230" i="8"/>
  <c r="S161" i="8"/>
  <c r="P202" i="8"/>
  <c r="T253" i="8"/>
  <c r="Q64" i="8"/>
  <c r="R131" i="8"/>
  <c r="S132" i="8"/>
  <c r="O175" i="8"/>
  <c r="Q228" i="8"/>
  <c r="V141" i="8"/>
  <c r="V151" i="8"/>
  <c r="O130" i="8"/>
  <c r="R218" i="8"/>
  <c r="Q194" i="8"/>
  <c r="R176" i="8"/>
  <c r="P143" i="8"/>
  <c r="T156" i="8"/>
  <c r="U183" i="8"/>
  <c r="Q242" i="8"/>
  <c r="S82" i="8"/>
  <c r="R62" i="8"/>
  <c r="S180" i="8"/>
  <c r="N175" i="8"/>
  <c r="Q204" i="8"/>
  <c r="V52" i="8"/>
  <c r="S53" i="8"/>
  <c r="P272" i="8"/>
  <c r="V258" i="8"/>
  <c r="S73" i="8"/>
  <c r="R127" i="8"/>
  <c r="R39" i="8"/>
  <c r="R41" i="8"/>
  <c r="P285" i="8"/>
  <c r="U117" i="8"/>
  <c r="V167" i="8"/>
  <c r="V101" i="8"/>
  <c r="U193" i="8"/>
  <c r="Q93" i="8"/>
  <c r="N95" i="8"/>
  <c r="T42" i="8"/>
  <c r="V48" i="8"/>
  <c r="R106" i="8"/>
  <c r="S258" i="8"/>
  <c r="V178" i="8"/>
  <c r="R152" i="8"/>
  <c r="O244" i="8"/>
  <c r="V59" i="8"/>
  <c r="V193" i="8"/>
  <c r="O43" i="8"/>
  <c r="V145" i="8"/>
  <c r="Q168" i="8"/>
  <c r="P165" i="8"/>
  <c r="Q34" i="8"/>
  <c r="N251" i="8"/>
  <c r="U173" i="8"/>
  <c r="Q273" i="8"/>
  <c r="S59" i="8"/>
  <c r="Q185" i="8"/>
  <c r="U221" i="8"/>
  <c r="V199" i="8"/>
  <c r="V104" i="8"/>
  <c r="N58" i="8"/>
  <c r="T293" i="8"/>
  <c r="U203" i="8"/>
  <c r="V96" i="8"/>
  <c r="V99" i="8"/>
  <c r="U36" i="8"/>
  <c r="Q181" i="8"/>
  <c r="Q88" i="8"/>
  <c r="T90" i="8"/>
  <c r="Q42" i="8"/>
  <c r="O172" i="8"/>
  <c r="O61" i="8"/>
  <c r="N244" i="8"/>
  <c r="R172" i="8"/>
  <c r="P135" i="8"/>
  <c r="T137" i="8"/>
  <c r="R145" i="8"/>
  <c r="O211" i="8"/>
  <c r="N125" i="8"/>
  <c r="N246" i="8"/>
  <c r="V292" i="8"/>
  <c r="N163" i="8"/>
  <c r="R110" i="8"/>
  <c r="O291" i="8"/>
  <c r="R88" i="8"/>
  <c r="N215" i="8"/>
  <c r="S105" i="8"/>
  <c r="T260" i="8"/>
  <c r="Q160" i="8"/>
  <c r="Q195" i="8"/>
  <c r="R128" i="8"/>
  <c r="N157" i="8"/>
  <c r="V130" i="8"/>
  <c r="P172" i="8"/>
  <c r="O100" i="8"/>
  <c r="R166" i="8"/>
  <c r="Q179" i="8"/>
  <c r="U215" i="8"/>
  <c r="V142" i="8"/>
  <c r="P251" i="8"/>
  <c r="V196" i="8"/>
  <c r="Q35" i="8"/>
  <c r="N52" i="8"/>
  <c r="T52" i="8"/>
  <c r="N121" i="8"/>
  <c r="P80" i="8"/>
  <c r="T197" i="8"/>
  <c r="V189" i="8"/>
  <c r="R58" i="8"/>
  <c r="Q74" i="8"/>
  <c r="T139" i="8"/>
  <c r="T122" i="8"/>
  <c r="R87" i="8"/>
  <c r="R70" i="8"/>
  <c r="R189" i="8"/>
  <c r="N290" i="8"/>
  <c r="N184" i="8"/>
  <c r="Q148" i="8"/>
  <c r="V40" i="8"/>
  <c r="V87" i="8"/>
  <c r="R173" i="8"/>
  <c r="S144" i="8"/>
  <c r="O250" i="8"/>
  <c r="Q105" i="8"/>
  <c r="T91" i="8"/>
  <c r="S234" i="8"/>
  <c r="P116" i="8"/>
  <c r="Q94" i="8"/>
  <c r="V240" i="8"/>
  <c r="S76" i="8"/>
  <c r="P173" i="8"/>
  <c r="U163" i="8"/>
  <c r="O76" i="8"/>
  <c r="R155" i="8"/>
  <c r="Q246" i="8"/>
  <c r="S108" i="8"/>
  <c r="N94" i="8"/>
  <c r="P240" i="8"/>
  <c r="T157" i="8"/>
  <c r="Q274" i="8"/>
  <c r="Q287" i="8"/>
  <c r="Q167" i="8"/>
  <c r="V217" i="8"/>
  <c r="V243" i="8"/>
  <c r="N202" i="8"/>
  <c r="N199" i="8"/>
  <c r="U211" i="8"/>
  <c r="P121" i="8"/>
  <c r="N54" i="8"/>
  <c r="Q206" i="8"/>
  <c r="Q110" i="8"/>
  <c r="N146" i="8"/>
  <c r="P132" i="8"/>
  <c r="U147" i="8"/>
  <c r="V37" i="8"/>
  <c r="Q90" i="8"/>
  <c r="N154" i="8"/>
  <c r="T117" i="8"/>
  <c r="U123" i="8"/>
  <c r="U288" i="8"/>
  <c r="H343" i="8"/>
  <c r="P69" i="8"/>
  <c r="R73" i="8"/>
  <c r="T246" i="8"/>
  <c r="P88" i="8"/>
  <c r="U131" i="8"/>
  <c r="S250" i="8"/>
  <c r="P181" i="8"/>
  <c r="V206" i="8"/>
  <c r="T103" i="8"/>
  <c r="O155" i="8"/>
  <c r="R286" i="8"/>
  <c r="U272" i="8"/>
  <c r="V106" i="8"/>
  <c r="Q146" i="8"/>
  <c r="U142" i="8"/>
  <c r="P189" i="8"/>
  <c r="R206" i="8"/>
  <c r="Q68" i="8"/>
  <c r="O220" i="8"/>
  <c r="N128" i="8"/>
  <c r="T257" i="8"/>
  <c r="U55" i="8"/>
  <c r="O162" i="8"/>
  <c r="O236" i="8"/>
  <c r="R105" i="8"/>
  <c r="Q144" i="8"/>
  <c r="O104" i="8"/>
  <c r="R245" i="8"/>
  <c r="R136" i="8"/>
  <c r="N87" i="8"/>
  <c r="U218" i="8"/>
  <c r="U128" i="8"/>
  <c r="Q218" i="8"/>
  <c r="S43" i="8"/>
  <c r="R204" i="8"/>
  <c r="O69" i="8"/>
  <c r="S100" i="8"/>
  <c r="V203" i="8"/>
  <c r="O128" i="8"/>
  <c r="U179" i="8"/>
  <c r="T183" i="8"/>
  <c r="P217" i="8"/>
  <c r="V42" i="8"/>
  <c r="T143" i="8"/>
  <c r="O189" i="8"/>
  <c r="P147" i="8"/>
  <c r="S60" i="8"/>
  <c r="N236" i="8"/>
  <c r="N288" i="8"/>
  <c r="Q77" i="8"/>
  <c r="Q81" i="8"/>
  <c r="P146" i="8"/>
  <c r="T146" i="8"/>
  <c r="R250" i="8"/>
  <c r="P171" i="8"/>
  <c r="N113" i="8"/>
  <c r="P82" i="8"/>
  <c r="O34" i="8"/>
  <c r="T142" i="8"/>
  <c r="S291" i="8"/>
  <c r="N161" i="8"/>
  <c r="T115" i="8"/>
  <c r="T62" i="8"/>
  <c r="V75" i="8"/>
  <c r="S142" i="8"/>
  <c r="P209" i="8"/>
  <c r="T73" i="8"/>
  <c r="O113" i="8"/>
  <c r="P192" i="8"/>
  <c r="U198" i="8"/>
  <c r="O272" i="8"/>
  <c r="S101" i="8"/>
  <c r="U130" i="8"/>
  <c r="S135" i="8"/>
  <c r="S254" i="8"/>
  <c r="O101" i="8"/>
  <c r="H376" i="8"/>
  <c r="O286" i="8"/>
  <c r="U82" i="8"/>
  <c r="Q163" i="8"/>
  <c r="U209" i="8"/>
  <c r="V197" i="8"/>
  <c r="R188" i="8"/>
  <c r="U185" i="8"/>
  <c r="S286" i="8"/>
  <c r="Q211" i="8"/>
  <c r="S206" i="8"/>
  <c r="S110" i="8"/>
  <c r="P178" i="8"/>
  <c r="S204" i="8"/>
  <c r="P293" i="8"/>
  <c r="N49" i="8"/>
  <c r="S119" i="8"/>
  <c r="Q130" i="8"/>
  <c r="R192" i="8"/>
  <c r="T147" i="8"/>
  <c r="U243" i="8"/>
  <c r="V291" i="8"/>
  <c r="V294" i="8"/>
  <c r="O117" i="8"/>
  <c r="U52" i="8"/>
  <c r="O52" i="8"/>
  <c r="P199" i="8"/>
  <c r="N137" i="8"/>
  <c r="T200" i="8"/>
  <c r="O180" i="8"/>
  <c r="T171" i="8"/>
  <c r="N250" i="8"/>
  <c r="N237" i="8"/>
  <c r="Q175" i="8"/>
  <c r="O193" i="8"/>
  <c r="N178" i="8"/>
  <c r="P246" i="8"/>
  <c r="U167" i="8"/>
  <c r="R205" i="8"/>
  <c r="N85" i="8"/>
  <c r="S182" i="8"/>
  <c r="P254" i="8"/>
  <c r="O110" i="8"/>
  <c r="O181" i="8"/>
  <c r="O218" i="8"/>
  <c r="N205" i="8"/>
  <c r="S175" i="8"/>
  <c r="T188" i="8"/>
  <c r="P100" i="8"/>
  <c r="P50" i="8"/>
  <c r="P141" i="8"/>
  <c r="T214" i="8"/>
  <c r="R113" i="8"/>
  <c r="Q96" i="8"/>
  <c r="Q250" i="8"/>
  <c r="O156" i="8"/>
  <c r="C88" i="62"/>
  <c r="U152" i="8"/>
  <c r="R120" i="8"/>
  <c r="Q85" i="8"/>
  <c r="V134" i="8"/>
  <c r="V124" i="8"/>
  <c r="U44" i="8"/>
  <c r="V57" i="8"/>
  <c r="V34" i="8"/>
  <c r="T185" i="8"/>
  <c r="T138" i="8"/>
  <c r="Q151" i="8"/>
  <c r="T179" i="8"/>
  <c r="T93" i="8"/>
  <c r="U246" i="8"/>
  <c r="N239" i="8"/>
  <c r="S90" i="8"/>
  <c r="T86" i="8"/>
  <c r="O94" i="8"/>
  <c r="R143" i="8"/>
  <c r="O109" i="8"/>
  <c r="O139" i="8"/>
  <c r="O83" i="8"/>
  <c r="S259" i="8"/>
  <c r="R151" i="8"/>
  <c r="V113" i="8"/>
  <c r="O293" i="8"/>
  <c r="O119" i="8"/>
  <c r="S139" i="8"/>
  <c r="O140" i="8"/>
  <c r="N206" i="8"/>
  <c r="N116" i="8"/>
  <c r="T120" i="8"/>
  <c r="S215" i="8"/>
  <c r="T177" i="8"/>
  <c r="V272" i="8"/>
  <c r="N81" i="8"/>
  <c r="S195" i="8"/>
  <c r="R182" i="8"/>
  <c r="S35" i="8"/>
  <c r="R134" i="8"/>
  <c r="S68" i="8"/>
  <c r="S118" i="8"/>
  <c r="U239" i="8"/>
  <c r="U37" i="8"/>
  <c r="N100" i="8"/>
  <c r="P55" i="8"/>
  <c r="T84" i="8"/>
  <c r="R195" i="8"/>
  <c r="O146" i="8"/>
  <c r="R165" i="8"/>
  <c r="O96" i="8"/>
  <c r="V180" i="8"/>
  <c r="R240" i="8"/>
  <c r="P115" i="8"/>
  <c r="Q173" i="8"/>
  <c r="R139" i="8"/>
  <c r="U170" i="8"/>
  <c r="S203" i="8"/>
  <c r="U187" i="8"/>
  <c r="T76" i="8"/>
  <c r="P145" i="8"/>
  <c r="U108" i="8"/>
  <c r="S96" i="8"/>
  <c r="U80" i="8"/>
  <c r="Q142" i="8"/>
  <c r="T124" i="8"/>
  <c r="N66" i="8"/>
  <c r="S103" i="8"/>
  <c r="O123" i="8"/>
  <c r="R202" i="8"/>
  <c r="P128" i="8"/>
  <c r="O147" i="8"/>
  <c r="P62" i="8"/>
  <c r="R187" i="8"/>
  <c r="N168" i="8"/>
  <c r="T247" i="8"/>
  <c r="N242" i="8"/>
  <c r="P79" i="8"/>
  <c r="T234" i="8"/>
  <c r="S199" i="8"/>
  <c r="P57" i="8"/>
  <c r="T119" i="8"/>
  <c r="V214" i="8"/>
  <c r="O194" i="8"/>
  <c r="N74" i="8"/>
  <c r="T167" i="8"/>
  <c r="O173" i="8"/>
  <c r="R150" i="8"/>
  <c r="P188" i="8"/>
  <c r="R86" i="8"/>
  <c r="N42" i="8"/>
  <c r="Q240" i="8"/>
  <c r="Q41" i="8"/>
  <c r="P176" i="8"/>
  <c r="R272" i="8"/>
  <c r="S93" i="8"/>
  <c r="R122" i="8"/>
  <c r="N220" i="8"/>
  <c r="Q71" i="8"/>
  <c r="U177" i="8"/>
  <c r="U129" i="8"/>
  <c r="P274" i="8"/>
  <c r="V181" i="8"/>
  <c r="Q124" i="8"/>
  <c r="P194" i="8"/>
  <c r="U63" i="8"/>
  <c r="P205" i="8"/>
  <c r="T211" i="8"/>
  <c r="Q84" i="8"/>
  <c r="N93" i="8"/>
  <c r="O62" i="8"/>
  <c r="N76" i="8"/>
  <c r="Q233" i="8"/>
  <c r="U155" i="8"/>
  <c r="Q60" i="8"/>
  <c r="T192" i="8"/>
  <c r="V138" i="8"/>
  <c r="S109" i="8"/>
  <c r="U88" i="8"/>
  <c r="S231" i="8"/>
  <c r="V249" i="8"/>
  <c r="S79" i="8"/>
  <c r="T206" i="8"/>
  <c r="P214" i="8"/>
  <c r="V182" i="8"/>
  <c r="T233" i="8"/>
  <c r="T250" i="8"/>
  <c r="V85" i="8"/>
  <c r="V95" i="8"/>
  <c r="N171" i="8"/>
  <c r="U102" i="8"/>
  <c r="V54" i="8"/>
  <c r="R66" i="8"/>
  <c r="O179" i="8"/>
  <c r="P59" i="8"/>
  <c r="U197" i="8"/>
  <c r="Q192" i="8"/>
  <c r="U64" i="8"/>
  <c r="Q147" i="8"/>
  <c r="N260" i="8"/>
  <c r="P47" i="8"/>
  <c r="Q244" i="8"/>
  <c r="S292" i="8"/>
  <c r="N274" i="8"/>
  <c r="V234" i="8"/>
  <c r="O108" i="8"/>
  <c r="R247" i="8"/>
  <c r="N108" i="8"/>
  <c r="N230" i="8"/>
  <c r="P127" i="8"/>
  <c r="V253" i="8"/>
  <c r="O49" i="8"/>
  <c r="R71" i="8"/>
  <c r="V100" i="8"/>
  <c r="S39" i="8"/>
  <c r="R124" i="8"/>
  <c r="N109" i="8"/>
  <c r="S192" i="8"/>
  <c r="Q63" i="8"/>
  <c r="N144" i="8"/>
  <c r="U199" i="8"/>
  <c r="O171" i="8"/>
  <c r="S120" i="8"/>
  <c r="T87" i="8"/>
  <c r="V60" i="8"/>
  <c r="U65" i="8"/>
  <c r="P182" i="8"/>
  <c r="P166" i="8"/>
  <c r="T127" i="8"/>
  <c r="N99" i="8"/>
  <c r="O95" i="8"/>
  <c r="P43" i="8"/>
  <c r="O260" i="8"/>
  <c r="O48" i="8"/>
  <c r="O111" i="8"/>
  <c r="S136" i="8"/>
  <c r="N39" i="8"/>
  <c r="U192" i="8"/>
  <c r="V74" i="8"/>
  <c r="T161" i="8"/>
  <c r="N71" i="8"/>
  <c r="U136" i="8"/>
  <c r="O165" i="8"/>
  <c r="T240" i="8"/>
  <c r="O68" i="8"/>
  <c r="H342" i="8"/>
  <c r="R168" i="8"/>
  <c r="Q239" i="8"/>
  <c r="P220" i="8"/>
  <c r="O115" i="8"/>
  <c r="R233" i="8"/>
  <c r="R75" i="8"/>
  <c r="P211" i="8"/>
  <c r="Q118" i="8"/>
  <c r="U194" i="8"/>
  <c r="N90" i="8"/>
  <c r="R81" i="8"/>
  <c r="S189" i="8"/>
  <c r="T102" i="8"/>
  <c r="U71" i="8"/>
  <c r="B108" i="1"/>
  <c r="C108" i="1" s="1"/>
  <c r="P86" i="8"/>
  <c r="V242" i="8"/>
  <c r="O160" i="8"/>
  <c r="V172" i="8"/>
  <c r="O184" i="8"/>
  <c r="Q251" i="8"/>
  <c r="U99" i="8"/>
  <c r="T74" i="8"/>
  <c r="R154" i="8"/>
  <c r="P218" i="8"/>
  <c r="N84" i="8"/>
  <c r="U138" i="8"/>
  <c r="R63" i="8"/>
  <c r="O89" i="8"/>
  <c r="Q117" i="8"/>
  <c r="R54" i="8"/>
  <c r="N122" i="8"/>
  <c r="T286" i="8"/>
  <c r="V290" i="8"/>
  <c r="O208" i="8"/>
  <c r="T259" i="8"/>
  <c r="R102" i="8"/>
  <c r="S217" i="8"/>
  <c r="V155" i="8"/>
  <c r="N131" i="8"/>
  <c r="R80" i="8"/>
  <c r="P44" i="8"/>
  <c r="S240" i="8"/>
  <c r="V187" i="8"/>
  <c r="V125" i="8"/>
  <c r="U74" i="8"/>
  <c r="V156" i="8"/>
  <c r="T105" i="8"/>
  <c r="U122" i="8"/>
  <c r="O91" i="8"/>
  <c r="R142" i="8"/>
  <c r="S246" i="8"/>
  <c r="Q155" i="8"/>
  <c r="P179" i="8"/>
  <c r="S185" i="8"/>
  <c r="Q200" i="8"/>
  <c r="S84" i="8"/>
  <c r="O177" i="8"/>
  <c r="N200" i="8"/>
  <c r="R147" i="8"/>
  <c r="S271" i="8"/>
  <c r="R258" i="8"/>
  <c r="R34" i="8"/>
  <c r="V209" i="8"/>
  <c r="N181" i="8"/>
  <c r="S208" i="8"/>
  <c r="T274" i="8"/>
  <c r="N142" i="8"/>
  <c r="S123" i="8"/>
  <c r="S87" i="8"/>
  <c r="V112" i="8"/>
  <c r="T77" i="8"/>
  <c r="T129" i="8"/>
  <c r="O71" i="8"/>
  <c r="V273" i="8"/>
  <c r="P215" i="8"/>
  <c r="Q86" i="8"/>
  <c r="S293" i="8"/>
  <c r="P177" i="8"/>
  <c r="U35" i="8"/>
  <c r="O44" i="8"/>
  <c r="T80" i="8"/>
  <c r="U77" i="8"/>
  <c r="O233" i="8"/>
  <c r="R132" i="8"/>
  <c r="R69" i="8"/>
  <c r="V107" i="8"/>
  <c r="S95" i="8"/>
  <c r="V179" i="8"/>
  <c r="S89" i="8"/>
  <c r="P195" i="8"/>
  <c r="T222" i="8"/>
  <c r="V77" i="8"/>
  <c r="S230" i="8"/>
  <c r="S251" i="8"/>
  <c r="O240" i="8"/>
  <c r="V146" i="8"/>
  <c r="P170" i="8"/>
  <c r="O107" i="8"/>
  <c r="R171" i="8"/>
  <c r="V139" i="8"/>
  <c r="Q75" i="8"/>
  <c r="V62" i="8"/>
  <c r="V102" i="8"/>
  <c r="Q70" i="8"/>
  <c r="O195" i="8"/>
  <c r="O237" i="8"/>
  <c r="V93" i="8"/>
  <c r="B294" i="8"/>
  <c r="M294" i="8" s="1"/>
  <c r="T209" i="8"/>
  <c r="N147" i="8"/>
  <c r="U119" i="8"/>
  <c r="U106" i="8"/>
  <c r="O55" i="8"/>
  <c r="P112" i="8"/>
  <c r="R49" i="8"/>
  <c r="U132" i="8"/>
  <c r="O221" i="8"/>
  <c r="O124" i="8"/>
  <c r="Q123" i="8"/>
  <c r="S179" i="8"/>
  <c r="Q83" i="8"/>
  <c r="O202" i="8"/>
  <c r="O210" i="8"/>
  <c r="U293" i="8"/>
  <c r="U141" i="8"/>
  <c r="V188" i="8"/>
  <c r="P76" i="8"/>
  <c r="N135" i="8"/>
  <c r="N36" i="8"/>
  <c r="U148" i="8"/>
  <c r="T121" i="8"/>
  <c r="U43" i="8"/>
  <c r="S197" i="8"/>
  <c r="R254" i="8"/>
  <c r="U101" i="8"/>
  <c r="R144" i="8"/>
  <c r="U144" i="8"/>
  <c r="Q135" i="8"/>
  <c r="R220" i="8"/>
  <c r="U145" i="8"/>
  <c r="S117" i="8"/>
  <c r="O141" i="8"/>
  <c r="U220" i="8"/>
  <c r="U250" i="8"/>
  <c r="N208" i="8"/>
  <c r="O75" i="8"/>
  <c r="V126" i="8"/>
  <c r="T160" i="8"/>
  <c r="P292" i="8"/>
  <c r="S37" i="8"/>
  <c r="O50" i="8"/>
  <c r="Q48" i="8"/>
  <c r="N243" i="8"/>
  <c r="O183" i="8"/>
  <c r="N63" i="8"/>
  <c r="T170" i="8"/>
  <c r="S69" i="8"/>
  <c r="P77" i="8"/>
  <c r="P175" i="8"/>
  <c r="P236" i="8"/>
  <c r="U205" i="8"/>
  <c r="N180" i="8"/>
  <c r="N138" i="8"/>
  <c r="S247" i="8"/>
  <c r="V80" i="8"/>
  <c r="T254" i="8"/>
  <c r="V35" i="8"/>
  <c r="T109" i="8"/>
  <c r="S147" i="8"/>
  <c r="T148" i="8"/>
  <c r="O242" i="8"/>
  <c r="N40" i="8"/>
  <c r="B327" i="8"/>
  <c r="R253" i="8"/>
  <c r="Q161" i="8"/>
  <c r="U125" i="8"/>
  <c r="V144" i="8"/>
  <c r="P118" i="8"/>
  <c r="O206" i="8"/>
  <c r="T34" i="8"/>
  <c r="R180" i="8"/>
  <c r="U156" i="8"/>
  <c r="S167" i="8"/>
  <c r="N211" i="8"/>
  <c r="S228" i="8"/>
  <c r="O63" i="8"/>
  <c r="S176" i="8"/>
  <c r="S237" i="8"/>
  <c r="T218" i="8"/>
  <c r="N254" i="8"/>
  <c r="N80" i="8"/>
  <c r="S157" i="8"/>
  <c r="Q95" i="8"/>
  <c r="T135" i="8"/>
  <c r="Q237" i="8"/>
  <c r="T249" i="8"/>
  <c r="Q106" i="8"/>
  <c r="Q187" i="8"/>
  <c r="O271" i="8"/>
  <c r="O167" i="8"/>
  <c r="N104" i="8"/>
  <c r="O86" i="8"/>
  <c r="R99" i="8"/>
  <c r="T48" i="8"/>
  <c r="T224" i="8"/>
  <c r="U225" i="8"/>
  <c r="O224" i="8"/>
  <c r="S274" i="8"/>
  <c r="T272" i="8"/>
  <c r="T290" i="8"/>
  <c r="V257" i="8"/>
  <c r="Q272" i="8"/>
  <c r="P226" i="8"/>
  <c r="S225" i="8"/>
  <c r="R209" i="8"/>
  <c r="N247" i="8"/>
  <c r="T154" i="8"/>
  <c r="O152" i="8"/>
  <c r="Q236" i="8"/>
  <c r="N185" i="8"/>
  <c r="O42" i="8"/>
  <c r="T101" i="8"/>
  <c r="Q66" i="8"/>
  <c r="Q80" i="8"/>
  <c r="Q113" i="8"/>
  <c r="N214" i="8"/>
  <c r="V236" i="8"/>
  <c r="S148" i="8"/>
  <c r="T37" i="8"/>
  <c r="P74" i="8"/>
  <c r="O47" i="8"/>
  <c r="V90" i="8"/>
  <c r="U40" i="8"/>
  <c r="N245" i="8"/>
  <c r="P65" i="8"/>
  <c r="T95" i="8"/>
  <c r="P108" i="8"/>
  <c r="Q198" i="8"/>
  <c r="S287" i="8"/>
  <c r="S155" i="8"/>
  <c r="P71" i="8"/>
  <c r="O176" i="8"/>
  <c r="T194" i="8"/>
  <c r="U172" i="8"/>
  <c r="R183" i="8"/>
  <c r="T41" i="8"/>
  <c r="T123" i="8"/>
  <c r="T113" i="8"/>
  <c r="H108" i="1"/>
  <c r="R116" i="8"/>
  <c r="U94" i="8"/>
  <c r="Q180" i="8"/>
  <c r="T182" i="8"/>
  <c r="S115" i="8"/>
  <c r="V204" i="8"/>
  <c r="N218" i="8"/>
  <c r="N102" i="8"/>
  <c r="S253" i="8"/>
  <c r="R148" i="8"/>
  <c r="V41" i="8"/>
  <c r="U105" i="8"/>
  <c r="Q104" i="8"/>
  <c r="T53" i="8"/>
  <c r="U294" i="8"/>
  <c r="T271" i="8"/>
  <c r="U257" i="8"/>
  <c r="P288" i="8"/>
  <c r="R290" i="8"/>
  <c r="O292" i="8"/>
  <c r="R285" i="8"/>
  <c r="O290" i="8"/>
  <c r="N291" i="8"/>
  <c r="V293" i="8"/>
  <c r="C22" i="49"/>
  <c r="C68" i="49"/>
  <c r="E316" i="8"/>
  <c r="E317" i="8"/>
  <c r="F214" i="8"/>
  <c r="H214" i="8"/>
  <c r="B214" i="8"/>
  <c r="M214" i="8" s="1"/>
  <c r="D14" i="12"/>
  <c r="B38" i="1"/>
  <c r="C38" i="1" s="1"/>
  <c r="F418" i="8" s="1"/>
  <c r="E38" i="1"/>
  <c r="I43" i="1"/>
  <c r="E40" i="1"/>
  <c r="AT187" i="10"/>
  <c r="AT104" i="10"/>
  <c r="C7" i="8"/>
  <c r="C5" i="64"/>
  <c r="C305" i="8" s="1"/>
  <c r="AS165" i="10" a="1"/>
  <c r="AS158" i="10" a="1"/>
  <c r="AS107" i="10" a="1"/>
  <c r="AS107" i="10" s="1"/>
  <c r="AS175" i="10" a="1"/>
  <c r="AS175" i="10" s="1"/>
  <c r="AS35" i="10" a="1"/>
  <c r="AS35" i="10" s="1"/>
  <c r="AS183" i="10" a="1"/>
  <c r="AS183" i="10" s="1"/>
  <c r="AS245" i="10" a="1"/>
  <c r="AS245" i="10" s="1"/>
  <c r="AT151" i="10" a="1"/>
  <c r="AT151" i="10" s="1"/>
  <c r="AS232" i="10" a="1"/>
  <c r="AT128" i="10" a="1"/>
  <c r="AT163" i="10" a="1"/>
  <c r="AT163" i="10" s="1"/>
  <c r="AS124" i="10" a="1"/>
  <c r="AS124" i="10" s="1"/>
  <c r="AT45" i="10" a="1"/>
  <c r="AT288" i="10" a="1"/>
  <c r="AT288" i="10" s="1"/>
  <c r="AS269" i="10" a="1"/>
  <c r="AS269" i="10" s="1"/>
  <c r="AT247" i="10" a="1"/>
  <c r="AT247" i="10" s="1"/>
  <c r="AS141" i="10" a="1"/>
  <c r="AS141" i="10" s="1"/>
  <c r="AS237" i="10" a="1"/>
  <c r="AS237" i="10" s="1"/>
  <c r="C122" i="57"/>
  <c r="E109" i="1"/>
  <c r="H109" i="1"/>
  <c r="H111" i="1"/>
  <c r="E46" i="1"/>
  <c r="H48" i="1"/>
  <c r="H46" i="1"/>
  <c r="C14" i="3"/>
  <c r="C27" i="3" s="1"/>
  <c r="C13" i="57" s="1"/>
  <c r="B47" i="1"/>
  <c r="C47" i="1" s="1"/>
  <c r="L418" i="8" s="1"/>
  <c r="H47" i="1"/>
  <c r="I45" i="1"/>
  <c r="E48" i="1"/>
  <c r="AS199" i="10" a="1"/>
  <c r="AS199" i="10" s="1"/>
  <c r="AS253" i="10" a="1"/>
  <c r="AS253" i="10" s="1"/>
  <c r="AS112" i="10" a="1"/>
  <c r="AS95" i="10" a="1"/>
  <c r="AS95" i="10" s="1"/>
  <c r="AS82" i="10" a="1"/>
  <c r="AS82" i="10" s="1"/>
  <c r="AS121" i="10" a="1"/>
  <c r="AS121" i="10" s="1"/>
  <c r="AS40" i="10" a="1"/>
  <c r="AS40" i="10" s="1"/>
  <c r="AS214" i="10" a="1"/>
  <c r="AS214" i="10" s="1"/>
  <c r="AT16" i="10" a="1"/>
  <c r="AT16" i="10" s="1"/>
  <c r="AT222" i="10" a="1"/>
  <c r="AT222" i="10" s="1"/>
  <c r="AT296" i="10" a="1"/>
  <c r="AS218" i="10" a="1"/>
  <c r="AS218" i="10" s="1"/>
  <c r="AT137" i="10" a="1"/>
  <c r="AT40" i="10" a="1"/>
  <c r="AT40" i="10" s="1"/>
  <c r="AS274" i="10" a="1"/>
  <c r="AS274" i="10" s="1"/>
  <c r="AS130" i="10" a="1"/>
  <c r="AS130" i="10" s="1"/>
  <c r="AT141" i="10" a="1"/>
  <c r="AT141" i="10" s="1"/>
  <c r="AS148" i="10" a="1"/>
  <c r="AS148" i="10" s="1"/>
  <c r="AT50" i="10" a="1"/>
  <c r="AT50" i="10" s="1"/>
  <c r="AS86" i="10" a="1"/>
  <c r="AS86" i="10" s="1"/>
  <c r="AS167" i="10" a="1"/>
  <c r="AS167" i="10" s="1"/>
  <c r="AT124" i="10" a="1"/>
  <c r="AT124" i="10" s="1"/>
  <c r="AS243" i="10" a="1"/>
  <c r="AT148" i="10" a="1"/>
  <c r="AT148" i="10" s="1"/>
  <c r="AT55" i="10" a="1"/>
  <c r="AS234" i="10" a="1"/>
  <c r="AS234" i="10" s="1"/>
  <c r="AT158" i="10" a="1"/>
  <c r="AT158" i="10" s="1"/>
  <c r="AT164" i="10" a="1"/>
  <c r="AT186" i="10" a="1"/>
  <c r="AT186" i="10" s="1"/>
  <c r="AT259" i="10" a="1"/>
  <c r="AG189" i="8"/>
  <c r="AH189" i="8" s="1"/>
  <c r="J189" i="8"/>
  <c r="AS299" i="10" a="1"/>
  <c r="AS43" i="10" a="1"/>
  <c r="AS74" i="10" a="1"/>
  <c r="AS74" i="10" s="1"/>
  <c r="AS59" i="10" a="1"/>
  <c r="AS59" i="10" s="1"/>
  <c r="AS145" i="10" a="1"/>
  <c r="AS145" i="10" s="1"/>
  <c r="AS22" i="10" a="1"/>
  <c r="AS22" i="10" s="1"/>
  <c r="AS14" i="10" a="1"/>
  <c r="AT62" i="10" a="1"/>
  <c r="AT121" i="10" a="1"/>
  <c r="AT121" i="10" s="1"/>
  <c r="AT225" i="10" a="1"/>
  <c r="AT225" i="10" s="1"/>
  <c r="AT145" i="10" a="1"/>
  <c r="AT33" i="10" a="1"/>
  <c r="AS227" i="10" a="1"/>
  <c r="AS227" i="10" s="1"/>
  <c r="AT155" i="10" a="1"/>
  <c r="AT155" i="10" s="1"/>
  <c r="AT152" i="10" a="1"/>
  <c r="AT203" i="10" a="1"/>
  <c r="AT203" i="10" s="1"/>
  <c r="AT138" i="10" a="1"/>
  <c r="AT102" i="10" a="1"/>
  <c r="AT102" i="10" s="1"/>
  <c r="AS84" i="10" a="1"/>
  <c r="AS84" i="10" s="1"/>
  <c r="AS108" i="10" a="1"/>
  <c r="AS108" i="10" s="1"/>
  <c r="AT80" i="10" a="1"/>
  <c r="AT80" i="10" s="1"/>
  <c r="AT174" i="10" a="1"/>
  <c r="AT256" i="10" a="1"/>
  <c r="AS231" i="10" a="1"/>
  <c r="AS231" i="10" s="1"/>
  <c r="AS46" i="10" a="1"/>
  <c r="AT59" i="10" a="1"/>
  <c r="AT59" i="10" s="1"/>
  <c r="AT236" i="10" a="1"/>
  <c r="AT236" i="10" s="1"/>
  <c r="AS275" i="10" a="1"/>
  <c r="AS275" i="10" s="1"/>
  <c r="AS181" i="10" a="1"/>
  <c r="AS181" i="10" s="1"/>
  <c r="AT93" i="10" a="1"/>
  <c r="AT93" i="10" s="1"/>
  <c r="AS118" i="10" a="1"/>
  <c r="AS118" i="10" s="1"/>
  <c r="AS281" i="10" a="1"/>
  <c r="AS281" i="10" s="1"/>
  <c r="AS273" i="10" a="1"/>
  <c r="AS273" i="10" s="1"/>
  <c r="AS144" i="10" a="1"/>
  <c r="AS144" i="10" s="1"/>
  <c r="AT74" i="10" a="1"/>
  <c r="AT74" i="10" s="1"/>
  <c r="AS50" i="10" a="1"/>
  <c r="AS50" i="10" s="1"/>
  <c r="AS113" i="10" a="1"/>
  <c r="AS113" i="10" s="1"/>
  <c r="AS94" i="10" a="1"/>
  <c r="AS94" i="10" s="1"/>
  <c r="AS79" i="10" a="1"/>
  <c r="AS79" i="10" s="1"/>
  <c r="AS257" i="10" a="1"/>
  <c r="AS257" i="10" s="1"/>
  <c r="AS57" i="10" a="1"/>
  <c r="AS57" i="10" s="1"/>
  <c r="AT175" i="10" a="1"/>
  <c r="AT175" i="10" s="1"/>
  <c r="AS233" i="10" a="1"/>
  <c r="AS233" i="10" s="1"/>
  <c r="AT211" i="10" a="1"/>
  <c r="AT211" i="10" s="1"/>
  <c r="AS99" i="10" a="1"/>
  <c r="AS21" i="10" a="1"/>
  <c r="AS21" i="10" s="1"/>
  <c r="AS272" i="10" a="1"/>
  <c r="AS272" i="10" s="1"/>
  <c r="AS133" i="10" a="1"/>
  <c r="AS51" i="10" a="1"/>
  <c r="AT90" i="10" a="1"/>
  <c r="AT90" i="10" s="1"/>
  <c r="AT205" i="10" a="1"/>
  <c r="AT205" i="10" s="1"/>
  <c r="AT226" i="10" a="1"/>
  <c r="AT226" i="10" s="1"/>
  <c r="AT114" i="10" a="1"/>
  <c r="AT114" i="10" s="1"/>
  <c r="B48" i="1"/>
  <c r="C48" i="1" s="1"/>
  <c r="M418" i="8" s="1"/>
  <c r="AS197" i="10" a="1"/>
  <c r="AT71" i="10" a="1"/>
  <c r="AT71" i="10" s="1"/>
  <c r="AS277" i="10" a="1"/>
  <c r="AS285" i="10" a="1"/>
  <c r="AS285" i="10" s="1"/>
  <c r="AS248" i="10" a="1"/>
  <c r="AS13" i="10" a="1"/>
  <c r="AS13" i="10" s="1"/>
  <c r="AS260" i="10" a="1"/>
  <c r="AS260" i="10" s="1"/>
  <c r="AT64" i="10" a="1"/>
  <c r="AT64" i="10" s="1"/>
  <c r="AT217" i="10" a="1"/>
  <c r="AT217" i="10" s="1"/>
  <c r="AS67" i="10" a="1"/>
  <c r="AS67" i="10" s="1"/>
  <c r="AT147" i="10" a="1"/>
  <c r="AT147" i="10" s="1"/>
  <c r="AT220" i="10" a="1"/>
  <c r="AT220" i="10" s="1"/>
  <c r="AS164" i="10" a="1"/>
  <c r="AS164" i="10" s="1"/>
  <c r="AS117" i="10" a="1"/>
  <c r="AS117" i="10" s="1"/>
  <c r="AT153" i="10" a="1"/>
  <c r="AT153" i="10" s="1"/>
  <c r="AT182" i="10" a="1"/>
  <c r="AT72" i="10" a="1"/>
  <c r="AT72" i="10" s="1"/>
  <c r="AT79" i="10" a="1"/>
  <c r="AT227" i="10" a="1"/>
  <c r="AS66" i="10" a="1"/>
  <c r="AS66" i="10" s="1"/>
  <c r="AS26" i="10" a="1"/>
  <c r="AS26" i="10" s="1"/>
  <c r="AT108" i="10" a="1"/>
  <c r="AT108" i="10" s="1"/>
  <c r="AT241" i="10" a="1"/>
  <c r="AT241" i="10" s="1"/>
  <c r="AT168" i="10" a="1"/>
  <c r="AT52" i="10" a="1"/>
  <c r="AS20" i="10" a="1"/>
  <c r="AS20" i="10" s="1"/>
  <c r="AS228" i="10" a="1"/>
  <c r="AS172" i="10" a="1"/>
  <c r="AS129" i="10" a="1"/>
  <c r="AS129" i="10" s="1"/>
  <c r="AS266" i="10" a="1"/>
  <c r="AS266" i="10" s="1"/>
  <c r="AT46" i="10" a="1"/>
  <c r="AT46" i="10" s="1"/>
  <c r="AT234" i="10" a="1"/>
  <c r="AT234" i="10" s="1"/>
  <c r="AT98" i="10" a="1"/>
  <c r="AT98" i="10" s="1"/>
  <c r="AS244" i="10" a="1"/>
  <c r="AS244" i="10" s="1"/>
  <c r="AT173" i="10" a="1"/>
  <c r="AT173" i="10" s="1"/>
  <c r="AT69" i="10" a="1"/>
  <c r="AT69" i="10" s="1"/>
  <c r="AS283" i="10" a="1"/>
  <c r="AS283" i="10" s="1"/>
  <c r="AS136" i="10" a="1"/>
  <c r="AT191" i="10" a="1"/>
  <c r="AT191" i="10" s="1"/>
  <c r="AT165" i="10" a="1"/>
  <c r="AT165" i="10" s="1"/>
  <c r="AT76" i="10" a="1"/>
  <c r="AS106" i="10" a="1"/>
  <c r="AS106" i="10" s="1"/>
  <c r="AT118" i="10" a="1"/>
  <c r="AT118" i="10" s="1"/>
  <c r="AT111" i="10" a="1"/>
  <c r="AT111" i="10" s="1"/>
  <c r="AT126" i="10" a="1"/>
  <c r="AT126" i="10" s="1"/>
  <c r="AS138" i="10" a="1"/>
  <c r="AT94" i="10" a="1"/>
  <c r="AT94" i="10" s="1"/>
  <c r="AS210" i="10" a="1"/>
  <c r="AS80" i="10" a="1"/>
  <c r="AS80" i="10" s="1"/>
  <c r="AT255" i="10" a="1"/>
  <c r="AT255" i="10" s="1"/>
  <c r="AT263" i="10" a="1"/>
  <c r="AS236" i="10" a="1"/>
  <c r="AS236" i="10" s="1"/>
  <c r="AT238" i="10" a="1"/>
  <c r="AS186" i="10" a="1"/>
  <c r="AS294" i="10" a="1"/>
  <c r="AS294" i="10" s="1"/>
  <c r="AT252" i="10" a="1"/>
  <c r="AT252" i="10" s="1"/>
  <c r="AS271" i="10" a="1"/>
  <c r="AT39" i="10" a="1"/>
  <c r="AS123" i="10" a="1"/>
  <c r="AT206" i="10" a="1"/>
  <c r="AT206" i="10" s="1"/>
  <c r="AS290" i="10" a="1"/>
  <c r="AS290" i="10" s="1"/>
  <c r="AS276" i="10" a="1"/>
  <c r="AS276" i="10" s="1"/>
  <c r="AT266" i="10" a="1"/>
  <c r="AT266" i="10" s="1"/>
  <c r="AS206" i="10" a="1"/>
  <c r="AS206" i="10" s="1"/>
  <c r="AT283" i="10" a="1"/>
  <c r="AT283" i="10" s="1"/>
  <c r="AS10" i="10" a="1"/>
  <c r="AS10" i="10" s="1"/>
  <c r="AS61" i="10" a="1"/>
  <c r="AT193" i="10" a="1"/>
  <c r="AT193" i="10" s="1"/>
  <c r="AT273" i="10" a="1"/>
  <c r="AT273" i="10" s="1"/>
  <c r="AS295" i="10" a="1"/>
  <c r="AS295" i="10" s="1"/>
  <c r="AT131" i="10" a="1"/>
  <c r="AT131" i="10" s="1"/>
  <c r="AT181" i="10" a="1"/>
  <c r="AT181" i="10" s="1"/>
  <c r="AT229" i="10" a="1"/>
  <c r="AT229" i="10" s="1"/>
  <c r="AS286" i="10" a="1"/>
  <c r="AS286" i="10" s="1"/>
  <c r="AT223" i="10" a="1"/>
  <c r="AT223" i="10" s="1"/>
  <c r="AT176" i="10" a="1"/>
  <c r="AT176" i="10" s="1"/>
  <c r="AT125" i="10" a="1"/>
  <c r="AT125" i="10" s="1"/>
  <c r="AT78" i="10" a="1"/>
  <c r="AT78" i="10" s="1"/>
  <c r="AT30" i="10" a="1"/>
  <c r="AT30" i="10" s="1"/>
  <c r="AS49" i="10" a="1"/>
  <c r="AS49" i="10" s="1"/>
  <c r="AS207" i="10" a="1"/>
  <c r="AS36" i="10" a="1"/>
  <c r="AS36" i="10" s="1"/>
  <c r="AS192" i="10" a="1"/>
  <c r="AS192" i="10" s="1"/>
  <c r="AS114" i="10" a="1"/>
  <c r="AS114" i="10" s="1"/>
  <c r="AS135" i="10" a="1"/>
  <c r="AS135" i="10" s="1"/>
  <c r="AS39" i="10" a="1"/>
  <c r="AS39" i="10" s="1"/>
  <c r="AT279" i="10" a="1"/>
  <c r="AT279" i="10" s="1"/>
  <c r="AT34" i="10" a="1"/>
  <c r="AT34" i="10" s="1"/>
  <c r="AS152" i="10" a="1"/>
  <c r="AS152" i="10" s="1"/>
  <c r="AT200" i="10" a="1"/>
  <c r="AT200" i="10" s="1"/>
  <c r="AT245" i="10" a="1"/>
  <c r="AT245" i="10" s="1"/>
  <c r="AT254" i="10" a="1"/>
  <c r="AT254" i="10" s="1"/>
  <c r="AS205" i="10" a="1"/>
  <c r="AS137" i="10" a="1"/>
  <c r="AS137" i="10" s="1"/>
  <c r="AT89" i="10" a="1"/>
  <c r="AT41" i="10" a="1"/>
  <c r="AT41" i="10" s="1"/>
  <c r="AT261" i="10" a="1"/>
  <c r="AT261" i="10" s="1"/>
  <c r="AS151" i="10" a="1"/>
  <c r="AS151" i="10" s="1"/>
  <c r="AS125" i="10" a="1"/>
  <c r="AS193" i="10" a="1"/>
  <c r="AS193" i="10" s="1"/>
  <c r="AS122" i="10" a="1"/>
  <c r="AS215" i="10" a="1"/>
  <c r="AS215" i="10" s="1"/>
  <c r="AS249" i="10" a="1"/>
  <c r="AT289" i="10" a="1"/>
  <c r="AT289" i="10" s="1"/>
  <c r="AT21" i="10" a="1"/>
  <c r="AT99" i="10" a="1"/>
  <c r="AT133" i="10" a="1"/>
  <c r="AS180" i="10" a="1"/>
  <c r="AS180" i="10" s="1"/>
  <c r="AT228" i="10" a="1"/>
  <c r="AT284" i="10" a="1"/>
  <c r="AT284" i="10" s="1"/>
  <c r="AT221" i="10" a="1"/>
  <c r="AT171" i="10" a="1"/>
  <c r="AT171" i="10" s="1"/>
  <c r="AT123" i="10" a="1"/>
  <c r="AS77" i="10" a="1"/>
  <c r="AS77" i="10" s="1"/>
  <c r="AT29" i="10" a="1"/>
  <c r="AT29" i="10" s="1"/>
  <c r="AS70" i="10" a="1"/>
  <c r="AS70" i="10" s="1"/>
  <c r="AS238" i="10" a="1"/>
  <c r="AS238" i="10" s="1"/>
  <c r="AS28" i="10" a="1"/>
  <c r="AS28" i="10" s="1"/>
  <c r="AS268" i="10" a="1"/>
  <c r="AS268" i="10" s="1"/>
  <c r="AS32" i="10" a="1"/>
  <c r="AS32" i="10" s="1"/>
  <c r="AS64" i="10" a="1"/>
  <c r="AS279" i="10" a="1"/>
  <c r="AS278" i="10" a="1"/>
  <c r="AS278" i="10" s="1"/>
  <c r="AT297" i="10" a="1"/>
  <c r="AS90" i="10" a="1"/>
  <c r="AS90" i="10" s="1"/>
  <c r="AS119" i="10" a="1"/>
  <c r="AS119" i="10" s="1"/>
  <c r="AS203" i="10" a="1"/>
  <c r="AS203" i="10" s="1"/>
  <c r="AT58" i="10" a="1"/>
  <c r="AT161" i="10" a="1"/>
  <c r="AT161" i="10" s="1"/>
  <c r="AS198" i="10" a="1"/>
  <c r="AS198" i="10" s="1"/>
  <c r="AT199" i="10" a="1"/>
  <c r="AT199" i="10" s="1"/>
  <c r="AS126" i="10" a="1"/>
  <c r="AS126" i="10" s="1"/>
  <c r="AT144" i="10" a="1"/>
  <c r="AT144" i="10" s="1"/>
  <c r="AT115" i="10" a="1"/>
  <c r="AT115" i="10" s="1"/>
  <c r="AT272" i="10" a="1"/>
  <c r="AT272" i="10" s="1"/>
  <c r="AT85" i="10" a="1"/>
  <c r="AT85" i="10" s="1"/>
  <c r="AS163" i="10" a="1"/>
  <c r="AS163" i="10" s="1"/>
  <c r="AS31" i="10" a="1"/>
  <c r="AS31" i="10" s="1"/>
  <c r="AS189" i="10" a="1"/>
  <c r="AT291" i="10" a="1"/>
  <c r="AT291" i="10" s="1"/>
  <c r="AT19" i="10" a="1"/>
  <c r="AS142" i="10" a="1"/>
  <c r="AS142" i="10" s="1"/>
  <c r="AT212" i="10" a="1"/>
  <c r="AT212" i="10" s="1"/>
  <c r="AT24" i="10" a="1"/>
  <c r="AS101" i="10" a="1"/>
  <c r="AT120" i="10" a="1"/>
  <c r="AT120" i="10" s="1"/>
  <c r="AT184" i="10" a="1"/>
  <c r="AT243" i="10" a="1"/>
  <c r="AT243" i="10" s="1"/>
  <c r="AS255" i="10" a="1"/>
  <c r="AS255" i="10" s="1"/>
  <c r="AT188" i="10" a="1"/>
  <c r="AT188" i="10" s="1"/>
  <c r="AT143" i="10" a="1"/>
  <c r="AT143" i="10" s="1"/>
  <c r="AS73" i="10" a="1"/>
  <c r="AT27" i="10" a="1"/>
  <c r="AT27" i="10" s="1"/>
  <c r="AS115" i="10" a="1"/>
  <c r="AS115" i="10" s="1"/>
  <c r="AS159" i="10" a="1"/>
  <c r="AS159" i="10" s="1"/>
  <c r="AS195" i="10" a="1"/>
  <c r="AS195" i="10" s="1"/>
  <c r="AS76" i="10" a="1"/>
  <c r="AS76" i="10" s="1"/>
  <c r="AS78" i="10" a="1"/>
  <c r="AS78" i="10" s="1"/>
  <c r="AT70" i="10" a="1"/>
  <c r="AT70" i="10" s="1"/>
  <c r="AT65" i="10" a="1"/>
  <c r="AS296" i="10" a="1"/>
  <c r="AS296" i="10" s="1"/>
  <c r="AT117" i="10" a="1"/>
  <c r="AT117" i="10" s="1"/>
  <c r="AS178" i="10" a="1"/>
  <c r="AS178" i="10" s="1"/>
  <c r="AS229" i="10" a="1"/>
  <c r="AS229" i="10" s="1"/>
  <c r="AT285" i="10" a="1"/>
  <c r="AT285" i="10" s="1"/>
  <c r="AT201" i="10" a="1"/>
  <c r="AT201" i="10" s="1"/>
  <c r="AT157" i="10" a="1"/>
  <c r="AT157" i="10" s="1"/>
  <c r="AS93" i="10" a="1"/>
  <c r="AS93" i="10" s="1"/>
  <c r="AT47" i="10" a="1"/>
  <c r="AS100" i="10" a="1"/>
  <c r="AS100" i="10" s="1"/>
  <c r="AS240" i="10" a="1"/>
  <c r="AS87" i="10" a="1"/>
  <c r="AS87" i="10" s="1"/>
  <c r="AS190" i="10" a="1"/>
  <c r="AS190" i="10" s="1"/>
  <c r="AS147" i="10" a="1"/>
  <c r="AS147" i="10" s="1"/>
  <c r="AS143" i="10" a="1"/>
  <c r="AS72" i="10" a="1"/>
  <c r="AS104" i="10" a="1"/>
  <c r="AS104" i="10" s="1"/>
  <c r="AS52" i="10" a="1"/>
  <c r="AS52" i="10" s="1"/>
  <c r="AT166" i="10" a="1"/>
  <c r="AT213" i="10" a="1"/>
  <c r="AT213" i="10" s="1"/>
  <c r="AT281" i="10" a="1"/>
  <c r="AS201" i="10" a="1"/>
  <c r="AS201" i="10" s="1"/>
  <c r="AS154" i="10" a="1"/>
  <c r="AS154" i="10" s="1"/>
  <c r="AS109" i="10" a="1"/>
  <c r="AS109" i="10" s="1"/>
  <c r="AS41" i="10" a="1"/>
  <c r="AS41" i="10" s="1"/>
  <c r="AT258" i="10" a="1"/>
  <c r="AT258" i="10" s="1"/>
  <c r="AS211" i="10" a="1"/>
  <c r="AS211" i="10" s="1"/>
  <c r="AS44" i="10" a="1"/>
  <c r="AS44" i="10" s="1"/>
  <c r="AS256" i="10" a="1"/>
  <c r="AS256" i="10" s="1"/>
  <c r="AS297" i="10" a="1"/>
  <c r="AS297" i="10" s="1"/>
  <c r="AS182" i="10" a="1"/>
  <c r="AS182" i="10" s="1"/>
  <c r="AS81" i="10" a="1"/>
  <c r="AS81" i="10" s="1"/>
  <c r="AT136" i="10" a="1"/>
  <c r="AT83" i="10" a="1"/>
  <c r="AT83" i="10" s="1"/>
  <c r="AT195" i="10" a="1"/>
  <c r="AT233" i="10" a="1"/>
  <c r="AT233" i="10" s="1"/>
  <c r="AT75" i="10" a="1"/>
  <c r="AT75" i="10" s="1"/>
  <c r="AT15" i="10" a="1"/>
  <c r="AT15" i="10" s="1"/>
  <c r="AS134" i="10" a="1"/>
  <c r="AS134" i="10" s="1"/>
  <c r="AS226" i="10" a="1"/>
  <c r="AS25" i="10" a="1"/>
  <c r="AS25" i="10" s="1"/>
  <c r="AS120" i="10" a="1"/>
  <c r="AS120" i="10" s="1"/>
  <c r="AT232" i="10" a="1"/>
  <c r="AT232" i="10" s="1"/>
  <c r="AT139" i="10" a="1"/>
  <c r="AT139" i="10" s="1"/>
  <c r="AT96" i="10" a="1"/>
  <c r="AT96" i="10" s="1"/>
  <c r="AT26" i="10" a="1"/>
  <c r="AT26" i="10" s="1"/>
  <c r="AS224" i="10" a="1"/>
  <c r="AS224" i="10" s="1"/>
  <c r="AS176" i="10" a="1"/>
  <c r="AS15" i="10" a="1"/>
  <c r="AS15" i="10" s="1"/>
  <c r="AT68" i="10" a="1"/>
  <c r="AT68" i="10" s="1"/>
  <c r="AT116" i="10" a="1"/>
  <c r="AT116" i="10" s="1"/>
  <c r="AT216" i="10" a="1"/>
  <c r="AT216" i="10" s="1"/>
  <c r="AT204" i="10" a="1"/>
  <c r="AT112" i="10" a="1"/>
  <c r="AT112" i="10" s="1"/>
  <c r="AT44" i="10" a="1"/>
  <c r="AT44" i="10" s="1"/>
  <c r="AS250" i="10" a="1"/>
  <c r="AS250" i="10" s="1"/>
  <c r="AS188" i="10" a="1"/>
  <c r="AS131" i="10" a="1"/>
  <c r="AT82" i="10" a="1"/>
  <c r="AT82" i="10" s="1"/>
  <c r="AT31" i="10" a="1"/>
  <c r="AT31" i="10" s="1"/>
  <c r="AS63" i="10" a="1"/>
  <c r="AS63" i="10" s="1"/>
  <c r="AT14" i="10" a="1"/>
  <c r="AT14" i="10" s="1"/>
  <c r="AT28" i="10" a="1"/>
  <c r="AT28" i="10" s="1"/>
  <c r="AT56" i="10" a="1"/>
  <c r="AT56" i="10" s="1"/>
  <c r="AT100" i="10" a="1"/>
  <c r="AT198" i="10" a="1"/>
  <c r="AT237" i="10" a="1"/>
  <c r="AT237" i="10" s="1"/>
  <c r="AT169" i="10" a="1"/>
  <c r="AT169" i="10" s="1"/>
  <c r="AT57" i="10" a="1"/>
  <c r="AT57" i="10" s="1"/>
  <c r="AS161" i="10" a="1"/>
  <c r="AS161" i="10" s="1"/>
  <c r="AS242" i="10" a="1"/>
  <c r="AS242" i="10" s="1"/>
  <c r="AT101" i="10" a="1"/>
  <c r="AT101" i="10" s="1"/>
  <c r="AT274" i="10" a="1"/>
  <c r="AT274" i="10" s="1"/>
  <c r="AT51" i="10" a="1"/>
  <c r="AT51" i="10" s="1"/>
  <c r="AS184" i="10" a="1"/>
  <c r="AS184" i="10" s="1"/>
  <c r="AT208" i="10" a="1"/>
  <c r="AT208" i="10" s="1"/>
  <c r="AS75" i="10" a="1"/>
  <c r="AS75" i="10" s="1"/>
  <c r="AS289" i="10" a="1"/>
  <c r="AS289" i="10" s="1"/>
  <c r="AS179" i="10" a="1"/>
  <c r="AS179" i="10" s="1"/>
  <c r="AS202" i="10" a="1"/>
  <c r="AT88" i="10" a="1"/>
  <c r="AT88" i="10" s="1"/>
  <c r="AT119" i="10" a="1"/>
  <c r="AT119" i="10" s="1"/>
  <c r="AT250" i="10" a="1"/>
  <c r="AT250" i="10" s="1"/>
  <c r="AT160" i="10" a="1"/>
  <c r="AT160" i="10" s="1"/>
  <c r="AS47" i="10" a="1"/>
  <c r="AS47" i="10" s="1"/>
  <c r="AS222" i="10" a="1"/>
  <c r="AS222" i="10" s="1"/>
  <c r="AS174" i="10" a="1"/>
  <c r="AS171" i="10" a="1"/>
  <c r="AS171" i="10" s="1"/>
  <c r="AS23" i="10" a="1"/>
  <c r="AS23" i="10" s="1"/>
  <c r="AS216" i="10" a="1"/>
  <c r="AS216" i="10" s="1"/>
  <c r="AS153" i="10" a="1"/>
  <c r="AT43" i="10" a="1"/>
  <c r="AT73" i="10" a="1"/>
  <c r="AT73" i="10" s="1"/>
  <c r="AT86" i="10" a="1"/>
  <c r="AT86" i="10" s="1"/>
  <c r="AW78" i="10" s="1"/>
  <c r="AT290" i="10" a="1"/>
  <c r="AT290" i="10" s="1"/>
  <c r="AT149" i="10" a="1"/>
  <c r="AT209" i="10" a="1"/>
  <c r="AS217" i="10" a="1"/>
  <c r="AS217" i="10" s="1"/>
  <c r="AS105" i="10" a="1"/>
  <c r="AS105" i="10" s="1"/>
  <c r="AS177" i="10" a="1"/>
  <c r="AS177" i="10" s="1"/>
  <c r="AS252" i="10" a="1"/>
  <c r="AS252" i="10" s="1"/>
  <c r="AT262" i="10" a="1"/>
  <c r="AT262" i="10" s="1"/>
  <c r="AT292" i="10" a="1"/>
  <c r="AT292" i="10" s="1"/>
  <c r="AT293" i="10" a="1"/>
  <c r="AT134" i="10" a="1"/>
  <c r="AT170" i="10" a="1"/>
  <c r="AT170" i="10" s="1"/>
  <c r="AS103" i="10" a="1"/>
  <c r="AS103" i="10" s="1"/>
  <c r="AT244" i="10" a="1"/>
  <c r="AT244" i="10" s="1"/>
  <c r="AS150" i="10" a="1"/>
  <c r="AS150" i="10" s="1"/>
  <c r="AT224" i="10" a="1"/>
  <c r="AT224" i="10" s="1"/>
  <c r="AS185" i="10" a="1"/>
  <c r="AS185" i="10" s="1"/>
  <c r="AT294" i="10" a="1"/>
  <c r="AS38" i="10" a="1"/>
  <c r="AS38" i="10" s="1"/>
  <c r="AT22" i="10" a="1"/>
  <c r="AT22" i="10" s="1"/>
  <c r="AT135" i="10" a="1"/>
  <c r="AT135" i="10" s="1"/>
  <c r="AT246" i="10" a="1"/>
  <c r="AT246" i="10" s="1"/>
  <c r="AS191" i="10" a="1"/>
  <c r="AS191" i="10" s="1"/>
  <c r="AS127" i="10" a="1"/>
  <c r="AS127" i="10" s="1"/>
  <c r="AS29" i="10" a="1"/>
  <c r="AS29" i="10" s="1"/>
  <c r="AT67" i="10" a="1"/>
  <c r="AT67" i="10" s="1"/>
  <c r="AT277" i="10" a="1"/>
  <c r="AT277" i="10" s="1"/>
  <c r="AS83" i="10" a="1"/>
  <c r="AS83" i="10" s="1"/>
  <c r="AT180" i="10" a="1"/>
  <c r="AT180" i="10" s="1"/>
  <c r="AS288" i="10" a="1"/>
  <c r="AS288" i="10" s="1"/>
  <c r="AS97" i="10" a="1"/>
  <c r="AS97" i="10" s="1"/>
  <c r="AS116" i="10" a="1"/>
  <c r="AS116" i="10" s="1"/>
  <c r="AV108" i="10" s="1"/>
  <c r="AS287" i="10" a="1"/>
  <c r="AS287" i="10" s="1"/>
  <c r="AT97" i="10" a="1"/>
  <c r="AT177" i="10" a="1"/>
  <c r="AT177" i="10" s="1"/>
  <c r="AT287" i="10" a="1"/>
  <c r="AT287" i="10" s="1"/>
  <c r="AT156" i="10" a="1"/>
  <c r="AT156" i="10" s="1"/>
  <c r="AS71" i="10" a="1"/>
  <c r="AS71" i="10" s="1"/>
  <c r="AS88" i="10" a="1"/>
  <c r="AS88" i="10" s="1"/>
  <c r="AS284" i="10" a="1"/>
  <c r="AS284" i="10" s="1"/>
  <c r="AT84" i="10" a="1"/>
  <c r="AT84" i="10" s="1"/>
  <c r="AT260" i="10" a="1"/>
  <c r="AS54" i="10" a="1"/>
  <c r="AS54" i="10" s="1"/>
  <c r="AT286" i="10" a="1"/>
  <c r="AS62" i="10" a="1"/>
  <c r="AS62" i="10" s="1"/>
  <c r="AT276" i="10" a="1"/>
  <c r="AT276" i="10" s="1"/>
  <c r="AT146" i="10" a="1"/>
  <c r="AT146" i="10" s="1"/>
  <c r="AT265" i="10" a="1"/>
  <c r="AT265" i="10" s="1"/>
  <c r="AT122" i="10" a="1"/>
  <c r="AT12" i="10" a="1"/>
  <c r="AT12" i="10" s="1"/>
  <c r="AS91" i="10" a="1"/>
  <c r="AS12" i="10" a="1"/>
  <c r="AS12" i="10" s="1"/>
  <c r="AS65" i="10" a="1"/>
  <c r="AS65" i="10" s="1"/>
  <c r="AT130" i="10" a="1"/>
  <c r="AT130" i="10" s="1"/>
  <c r="AS251" i="10" a="1"/>
  <c r="AS251" i="10" s="1"/>
  <c r="AT142" i="10" a="1"/>
  <c r="AT142" i="10" s="1"/>
  <c r="AS30" i="10" a="1"/>
  <c r="AS170" i="10" a="1"/>
  <c r="AS170" i="10" s="1"/>
  <c r="AS110" i="10" a="1"/>
  <c r="AS110" i="10" s="1"/>
  <c r="AS258" i="10" a="1"/>
  <c r="AS258" i="10" s="1"/>
  <c r="AT231" i="10" a="1"/>
  <c r="AT207" i="10" a="1"/>
  <c r="AT207" i="10" s="1"/>
  <c r="AT92" i="10" a="1"/>
  <c r="AS53" i="10" a="1"/>
  <c r="AS53" i="10" s="1"/>
  <c r="AS85" i="10" a="1"/>
  <c r="AS85" i="10" s="1"/>
  <c r="AS213" i="10" a="1"/>
  <c r="AS213" i="10" s="1"/>
  <c r="AS262" i="10" a="1"/>
  <c r="AS96" i="10" a="1"/>
  <c r="AS96" i="10" s="1"/>
  <c r="AT230" i="10" a="1"/>
  <c r="AT230" i="10" s="1"/>
  <c r="AT275" i="10" a="1"/>
  <c r="AT275" i="10" s="1"/>
  <c r="AT268" i="10" a="1"/>
  <c r="AT268" i="10" s="1"/>
  <c r="AS173" i="10" a="1"/>
  <c r="AS173" i="10" s="1"/>
  <c r="AT60" i="10" a="1"/>
  <c r="AT60" i="10" s="1"/>
  <c r="AT9" i="10" a="1"/>
  <c r="AT9" i="10" s="1"/>
  <c r="AS60" i="10" a="1"/>
  <c r="AS60" i="10" s="1"/>
  <c r="AS293" i="10" a="1"/>
  <c r="AS293" i="10" s="1"/>
  <c r="AS247" i="10" a="1"/>
  <c r="AS247" i="10" s="1"/>
  <c r="AT20" i="10" a="1"/>
  <c r="AT20" i="10" s="1"/>
  <c r="AS146" i="10" a="1"/>
  <c r="AT25" i="10" a="1"/>
  <c r="AT25" i="10" s="1"/>
  <c r="AT218" i="10" a="1"/>
  <c r="AT218" i="10" s="1"/>
  <c r="AS98" i="10" a="1"/>
  <c r="AS98" i="10" s="1"/>
  <c r="AS292" i="10" a="1"/>
  <c r="AS292" i="10" s="1"/>
  <c r="AS265" i="10" a="1"/>
  <c r="AS265" i="10" s="1"/>
  <c r="AS261" i="10" a="1"/>
  <c r="AS261" i="10" s="1"/>
  <c r="AS168" i="10" a="1"/>
  <c r="AS168" i="10" s="1"/>
  <c r="AS58" i="10" a="1"/>
  <c r="AS166" i="10" a="1"/>
  <c r="AT61" i="10" a="1"/>
  <c r="AT61" i="10" s="1"/>
  <c r="AT239" i="10" a="1"/>
  <c r="AT239" i="10" s="1"/>
  <c r="AT242" i="10" a="1"/>
  <c r="AT242" i="10" s="1"/>
  <c r="AS19" i="10" a="1"/>
  <c r="AS19" i="10" s="1"/>
  <c r="AS209" i="10" a="1"/>
  <c r="AS209" i="10" s="1"/>
  <c r="AS45" i="10" a="1"/>
  <c r="AS45" i="10" s="1"/>
  <c r="AS219" i="10" a="1"/>
  <c r="AS219" i="10" s="1"/>
  <c r="AS111" i="10" a="1"/>
  <c r="AS111" i="10" s="1"/>
  <c r="AS160" i="10" a="1"/>
  <c r="AS160" i="10" s="1"/>
  <c r="AT42" i="10" a="1"/>
  <c r="AT42" i="10" s="1"/>
  <c r="AT282" i="10" a="1"/>
  <c r="AT282" i="10" s="1"/>
  <c r="AT87" i="10" a="1"/>
  <c r="AT87" i="10" s="1"/>
  <c r="AT249" i="10" a="1"/>
  <c r="AT249" i="10" s="1"/>
  <c r="AT105" i="10" a="1"/>
  <c r="AT105" i="10" s="1"/>
  <c r="E37" i="1"/>
  <c r="H38" i="1"/>
  <c r="B39" i="1"/>
  <c r="C39" i="1" s="1"/>
  <c r="G418" i="8" s="1"/>
  <c r="H40" i="1"/>
  <c r="C125" i="57"/>
  <c r="E47" i="1"/>
  <c r="AS92" i="10" a="1"/>
  <c r="AS92" i="10" s="1"/>
  <c r="AS37" i="10" a="1"/>
  <c r="AS37" i="10" s="1"/>
  <c r="AS139" i="10" a="1"/>
  <c r="AS139" i="10" s="1"/>
  <c r="AT235" i="10" a="1"/>
  <c r="AT235" i="10" s="1"/>
  <c r="AT210" i="10" a="1"/>
  <c r="AT210" i="10" s="1"/>
  <c r="AT66" i="10" a="1"/>
  <c r="AT66" i="10" s="1"/>
  <c r="AS16" i="10" a="1"/>
  <c r="AS16" i="10" s="1"/>
  <c r="AS132" i="10" a="1"/>
  <c r="AS132" i="10" s="1"/>
  <c r="AT240" i="10" a="1"/>
  <c r="AT240" i="10" s="1"/>
  <c r="AS235" i="10" a="1"/>
  <c r="AS235" i="10" s="1"/>
  <c r="AS223" i="10" a="1"/>
  <c r="AT63" i="10" a="1"/>
  <c r="AT63" i="10" s="1"/>
  <c r="AT271" i="10" a="1"/>
  <c r="AT271" i="10" s="1"/>
  <c r="AT49" i="10" a="1"/>
  <c r="AT49" i="10" s="1"/>
  <c r="AT11" i="10" a="1"/>
  <c r="AT11" i="10" s="1"/>
  <c r="H110" i="1"/>
  <c r="AT18" i="10" a="1"/>
  <c r="AT18" i="10" s="1"/>
  <c r="AS128" i="10" a="1"/>
  <c r="AS128" i="10" s="1"/>
  <c r="AS33" i="10" a="1"/>
  <c r="AS33" i="10" s="1"/>
  <c r="AS200" i="10" a="1"/>
  <c r="AS200" i="10" s="1"/>
  <c r="AT129" i="10" a="1"/>
  <c r="AT129" i="10" s="1"/>
  <c r="AT23" i="10" a="1"/>
  <c r="AT23" i="10" s="1"/>
  <c r="AS27" i="10" a="1"/>
  <c r="AS27" i="10" s="1"/>
  <c r="AS291" i="10" a="1"/>
  <c r="AS291" i="10" s="1"/>
  <c r="AT154" i="10" a="1"/>
  <c r="AT154" i="10" s="1"/>
  <c r="AT214" i="10" a="1"/>
  <c r="AT214" i="10" s="1"/>
  <c r="AT113" i="10" a="1"/>
  <c r="AS204" i="10" a="1"/>
  <c r="AS204" i="10" s="1"/>
  <c r="AS55" i="10" a="1"/>
  <c r="AT185" i="10" a="1"/>
  <c r="AT185" i="10" s="1"/>
  <c r="AS241" i="10" a="1"/>
  <c r="AS241" i="10" s="1"/>
  <c r="AS156" i="10" a="1"/>
  <c r="AS156" i="10" s="1"/>
  <c r="AT91" i="10" a="1"/>
  <c r="AT91" i="10" s="1"/>
  <c r="AT159" i="10" a="1"/>
  <c r="AT159" i="10" s="1"/>
  <c r="B109" i="1"/>
  <c r="C109" i="1" s="1"/>
  <c r="AS68" i="10" a="1"/>
  <c r="AS68" i="10" s="1"/>
  <c r="AS140" i="10" a="1"/>
  <c r="AS140" i="10" s="1"/>
  <c r="AT257" i="10" a="1"/>
  <c r="AT257" i="10" s="1"/>
  <c r="AT192" i="10" a="1"/>
  <c r="AT253" i="10" a="1"/>
  <c r="AT196" i="10" a="1"/>
  <c r="AT196" i="10" s="1"/>
  <c r="AS263" i="10" a="1"/>
  <c r="B111" i="1"/>
  <c r="C111" i="1" s="1"/>
  <c r="AS264" i="10" a="1"/>
  <c r="AS208" i="10" a="1"/>
  <c r="AS208" i="10" s="1"/>
  <c r="AS246" i="10" a="1"/>
  <c r="AS246" i="10" s="1"/>
  <c r="AS155" i="10" a="1"/>
  <c r="AS11" i="10" a="1"/>
  <c r="AS11" i="10" s="1"/>
  <c r="AT95" i="10" a="1"/>
  <c r="AT189" i="10" a="1"/>
  <c r="AT269" i="10" a="1"/>
  <c r="AT269" i="10" s="1"/>
  <c r="AS194" i="10" a="1"/>
  <c r="AS194" i="10" s="1"/>
  <c r="AT37" i="10" a="1"/>
  <c r="AS17" i="10" a="1"/>
  <c r="AS17" i="10" s="1"/>
  <c r="AS18" i="10" a="1"/>
  <c r="AS18" i="10" s="1"/>
  <c r="AS239" i="10" a="1"/>
  <c r="AS239" i="10" s="1"/>
  <c r="AS89" i="10" a="1"/>
  <c r="AS89" i="10" s="1"/>
  <c r="AT264" i="10" a="1"/>
  <c r="AT264" i="10" s="1"/>
  <c r="AT77" i="10" a="1"/>
  <c r="AT77" i="10" s="1"/>
  <c r="AT172" i="10" a="1"/>
  <c r="AT172" i="10" s="1"/>
  <c r="AS282" i="10" a="1"/>
  <c r="AS282" i="10" s="1"/>
  <c r="AT197" i="10" a="1"/>
  <c r="AS34" i="10" a="1"/>
  <c r="AS34" i="10" s="1"/>
  <c r="AS225" i="10" a="1"/>
  <c r="AS225" i="10" s="1"/>
  <c r="AS9" i="10" a="1"/>
  <c r="AS9" i="10" s="1"/>
  <c r="AS69" i="10" a="1"/>
  <c r="AS69" i="10" s="1"/>
  <c r="AT110" i="10" a="1"/>
  <c r="AT110" i="10" s="1"/>
  <c r="AT202" i="10" a="1"/>
  <c r="AT215" i="10" a="1"/>
  <c r="AT54" i="10" a="1"/>
  <c r="AT54" i="10" s="1"/>
  <c r="AS254" i="10" a="1"/>
  <c r="AT81" i="10" a="1"/>
  <c r="AT81" i="10" s="1"/>
  <c r="AT150" i="10" a="1"/>
  <c r="AT150" i="10" s="1"/>
  <c r="AS220" i="10" a="1"/>
  <c r="AS220" i="10" s="1"/>
  <c r="D78" i="1"/>
  <c r="O273" i="8"/>
  <c r="V168" i="8"/>
  <c r="O81" i="8"/>
  <c r="T54" i="8"/>
  <c r="U54" i="8"/>
  <c r="Q55" i="8"/>
  <c r="V55" i="8"/>
  <c r="P52" i="8"/>
  <c r="V120" i="8"/>
  <c r="Q271" i="8"/>
  <c r="V47" i="8"/>
  <c r="U161" i="8"/>
  <c r="O127" i="8"/>
  <c r="P233" i="8"/>
  <c r="P70" i="8"/>
  <c r="V105" i="8"/>
  <c r="U166" i="8"/>
  <c r="N112" i="8"/>
  <c r="P106" i="8"/>
  <c r="R44" i="8"/>
  <c r="V71" i="8"/>
  <c r="P247" i="8"/>
  <c r="U285" i="8"/>
  <c r="U206" i="8"/>
  <c r="P244" i="8"/>
  <c r="P221" i="8"/>
  <c r="T44" i="8"/>
  <c r="P66" i="8"/>
  <c r="V170" i="8"/>
  <c r="P144" i="8"/>
  <c r="U249" i="8"/>
  <c r="R156" i="8"/>
  <c r="Q40" i="8"/>
  <c r="Q189" i="8"/>
  <c r="Q37" i="8"/>
  <c r="T251" i="8"/>
  <c r="P250" i="8"/>
  <c r="Q122" i="8"/>
  <c r="R214" i="8"/>
  <c r="Q193" i="8"/>
  <c r="B300" i="8"/>
  <c r="T172" i="8"/>
  <c r="O154" i="8"/>
  <c r="U230" i="8"/>
  <c r="P103" i="8"/>
  <c r="O198" i="8"/>
  <c r="O247" i="8"/>
  <c r="S47" i="8"/>
  <c r="P35" i="8"/>
  <c r="Q138" i="8"/>
  <c r="O252" i="8"/>
  <c r="T145" i="8"/>
  <c r="V215" i="8"/>
  <c r="N126" i="8"/>
  <c r="U139" i="8"/>
  <c r="P142" i="8"/>
  <c r="U113" i="8"/>
  <c r="N240" i="8"/>
  <c r="T243" i="8"/>
  <c r="P252" i="8"/>
  <c r="O37" i="8"/>
  <c r="R135" i="8"/>
  <c r="N231" i="8"/>
  <c r="S70" i="8"/>
  <c r="O73" i="8"/>
  <c r="N68" i="8"/>
  <c r="R108" i="8"/>
  <c r="P139" i="8"/>
  <c r="P53" i="8"/>
  <c r="Q53" i="8"/>
  <c r="V53" i="8"/>
  <c r="S54" i="8"/>
  <c r="Q257" i="8"/>
  <c r="O245" i="8"/>
  <c r="O118" i="8"/>
  <c r="U251" i="8"/>
  <c r="U83" i="8"/>
  <c r="O185" i="8"/>
  <c r="U168" i="8"/>
  <c r="R100" i="8"/>
  <c r="R137" i="8"/>
  <c r="T131" i="8"/>
  <c r="V195" i="8"/>
  <c r="Q215" i="8"/>
  <c r="N120" i="8"/>
  <c r="O92" i="8"/>
  <c r="Q154" i="8"/>
  <c r="R234" i="8"/>
  <c r="N172" i="8"/>
  <c r="S163" i="8"/>
  <c r="S177" i="8"/>
  <c r="R85" i="8"/>
  <c r="T178" i="8"/>
  <c r="U96" i="8"/>
  <c r="P228" i="8"/>
  <c r="S181" i="8"/>
  <c r="N221" i="8"/>
  <c r="N183" i="8"/>
  <c r="O234" i="8"/>
  <c r="S74" i="8"/>
  <c r="R196" i="8"/>
  <c r="V154" i="8"/>
  <c r="S81" i="8"/>
  <c r="T208" i="8"/>
  <c r="Q73" i="8"/>
  <c r="O103" i="8"/>
  <c r="P196" i="8"/>
  <c r="U92" i="8"/>
  <c r="V91" i="8"/>
  <c r="U57" i="8"/>
  <c r="R68" i="8"/>
  <c r="U228" i="8"/>
  <c r="O163" i="8"/>
  <c r="T81" i="8"/>
  <c r="Q171" i="8"/>
  <c r="T58" i="8"/>
  <c r="N34" i="8"/>
  <c r="N222" i="8"/>
  <c r="P36" i="8"/>
  <c r="T144" i="8"/>
  <c r="U116" i="8"/>
  <c r="P137" i="8"/>
  <c r="P122" i="8"/>
  <c r="Q44" i="8"/>
  <c r="S83" i="8"/>
  <c r="V175" i="8"/>
  <c r="S86" i="8"/>
  <c r="N77" i="8"/>
  <c r="Q176" i="8"/>
  <c r="Q208" i="8"/>
  <c r="V173" i="8"/>
  <c r="O192" i="8"/>
  <c r="Q102" i="8"/>
  <c r="S55" i="8"/>
  <c r="Q54" i="8"/>
  <c r="R53" i="8"/>
  <c r="O53" i="8"/>
  <c r="U195" i="8"/>
  <c r="O205" i="8"/>
  <c r="O199" i="8"/>
  <c r="S40" i="8"/>
  <c r="T59" i="8"/>
  <c r="N209" i="8"/>
  <c r="P206" i="8"/>
  <c r="T107" i="8"/>
  <c r="O131" i="8"/>
  <c r="S121" i="8"/>
  <c r="Q177" i="8"/>
  <c r="R77" i="8"/>
  <c r="S202" i="8"/>
  <c r="T210" i="8"/>
  <c r="S36" i="8"/>
  <c r="T70" i="8"/>
  <c r="O228" i="8"/>
  <c r="O231" i="8"/>
  <c r="N43" i="8"/>
  <c r="U244" i="8"/>
  <c r="R57" i="8"/>
  <c r="N75" i="8"/>
  <c r="O121" i="8"/>
  <c r="V108" i="8"/>
  <c r="N192" i="8"/>
  <c r="Q156" i="8"/>
  <c r="P124" i="8"/>
  <c r="T204" i="8"/>
  <c r="Q184" i="8"/>
  <c r="P168" i="8"/>
  <c r="U47" i="8"/>
  <c r="T50" i="8"/>
  <c r="S151" i="8"/>
  <c r="S209" i="8"/>
  <c r="N203" i="8"/>
  <c r="U290" i="8"/>
  <c r="N165" i="8"/>
  <c r="T92" i="8"/>
  <c r="O142" i="8"/>
  <c r="P37" i="8"/>
  <c r="Q131" i="8"/>
  <c r="P105" i="8"/>
  <c r="O64" i="8"/>
  <c r="T63" i="8"/>
  <c r="U60" i="8"/>
  <c r="R222" i="8"/>
  <c r="R140" i="8"/>
  <c r="P130" i="8"/>
  <c r="O66" i="8"/>
  <c r="S111" i="8"/>
  <c r="R130" i="8"/>
  <c r="U107" i="8"/>
  <c r="P83" i="8"/>
  <c r="V123" i="8"/>
  <c r="V92" i="8"/>
  <c r="O82" i="8"/>
  <c r="P167" i="8"/>
  <c r="S127" i="8"/>
  <c r="T175" i="8"/>
  <c r="U247" i="8"/>
  <c r="R83" i="8"/>
  <c r="R179" i="8"/>
  <c r="P239" i="8"/>
  <c r="R291" i="8"/>
  <c r="O35" i="8"/>
  <c r="N57" i="8"/>
  <c r="T49" i="8"/>
  <c r="S128" i="8"/>
  <c r="N105" i="8"/>
  <c r="O120" i="8"/>
  <c r="N145" i="8"/>
  <c r="R252" i="8"/>
  <c r="S138" i="8"/>
  <c r="T75" i="8"/>
  <c r="O239" i="8"/>
  <c r="R175" i="8"/>
  <c r="V61" i="8"/>
  <c r="V221" i="8"/>
  <c r="P245" i="8"/>
  <c r="V152" i="8"/>
  <c r="S71" i="8"/>
  <c r="V161" i="8"/>
  <c r="S122" i="8"/>
  <c r="V194" i="8"/>
  <c r="T66" i="8"/>
  <c r="P75" i="8"/>
  <c r="P109" i="8"/>
  <c r="T228" i="8"/>
  <c r="S106" i="8"/>
  <c r="O187" i="8"/>
  <c r="V44" i="8"/>
  <c r="O170" i="8"/>
  <c r="U245" i="8"/>
  <c r="S170" i="8"/>
  <c r="P140" i="8"/>
  <c r="U135" i="8"/>
  <c r="P286" i="8"/>
  <c r="U69" i="8"/>
  <c r="T141" i="8"/>
  <c r="T181" i="8"/>
  <c r="O137" i="8"/>
  <c r="O161" i="8"/>
  <c r="N160" i="8"/>
  <c r="T104" i="8"/>
  <c r="V81" i="8"/>
  <c r="R79" i="8"/>
  <c r="U91" i="8"/>
  <c r="V287" i="8"/>
  <c r="N86" i="8"/>
  <c r="Q100" i="8"/>
  <c r="N217" i="8"/>
  <c r="N228" i="8"/>
  <c r="P91" i="8"/>
  <c r="P197" i="8"/>
  <c r="S218" i="8"/>
  <c r="S145" i="8"/>
  <c r="S172" i="8"/>
  <c r="V89" i="8"/>
  <c r="P273" i="8"/>
  <c r="R217" i="8"/>
  <c r="R184" i="8"/>
  <c r="O132" i="8"/>
  <c r="T128" i="8"/>
  <c r="P107" i="8"/>
  <c r="N204" i="8"/>
  <c r="U118" i="8"/>
  <c r="V49" i="8"/>
  <c r="O214" i="8"/>
  <c r="T118" i="8"/>
  <c r="S210" i="8"/>
  <c r="S124" i="8"/>
  <c r="P253" i="8"/>
  <c r="T89" i="8"/>
  <c r="U234" i="8"/>
  <c r="S200" i="8"/>
  <c r="S152" i="8"/>
  <c r="S134" i="8"/>
  <c r="T273" i="8"/>
  <c r="V254" i="8"/>
  <c r="Q165" i="8"/>
  <c r="T237" i="8"/>
  <c r="Q127" i="8"/>
  <c r="U242" i="8"/>
  <c r="N35" i="8"/>
  <c r="V160" i="8"/>
  <c r="U79" i="8"/>
  <c r="P160" i="8"/>
  <c r="P101" i="8"/>
  <c r="Q294" i="8"/>
  <c r="V177" i="8"/>
  <c r="U42" i="8"/>
  <c r="U53" i="8"/>
  <c r="S52" i="8"/>
  <c r="T236" i="8"/>
  <c r="T193" i="8"/>
  <c r="O93" i="8"/>
  <c r="T151" i="8"/>
  <c r="R185" i="8"/>
  <c r="N82" i="8"/>
  <c r="N59" i="8"/>
  <c r="N41" i="8"/>
  <c r="R96" i="8"/>
  <c r="V222" i="8"/>
  <c r="S154" i="8"/>
  <c r="N107" i="8"/>
  <c r="R90" i="8"/>
  <c r="T111" i="8"/>
  <c r="Q103" i="8"/>
  <c r="Q210" i="8"/>
  <c r="R293" i="8"/>
  <c r="P39" i="8"/>
  <c r="S198" i="8"/>
  <c r="U180" i="8"/>
  <c r="B307" i="8"/>
  <c r="U178" i="8"/>
  <c r="U175" i="8"/>
  <c r="T230" i="8"/>
  <c r="O254" i="8"/>
  <c r="T126" i="8"/>
  <c r="S168" i="8"/>
  <c r="P85" i="8"/>
  <c r="S94" i="8"/>
  <c r="Q99" i="8"/>
  <c r="T220" i="8"/>
  <c r="N293" i="8"/>
  <c r="T60" i="8"/>
  <c r="N143" i="8"/>
  <c r="N176" i="8"/>
  <c r="V73" i="8"/>
  <c r="Q92" i="8"/>
  <c r="P94" i="8"/>
  <c r="O144" i="8"/>
  <c r="T99" i="8"/>
  <c r="O112" i="8"/>
  <c r="P58" i="8"/>
  <c r="S48" i="8"/>
  <c r="S183" i="8"/>
  <c r="O135" i="8"/>
  <c r="O166" i="8"/>
  <c r="U62" i="8"/>
  <c r="N110" i="8"/>
  <c r="O57" i="8"/>
  <c r="T94" i="8"/>
  <c r="Q129" i="8"/>
  <c r="P203" i="8"/>
  <c r="V244" i="8"/>
  <c r="T108" i="8"/>
  <c r="N37" i="8"/>
  <c r="U134" i="8"/>
  <c r="R91" i="8"/>
  <c r="T125" i="8"/>
  <c r="U154" i="8"/>
  <c r="R112" i="8"/>
  <c r="V228" i="8"/>
  <c r="V69" i="8"/>
  <c r="T187" i="8"/>
  <c r="S34" i="8"/>
  <c r="P208" i="8"/>
  <c r="R210" i="8"/>
  <c r="O246" i="8"/>
  <c r="N152" i="8"/>
  <c r="N92" i="8"/>
  <c r="Q125" i="8"/>
  <c r="T71" i="8"/>
  <c r="O85" i="8"/>
  <c r="T163" i="8"/>
  <c r="O230" i="8"/>
  <c r="Q126" i="8"/>
  <c r="U112" i="8"/>
  <c r="Q49" i="8"/>
  <c r="V129" i="8"/>
  <c r="R157" i="8"/>
  <c r="Q199" i="8"/>
  <c r="N62" i="8"/>
  <c r="V148" i="8"/>
  <c r="V39" i="8"/>
  <c r="O40" i="8"/>
  <c r="S91" i="8"/>
  <c r="U121" i="8"/>
  <c r="P222" i="8"/>
  <c r="R92" i="8"/>
  <c r="U184" i="8"/>
  <c r="U143" i="8"/>
  <c r="T65" i="8"/>
  <c r="S162" i="8"/>
  <c r="V132" i="8"/>
  <c r="U126" i="8"/>
  <c r="N189" i="8"/>
  <c r="O209" i="8"/>
  <c r="Q182" i="8"/>
  <c r="V165" i="8"/>
  <c r="P93" i="8"/>
  <c r="U176" i="8"/>
  <c r="V64" i="8"/>
  <c r="R36" i="8"/>
  <c r="R107" i="8"/>
  <c r="V210" i="8"/>
  <c r="Q58" i="8"/>
  <c r="P271" i="8"/>
  <c r="V137" i="8"/>
  <c r="O84" i="8"/>
  <c r="R215" i="8"/>
  <c r="T61" i="8"/>
  <c r="V86" i="8"/>
  <c r="T69" i="8"/>
  <c r="O41" i="8"/>
  <c r="T134" i="8"/>
  <c r="R101" i="8"/>
  <c r="Q57" i="8"/>
  <c r="O157" i="8"/>
  <c r="Q247" i="8"/>
  <c r="N130" i="8"/>
  <c r="U214" i="8"/>
  <c r="N166" i="8"/>
  <c r="U90" i="8"/>
  <c r="O217" i="8"/>
  <c r="V147" i="8"/>
  <c r="T110" i="8"/>
  <c r="R48" i="8"/>
  <c r="P138" i="8"/>
  <c r="N292" i="8"/>
  <c r="S77" i="8"/>
  <c r="P193" i="8"/>
  <c r="T79" i="8"/>
  <c r="N88" i="8"/>
  <c r="O215" i="8"/>
  <c r="P136" i="8"/>
  <c r="V157" i="8"/>
  <c r="O106" i="8"/>
  <c r="P73" i="8"/>
  <c r="Q65" i="8"/>
  <c r="S165" i="8"/>
  <c r="P120" i="8"/>
  <c r="S63" i="8"/>
  <c r="O204" i="8"/>
  <c r="U140" i="8"/>
  <c r="P60" i="8"/>
  <c r="Q285" i="8"/>
  <c r="N156" i="8"/>
  <c r="P42" i="8"/>
  <c r="Q112" i="8"/>
  <c r="R37" i="8"/>
  <c r="N48" i="8"/>
  <c r="V184" i="8"/>
  <c r="N119" i="8"/>
  <c r="O148" i="8"/>
  <c r="S49" i="8"/>
  <c r="R74" i="8"/>
  <c r="N101" i="8"/>
  <c r="R84" i="8"/>
  <c r="O58" i="8"/>
  <c r="R161" i="8"/>
  <c r="U111" i="8"/>
  <c r="V122" i="8"/>
  <c r="S57" i="8"/>
  <c r="S173" i="8"/>
  <c r="Q150" i="8"/>
  <c r="N173" i="8"/>
  <c r="T68" i="8"/>
  <c r="Q107" i="8"/>
  <c r="R126" i="8"/>
  <c r="P110" i="8"/>
  <c r="Q286" i="8"/>
  <c r="S257" i="8"/>
  <c r="S113" i="8"/>
  <c r="U93" i="8"/>
  <c r="Q59" i="8"/>
  <c r="O145" i="8"/>
  <c r="N139" i="8"/>
  <c r="R76" i="8"/>
  <c r="T36" i="8"/>
  <c r="V162" i="8"/>
  <c r="V226" i="8"/>
  <c r="O226" i="8"/>
  <c r="Q225" i="8"/>
  <c r="N225" i="8"/>
  <c r="O287" i="8"/>
  <c r="U73" i="8"/>
  <c r="R259" i="8"/>
  <c r="V271" i="8"/>
  <c r="N257" i="8"/>
  <c r="V288" i="8"/>
  <c r="R35" i="8"/>
  <c r="P54" i="8"/>
  <c r="R52" i="8"/>
  <c r="R55" i="8"/>
  <c r="N79" i="8"/>
  <c r="P99" i="8"/>
  <c r="N234" i="8"/>
  <c r="S44" i="8"/>
  <c r="Q128" i="8"/>
  <c r="U189" i="8"/>
  <c r="S42" i="8"/>
  <c r="T291" i="8"/>
  <c r="S243" i="8"/>
  <c r="P89" i="8"/>
  <c r="V252" i="8"/>
  <c r="Q259" i="8"/>
  <c r="P243" i="8"/>
  <c r="V94" i="8"/>
  <c r="S66" i="8"/>
  <c r="R274" i="8"/>
  <c r="S143" i="8"/>
  <c r="P198" i="8"/>
  <c r="V82" i="8"/>
  <c r="V251" i="8"/>
  <c r="N111" i="8"/>
  <c r="P131" i="8"/>
  <c r="N123" i="8"/>
  <c r="V166" i="8"/>
  <c r="Q91" i="8"/>
  <c r="S222" i="8"/>
  <c r="V185" i="8"/>
  <c r="S112" i="8"/>
  <c r="N249" i="8"/>
  <c r="V131" i="8"/>
  <c r="R43" i="8"/>
  <c r="Q119" i="8"/>
  <c r="T140" i="8"/>
  <c r="P290" i="8"/>
  <c r="O77" i="8"/>
  <c r="U146" i="8"/>
  <c r="P291" i="8"/>
  <c r="O105" i="8"/>
  <c r="P151" i="8"/>
  <c r="T40" i="8"/>
  <c r="Q108" i="8"/>
  <c r="Q170" i="8"/>
  <c r="N96" i="8"/>
  <c r="U188" i="8"/>
  <c r="N194" i="8"/>
  <c r="Q221" i="8"/>
  <c r="T239" i="8"/>
  <c r="S221" i="8"/>
  <c r="R294" i="8"/>
  <c r="T198" i="8"/>
  <c r="R89" i="8"/>
  <c r="N188" i="8"/>
  <c r="R231" i="8"/>
  <c r="U68" i="8"/>
  <c r="R47" i="8"/>
  <c r="R125" i="8"/>
  <c r="T83" i="8"/>
  <c r="P260" i="8"/>
  <c r="U48" i="8"/>
  <c r="S64" i="8"/>
  <c r="P287" i="8"/>
  <c r="N162" i="8"/>
  <c r="T292" i="8"/>
  <c r="Q260" i="8"/>
  <c r="R109" i="8"/>
  <c r="V176" i="8"/>
  <c r="Q209" i="8"/>
  <c r="Q120" i="8"/>
  <c r="Q141" i="8"/>
  <c r="U292" i="8"/>
  <c r="R271" i="8"/>
  <c r="S260" i="8"/>
  <c r="B110" i="1"/>
  <c r="C110" i="1" s="1"/>
  <c r="N285" i="8"/>
  <c r="U226" i="8"/>
  <c r="U224" i="8"/>
  <c r="N226" i="8"/>
  <c r="U204" i="8"/>
  <c r="Q166" i="8"/>
  <c r="T116" i="8"/>
  <c r="Q249" i="8"/>
  <c r="R121" i="8"/>
  <c r="P163" i="8"/>
  <c r="S65" i="8"/>
  <c r="P123" i="8"/>
  <c r="O257" i="8"/>
  <c r="S273" i="8"/>
  <c r="Q188" i="8"/>
  <c r="U95" i="8"/>
  <c r="P129" i="8"/>
  <c r="S211" i="8"/>
  <c r="S244" i="8"/>
  <c r="O65" i="8"/>
  <c r="P126" i="8"/>
  <c r="T184" i="8"/>
  <c r="O188" i="8"/>
  <c r="Q197" i="8"/>
  <c r="N150" i="8"/>
  <c r="U171" i="8"/>
  <c r="N233" i="8"/>
  <c r="S75" i="8"/>
  <c r="P92" i="8"/>
  <c r="T203" i="8"/>
  <c r="V135" i="8"/>
  <c r="U196" i="8"/>
  <c r="P200" i="8"/>
  <c r="O200" i="8"/>
  <c r="O39" i="8"/>
  <c r="Q230" i="8"/>
  <c r="V259" i="8"/>
  <c r="R242" i="8"/>
  <c r="V121" i="8"/>
  <c r="V79" i="8"/>
  <c r="R181" i="8"/>
  <c r="S99" i="8"/>
  <c r="V111" i="8"/>
  <c r="V109" i="8"/>
  <c r="O243" i="8"/>
  <c r="S92" i="8"/>
  <c r="P242" i="8"/>
  <c r="S233" i="8"/>
  <c r="T130" i="8"/>
  <c r="U252" i="8"/>
  <c r="P68" i="8"/>
  <c r="O70" i="8"/>
  <c r="O151" i="8"/>
  <c r="T288" i="8"/>
  <c r="V150" i="8"/>
  <c r="P157" i="8"/>
  <c r="R178" i="8"/>
  <c r="N118" i="8"/>
  <c r="N253" i="8"/>
  <c r="U237" i="8"/>
  <c r="U231" i="8"/>
  <c r="V70" i="8"/>
  <c r="Q178" i="8"/>
  <c r="R246" i="8"/>
  <c r="S102" i="8"/>
  <c r="R249" i="8"/>
  <c r="S249" i="8"/>
  <c r="N198" i="8"/>
  <c r="Q76" i="8"/>
  <c r="V140" i="8"/>
  <c r="V110" i="8"/>
  <c r="Q115" i="8"/>
  <c r="O129" i="8"/>
  <c r="N210" i="8"/>
  <c r="P90" i="8"/>
  <c r="P102" i="8"/>
  <c r="Q89" i="8"/>
  <c r="R200" i="8"/>
  <c r="R61" i="8"/>
  <c r="Q101" i="8"/>
  <c r="S41" i="8"/>
  <c r="V239" i="8"/>
  <c r="S104" i="8"/>
  <c r="P259" i="8"/>
  <c r="R239" i="8"/>
  <c r="Q82" i="8"/>
  <c r="Q288" i="8"/>
  <c r="U109" i="8"/>
  <c r="S245" i="8"/>
  <c r="V247" i="8"/>
  <c r="S131" i="8"/>
  <c r="P64" i="8"/>
  <c r="S130" i="8"/>
  <c r="U160" i="8"/>
  <c r="O253" i="8"/>
  <c r="P134" i="8"/>
  <c r="T166" i="8"/>
  <c r="T252" i="8"/>
  <c r="Q252" i="8"/>
  <c r="T152" i="8"/>
  <c r="U202" i="8"/>
  <c r="U291" i="8"/>
  <c r="U115" i="8"/>
  <c r="U76" i="8"/>
  <c r="R123" i="8"/>
  <c r="T64" i="8"/>
  <c r="V68" i="8"/>
  <c r="N129" i="8"/>
  <c r="Q140" i="8"/>
  <c r="O99" i="8"/>
  <c r="Q145" i="8"/>
  <c r="O126" i="8"/>
  <c r="O134" i="8"/>
  <c r="N61" i="8"/>
  <c r="Q116" i="8"/>
  <c r="T168" i="8"/>
  <c r="V116" i="8"/>
  <c r="V103" i="8"/>
  <c r="S214" i="8"/>
  <c r="N89" i="8"/>
  <c r="N193" i="8"/>
  <c r="N127" i="8"/>
  <c r="U120" i="8"/>
  <c r="V119" i="8"/>
  <c r="O90" i="8"/>
  <c r="P231" i="8"/>
  <c r="U100" i="8"/>
  <c r="S141" i="8"/>
  <c r="U286" i="8"/>
  <c r="U165" i="8"/>
  <c r="T242" i="8"/>
  <c r="P204" i="8"/>
  <c r="T176" i="8"/>
  <c r="Q292" i="8"/>
  <c r="V231" i="8"/>
  <c r="N148" i="8"/>
  <c r="V208" i="8"/>
  <c r="T57" i="8"/>
  <c r="V163" i="8"/>
  <c r="S193" i="8"/>
  <c r="O74" i="8"/>
  <c r="Q47" i="8"/>
  <c r="T82" i="8"/>
  <c r="S80" i="8"/>
  <c r="O249" i="8"/>
  <c r="O80" i="8"/>
  <c r="Q69" i="8"/>
  <c r="P119" i="8"/>
  <c r="O203" i="8"/>
  <c r="T180" i="8"/>
  <c r="P258" i="8"/>
  <c r="R42" i="8"/>
  <c r="N53" i="8"/>
  <c r="Q52" i="8"/>
  <c r="O102" i="8"/>
  <c r="J113" i="8"/>
  <c r="C194" i="60"/>
  <c r="D8" i="12"/>
  <c r="D10" i="12"/>
  <c r="E34" i="8"/>
  <c r="D9" i="12"/>
  <c r="AS131" i="10"/>
  <c r="E37" i="8"/>
  <c r="E35" i="8"/>
  <c r="D7" i="12"/>
  <c r="AS264" i="10"/>
  <c r="AS279" i="10"/>
  <c r="E36" i="8"/>
  <c r="C11" i="57"/>
  <c r="AS157" i="10"/>
  <c r="AS43" i="10"/>
  <c r="AT127" i="10"/>
  <c r="AT133" i="10"/>
  <c r="AS248" i="10"/>
  <c r="AT109" i="10"/>
  <c r="G32" i="1"/>
  <c r="J112" i="8"/>
  <c r="J130" i="8"/>
  <c r="J132" i="8"/>
  <c r="J111" i="8"/>
  <c r="J131" i="8"/>
  <c r="C142" i="57"/>
  <c r="AT228" i="10"/>
  <c r="AT10" i="10"/>
  <c r="C8" i="3"/>
  <c r="AS155" i="10"/>
  <c r="AT97" i="10"/>
  <c r="AT48" i="10"/>
  <c r="AS166" i="10"/>
  <c r="AT32" i="10"/>
  <c r="AT92" i="10"/>
  <c r="AT221" i="10"/>
  <c r="AT248" i="10"/>
  <c r="AT21" i="10"/>
  <c r="AS158" i="10"/>
  <c r="AS176" i="10"/>
  <c r="AT62" i="10"/>
  <c r="AT293" i="10"/>
  <c r="AS112" i="10"/>
  <c r="AS228" i="10"/>
  <c r="AS165" i="10"/>
  <c r="AS263" i="10"/>
  <c r="AT53" i="10"/>
  <c r="AS174" i="10"/>
  <c r="AT174" i="10"/>
  <c r="AT204" i="10"/>
  <c r="AT256" i="10"/>
  <c r="AT162" i="10"/>
  <c r="AT99" i="10"/>
  <c r="AS46" i="10"/>
  <c r="AT128" i="10"/>
  <c r="AT145" i="10"/>
  <c r="AT55" i="10"/>
  <c r="AS149" i="10"/>
  <c r="AS133" i="10"/>
  <c r="AS169" i="10"/>
  <c r="AT267" i="10"/>
  <c r="AS223" i="10"/>
  <c r="AS197" i="10"/>
  <c r="C9" i="3"/>
  <c r="C32" i="6" s="1"/>
  <c r="C9" i="62" s="1"/>
  <c r="C8" i="8"/>
  <c r="D34" i="1"/>
  <c r="C34" i="1"/>
  <c r="C391" i="8"/>
  <c r="AT260" i="10"/>
  <c r="AS162" i="10"/>
  <c r="AT52" i="10"/>
  <c r="AT259" i="10"/>
  <c r="AS138" i="10"/>
  <c r="AT58" i="10"/>
  <c r="AS24" i="10"/>
  <c r="AS254" i="10"/>
  <c r="AS136" i="10"/>
  <c r="AT76" i="10"/>
  <c r="AS299" i="10"/>
  <c r="AT24" i="10"/>
  <c r="AT100" i="10"/>
  <c r="AT103" i="10"/>
  <c r="AT149" i="10"/>
  <c r="AT164" i="10"/>
  <c r="AT178" i="10"/>
  <c r="AT184" i="10"/>
  <c r="AT198" i="10"/>
  <c r="AT219" i="10"/>
  <c r="AT202" i="10"/>
  <c r="AT297" i="10"/>
  <c r="AS123" i="10"/>
  <c r="AS277" i="10"/>
  <c r="AS153" i="10"/>
  <c r="AT286" i="10"/>
  <c r="AT227" i="10"/>
  <c r="AT19" i="10"/>
  <c r="AT294" i="10"/>
  <c r="AT238" i="10"/>
  <c r="AT136" i="10"/>
  <c r="AT43" i="10"/>
  <c r="AS101" i="10"/>
  <c r="AT152" i="10"/>
  <c r="AT195" i="10"/>
  <c r="AT209" i="10"/>
  <c r="AT215" i="10"/>
  <c r="AT140" i="10"/>
  <c r="AT122" i="10"/>
  <c r="AT45" i="10"/>
  <c r="AS55" i="10"/>
  <c r="AS186" i="10"/>
  <c r="AT107" i="10"/>
  <c r="AT65" i="10"/>
  <c r="AT166" i="10"/>
  <c r="AT39" i="10"/>
  <c r="AT182" i="10"/>
  <c r="AT132" i="10"/>
  <c r="AT79" i="10"/>
  <c r="AT138" i="10"/>
  <c r="AT263" i="10"/>
  <c r="AS61" i="10"/>
  <c r="AT278" i="10"/>
  <c r="AS73" i="10"/>
  <c r="AS210" i="10"/>
  <c r="AT137" i="10"/>
  <c r="AS51" i="10"/>
  <c r="AS207" i="10"/>
  <c r="AS91" i="10"/>
  <c r="AS48" i="10"/>
  <c r="AS226" i="10"/>
  <c r="AT167" i="10"/>
  <c r="AS243" i="10"/>
  <c r="AS205" i="10"/>
  <c r="AT190" i="10"/>
  <c r="AT89" i="10"/>
  <c r="AT47" i="10"/>
  <c r="AS30" i="10"/>
  <c r="AS240" i="10"/>
  <c r="AS125" i="10"/>
  <c r="AS14" i="10"/>
  <c r="AS232" i="10"/>
  <c r="AS270" i="10"/>
  <c r="AS122" i="10"/>
  <c r="AS202" i="10"/>
  <c r="AS42" i="10"/>
  <c r="AS249" i="10"/>
  <c r="AS72" i="10"/>
  <c r="AT35" i="10"/>
  <c r="AT36" i="10"/>
  <c r="AT231" i="10"/>
  <c r="AS267" i="10"/>
  <c r="AT281" i="10"/>
  <c r="AT253" i="10"/>
  <c r="AT189" i="10"/>
  <c r="AT123" i="10"/>
  <c r="AT106" i="10"/>
  <c r="AT95" i="10"/>
  <c r="AS146" i="10"/>
  <c r="AS187" i="10"/>
  <c r="AS230" i="10"/>
  <c r="AS188" i="10"/>
  <c r="AS221" i="10"/>
  <c r="AS64" i="10"/>
  <c r="AS262" i="10"/>
  <c r="AS58" i="10"/>
  <c r="AT192" i="10"/>
  <c r="AT37" i="10"/>
  <c r="AS259" i="10"/>
  <c r="AS143" i="10"/>
  <c r="AT197" i="10"/>
  <c r="AT134" i="10"/>
  <c r="AT113" i="10"/>
  <c r="AS99" i="10"/>
  <c r="AT296" i="10"/>
  <c r="AT33" i="10"/>
  <c r="AS280" i="10"/>
  <c r="AT168" i="10"/>
  <c r="AS189" i="10"/>
  <c r="AS172" i="10"/>
  <c r="AS271" i="10"/>
  <c r="AS196" i="10"/>
  <c r="AI418" i="8"/>
  <c r="C36" i="62"/>
  <c r="E233" i="8"/>
  <c r="I239" i="8"/>
  <c r="C240" i="8"/>
  <c r="E237" i="8"/>
  <c r="C66" i="4"/>
  <c r="C237" i="8"/>
  <c r="H237" i="8"/>
  <c r="F231" i="8"/>
  <c r="B354" i="8"/>
  <c r="D354" i="8"/>
  <c r="H361" i="8"/>
  <c r="C236" i="8"/>
  <c r="H239" i="8"/>
  <c r="F239" i="8"/>
  <c r="B353" i="8"/>
  <c r="C30" i="62"/>
  <c r="H234" i="8"/>
  <c r="H362" i="8"/>
  <c r="F240" i="8"/>
  <c r="A181" i="12"/>
  <c r="H354" i="8"/>
  <c r="C239" i="8"/>
  <c r="C65" i="4"/>
  <c r="G236" i="8"/>
  <c r="I236" i="8"/>
  <c r="E239" i="8"/>
  <c r="F361" i="8"/>
  <c r="C233" i="8"/>
  <c r="E231" i="8"/>
  <c r="H350" i="8"/>
  <c r="A183" i="12"/>
  <c r="H37" i="1"/>
  <c r="H39" i="1"/>
  <c r="B40" i="1"/>
  <c r="C40" i="1" s="1"/>
  <c r="I233" i="8"/>
  <c r="G233" i="8"/>
  <c r="E240" i="8"/>
  <c r="E234" i="8"/>
  <c r="C64" i="4"/>
  <c r="C234" i="8"/>
  <c r="H236" i="8"/>
  <c r="A182" i="12"/>
  <c r="F362" i="8"/>
  <c r="F234" i="8"/>
  <c r="H233" i="8"/>
  <c r="F354" i="8"/>
  <c r="F233" i="8"/>
  <c r="C185" i="60"/>
  <c r="D102" i="12"/>
  <c r="C102" i="12" s="1"/>
  <c r="C101" i="12"/>
  <c r="D83" i="12"/>
  <c r="C83" i="12" s="1"/>
  <c r="D67" i="12"/>
  <c r="C67" i="12" s="1"/>
  <c r="C108" i="57"/>
  <c r="C109" i="57" s="1"/>
  <c r="C94" i="57"/>
  <c r="C22" i="57"/>
  <c r="C92" i="57"/>
  <c r="D84" i="12"/>
  <c r="C84" i="12" s="1"/>
  <c r="D119" i="12"/>
  <c r="C119" i="12" s="1"/>
  <c r="D118" i="12"/>
  <c r="C118" i="12" s="1"/>
  <c r="D103" i="12"/>
  <c r="D82" i="12"/>
  <c r="C93" i="8"/>
  <c r="K93" i="8" s="1"/>
  <c r="C96" i="8"/>
  <c r="K96" i="8" s="1"/>
  <c r="C95" i="8"/>
  <c r="K95" i="8" s="1"/>
  <c r="C94" i="8"/>
  <c r="K94" i="8" s="1"/>
  <c r="D66" i="12"/>
  <c r="C66" i="12" s="1"/>
  <c r="D64" i="12"/>
  <c r="C64" i="12" s="1"/>
  <c r="D65" i="12"/>
  <c r="C65" i="12" s="1"/>
  <c r="A68" i="5" l="1"/>
  <c r="C39" i="60"/>
  <c r="J52" i="8" s="1"/>
  <c r="B88" i="1"/>
  <c r="C88" i="1" s="1"/>
  <c r="AK418" i="8" s="1"/>
  <c r="H88" i="1"/>
  <c r="A65" i="5"/>
  <c r="C34" i="60"/>
  <c r="K54" i="8" s="1"/>
  <c r="A66" i="5"/>
  <c r="F144" i="8"/>
  <c r="K144" i="8"/>
  <c r="I144" i="8"/>
  <c r="G144" i="8"/>
  <c r="H160" i="8"/>
  <c r="I160" i="8"/>
  <c r="G160" i="8"/>
  <c r="K160" i="8"/>
  <c r="C71" i="4"/>
  <c r="C52" i="60"/>
  <c r="C57" i="60" s="1"/>
  <c r="K52" i="8"/>
  <c r="C61" i="62"/>
  <c r="C70" i="62"/>
  <c r="H294" i="8"/>
  <c r="I294" i="8"/>
  <c r="AW175" i="10"/>
  <c r="C16" i="62"/>
  <c r="C18" i="62" s="1"/>
  <c r="D79" i="1"/>
  <c r="H79" i="1" s="1"/>
  <c r="C78" i="1"/>
  <c r="H78" i="1" s="1"/>
  <c r="C161" i="8"/>
  <c r="C163" i="8"/>
  <c r="C162" i="8"/>
  <c r="F160" i="8"/>
  <c r="C143" i="8"/>
  <c r="C145" i="8"/>
  <c r="C15" i="6"/>
  <c r="C58" i="11"/>
  <c r="C44" i="64" s="1"/>
  <c r="C45" i="64" s="1"/>
  <c r="G102" i="1"/>
  <c r="AW170" i="10"/>
  <c r="AW256" i="10"/>
  <c r="C13" i="4"/>
  <c r="C30" i="4"/>
  <c r="H144" i="8"/>
  <c r="C23" i="49"/>
  <c r="AV57" i="10"/>
  <c r="C38" i="3"/>
  <c r="AW144" i="10"/>
  <c r="AW10" i="10"/>
  <c r="C193" i="8"/>
  <c r="C203" i="8"/>
  <c r="C80" i="3"/>
  <c r="C83" i="3" s="1"/>
  <c r="C68" i="1" s="1"/>
  <c r="C15" i="49"/>
  <c r="C197" i="8"/>
  <c r="C200" i="8"/>
  <c r="AW157" i="10"/>
  <c r="AW266" i="10"/>
  <c r="AW42" i="10"/>
  <c r="AW9" i="10"/>
  <c r="AW201" i="10"/>
  <c r="AW32" i="10"/>
  <c r="AW77" i="10"/>
  <c r="AW176" i="10"/>
  <c r="AW75" i="10"/>
  <c r="AW73" i="10"/>
  <c r="AW269" i="10"/>
  <c r="AW89" i="10"/>
  <c r="AW220" i="10"/>
  <c r="AW206" i="10"/>
  <c r="AW59" i="10"/>
  <c r="AW28" i="10"/>
  <c r="D321" i="8"/>
  <c r="C408" i="8" s="1"/>
  <c r="C10" i="6"/>
  <c r="C9" i="6"/>
  <c r="AW29" i="10"/>
  <c r="AW250" i="10"/>
  <c r="AW223" i="10"/>
  <c r="AW173" i="10"/>
  <c r="AW252" i="10"/>
  <c r="AW45" i="10"/>
  <c r="AW41" i="10"/>
  <c r="AW93" i="10"/>
  <c r="AV105" i="10"/>
  <c r="AW271" i="10"/>
  <c r="AW255" i="10"/>
  <c r="AW25" i="10"/>
  <c r="AV156" i="10"/>
  <c r="AW287" i="10"/>
  <c r="AW272" i="10"/>
  <c r="AW63" i="10"/>
  <c r="AW128" i="10"/>
  <c r="AV159" i="10"/>
  <c r="AV192" i="10"/>
  <c r="AV15" i="10"/>
  <c r="AV92" i="10"/>
  <c r="AV224" i="10"/>
  <c r="AV217" i="10"/>
  <c r="AV236" i="10"/>
  <c r="AV288" i="10"/>
  <c r="AV112" i="10"/>
  <c r="D66" i="1"/>
  <c r="H66" i="1" s="1"/>
  <c r="AV63" i="10"/>
  <c r="AV62" i="10"/>
  <c r="AV222" i="10"/>
  <c r="C14" i="57"/>
  <c r="C24" i="57" s="1"/>
  <c r="C58" i="57" s="1"/>
  <c r="AV29" i="10"/>
  <c r="AV10" i="10"/>
  <c r="AV77" i="10"/>
  <c r="AV221" i="10"/>
  <c r="AV282" i="10"/>
  <c r="AV219" i="10"/>
  <c r="AV73" i="10"/>
  <c r="AV138" i="10"/>
  <c r="AV173" i="10"/>
  <c r="AV286" i="10"/>
  <c r="AV174" i="10"/>
  <c r="AV90" i="10"/>
  <c r="AV122" i="10"/>
  <c r="AV206" i="10"/>
  <c r="AV266" i="10"/>
  <c r="AV235" i="10"/>
  <c r="AV143" i="10"/>
  <c r="AV234" i="10"/>
  <c r="AV253" i="10"/>
  <c r="AW222" i="10"/>
  <c r="AW108" i="10"/>
  <c r="AV158" i="10"/>
  <c r="AW236" i="10"/>
  <c r="AW126" i="10"/>
  <c r="AV254" i="10"/>
  <c r="AW62" i="10"/>
  <c r="AV28" i="10"/>
  <c r="AV107" i="10"/>
  <c r="AW187" i="10"/>
  <c r="AV75" i="10"/>
  <c r="AV176" i="10"/>
  <c r="AV44" i="10"/>
  <c r="AV60" i="10"/>
  <c r="AW233" i="10"/>
  <c r="AW160" i="10"/>
  <c r="AW189" i="10"/>
  <c r="AV47" i="10"/>
  <c r="AW268" i="10"/>
  <c r="AV189" i="10"/>
  <c r="AV26" i="10"/>
  <c r="AV250" i="10"/>
  <c r="AW240" i="10"/>
  <c r="AW30" i="10"/>
  <c r="AV45" i="10"/>
  <c r="AW254" i="10"/>
  <c r="AV111" i="10"/>
  <c r="AV207" i="10"/>
  <c r="AV31" i="10"/>
  <c r="AV287" i="10"/>
  <c r="AV109" i="10"/>
  <c r="AW96" i="10"/>
  <c r="AV64" i="10"/>
  <c r="AW90" i="10"/>
  <c r="AW124" i="10"/>
  <c r="AV59" i="10"/>
  <c r="AV252" i="10"/>
  <c r="AW105" i="10"/>
  <c r="AV251" i="10"/>
  <c r="AW159" i="10"/>
  <c r="AV218" i="10"/>
  <c r="AW94" i="10"/>
  <c r="AW31" i="10"/>
  <c r="AV126" i="10"/>
  <c r="AW207" i="10"/>
  <c r="AV93" i="10"/>
  <c r="AW92" i="10"/>
  <c r="AW44" i="10"/>
  <c r="AV141" i="10"/>
  <c r="AV157" i="10"/>
  <c r="AW285" i="10"/>
  <c r="AW13" i="10"/>
  <c r="AV223" i="10"/>
  <c r="AV256" i="10"/>
  <c r="AW249" i="10"/>
  <c r="AV233" i="10"/>
  <c r="AV284" i="10"/>
  <c r="AW169" i="10"/>
  <c r="AW80" i="10"/>
  <c r="AV96" i="10"/>
  <c r="AV155" i="10"/>
  <c r="AV144" i="10"/>
  <c r="AW221" i="10"/>
  <c r="AV191" i="10"/>
  <c r="AW27" i="10"/>
  <c r="AV186" i="10"/>
  <c r="AW47" i="10"/>
  <c r="AW288" i="10"/>
  <c r="AW58" i="10"/>
  <c r="AW286" i="10"/>
  <c r="AV220" i="10"/>
  <c r="AV281" i="10"/>
  <c r="AV139" i="10"/>
  <c r="AV42" i="10"/>
  <c r="AV272" i="10"/>
  <c r="AW202" i="10"/>
  <c r="AW15" i="10"/>
  <c r="AW158" i="10"/>
  <c r="AW11" i="10"/>
  <c r="AW137" i="10"/>
  <c r="AV41" i="10"/>
  <c r="AV80" i="10"/>
  <c r="AV142" i="10"/>
  <c r="AW265" i="10"/>
  <c r="AV121" i="10"/>
  <c r="AV76" i="10"/>
  <c r="AW43" i="10"/>
  <c r="AV9" i="10"/>
  <c r="AV106" i="10"/>
  <c r="AW270" i="10"/>
  <c r="AV48" i="10"/>
  <c r="AW140" i="10"/>
  <c r="AW123" i="10"/>
  <c r="AW219" i="10"/>
  <c r="AV269" i="10"/>
  <c r="AW112" i="10"/>
  <c r="AV16" i="10"/>
  <c r="AW217" i="10"/>
  <c r="AW111" i="10"/>
  <c r="AV74" i="10"/>
  <c r="AV255" i="10"/>
  <c r="AW109" i="10"/>
  <c r="AV240" i="10"/>
  <c r="AW188" i="10"/>
  <c r="AV160" i="10"/>
  <c r="AW12" i="10"/>
  <c r="AW267" i="10"/>
  <c r="AW238" i="10"/>
  <c r="AV169" i="10"/>
  <c r="AW208" i="10"/>
  <c r="AW205" i="10"/>
  <c r="AV79" i="10"/>
  <c r="AV187" i="10"/>
  <c r="AW235" i="10"/>
  <c r="AW283" i="10"/>
  <c r="AV185" i="10"/>
  <c r="AW185" i="10"/>
  <c r="AW61" i="10"/>
  <c r="AV30" i="10"/>
  <c r="AV154" i="10"/>
  <c r="AV172" i="10"/>
  <c r="AW156" i="10"/>
  <c r="AV25" i="10"/>
  <c r="AW141" i="10"/>
  <c r="AW142" i="10"/>
  <c r="AW91" i="10"/>
  <c r="AV188" i="10"/>
  <c r="AV137" i="10"/>
  <c r="AV43" i="10"/>
  <c r="AW57" i="10"/>
  <c r="AW218" i="10"/>
  <c r="AV27" i="10"/>
  <c r="AW155" i="10"/>
  <c r="AW154" i="10"/>
  <c r="AW76" i="10"/>
  <c r="AW234" i="10"/>
  <c r="AV78" i="10"/>
  <c r="AV11" i="10"/>
  <c r="AV123" i="10"/>
  <c r="AV238" i="10"/>
  <c r="AV201" i="10"/>
  <c r="AV239" i="10"/>
  <c r="AW172" i="10"/>
  <c r="AW127" i="10"/>
  <c r="AV95" i="10"/>
  <c r="AW224" i="10"/>
  <c r="AV203" i="10"/>
  <c r="AV170" i="10"/>
  <c r="AW191" i="10"/>
  <c r="AV270" i="10"/>
  <c r="AW237" i="10"/>
  <c r="AW110" i="10"/>
  <c r="AW139" i="10"/>
  <c r="AV265" i="10"/>
  <c r="AW122" i="10"/>
  <c r="AV175" i="10"/>
  <c r="AV61" i="10"/>
  <c r="AV32" i="10"/>
  <c r="AV128" i="10"/>
  <c r="AW26" i="10"/>
  <c r="AV153" i="10"/>
  <c r="AW107" i="10"/>
  <c r="AV268" i="10"/>
  <c r="AW203" i="10"/>
  <c r="AV267" i="10"/>
  <c r="AV14" i="10"/>
  <c r="AW16" i="10"/>
  <c r="AW138" i="10"/>
  <c r="AV89" i="10"/>
  <c r="AV127" i="10"/>
  <c r="AV94" i="10"/>
  <c r="AV249" i="10"/>
  <c r="AW192" i="10"/>
  <c r="AV46" i="10"/>
  <c r="AW46" i="10"/>
  <c r="AW171" i="10"/>
  <c r="AW106" i="10"/>
  <c r="AV91" i="10"/>
  <c r="AV205" i="10"/>
  <c r="AW121" i="10"/>
  <c r="AW281" i="10"/>
  <c r="AW253" i="10"/>
  <c r="AW186" i="10"/>
  <c r="AV202" i="10"/>
  <c r="AW204" i="10"/>
  <c r="AW174" i="10"/>
  <c r="AV13" i="10"/>
  <c r="AW282" i="10"/>
  <c r="AW48" i="10"/>
  <c r="AV190" i="10"/>
  <c r="AV12" i="10"/>
  <c r="AV204" i="10"/>
  <c r="AW95" i="10"/>
  <c r="AV58" i="10"/>
  <c r="AW251" i="10"/>
  <c r="AV125" i="10"/>
  <c r="AW74" i="10"/>
  <c r="AW284" i="10"/>
  <c r="AW125" i="10"/>
  <c r="AV271" i="10"/>
  <c r="AV283" i="10"/>
  <c r="AV124" i="10"/>
  <c r="AW79" i="10"/>
  <c r="AV285" i="10"/>
  <c r="AW14" i="10"/>
  <c r="AV208" i="10"/>
  <c r="AW60" i="10"/>
  <c r="AV140" i="10"/>
  <c r="AW239" i="10"/>
  <c r="AW143" i="10"/>
  <c r="AW190" i="10"/>
  <c r="AV171" i="10"/>
  <c r="AW153" i="10"/>
  <c r="AW64" i="10"/>
  <c r="AV110" i="10"/>
  <c r="AV237" i="10"/>
  <c r="Q418" i="8"/>
  <c r="C65" i="1"/>
  <c r="D65" i="1"/>
  <c r="C66" i="1"/>
  <c r="U418" i="8" s="1"/>
  <c r="C128" i="60"/>
  <c r="C23" i="60"/>
  <c r="E379" i="8"/>
  <c r="C127" i="60"/>
  <c r="C133" i="60" s="1"/>
  <c r="C244" i="8" s="1"/>
  <c r="D379" i="8"/>
  <c r="H379" i="8"/>
  <c r="C379" i="8"/>
  <c r="C124" i="60"/>
  <c r="C125" i="60" s="1"/>
  <c r="C126" i="60" s="1"/>
  <c r="C242" i="8"/>
  <c r="G379" i="8"/>
  <c r="C123" i="60"/>
  <c r="D186" i="12" s="1"/>
  <c r="C186" i="12" s="1"/>
  <c r="C135" i="60"/>
  <c r="F294" i="8"/>
  <c r="C53" i="4"/>
  <c r="D89" i="1"/>
  <c r="C89" i="1"/>
  <c r="AL418" i="8" s="1"/>
  <c r="C114" i="1"/>
  <c r="H114" i="1" s="1"/>
  <c r="D114" i="1"/>
  <c r="C115" i="8"/>
  <c r="C116" i="8"/>
  <c r="C117" i="8"/>
  <c r="C53" i="1"/>
  <c r="O418" i="8" s="1"/>
  <c r="D53" i="1"/>
  <c r="C43" i="1"/>
  <c r="I418" i="8" s="1"/>
  <c r="C42" i="49"/>
  <c r="C183" i="8" s="1"/>
  <c r="C4" i="8"/>
  <c r="D311" i="8"/>
  <c r="D325" i="8"/>
  <c r="C412" i="8" s="1"/>
  <c r="C45" i="4"/>
  <c r="C46" i="4" s="1"/>
  <c r="C52" i="8"/>
  <c r="H52" i="8" s="1"/>
  <c r="C12" i="57"/>
  <c r="C134" i="57"/>
  <c r="C12" i="8"/>
  <c r="C13" i="8"/>
  <c r="C40" i="60"/>
  <c r="C41" i="60" s="1"/>
  <c r="C24" i="4"/>
  <c r="C25" i="4" s="1"/>
  <c r="C170" i="57"/>
  <c r="C18" i="57"/>
  <c r="C88" i="57" s="1"/>
  <c r="C66" i="3"/>
  <c r="C67" i="3" s="1"/>
  <c r="C71" i="3" s="1"/>
  <c r="C17" i="57"/>
  <c r="C79" i="57" s="1"/>
  <c r="C93" i="57" s="1"/>
  <c r="C95" i="57" s="1"/>
  <c r="C21" i="57" s="1"/>
  <c r="C171" i="57"/>
  <c r="C133" i="57"/>
  <c r="C16" i="57"/>
  <c r="C78" i="57" s="1"/>
  <c r="C89" i="57" s="1"/>
  <c r="C10" i="57"/>
  <c r="C10" i="3"/>
  <c r="G33" i="1" s="1"/>
  <c r="C140" i="57"/>
  <c r="C165" i="57"/>
  <c r="C166" i="57" s="1"/>
  <c r="C141" i="57"/>
  <c r="C136" i="57"/>
  <c r="C418" i="8"/>
  <c r="H34" i="1"/>
  <c r="C56" i="62"/>
  <c r="D217" i="12" s="1"/>
  <c r="C217" i="12" s="1"/>
  <c r="C55" i="62"/>
  <c r="C52" i="62"/>
  <c r="C53" i="62"/>
  <c r="C60" i="62" s="1"/>
  <c r="C57" i="62"/>
  <c r="D222" i="12" s="1"/>
  <c r="C222" i="12" s="1"/>
  <c r="E314" i="8"/>
  <c r="C54" i="62"/>
  <c r="C59" i="62"/>
  <c r="C231" i="8"/>
  <c r="H418" i="8"/>
  <c r="D43" i="1"/>
  <c r="AG93" i="8"/>
  <c r="AH93" i="8" s="1"/>
  <c r="J93" i="8"/>
  <c r="C33" i="57"/>
  <c r="J94" i="8"/>
  <c r="AG94" i="8"/>
  <c r="AH94" i="8" s="1"/>
  <c r="E82" i="12"/>
  <c r="C82" i="12"/>
  <c r="AG95" i="8"/>
  <c r="AH95" i="8" s="1"/>
  <c r="J95" i="8"/>
  <c r="E103" i="12"/>
  <c r="C103" i="12"/>
  <c r="AG96" i="8"/>
  <c r="AH96" i="8" s="1"/>
  <c r="J96" i="8"/>
  <c r="C53" i="8" l="1"/>
  <c r="H53" i="8" s="1"/>
  <c r="K55" i="8"/>
  <c r="C55" i="8"/>
  <c r="F55" i="8" s="1"/>
  <c r="C35" i="60"/>
  <c r="D28" i="12" s="1"/>
  <c r="C28" i="12" s="1"/>
  <c r="I53" i="8"/>
  <c r="J53" i="8" s="1"/>
  <c r="B378" i="8"/>
  <c r="D378" i="8" s="1"/>
  <c r="G55" i="8"/>
  <c r="C54" i="8"/>
  <c r="F54" i="8" s="1"/>
  <c r="I55" i="8"/>
  <c r="I54" i="8"/>
  <c r="K53" i="8"/>
  <c r="AG53" i="8" s="1"/>
  <c r="G54" i="8"/>
  <c r="C215" i="8"/>
  <c r="I215" i="8" s="1"/>
  <c r="G53" i="8"/>
  <c r="C60" i="60"/>
  <c r="D159" i="12" s="1"/>
  <c r="C159" i="12" s="1"/>
  <c r="C64" i="60"/>
  <c r="C34" i="4" s="1"/>
  <c r="C90" i="8" s="1"/>
  <c r="I90" i="8" s="1"/>
  <c r="J90" i="8" s="1"/>
  <c r="C55" i="60"/>
  <c r="C56" i="60" s="1"/>
  <c r="C20" i="60"/>
  <c r="C61" i="60"/>
  <c r="C70" i="4" s="1"/>
  <c r="C158" i="60"/>
  <c r="C356" i="8" s="1"/>
  <c r="C72" i="60"/>
  <c r="C224" i="8" s="1"/>
  <c r="J224" i="8" s="1"/>
  <c r="C68" i="4"/>
  <c r="C117" i="60"/>
  <c r="C181" i="8" s="1"/>
  <c r="I181" i="8" s="1"/>
  <c r="J181" i="8" s="1"/>
  <c r="C59" i="60"/>
  <c r="C221" i="8" s="1"/>
  <c r="G221" i="8" s="1"/>
  <c r="C157" i="60"/>
  <c r="C355" i="8" s="1"/>
  <c r="C65" i="60"/>
  <c r="C66" i="60" s="1"/>
  <c r="C170" i="60" s="1"/>
  <c r="B356" i="8" s="1"/>
  <c r="E356" i="8" s="1"/>
  <c r="K116" i="8"/>
  <c r="I116" i="8"/>
  <c r="G116" i="8"/>
  <c r="H145" i="8"/>
  <c r="G145" i="8"/>
  <c r="K145" i="8"/>
  <c r="I145" i="8"/>
  <c r="G115" i="8"/>
  <c r="K115" i="8"/>
  <c r="I115" i="8"/>
  <c r="H143" i="8"/>
  <c r="K143" i="8"/>
  <c r="I143" i="8"/>
  <c r="G143" i="8"/>
  <c r="F163" i="8"/>
  <c r="K163" i="8"/>
  <c r="I163" i="8"/>
  <c r="G163" i="8"/>
  <c r="F161" i="8"/>
  <c r="I161" i="8"/>
  <c r="G161" i="8"/>
  <c r="K161" i="8"/>
  <c r="H162" i="8"/>
  <c r="K162" i="8"/>
  <c r="I162" i="8"/>
  <c r="G162" i="8"/>
  <c r="K117" i="8"/>
  <c r="I117" i="8"/>
  <c r="G117" i="8"/>
  <c r="C31" i="4"/>
  <c r="C35" i="49" s="1"/>
  <c r="C199" i="60"/>
  <c r="C17" i="62"/>
  <c r="C23" i="62" s="1"/>
  <c r="O103" i="12"/>
  <c r="G103" i="12"/>
  <c r="N103" i="12"/>
  <c r="F103" i="12"/>
  <c r="M103" i="12"/>
  <c r="L103" i="12"/>
  <c r="K103" i="12"/>
  <c r="H103" i="12"/>
  <c r="Q103" i="12"/>
  <c r="J103" i="12"/>
  <c r="I103" i="12"/>
  <c r="P103" i="12"/>
  <c r="K187" i="8"/>
  <c r="AG187" i="8" s="1"/>
  <c r="AH187" i="8" s="1"/>
  <c r="K203" i="8"/>
  <c r="AG203" i="8" s="1"/>
  <c r="AH203" i="8" s="1"/>
  <c r="I203" i="8"/>
  <c r="J203" i="8" s="1"/>
  <c r="K183" i="8"/>
  <c r="AG183" i="8" s="1"/>
  <c r="I183" i="8"/>
  <c r="J183" i="8" s="1"/>
  <c r="K193" i="8"/>
  <c r="AG193" i="8" s="1"/>
  <c r="I193" i="8"/>
  <c r="J193" i="8" s="1"/>
  <c r="K197" i="8"/>
  <c r="AG197" i="8" s="1"/>
  <c r="I197" i="8"/>
  <c r="J197" i="8" s="1"/>
  <c r="O82" i="12"/>
  <c r="G82" i="12"/>
  <c r="N82" i="12"/>
  <c r="F82" i="12"/>
  <c r="M82" i="12"/>
  <c r="L82" i="12"/>
  <c r="K82" i="12"/>
  <c r="Q82" i="12"/>
  <c r="P82" i="12"/>
  <c r="J82" i="12"/>
  <c r="H82" i="12"/>
  <c r="I82" i="12"/>
  <c r="I200" i="8"/>
  <c r="J200" i="8" s="1"/>
  <c r="K200" i="8"/>
  <c r="AG200" i="8" s="1"/>
  <c r="K294" i="8"/>
  <c r="AG294" i="8" s="1"/>
  <c r="K244" i="8"/>
  <c r="AG244" i="8" s="1"/>
  <c r="AH244" i="8" s="1"/>
  <c r="I244" i="8"/>
  <c r="J244" i="8" s="1"/>
  <c r="H242" i="8"/>
  <c r="I242" i="8"/>
  <c r="J242" i="8" s="1"/>
  <c r="G242" i="8"/>
  <c r="K242" i="8"/>
  <c r="AG242" i="8" s="1"/>
  <c r="AH242" i="8" s="1"/>
  <c r="F215" i="8"/>
  <c r="I231" i="8"/>
  <c r="J231" i="8" s="1"/>
  <c r="K231" i="8"/>
  <c r="AG231" i="8" s="1"/>
  <c r="AH231" i="8" s="1"/>
  <c r="C77" i="62"/>
  <c r="C74" i="62"/>
  <c r="H161" i="8"/>
  <c r="H163" i="8"/>
  <c r="F145" i="8"/>
  <c r="AB418" i="8"/>
  <c r="F162" i="8"/>
  <c r="F143" i="8"/>
  <c r="D14" i="1"/>
  <c r="AG52" i="8"/>
  <c r="AH52" i="8" s="1"/>
  <c r="C14" i="1"/>
  <c r="D12" i="1"/>
  <c r="C42" i="60"/>
  <c r="C45" i="60" s="1"/>
  <c r="E55" i="8"/>
  <c r="AG55" i="8"/>
  <c r="AH55" i="8" s="1"/>
  <c r="AG54" i="8"/>
  <c r="C11" i="1"/>
  <c r="C12" i="1"/>
  <c r="C9" i="1"/>
  <c r="C13" i="1"/>
  <c r="D13" i="1"/>
  <c r="D16" i="1"/>
  <c r="D9" i="1"/>
  <c r="C10" i="1"/>
  <c r="D10" i="1"/>
  <c r="D11" i="1"/>
  <c r="C16" i="1"/>
  <c r="C15" i="1"/>
  <c r="D15" i="1"/>
  <c r="C26" i="57"/>
  <c r="C31" i="3"/>
  <c r="C32" i="3" s="1"/>
  <c r="C81" i="3"/>
  <c r="C17" i="4" s="1"/>
  <c r="C27" i="57"/>
  <c r="D68" i="1"/>
  <c r="H68" i="1" s="1"/>
  <c r="C131" i="60"/>
  <c r="C132" i="60" s="1"/>
  <c r="C243" i="8" s="1"/>
  <c r="C28" i="57"/>
  <c r="C16" i="6"/>
  <c r="C27" i="6"/>
  <c r="C7" i="4"/>
  <c r="C37" i="57"/>
  <c r="C68" i="57" s="1"/>
  <c r="C14" i="4"/>
  <c r="T418" i="8"/>
  <c r="H65" i="1"/>
  <c r="H69" i="1" s="1"/>
  <c r="W418" i="8"/>
  <c r="C134" i="60"/>
  <c r="C245" i="8" s="1"/>
  <c r="C129" i="60"/>
  <c r="C247" i="8" s="1"/>
  <c r="C130" i="60"/>
  <c r="C246" i="8" s="1"/>
  <c r="E242" i="8"/>
  <c r="F242" i="8"/>
  <c r="H89" i="1"/>
  <c r="G52" i="1"/>
  <c r="G51" i="1"/>
  <c r="H53" i="1"/>
  <c r="G113" i="1"/>
  <c r="AN418" i="8"/>
  <c r="F117" i="8"/>
  <c r="H117" i="8"/>
  <c r="F116" i="8"/>
  <c r="H116" i="8"/>
  <c r="F115" i="8"/>
  <c r="H115" i="8"/>
  <c r="F53" i="8"/>
  <c r="H55" i="8"/>
  <c r="H43" i="1"/>
  <c r="C208" i="8"/>
  <c r="C145" i="57"/>
  <c r="K188" i="8"/>
  <c r="AG188" i="8" s="1"/>
  <c r="AG42" i="8"/>
  <c r="AH42" i="8" s="1"/>
  <c r="D30" i="12"/>
  <c r="C30" i="12" s="1"/>
  <c r="F52" i="8"/>
  <c r="C91" i="57"/>
  <c r="E58" i="57" s="1"/>
  <c r="D50" i="12"/>
  <c r="C9" i="49"/>
  <c r="E117" i="8" s="1"/>
  <c r="D48" i="12"/>
  <c r="D51" i="12"/>
  <c r="D52" i="12"/>
  <c r="D49" i="12"/>
  <c r="C33" i="49"/>
  <c r="C143" i="57"/>
  <c r="C147" i="57"/>
  <c r="C70" i="3"/>
  <c r="C72" i="3"/>
  <c r="D216" i="12"/>
  <c r="C216" i="12" s="1"/>
  <c r="D218" i="12"/>
  <c r="C218" i="12" s="1"/>
  <c r="C58" i="62"/>
  <c r="D220" i="12"/>
  <c r="C220" i="12" s="1"/>
  <c r="D221" i="12"/>
  <c r="C221" i="12" s="1"/>
  <c r="D29" i="12" l="1"/>
  <c r="C29" i="12" s="1"/>
  <c r="C43" i="4"/>
  <c r="E53" i="8"/>
  <c r="F378" i="8"/>
  <c r="J54" i="8"/>
  <c r="J55" i="8"/>
  <c r="E54" i="8"/>
  <c r="H54" i="8"/>
  <c r="D158" i="12"/>
  <c r="C158" i="12" s="1"/>
  <c r="H215" i="8"/>
  <c r="E215" i="8"/>
  <c r="C76" i="60"/>
  <c r="D126" i="12" s="1"/>
  <c r="C126" i="12" s="1"/>
  <c r="K215" i="8"/>
  <c r="AG215" i="8" s="1"/>
  <c r="AH215" i="8" s="1"/>
  <c r="G215" i="8"/>
  <c r="J215" i="8"/>
  <c r="C218" i="8"/>
  <c r="H218" i="8" s="1"/>
  <c r="C75" i="60"/>
  <c r="C156" i="8" s="1"/>
  <c r="K156" i="8" s="1"/>
  <c r="AG156" i="8" s="1"/>
  <c r="AH156" i="8" s="1"/>
  <c r="C27" i="49"/>
  <c r="C128" i="8" s="1"/>
  <c r="K128" i="8" s="1"/>
  <c r="AG128" i="8" s="1"/>
  <c r="AH128" i="8" s="1"/>
  <c r="C74" i="60"/>
  <c r="C35" i="4" s="1"/>
  <c r="C19" i="49"/>
  <c r="C110" i="8" s="1"/>
  <c r="F110" i="8" s="1"/>
  <c r="C217" i="8"/>
  <c r="G217" i="8" s="1"/>
  <c r="C36" i="4"/>
  <c r="C13" i="49" s="1"/>
  <c r="D99" i="12" s="1"/>
  <c r="C99" i="12" s="1"/>
  <c r="C164" i="60"/>
  <c r="B355" i="8" s="1"/>
  <c r="E355" i="8" s="1"/>
  <c r="G355" i="8" s="1"/>
  <c r="H355" i="8" s="1"/>
  <c r="I224" i="8"/>
  <c r="E224" i="8"/>
  <c r="C225" i="8"/>
  <c r="G225" i="8" s="1"/>
  <c r="F224" i="8"/>
  <c r="H224" i="8"/>
  <c r="C226" i="8"/>
  <c r="I226" i="8" s="1"/>
  <c r="G224" i="8"/>
  <c r="D45" i="12"/>
  <c r="K181" i="8"/>
  <c r="AG181" i="8" s="1"/>
  <c r="AH181" i="8" s="1"/>
  <c r="G356" i="8"/>
  <c r="H356" i="8" s="1"/>
  <c r="E221" i="8"/>
  <c r="K224" i="8"/>
  <c r="AG224" i="8" s="1"/>
  <c r="AH224" i="8" s="1"/>
  <c r="C68" i="60"/>
  <c r="C69" i="60" s="1"/>
  <c r="D33" i="12" s="1"/>
  <c r="C33" i="12" s="1"/>
  <c r="F221" i="8"/>
  <c r="E68" i="8"/>
  <c r="C220" i="8"/>
  <c r="G220" i="8" s="1"/>
  <c r="D44" i="12"/>
  <c r="H221" i="8"/>
  <c r="C222" i="8"/>
  <c r="I222" i="8" s="1"/>
  <c r="E71" i="8"/>
  <c r="D43" i="12"/>
  <c r="K70" i="8"/>
  <c r="AG70" i="8" s="1"/>
  <c r="AH70" i="8" s="1"/>
  <c r="D46" i="12"/>
  <c r="C46" i="12" s="1"/>
  <c r="I71" i="8" s="1"/>
  <c r="E69" i="8"/>
  <c r="I221" i="8"/>
  <c r="J221" i="8"/>
  <c r="C11" i="49"/>
  <c r="E102" i="8" s="1"/>
  <c r="K221" i="8"/>
  <c r="AG221" i="8" s="1"/>
  <c r="AH221" i="8" s="1"/>
  <c r="E70" i="8"/>
  <c r="C89" i="8"/>
  <c r="E89" i="8" s="1"/>
  <c r="K68" i="8"/>
  <c r="AG68" i="8" s="1"/>
  <c r="AH68" i="8" s="1"/>
  <c r="K71" i="8"/>
  <c r="AG71" i="8" s="1"/>
  <c r="AH71" i="8" s="1"/>
  <c r="K170" i="8"/>
  <c r="AG170" i="8" s="1"/>
  <c r="AH170" i="8" s="1"/>
  <c r="D141" i="12"/>
  <c r="D144" i="12"/>
  <c r="G170" i="8"/>
  <c r="E171" i="8"/>
  <c r="D143" i="12"/>
  <c r="E170" i="8"/>
  <c r="K173" i="8"/>
  <c r="AG173" i="8" s="1"/>
  <c r="AH173" i="8" s="1"/>
  <c r="D142" i="12"/>
  <c r="E172" i="8"/>
  <c r="K172" i="8"/>
  <c r="AG172" i="8" s="1"/>
  <c r="G173" i="8"/>
  <c r="G171" i="8"/>
  <c r="G172" i="8"/>
  <c r="E173" i="8"/>
  <c r="K171" i="8"/>
  <c r="AG171" i="8" s="1"/>
  <c r="F90" i="8"/>
  <c r="K69" i="8"/>
  <c r="AG69" i="8" s="1"/>
  <c r="K90" i="8"/>
  <c r="AG90" i="8" s="1"/>
  <c r="AH90" i="8" s="1"/>
  <c r="H90" i="8"/>
  <c r="C91" i="8"/>
  <c r="I91" i="8" s="1"/>
  <c r="J91" i="8" s="1"/>
  <c r="C88" i="8"/>
  <c r="G88" i="8" s="1"/>
  <c r="G71" i="8"/>
  <c r="G70" i="8"/>
  <c r="G69" i="8"/>
  <c r="G68" i="8"/>
  <c r="E90" i="8"/>
  <c r="G90" i="8"/>
  <c r="AH183" i="8"/>
  <c r="C15" i="4"/>
  <c r="D122" i="12" s="1"/>
  <c r="C122" i="12" s="1"/>
  <c r="C60" i="4"/>
  <c r="C83" i="57"/>
  <c r="C85" i="57" s="1"/>
  <c r="C82" i="57"/>
  <c r="K47" i="8"/>
  <c r="AG47" i="8" s="1"/>
  <c r="AH47" i="8" s="1"/>
  <c r="J47" i="8"/>
  <c r="K208" i="8"/>
  <c r="AG208" i="8" s="1"/>
  <c r="AH208" i="8" s="1"/>
  <c r="I208" i="8"/>
  <c r="J208" i="8" s="1"/>
  <c r="K243" i="8"/>
  <c r="AG243" i="8" s="1"/>
  <c r="AH243" i="8" s="1"/>
  <c r="I243" i="8"/>
  <c r="J243" i="8" s="1"/>
  <c r="K247" i="8"/>
  <c r="AG247" i="8" s="1"/>
  <c r="AH247" i="8" s="1"/>
  <c r="I247" i="8"/>
  <c r="J247" i="8" s="1"/>
  <c r="K246" i="8"/>
  <c r="AG246" i="8" s="1"/>
  <c r="AH246" i="8" s="1"/>
  <c r="I246" i="8"/>
  <c r="J246" i="8" s="1"/>
  <c r="F245" i="8"/>
  <c r="K245" i="8"/>
  <c r="AG245" i="8" s="1"/>
  <c r="AH245" i="8" s="1"/>
  <c r="I245" i="8"/>
  <c r="J245" i="8" s="1"/>
  <c r="G245" i="8"/>
  <c r="H14" i="1"/>
  <c r="AH197" i="8"/>
  <c r="AH200" i="8"/>
  <c r="H12" i="1"/>
  <c r="AH193" i="8"/>
  <c r="AH54" i="8"/>
  <c r="AH53" i="8"/>
  <c r="D151" i="12"/>
  <c r="C19" i="4"/>
  <c r="C214" i="8" s="1"/>
  <c r="C51" i="4"/>
  <c r="C67" i="4" s="1"/>
  <c r="C43" i="60"/>
  <c r="H11" i="1"/>
  <c r="AG116" i="8"/>
  <c r="AH116" i="8" s="1"/>
  <c r="AG115" i="8"/>
  <c r="AH115" i="8" s="1"/>
  <c r="H13" i="1"/>
  <c r="H9" i="1"/>
  <c r="H10" i="1"/>
  <c r="H16" i="1"/>
  <c r="H15" i="1"/>
  <c r="C29" i="57"/>
  <c r="C55" i="57" s="1"/>
  <c r="C50" i="6"/>
  <c r="C76" i="6" s="1"/>
  <c r="C79" i="6" s="1"/>
  <c r="C27" i="4"/>
  <c r="C33" i="3"/>
  <c r="C39" i="3" s="1"/>
  <c r="C40" i="3" s="1"/>
  <c r="C51" i="3" s="1"/>
  <c r="C49" i="6"/>
  <c r="C73" i="6" s="1"/>
  <c r="C74" i="6" s="1"/>
  <c r="C48" i="6"/>
  <c r="C61" i="6" s="1"/>
  <c r="C62" i="6" s="1"/>
  <c r="AG117" i="8"/>
  <c r="C151" i="8"/>
  <c r="C30" i="49"/>
  <c r="G97" i="1"/>
  <c r="E160" i="8"/>
  <c r="AG160" i="8"/>
  <c r="E161" i="8"/>
  <c r="E163" i="8"/>
  <c r="AG162" i="8"/>
  <c r="AH162" i="8" s="1"/>
  <c r="AG163" i="8"/>
  <c r="AH163" i="8" s="1"/>
  <c r="AG161" i="8"/>
  <c r="AH161" i="8" s="1"/>
  <c r="E162" i="8"/>
  <c r="E115" i="8"/>
  <c r="G42" i="1"/>
  <c r="C40" i="49"/>
  <c r="C180" i="8" s="1"/>
  <c r="G98" i="1"/>
  <c r="C47" i="8"/>
  <c r="C49" i="8"/>
  <c r="C50" i="8"/>
  <c r="C48" i="8"/>
  <c r="C28" i="6"/>
  <c r="D104" i="1"/>
  <c r="D121" i="12"/>
  <c r="C121" i="12" s="1"/>
  <c r="C104" i="1"/>
  <c r="C10" i="4"/>
  <c r="E144" i="8"/>
  <c r="AG144" i="8"/>
  <c r="AG145" i="8"/>
  <c r="AH145" i="8" s="1"/>
  <c r="AG143" i="8"/>
  <c r="AH143" i="8" s="1"/>
  <c r="E145" i="8"/>
  <c r="E143" i="8"/>
  <c r="E116" i="8"/>
  <c r="C17" i="6"/>
  <c r="C18" i="6" s="1"/>
  <c r="C9" i="8"/>
  <c r="C13" i="62"/>
  <c r="C35" i="62" s="1"/>
  <c r="H245" i="8"/>
  <c r="E245" i="8"/>
  <c r="G62" i="1"/>
  <c r="C44" i="3"/>
  <c r="C59" i="57"/>
  <c r="C60" i="57" s="1"/>
  <c r="C61" i="57" s="1"/>
  <c r="E61" i="57" s="1"/>
  <c r="C62" i="57" s="1"/>
  <c r="D133" i="12"/>
  <c r="D132" i="12"/>
  <c r="D131" i="12"/>
  <c r="D134" i="12"/>
  <c r="D116" i="12"/>
  <c r="D87" i="12"/>
  <c r="D114" i="12"/>
  <c r="D88" i="12"/>
  <c r="E88" i="12" s="1"/>
  <c r="D115" i="12"/>
  <c r="D86" i="12"/>
  <c r="E86" i="12" s="1"/>
  <c r="D81" i="1"/>
  <c r="D80" i="1"/>
  <c r="H80" i="1" s="1"/>
  <c r="C81" i="1"/>
  <c r="C56" i="4"/>
  <c r="C41" i="49"/>
  <c r="C182" i="8" s="1"/>
  <c r="C36" i="11"/>
  <c r="C40" i="8"/>
  <c r="K40" i="8" s="1"/>
  <c r="C76" i="3"/>
  <c r="C41" i="8" s="1"/>
  <c r="G79" i="1"/>
  <c r="C74" i="3"/>
  <c r="C73" i="3"/>
  <c r="C39" i="8"/>
  <c r="C34" i="6"/>
  <c r="C11" i="62" s="1"/>
  <c r="C157" i="57"/>
  <c r="E157" i="57" s="1"/>
  <c r="C158" i="57" s="1"/>
  <c r="C159" i="57" s="1"/>
  <c r="C160" i="57" s="1"/>
  <c r="E160" i="57" s="1"/>
  <c r="C146" i="57"/>
  <c r="C148" i="57" s="1"/>
  <c r="D184" i="12"/>
  <c r="C184" i="12" s="1"/>
  <c r="C48" i="12"/>
  <c r="C52" i="12"/>
  <c r="C154" i="12"/>
  <c r="D183" i="12"/>
  <c r="C183" i="12" s="1"/>
  <c r="D125" i="12" l="1"/>
  <c r="C125" i="12" s="1"/>
  <c r="D127" i="12"/>
  <c r="C127" i="12" s="1"/>
  <c r="D98" i="12"/>
  <c r="C98" i="12" s="1"/>
  <c r="D128" i="12"/>
  <c r="C128" i="12" s="1"/>
  <c r="I218" i="8"/>
  <c r="J218" i="8" s="1"/>
  <c r="E218" i="8"/>
  <c r="G128" i="8"/>
  <c r="J156" i="8"/>
  <c r="I156" i="8"/>
  <c r="K218" i="8"/>
  <c r="AG218" i="8" s="1"/>
  <c r="AH218" i="8" s="1"/>
  <c r="F156" i="8"/>
  <c r="C129" i="8"/>
  <c r="I129" i="8" s="1"/>
  <c r="J129" i="8" s="1"/>
  <c r="C127" i="8"/>
  <c r="F127" i="8" s="1"/>
  <c r="E156" i="8"/>
  <c r="F128" i="8"/>
  <c r="C154" i="8"/>
  <c r="F154" i="8" s="1"/>
  <c r="C157" i="8"/>
  <c r="E157" i="8" s="1"/>
  <c r="G218" i="8"/>
  <c r="F218" i="8"/>
  <c r="C31" i="49"/>
  <c r="C141" i="8" s="1"/>
  <c r="G141" i="8" s="1"/>
  <c r="H156" i="8"/>
  <c r="C155" i="8"/>
  <c r="K155" i="8" s="1"/>
  <c r="AG155" i="8" s="1"/>
  <c r="AH155" i="8" s="1"/>
  <c r="G156" i="8"/>
  <c r="C109" i="8"/>
  <c r="I109" i="8" s="1"/>
  <c r="J109" i="8" s="1"/>
  <c r="H110" i="8"/>
  <c r="C108" i="8"/>
  <c r="G108" i="8" s="1"/>
  <c r="K110" i="8"/>
  <c r="AG110" i="8" s="1"/>
  <c r="AH110" i="8" s="1"/>
  <c r="I128" i="8"/>
  <c r="J128" i="8" s="1"/>
  <c r="E128" i="8"/>
  <c r="H128" i="8"/>
  <c r="D60" i="12"/>
  <c r="C60" i="12" s="1"/>
  <c r="G110" i="8"/>
  <c r="E110" i="8"/>
  <c r="I110" i="8"/>
  <c r="J110" i="8" s="1"/>
  <c r="D81" i="12"/>
  <c r="C81" i="12" s="1"/>
  <c r="D59" i="12"/>
  <c r="C59" i="12" s="1"/>
  <c r="D62" i="12"/>
  <c r="C62" i="12" s="1"/>
  <c r="K217" i="8"/>
  <c r="AG217" i="8" s="1"/>
  <c r="AH217" i="8" s="1"/>
  <c r="D61" i="12"/>
  <c r="C61" i="12" s="1"/>
  <c r="D111" i="12"/>
  <c r="C111" i="12" s="1"/>
  <c r="I217" i="8"/>
  <c r="J217" i="8" s="1"/>
  <c r="F217" i="8"/>
  <c r="D112" i="12"/>
  <c r="C112" i="12" s="1"/>
  <c r="D113" i="12"/>
  <c r="C113" i="12" s="1"/>
  <c r="D100" i="12"/>
  <c r="E100" i="12" s="1"/>
  <c r="O100" i="12" s="1"/>
  <c r="E217" i="8"/>
  <c r="D79" i="12"/>
  <c r="E79" i="12" s="1"/>
  <c r="O79" i="12" s="1"/>
  <c r="D80" i="12"/>
  <c r="C80" i="12" s="1"/>
  <c r="H217" i="8"/>
  <c r="E225" i="8"/>
  <c r="J225" i="8"/>
  <c r="H225" i="8"/>
  <c r="F225" i="8"/>
  <c r="I225" i="8"/>
  <c r="K226" i="8"/>
  <c r="AG226" i="8" s="1"/>
  <c r="AH226" i="8" s="1"/>
  <c r="H226" i="8"/>
  <c r="J226" i="8"/>
  <c r="K225" i="8"/>
  <c r="AG225" i="8" s="1"/>
  <c r="AH225" i="8" s="1"/>
  <c r="E226" i="8"/>
  <c r="G226" i="8"/>
  <c r="F226" i="8"/>
  <c r="D107" i="12"/>
  <c r="C107" i="12" s="1"/>
  <c r="K102" i="8"/>
  <c r="AG102" i="8" s="1"/>
  <c r="C59" i="8"/>
  <c r="I59" i="8" s="1"/>
  <c r="J59" i="8" s="1"/>
  <c r="C57" i="8"/>
  <c r="K57" i="8" s="1"/>
  <c r="AG57" i="8" s="1"/>
  <c r="AH57" i="8" s="1"/>
  <c r="C44" i="4"/>
  <c r="C52" i="4" s="1"/>
  <c r="C69" i="4" s="1"/>
  <c r="C58" i="8"/>
  <c r="H58" i="8" s="1"/>
  <c r="C73" i="60"/>
  <c r="D162" i="12" s="1"/>
  <c r="C162" i="12" s="1"/>
  <c r="D32" i="12"/>
  <c r="C32" i="12" s="1"/>
  <c r="D34" i="12"/>
  <c r="C34" i="12" s="1"/>
  <c r="C71" i="60"/>
  <c r="E220" i="8"/>
  <c r="C18" i="11"/>
  <c r="C29" i="11" s="1"/>
  <c r="H220" i="8"/>
  <c r="D105" i="12"/>
  <c r="C105" i="12" s="1"/>
  <c r="D106" i="12"/>
  <c r="C106" i="12" s="1"/>
  <c r="E104" i="8"/>
  <c r="D93" i="12"/>
  <c r="C93" i="12" s="1"/>
  <c r="D73" i="12"/>
  <c r="E73" i="12" s="1"/>
  <c r="L73" i="12" s="1"/>
  <c r="K104" i="8"/>
  <c r="AG104" i="8" s="1"/>
  <c r="AH104" i="8" s="1"/>
  <c r="F220" i="8"/>
  <c r="H222" i="8"/>
  <c r="G103" i="8"/>
  <c r="J220" i="8"/>
  <c r="D75" i="12"/>
  <c r="C75" i="12" s="1"/>
  <c r="I104" i="8" s="1"/>
  <c r="G104" i="8"/>
  <c r="K222" i="8"/>
  <c r="AG222" i="8" s="1"/>
  <c r="AH222" i="8" s="1"/>
  <c r="G102" i="8"/>
  <c r="D92" i="12"/>
  <c r="E92" i="12" s="1"/>
  <c r="O92" i="12" s="1"/>
  <c r="J222" i="8"/>
  <c r="D74" i="12"/>
  <c r="C74" i="12" s="1"/>
  <c r="I103" i="8" s="1"/>
  <c r="K103" i="8"/>
  <c r="AG103" i="8" s="1"/>
  <c r="AH103" i="8" s="1"/>
  <c r="D94" i="12"/>
  <c r="E94" i="12" s="1"/>
  <c r="I94" i="12" s="1"/>
  <c r="I220" i="8"/>
  <c r="G222" i="8"/>
  <c r="E103" i="8"/>
  <c r="F222" i="8"/>
  <c r="E222" i="8"/>
  <c r="K220" i="8"/>
  <c r="AG220" i="8" s="1"/>
  <c r="AH220" i="8" s="1"/>
  <c r="F89" i="8"/>
  <c r="H89" i="8"/>
  <c r="G89" i="8"/>
  <c r="I89" i="8"/>
  <c r="J89" i="8" s="1"/>
  <c r="K89" i="8"/>
  <c r="AG89" i="8" s="1"/>
  <c r="AH89" i="8" s="1"/>
  <c r="F88" i="8"/>
  <c r="I88" i="8"/>
  <c r="J88" i="8" s="1"/>
  <c r="E91" i="8"/>
  <c r="G91" i="8"/>
  <c r="K91" i="8"/>
  <c r="AG91" i="8" s="1"/>
  <c r="AH91" i="8" s="1"/>
  <c r="H88" i="8"/>
  <c r="K88" i="8"/>
  <c r="AG88" i="8" s="1"/>
  <c r="AH88" i="8" s="1"/>
  <c r="E88" i="8"/>
  <c r="H91" i="8"/>
  <c r="F91" i="8"/>
  <c r="K88" i="12"/>
  <c r="J88" i="12"/>
  <c r="Q88" i="12"/>
  <c r="I88" i="12"/>
  <c r="P88" i="12"/>
  <c r="H88" i="12"/>
  <c r="O88" i="12"/>
  <c r="G88" i="12"/>
  <c r="L88" i="12"/>
  <c r="F88" i="12"/>
  <c r="N88" i="12"/>
  <c r="M88" i="12"/>
  <c r="I182" i="8"/>
  <c r="J182" i="8" s="1"/>
  <c r="K182" i="8"/>
  <c r="AG182" i="8" s="1"/>
  <c r="K39" i="8"/>
  <c r="AG39" i="8" s="1"/>
  <c r="I39" i="8"/>
  <c r="K41" i="8"/>
  <c r="AG41" i="8" s="1"/>
  <c r="I41" i="8"/>
  <c r="K86" i="12"/>
  <c r="J86" i="12"/>
  <c r="Q86" i="12"/>
  <c r="I86" i="12"/>
  <c r="P86" i="12"/>
  <c r="H86" i="12"/>
  <c r="O86" i="12"/>
  <c r="G86" i="12"/>
  <c r="L86" i="12"/>
  <c r="F86" i="12"/>
  <c r="N86" i="12"/>
  <c r="M86" i="12"/>
  <c r="C28" i="4"/>
  <c r="C10" i="49" s="1"/>
  <c r="I157" i="8"/>
  <c r="K151" i="8"/>
  <c r="AG151" i="8" s="1"/>
  <c r="I151" i="8"/>
  <c r="G151" i="8"/>
  <c r="I180" i="8"/>
  <c r="J180" i="8" s="1"/>
  <c r="K180" i="8"/>
  <c r="AG180" i="8" s="1"/>
  <c r="AH180" i="8" s="1"/>
  <c r="I50" i="8"/>
  <c r="G50" i="8"/>
  <c r="K50" i="8"/>
  <c r="AG50" i="8" s="1"/>
  <c r="AH50" i="8" s="1"/>
  <c r="G49" i="8"/>
  <c r="K49" i="8"/>
  <c r="AG49" i="8" s="1"/>
  <c r="AH49" i="8" s="1"/>
  <c r="I49" i="8"/>
  <c r="K48" i="8"/>
  <c r="AG48" i="8" s="1"/>
  <c r="AH48" i="8" s="1"/>
  <c r="I48" i="8"/>
  <c r="G48" i="8"/>
  <c r="C34" i="3"/>
  <c r="G94" i="1" s="1"/>
  <c r="C20" i="4"/>
  <c r="C44" i="60"/>
  <c r="C50" i="60" s="1"/>
  <c r="H17" i="1"/>
  <c r="I17" i="1"/>
  <c r="G63" i="1"/>
  <c r="C85" i="6"/>
  <c r="C86" i="6" s="1"/>
  <c r="C42" i="4" s="1"/>
  <c r="C50" i="4" s="1"/>
  <c r="C52" i="6"/>
  <c r="C55" i="6" s="1"/>
  <c r="C64" i="6"/>
  <c r="C67" i="6" s="1"/>
  <c r="C202" i="60"/>
  <c r="C27" i="60"/>
  <c r="C19" i="6"/>
  <c r="C23" i="6" s="1"/>
  <c r="C24" i="6" s="1"/>
  <c r="AM418" i="8"/>
  <c r="H104" i="1"/>
  <c r="H47" i="8"/>
  <c r="F47" i="8"/>
  <c r="C20" i="6"/>
  <c r="C28" i="56" s="1"/>
  <c r="C29" i="56" s="1"/>
  <c r="C135" i="8"/>
  <c r="C136" i="8"/>
  <c r="C134" i="8"/>
  <c r="H48" i="8"/>
  <c r="E48" i="8"/>
  <c r="F48" i="8"/>
  <c r="J151" i="8"/>
  <c r="C7" i="11" s="1"/>
  <c r="G347" i="8" s="1"/>
  <c r="H347" i="8" s="1"/>
  <c r="E151" i="8"/>
  <c r="H151" i="8"/>
  <c r="F151" i="8"/>
  <c r="C38" i="6"/>
  <c r="H50" i="8"/>
  <c r="E50" i="8"/>
  <c r="F50" i="8"/>
  <c r="C39" i="4"/>
  <c r="D24" i="12"/>
  <c r="C24" i="12" s="1"/>
  <c r="D25" i="12"/>
  <c r="C25" i="12" s="1"/>
  <c r="D26" i="12"/>
  <c r="C26" i="12" s="1"/>
  <c r="G92" i="1"/>
  <c r="C11" i="4"/>
  <c r="C59" i="4" s="1"/>
  <c r="C53" i="11"/>
  <c r="C54" i="11" s="1"/>
  <c r="C55" i="11" s="1"/>
  <c r="C14" i="11"/>
  <c r="C24" i="11" s="1"/>
  <c r="E49" i="8"/>
  <c r="H49" i="8"/>
  <c r="F49" i="8"/>
  <c r="C20" i="62"/>
  <c r="C77" i="6"/>
  <c r="C78" i="6" s="1"/>
  <c r="D175" i="12"/>
  <c r="C175" i="12" s="1"/>
  <c r="J237" i="8" s="1"/>
  <c r="C41" i="4"/>
  <c r="C49" i="4" s="1"/>
  <c r="D172" i="12"/>
  <c r="C172" i="12" s="1"/>
  <c r="J234" i="8" s="1"/>
  <c r="C40" i="4"/>
  <c r="C48" i="4" s="1"/>
  <c r="C141" i="12"/>
  <c r="H81" i="1"/>
  <c r="E62" i="57"/>
  <c r="C116" i="12"/>
  <c r="J145" i="8" s="1"/>
  <c r="C43" i="12"/>
  <c r="I68" i="8" s="1"/>
  <c r="C87" i="12"/>
  <c r="J116" i="8" s="1"/>
  <c r="J41" i="8"/>
  <c r="C64" i="11"/>
  <c r="C362" i="8" s="1"/>
  <c r="C63" i="11"/>
  <c r="C361" i="8" s="1"/>
  <c r="G361" i="8" s="1"/>
  <c r="C41" i="6"/>
  <c r="C9" i="11"/>
  <c r="G350" i="8" s="1"/>
  <c r="C37" i="11"/>
  <c r="C115" i="12"/>
  <c r="J144" i="8" s="1"/>
  <c r="AH144" i="8" s="1"/>
  <c r="E39" i="8"/>
  <c r="F39" i="8"/>
  <c r="G39" i="8"/>
  <c r="H39" i="8"/>
  <c r="J39" i="8"/>
  <c r="C43" i="8"/>
  <c r="C75" i="3"/>
  <c r="C44" i="8" s="1"/>
  <c r="H40" i="8"/>
  <c r="G40" i="8"/>
  <c r="E40" i="8"/>
  <c r="F40" i="8"/>
  <c r="AG40" i="8"/>
  <c r="AE418" i="8"/>
  <c r="C14" i="12"/>
  <c r="C10" i="12"/>
  <c r="C134" i="12"/>
  <c r="J163" i="8" s="1"/>
  <c r="C132" i="12"/>
  <c r="J161" i="8" s="1"/>
  <c r="C49" i="12"/>
  <c r="C44" i="12"/>
  <c r="I69" i="8" s="1"/>
  <c r="C131" i="12"/>
  <c r="J160" i="8" s="1"/>
  <c r="AH160" i="8" s="1"/>
  <c r="C151" i="12"/>
  <c r="C144" i="12"/>
  <c r="C8" i="12"/>
  <c r="C15" i="12"/>
  <c r="C114" i="12"/>
  <c r="J143" i="8" s="1"/>
  <c r="C50" i="12"/>
  <c r="C142" i="12"/>
  <c r="C9" i="12"/>
  <c r="C51" i="12"/>
  <c r="C32" i="57"/>
  <c r="C7" i="12"/>
  <c r="C143" i="12"/>
  <c r="C133" i="12"/>
  <c r="J162" i="8" s="1"/>
  <c r="C13" i="12"/>
  <c r="C45" i="12"/>
  <c r="I70" i="8" s="1"/>
  <c r="E98" i="12" l="1"/>
  <c r="I98" i="12" s="1"/>
  <c r="F155" i="8"/>
  <c r="H108" i="8"/>
  <c r="F108" i="8"/>
  <c r="H129" i="8"/>
  <c r="E129" i="8"/>
  <c r="G155" i="8"/>
  <c r="E108" i="8"/>
  <c r="I155" i="8"/>
  <c r="H155" i="8"/>
  <c r="J155" i="8"/>
  <c r="C142" i="8"/>
  <c r="K142" i="8" s="1"/>
  <c r="AG142" i="8" s="1"/>
  <c r="AH142" i="8" s="1"/>
  <c r="E155" i="8"/>
  <c r="G127" i="8"/>
  <c r="H127" i="8"/>
  <c r="K129" i="8"/>
  <c r="AG129" i="8" s="1"/>
  <c r="AH129" i="8" s="1"/>
  <c r="K127" i="8"/>
  <c r="AG127" i="8" s="1"/>
  <c r="AH127" i="8" s="1"/>
  <c r="H154" i="8"/>
  <c r="I127" i="8"/>
  <c r="J127" i="8" s="1"/>
  <c r="E127" i="8"/>
  <c r="G129" i="8"/>
  <c r="I141" i="8"/>
  <c r="J141" i="8" s="1"/>
  <c r="F129" i="8"/>
  <c r="G154" i="8"/>
  <c r="G157" i="8"/>
  <c r="K157" i="8"/>
  <c r="AG157" i="8" s="1"/>
  <c r="AH157" i="8" s="1"/>
  <c r="J157" i="8"/>
  <c r="H157" i="8"/>
  <c r="F157" i="8"/>
  <c r="E154" i="8"/>
  <c r="I154" i="8"/>
  <c r="E141" i="8"/>
  <c r="F141" i="8"/>
  <c r="K154" i="8"/>
  <c r="AG154" i="8" s="1"/>
  <c r="AH154" i="8" s="1"/>
  <c r="J154" i="8"/>
  <c r="K109" i="8"/>
  <c r="AG109" i="8" s="1"/>
  <c r="AH109" i="8" s="1"/>
  <c r="H141" i="8"/>
  <c r="C140" i="8"/>
  <c r="H140" i="8" s="1"/>
  <c r="G109" i="8"/>
  <c r="K141" i="8"/>
  <c r="AG141" i="8" s="1"/>
  <c r="AH141" i="8" s="1"/>
  <c r="I108" i="8"/>
  <c r="J108" i="8" s="1"/>
  <c r="K108" i="8"/>
  <c r="AG108" i="8" s="1"/>
  <c r="AH108" i="8" s="1"/>
  <c r="H109" i="8"/>
  <c r="F109" i="8"/>
  <c r="E109" i="8"/>
  <c r="M100" i="12"/>
  <c r="N79" i="12"/>
  <c r="P79" i="12"/>
  <c r="Q100" i="12"/>
  <c r="H100" i="12"/>
  <c r="P100" i="12"/>
  <c r="F79" i="12"/>
  <c r="F100" i="12"/>
  <c r="I100" i="12"/>
  <c r="N100" i="12"/>
  <c r="J100" i="12"/>
  <c r="L100" i="12"/>
  <c r="K100" i="12"/>
  <c r="C100" i="12"/>
  <c r="G100" i="12"/>
  <c r="H79" i="12"/>
  <c r="I79" i="12"/>
  <c r="Q79" i="12"/>
  <c r="C79" i="12"/>
  <c r="L79" i="12"/>
  <c r="J79" i="12"/>
  <c r="M79" i="12"/>
  <c r="K79" i="12"/>
  <c r="G79" i="12"/>
  <c r="K59" i="8"/>
  <c r="AG59" i="8" s="1"/>
  <c r="AH59" i="8" s="1"/>
  <c r="H59" i="8"/>
  <c r="E59" i="8"/>
  <c r="G59" i="8"/>
  <c r="G57" i="8"/>
  <c r="F57" i="8"/>
  <c r="H57" i="8"/>
  <c r="E57" i="8"/>
  <c r="I57" i="8"/>
  <c r="J57" i="8" s="1"/>
  <c r="K58" i="8"/>
  <c r="AG58" i="8" s="1"/>
  <c r="AH58" i="8" s="1"/>
  <c r="F58" i="8"/>
  <c r="F59" i="8"/>
  <c r="H92" i="12"/>
  <c r="G94" i="12"/>
  <c r="O94" i="12"/>
  <c r="P94" i="12"/>
  <c r="M94" i="12"/>
  <c r="J94" i="12"/>
  <c r="N94" i="12"/>
  <c r="E58" i="8"/>
  <c r="G58" i="8"/>
  <c r="I58" i="8"/>
  <c r="J58" i="8" s="1"/>
  <c r="D163" i="12"/>
  <c r="C163" i="12" s="1"/>
  <c r="L92" i="12"/>
  <c r="G73" i="12"/>
  <c r="O73" i="12"/>
  <c r="J73" i="12"/>
  <c r="K73" i="12"/>
  <c r="F94" i="12"/>
  <c r="Q94" i="12"/>
  <c r="M92" i="12"/>
  <c r="N73" i="12"/>
  <c r="M73" i="12"/>
  <c r="K92" i="12"/>
  <c r="I92" i="12"/>
  <c r="F92" i="12"/>
  <c r="Q92" i="12"/>
  <c r="L94" i="12"/>
  <c r="H94" i="12"/>
  <c r="N92" i="12"/>
  <c r="H73" i="12"/>
  <c r="I73" i="12"/>
  <c r="J92" i="12"/>
  <c r="P92" i="12"/>
  <c r="G92" i="12"/>
  <c r="P73" i="12"/>
  <c r="Q73" i="12"/>
  <c r="K94" i="12"/>
  <c r="F73" i="12"/>
  <c r="E65" i="8"/>
  <c r="D38" i="12"/>
  <c r="C38" i="12" s="1"/>
  <c r="I63" i="8" s="1"/>
  <c r="I134" i="8"/>
  <c r="J134" i="8" s="1"/>
  <c r="D39" i="12"/>
  <c r="C39" i="12" s="1"/>
  <c r="I64" i="8" s="1"/>
  <c r="E63" i="8"/>
  <c r="K65" i="8"/>
  <c r="AG65" i="8" s="1"/>
  <c r="AH65" i="8" s="1"/>
  <c r="K64" i="8"/>
  <c r="AG64" i="8" s="1"/>
  <c r="G64" i="8"/>
  <c r="G63" i="8"/>
  <c r="K62" i="8"/>
  <c r="AG62" i="8" s="1"/>
  <c r="AH62" i="8" s="1"/>
  <c r="G62" i="8"/>
  <c r="G65" i="8"/>
  <c r="K63" i="8"/>
  <c r="AG63" i="8" s="1"/>
  <c r="AH63" i="8" s="1"/>
  <c r="K66" i="8"/>
  <c r="AG66" i="8" s="1"/>
  <c r="AH66" i="8" s="1"/>
  <c r="G66" i="8"/>
  <c r="E66" i="8"/>
  <c r="C34" i="49"/>
  <c r="D136" i="12" s="1"/>
  <c r="C136" i="12" s="1"/>
  <c r="E64" i="8"/>
  <c r="D41" i="12"/>
  <c r="C41" i="12" s="1"/>
  <c r="I66" i="8" s="1"/>
  <c r="D37" i="12"/>
  <c r="C37" i="12" s="1"/>
  <c r="I62" i="8" s="1"/>
  <c r="K44" i="8"/>
  <c r="AG44" i="8" s="1"/>
  <c r="I44" i="8"/>
  <c r="K43" i="8"/>
  <c r="AG43" i="8" s="1"/>
  <c r="I43" i="8"/>
  <c r="D40" i="12"/>
  <c r="C40" i="12" s="1"/>
  <c r="I65" i="8" s="1"/>
  <c r="K98" i="12"/>
  <c r="J98" i="12"/>
  <c r="Q98" i="12"/>
  <c r="P98" i="12"/>
  <c r="O98" i="12"/>
  <c r="G98" i="12"/>
  <c r="L98" i="12"/>
  <c r="N98" i="12"/>
  <c r="M98" i="12"/>
  <c r="E62" i="8"/>
  <c r="J49" i="8"/>
  <c r="J48" i="8"/>
  <c r="G119" i="8"/>
  <c r="G99" i="8"/>
  <c r="K120" i="8"/>
  <c r="AG120" i="8" s="1"/>
  <c r="AH120" i="8" s="1"/>
  <c r="K118" i="8"/>
  <c r="AG118" i="8" s="1"/>
  <c r="G118" i="8"/>
  <c r="K101" i="8"/>
  <c r="AG101" i="8" s="1"/>
  <c r="AH101" i="8" s="1"/>
  <c r="G101" i="8"/>
  <c r="K100" i="8"/>
  <c r="AG100" i="8" s="1"/>
  <c r="AH100" i="8" s="1"/>
  <c r="G120" i="8"/>
  <c r="G100" i="8"/>
  <c r="K119" i="8"/>
  <c r="AG119" i="8" s="1"/>
  <c r="AH119" i="8" s="1"/>
  <c r="K99" i="8"/>
  <c r="AG99" i="8" s="1"/>
  <c r="G134" i="8"/>
  <c r="K134" i="8"/>
  <c r="AG134" i="8" s="1"/>
  <c r="I135" i="8"/>
  <c r="J135" i="8" s="1"/>
  <c r="K135" i="8"/>
  <c r="AG135" i="8" s="1"/>
  <c r="AH135" i="8" s="1"/>
  <c r="G135" i="8"/>
  <c r="K136" i="8"/>
  <c r="AG136" i="8" s="1"/>
  <c r="G136" i="8"/>
  <c r="I136" i="8"/>
  <c r="J136" i="8" s="1"/>
  <c r="J50" i="8"/>
  <c r="I173" i="8"/>
  <c r="J173" i="8" s="1"/>
  <c r="I172" i="8"/>
  <c r="J172" i="8" s="1"/>
  <c r="AH172" i="8" s="1"/>
  <c r="I171" i="8"/>
  <c r="J171" i="8" s="1"/>
  <c r="AH171" i="8" s="1"/>
  <c r="I170" i="8"/>
  <c r="J170" i="8" s="1"/>
  <c r="C35" i="3"/>
  <c r="C36" i="49" s="1"/>
  <c r="C165" i="8" s="1"/>
  <c r="C47" i="60"/>
  <c r="C48" i="60"/>
  <c r="C49" i="60" s="1"/>
  <c r="C46" i="60"/>
  <c r="G52" i="8" s="1"/>
  <c r="AH151" i="8"/>
  <c r="D152" i="12"/>
  <c r="C152" i="12" s="1"/>
  <c r="J214" i="8" s="1"/>
  <c r="AG214" i="8"/>
  <c r="E214" i="8"/>
  <c r="E120" i="8"/>
  <c r="E118" i="8"/>
  <c r="D90" i="12"/>
  <c r="C90" i="12" s="1"/>
  <c r="I119" i="8" s="1"/>
  <c r="D72" i="12"/>
  <c r="C72" i="12" s="1"/>
  <c r="I101" i="8" s="1"/>
  <c r="D70" i="12"/>
  <c r="E70" i="12" s="1"/>
  <c r="D91" i="12"/>
  <c r="E91" i="12" s="1"/>
  <c r="E119" i="8"/>
  <c r="D71" i="12"/>
  <c r="C71" i="12" s="1"/>
  <c r="I100" i="8" s="1"/>
  <c r="E101" i="8"/>
  <c r="E99" i="8"/>
  <c r="E100" i="8"/>
  <c r="D89" i="12"/>
  <c r="E89" i="12" s="1"/>
  <c r="D178" i="12"/>
  <c r="C178" i="12" s="1"/>
  <c r="J240" i="8" s="1"/>
  <c r="C65" i="6"/>
  <c r="C66" i="6" s="1"/>
  <c r="C68" i="6" s="1"/>
  <c r="C53" i="6"/>
  <c r="C54" i="6" s="1"/>
  <c r="C57" i="6" s="1"/>
  <c r="C47" i="4"/>
  <c r="C58" i="4"/>
  <c r="C22" i="6"/>
  <c r="C25" i="6"/>
  <c r="C42" i="64"/>
  <c r="C43" i="64" s="1"/>
  <c r="F136" i="8"/>
  <c r="E136" i="8"/>
  <c r="H136" i="8"/>
  <c r="C358" i="8"/>
  <c r="G358" i="8" s="1"/>
  <c r="H358" i="8" s="1"/>
  <c r="C5" i="56"/>
  <c r="C43" i="6"/>
  <c r="C39" i="6"/>
  <c r="C48" i="62" s="1"/>
  <c r="C150" i="8"/>
  <c r="E134" i="8"/>
  <c r="F134" i="8"/>
  <c r="H134" i="8"/>
  <c r="F135" i="8"/>
  <c r="E135" i="8"/>
  <c r="H135" i="8"/>
  <c r="C21" i="6"/>
  <c r="C81" i="6"/>
  <c r="C84" i="6"/>
  <c r="C82" i="6"/>
  <c r="C83" i="6" s="1"/>
  <c r="C80" i="6"/>
  <c r="C86" i="12"/>
  <c r="J115" i="8" s="1"/>
  <c r="AH182" i="8"/>
  <c r="C88" i="12"/>
  <c r="J117" i="8" s="1"/>
  <c r="AH117" i="8" s="1"/>
  <c r="AH39" i="8"/>
  <c r="J43" i="8"/>
  <c r="C230" i="8"/>
  <c r="C42" i="6"/>
  <c r="D168" i="12" s="1"/>
  <c r="C168" i="12" s="1"/>
  <c r="AH41" i="8"/>
  <c r="J44" i="8"/>
  <c r="G362" i="8"/>
  <c r="C16" i="12"/>
  <c r="J40" i="8" s="1"/>
  <c r="I40" i="8" s="1"/>
  <c r="C34" i="57"/>
  <c r="H98" i="12" l="1"/>
  <c r="F98" i="12"/>
  <c r="E142" i="8"/>
  <c r="F142" i="8"/>
  <c r="G142" i="8"/>
  <c r="H142" i="8"/>
  <c r="I142" i="8"/>
  <c r="J142" i="8" s="1"/>
  <c r="E140" i="8"/>
  <c r="G140" i="8"/>
  <c r="I140" i="8"/>
  <c r="J140" i="8" s="1"/>
  <c r="K140" i="8"/>
  <c r="AG140" i="8" s="1"/>
  <c r="AH140" i="8" s="1"/>
  <c r="F140" i="8"/>
  <c r="C73" i="12"/>
  <c r="I102" i="8" s="1"/>
  <c r="C94" i="12"/>
  <c r="C92" i="12"/>
  <c r="D137" i="12"/>
  <c r="C137" i="12" s="1"/>
  <c r="D138" i="12"/>
  <c r="C138" i="12" s="1"/>
  <c r="D139" i="12"/>
  <c r="C139" i="12" s="1"/>
  <c r="O89" i="12"/>
  <c r="G89" i="12"/>
  <c r="N89" i="12"/>
  <c r="F89" i="12"/>
  <c r="M89" i="12"/>
  <c r="L89" i="12"/>
  <c r="K89" i="12"/>
  <c r="Q89" i="12"/>
  <c r="P89" i="12"/>
  <c r="J89" i="12"/>
  <c r="I89" i="12"/>
  <c r="H89" i="12"/>
  <c r="O91" i="12"/>
  <c r="G91" i="12"/>
  <c r="N91" i="12"/>
  <c r="F91" i="12"/>
  <c r="M91" i="12"/>
  <c r="L91" i="12"/>
  <c r="K91" i="12"/>
  <c r="Q91" i="12"/>
  <c r="P91" i="12"/>
  <c r="H91" i="12"/>
  <c r="J91" i="12"/>
  <c r="I91" i="12"/>
  <c r="O70" i="12"/>
  <c r="G70" i="12"/>
  <c r="N70" i="12"/>
  <c r="F70" i="12"/>
  <c r="M70" i="12"/>
  <c r="L70" i="12"/>
  <c r="K70" i="12"/>
  <c r="H70" i="12"/>
  <c r="Q70" i="12"/>
  <c r="J70" i="12"/>
  <c r="I70" i="12"/>
  <c r="P70" i="12"/>
  <c r="K165" i="8"/>
  <c r="AG165" i="8" s="1"/>
  <c r="AH165" i="8" s="1"/>
  <c r="I165" i="8"/>
  <c r="J165" i="8" s="1"/>
  <c r="G165" i="8"/>
  <c r="I150" i="8"/>
  <c r="G150" i="8"/>
  <c r="K150" i="8"/>
  <c r="AG150" i="8" s="1"/>
  <c r="AH150" i="8" s="1"/>
  <c r="K230" i="8"/>
  <c r="AG230" i="8" s="1"/>
  <c r="I230" i="8"/>
  <c r="J230" i="8" s="1"/>
  <c r="G230" i="8"/>
  <c r="AH136" i="8"/>
  <c r="C19" i="11"/>
  <c r="C16" i="49"/>
  <c r="C100" i="8" s="1"/>
  <c r="J100" i="8" s="1"/>
  <c r="D67" i="1"/>
  <c r="C17" i="60"/>
  <c r="C173" i="60" s="1"/>
  <c r="C168" i="8"/>
  <c r="C39" i="49"/>
  <c r="C179" i="8" s="1"/>
  <c r="C167" i="8"/>
  <c r="C59" i="11"/>
  <c r="C60" i="11" s="1"/>
  <c r="C359" i="8" s="1"/>
  <c r="G359" i="8" s="1"/>
  <c r="H359" i="8" s="1"/>
  <c r="C17" i="49"/>
  <c r="C103" i="8" s="1"/>
  <c r="J103" i="8" s="1"/>
  <c r="C11" i="60"/>
  <c r="C12" i="60" s="1"/>
  <c r="C13" i="60" s="1"/>
  <c r="C96" i="60" s="1"/>
  <c r="C45" i="49"/>
  <c r="C188" i="8" s="1"/>
  <c r="J188" i="8" s="1"/>
  <c r="AH188" i="8" s="1"/>
  <c r="C25" i="49"/>
  <c r="C123" i="8" s="1"/>
  <c r="C11" i="8"/>
  <c r="C44" i="49"/>
  <c r="C185" i="8" s="1"/>
  <c r="C82" i="3"/>
  <c r="K228" i="8" s="1"/>
  <c r="C24" i="49"/>
  <c r="C119" i="8" s="1"/>
  <c r="J119" i="8" s="1"/>
  <c r="C54" i="4"/>
  <c r="C55" i="4"/>
  <c r="C166" i="8"/>
  <c r="C14" i="60"/>
  <c r="C176" i="60" s="1"/>
  <c r="D70" i="1"/>
  <c r="H71" i="1"/>
  <c r="C36" i="8"/>
  <c r="C70" i="1"/>
  <c r="X418" i="8" s="1"/>
  <c r="C22" i="62"/>
  <c r="C37" i="8"/>
  <c r="C17" i="11"/>
  <c r="C30" i="11" s="1"/>
  <c r="C34" i="8"/>
  <c r="C67" i="1"/>
  <c r="V418" i="8" s="1"/>
  <c r="C43" i="49"/>
  <c r="C184" i="8" s="1"/>
  <c r="C35" i="8"/>
  <c r="G64" i="1"/>
  <c r="I52" i="8"/>
  <c r="E52" i="8"/>
  <c r="AH214" i="8"/>
  <c r="C58" i="6"/>
  <c r="C59" i="6" s="1"/>
  <c r="C56" i="6"/>
  <c r="C60" i="6"/>
  <c r="AH134" i="8"/>
  <c r="I47" i="8"/>
  <c r="C45" i="6"/>
  <c r="D181" i="12" s="1"/>
  <c r="C181" i="12" s="1"/>
  <c r="E353" i="8" s="1"/>
  <c r="C44" i="6"/>
  <c r="E47" i="8"/>
  <c r="G47" i="8"/>
  <c r="J150" i="8"/>
  <c r="C6" i="11" s="1"/>
  <c r="G346" i="8" s="1"/>
  <c r="H346" i="8" s="1"/>
  <c r="F150" i="8"/>
  <c r="H150" i="8"/>
  <c r="E150" i="8"/>
  <c r="C72" i="6"/>
  <c r="C69" i="6"/>
  <c r="C70" i="6"/>
  <c r="C71" i="6" s="1"/>
  <c r="F165" i="8"/>
  <c r="E165" i="8"/>
  <c r="H165" i="8"/>
  <c r="AH44" i="8"/>
  <c r="C63" i="4"/>
  <c r="AH43" i="8"/>
  <c r="E230" i="8"/>
  <c r="F230" i="8"/>
  <c r="H230" i="8"/>
  <c r="AH40" i="8"/>
  <c r="C39" i="57"/>
  <c r="C40" i="57"/>
  <c r="C35" i="57"/>
  <c r="K184" i="8" l="1"/>
  <c r="AG184" i="8" s="1"/>
  <c r="I184" i="8"/>
  <c r="J184" i="8" s="1"/>
  <c r="K36" i="8"/>
  <c r="AG36" i="8" s="1"/>
  <c r="I36" i="8"/>
  <c r="J36" i="8" s="1"/>
  <c r="K167" i="8"/>
  <c r="AG167" i="8" s="1"/>
  <c r="AH167" i="8" s="1"/>
  <c r="I167" i="8"/>
  <c r="J167" i="8" s="1"/>
  <c r="G167" i="8"/>
  <c r="I185" i="8"/>
  <c r="J185" i="8" s="1"/>
  <c r="K185" i="8"/>
  <c r="AG185" i="8" s="1"/>
  <c r="K168" i="8"/>
  <c r="AG168" i="8" s="1"/>
  <c r="AH168" i="8" s="1"/>
  <c r="I168" i="8"/>
  <c r="J168" i="8" s="1"/>
  <c r="G168" i="8"/>
  <c r="I166" i="8"/>
  <c r="J166" i="8" s="1"/>
  <c r="G166" i="8"/>
  <c r="K166" i="8"/>
  <c r="AG166" i="8" s="1"/>
  <c r="AH166" i="8" s="1"/>
  <c r="K35" i="8"/>
  <c r="AG35" i="8" s="1"/>
  <c r="AH35" i="8" s="1"/>
  <c r="I35" i="8"/>
  <c r="J35" i="8" s="1"/>
  <c r="I179" i="8"/>
  <c r="K179" i="8"/>
  <c r="AG179" i="8" s="1"/>
  <c r="K34" i="8"/>
  <c r="AG34" i="8" s="1"/>
  <c r="AH34" i="8" s="1"/>
  <c r="I34" i="8"/>
  <c r="J34" i="8" s="1"/>
  <c r="K37" i="8"/>
  <c r="AG37" i="8" s="1"/>
  <c r="I37" i="8"/>
  <c r="J37" i="8" s="1"/>
  <c r="K81" i="8"/>
  <c r="AG81" i="8" s="1"/>
  <c r="AH81" i="8" s="1"/>
  <c r="K80" i="8"/>
  <c r="AG80" i="8" s="1"/>
  <c r="G80" i="8"/>
  <c r="C99" i="60"/>
  <c r="C100" i="60" s="1"/>
  <c r="C102" i="60" s="1"/>
  <c r="C101" i="60" s="1"/>
  <c r="C104" i="60" s="1"/>
  <c r="K82" i="8"/>
  <c r="AG82" i="8" s="1"/>
  <c r="AH82" i="8" s="1"/>
  <c r="K79" i="8"/>
  <c r="AG79" i="8" s="1"/>
  <c r="AH79" i="8" s="1"/>
  <c r="G82" i="8"/>
  <c r="G81" i="8"/>
  <c r="G79" i="8"/>
  <c r="I123" i="8"/>
  <c r="J123" i="8" s="1"/>
  <c r="G123" i="8"/>
  <c r="K123" i="8"/>
  <c r="AG123" i="8" s="1"/>
  <c r="AH123" i="8" s="1"/>
  <c r="AG228" i="8"/>
  <c r="AH228" i="8" s="1"/>
  <c r="C31" i="6"/>
  <c r="C8" i="62" s="1"/>
  <c r="C99" i="8"/>
  <c r="C18" i="60"/>
  <c r="C101" i="8"/>
  <c r="J101" i="8" s="1"/>
  <c r="C28" i="60"/>
  <c r="C57" i="4"/>
  <c r="F168" i="8"/>
  <c r="F167" i="8"/>
  <c r="H168" i="8"/>
  <c r="E168" i="8"/>
  <c r="J179" i="8"/>
  <c r="E167" i="8"/>
  <c r="C228" i="8"/>
  <c r="D165" i="12"/>
  <c r="C165" i="12" s="1"/>
  <c r="I228" i="8" s="1"/>
  <c r="H167" i="8"/>
  <c r="C16" i="11"/>
  <c r="C27" i="11" s="1"/>
  <c r="E166" i="8"/>
  <c r="C102" i="8"/>
  <c r="J102" i="8" s="1"/>
  <c r="AH102" i="8" s="1"/>
  <c r="E123" i="8"/>
  <c r="C187" i="8"/>
  <c r="J187" i="8" s="1"/>
  <c r="C79" i="60"/>
  <c r="C61" i="4" s="1"/>
  <c r="H123" i="8"/>
  <c r="C104" i="8"/>
  <c r="J104" i="8" s="1"/>
  <c r="C122" i="8"/>
  <c r="F123" i="8"/>
  <c r="C121" i="8"/>
  <c r="C120" i="8"/>
  <c r="C118" i="8"/>
  <c r="C376" i="8"/>
  <c r="C19" i="60"/>
  <c r="C21" i="60" s="1"/>
  <c r="C22" i="60" s="1"/>
  <c r="F166" i="8"/>
  <c r="H166" i="8"/>
  <c r="C13" i="11"/>
  <c r="C23" i="11" s="1"/>
  <c r="C20" i="1"/>
  <c r="I19" i="1" s="1"/>
  <c r="C138" i="60"/>
  <c r="C142" i="60" s="1"/>
  <c r="C143" i="60" s="1"/>
  <c r="C174" i="60"/>
  <c r="C177" i="60" s="1"/>
  <c r="H70" i="1"/>
  <c r="H67" i="1"/>
  <c r="C12" i="11"/>
  <c r="C22" i="11" s="1"/>
  <c r="C113" i="60"/>
  <c r="D56" i="12"/>
  <c r="C56" i="12" s="1"/>
  <c r="I81" i="8" s="1"/>
  <c r="E82" i="8"/>
  <c r="D55" i="12"/>
  <c r="C55" i="12" s="1"/>
  <c r="I80" i="8" s="1"/>
  <c r="D57" i="12"/>
  <c r="C57" i="12" s="1"/>
  <c r="I82" i="8" s="1"/>
  <c r="C103" i="60"/>
  <c r="C106" i="60"/>
  <c r="C107" i="60" s="1"/>
  <c r="C118" i="60"/>
  <c r="E80" i="8"/>
  <c r="D54" i="12"/>
  <c r="C54" i="12" s="1"/>
  <c r="I79" i="8" s="1"/>
  <c r="E79" i="8"/>
  <c r="C109" i="60"/>
  <c r="C110" i="60" s="1"/>
  <c r="C84" i="8" s="1"/>
  <c r="I84" i="8" s="1"/>
  <c r="E81" i="8"/>
  <c r="C70" i="12"/>
  <c r="I99" i="8" s="1"/>
  <c r="C91" i="12"/>
  <c r="I120" i="8" s="1"/>
  <c r="C89" i="12"/>
  <c r="I118" i="8" s="1"/>
  <c r="D182" i="12"/>
  <c r="C182" i="12" s="1"/>
  <c r="E354" i="8" s="1"/>
  <c r="C354" i="8"/>
  <c r="C353" i="8"/>
  <c r="C20" i="11"/>
  <c r="C31" i="11" s="1"/>
  <c r="AH230" i="8"/>
  <c r="C41" i="57"/>
  <c r="C42" i="57" s="1"/>
  <c r="C46" i="57" s="1"/>
  <c r="C45" i="57"/>
  <c r="C44" i="57"/>
  <c r="AH36" i="8" l="1"/>
  <c r="AH184" i="8"/>
  <c r="AH185" i="8"/>
  <c r="AH179" i="8"/>
  <c r="C182" i="60"/>
  <c r="C186" i="60" s="1"/>
  <c r="C181" i="60"/>
  <c r="C26" i="62"/>
  <c r="G176" i="8"/>
  <c r="K175" i="8"/>
  <c r="AG175" i="8" s="1"/>
  <c r="AH175" i="8" s="1"/>
  <c r="K178" i="8"/>
  <c r="AG178" i="8" s="1"/>
  <c r="AH178" i="8" s="1"/>
  <c r="G175" i="8"/>
  <c r="G177" i="8"/>
  <c r="K176" i="8"/>
  <c r="AG176" i="8" s="1"/>
  <c r="G178" i="8"/>
  <c r="K177" i="8"/>
  <c r="AG177" i="8" s="1"/>
  <c r="C80" i="60"/>
  <c r="D123" i="12" s="1"/>
  <c r="C123" i="12" s="1"/>
  <c r="G152" i="8"/>
  <c r="K152" i="8"/>
  <c r="AG152" i="8" s="1"/>
  <c r="I152" i="8"/>
  <c r="E122" i="8"/>
  <c r="K122" i="8"/>
  <c r="AG122" i="8" s="1"/>
  <c r="AH122" i="8" s="1"/>
  <c r="G122" i="8"/>
  <c r="I122" i="8"/>
  <c r="J122" i="8" s="1"/>
  <c r="I121" i="8"/>
  <c r="J121" i="8" s="1"/>
  <c r="G121" i="8"/>
  <c r="K121" i="8"/>
  <c r="AG121" i="8" s="1"/>
  <c r="AH121" i="8" s="1"/>
  <c r="AH37" i="8"/>
  <c r="J99" i="8"/>
  <c r="AH99" i="8" s="1"/>
  <c r="C26" i="11"/>
  <c r="C29" i="60"/>
  <c r="C377" i="8" s="1"/>
  <c r="H377" i="8" s="1"/>
  <c r="C21" i="62"/>
  <c r="C27" i="62"/>
  <c r="C31" i="62" s="1"/>
  <c r="J228" i="8"/>
  <c r="F121" i="8"/>
  <c r="E121" i="8"/>
  <c r="H122" i="8"/>
  <c r="F122" i="8"/>
  <c r="C15" i="11"/>
  <c r="C25" i="11" s="1"/>
  <c r="J120" i="8"/>
  <c r="C46" i="49"/>
  <c r="C202" i="8" s="1"/>
  <c r="C151" i="60"/>
  <c r="C152" i="60" s="1"/>
  <c r="C153" i="60" s="1"/>
  <c r="C360" i="8" s="1"/>
  <c r="E152" i="8"/>
  <c r="C62" i="4"/>
  <c r="C72" i="4" s="1"/>
  <c r="C74" i="4" s="1"/>
  <c r="C94" i="62" s="1"/>
  <c r="C96" i="62" s="1"/>
  <c r="C116" i="60"/>
  <c r="C139" i="8" s="1"/>
  <c r="C152" i="8"/>
  <c r="H152" i="8" s="1"/>
  <c r="H121" i="8"/>
  <c r="J118" i="8"/>
  <c r="AH118" i="8" s="1"/>
  <c r="C24" i="60"/>
  <c r="C178" i="60"/>
  <c r="G376" i="8" s="1"/>
  <c r="E376" i="8" s="1"/>
  <c r="C140" i="60"/>
  <c r="C146" i="60"/>
  <c r="C251" i="8"/>
  <c r="C253" i="8"/>
  <c r="C115" i="60"/>
  <c r="C125" i="8" s="1"/>
  <c r="C252" i="8"/>
  <c r="G19" i="1"/>
  <c r="E23" i="1" s="1"/>
  <c r="C8" i="11"/>
  <c r="G349" i="8" s="1"/>
  <c r="H349" i="8" s="1"/>
  <c r="C254" i="8"/>
  <c r="C114" i="60"/>
  <c r="C107" i="8" s="1"/>
  <c r="C78" i="4"/>
  <c r="C139" i="60"/>
  <c r="C105" i="60"/>
  <c r="C86" i="8" s="1"/>
  <c r="I86" i="8" s="1"/>
  <c r="K84" i="8"/>
  <c r="AG84" i="8" s="1"/>
  <c r="J84" i="8"/>
  <c r="D149" i="12"/>
  <c r="C149" i="12" s="1"/>
  <c r="E178" i="8"/>
  <c r="D147" i="12"/>
  <c r="C147" i="12" s="1"/>
  <c r="E175" i="8"/>
  <c r="E177" i="8"/>
  <c r="E176" i="8"/>
  <c r="D148" i="12"/>
  <c r="C148" i="12" s="1"/>
  <c r="D146" i="12"/>
  <c r="C146" i="12" s="1"/>
  <c r="D109" i="12"/>
  <c r="C109" i="12" s="1"/>
  <c r="D108" i="12"/>
  <c r="C108" i="12" s="1"/>
  <c r="D77" i="12"/>
  <c r="C77" i="12" s="1"/>
  <c r="D96" i="12"/>
  <c r="C96" i="12" s="1"/>
  <c r="D78" i="12"/>
  <c r="C78" i="12" s="1"/>
  <c r="D95" i="12"/>
  <c r="D110" i="12"/>
  <c r="C110" i="12" s="1"/>
  <c r="D76" i="12"/>
  <c r="D97" i="12"/>
  <c r="G354" i="8"/>
  <c r="G353" i="8"/>
  <c r="C65" i="57"/>
  <c r="C67" i="57" s="1"/>
  <c r="E67" i="57" s="1"/>
  <c r="C116" i="57" s="1"/>
  <c r="C117" i="57" s="1"/>
  <c r="C47" i="57"/>
  <c r="I139" i="8" l="1"/>
  <c r="J139" i="8" s="1"/>
  <c r="C187" i="60"/>
  <c r="G377" i="8" s="1"/>
  <c r="E377" i="8" s="1"/>
  <c r="C91" i="60"/>
  <c r="C249" i="8" s="1"/>
  <c r="K249" i="8" s="1"/>
  <c r="AG249" i="8" s="1"/>
  <c r="C190" i="60"/>
  <c r="F252" i="8"/>
  <c r="K252" i="8"/>
  <c r="AG252" i="8" s="1"/>
  <c r="AH252" i="8" s="1"/>
  <c r="I252" i="8"/>
  <c r="C32" i="62"/>
  <c r="K254" i="8"/>
  <c r="AG254" i="8" s="1"/>
  <c r="AH254" i="8" s="1"/>
  <c r="I254" i="8"/>
  <c r="H253" i="8"/>
  <c r="K253" i="8"/>
  <c r="AG253" i="8" s="1"/>
  <c r="AH253" i="8" s="1"/>
  <c r="I253" i="8"/>
  <c r="F251" i="8"/>
  <c r="K251" i="8"/>
  <c r="AG251" i="8" s="1"/>
  <c r="AH251" i="8" s="1"/>
  <c r="I251" i="8"/>
  <c r="K125" i="8"/>
  <c r="AG125" i="8" s="1"/>
  <c r="AH125" i="8" s="1"/>
  <c r="G125" i="8"/>
  <c r="I125" i="8"/>
  <c r="J125" i="8" s="1"/>
  <c r="J202" i="8"/>
  <c r="K202" i="8"/>
  <c r="AG202" i="8" s="1"/>
  <c r="AH202" i="8" s="1"/>
  <c r="K107" i="8"/>
  <c r="AG107" i="8" s="1"/>
  <c r="AH107" i="8" s="1"/>
  <c r="G107" i="8"/>
  <c r="I107" i="8"/>
  <c r="J107" i="8" s="1"/>
  <c r="G139" i="8"/>
  <c r="K139" i="8"/>
  <c r="AG139" i="8" s="1"/>
  <c r="F360" i="8"/>
  <c r="E360" i="8"/>
  <c r="I178" i="8"/>
  <c r="J178" i="8" s="1"/>
  <c r="I177" i="8"/>
  <c r="J177" i="8" s="1"/>
  <c r="AH177" i="8" s="1"/>
  <c r="I176" i="8"/>
  <c r="J176" i="8" s="1"/>
  <c r="AH176" i="8" s="1"/>
  <c r="I175" i="8"/>
  <c r="J175" i="8" s="1"/>
  <c r="C141" i="60"/>
  <c r="C147" i="60" s="1"/>
  <c r="G360" i="8"/>
  <c r="H360" i="8" s="1"/>
  <c r="J152" i="8"/>
  <c r="C154" i="60" s="1"/>
  <c r="G348" i="8" s="1"/>
  <c r="H348" i="8" s="1"/>
  <c r="C73" i="4"/>
  <c r="G257" i="8" s="1"/>
  <c r="E271" i="8"/>
  <c r="C23" i="64"/>
  <c r="C47" i="11" s="1"/>
  <c r="C293" i="8"/>
  <c r="C8" i="64"/>
  <c r="C58" i="64" s="1"/>
  <c r="G272" i="8"/>
  <c r="C292" i="8"/>
  <c r="C273" i="8"/>
  <c r="E273" i="8"/>
  <c r="G274" i="8"/>
  <c r="G271" i="8"/>
  <c r="E272" i="8"/>
  <c r="C272" i="8"/>
  <c r="C291" i="8"/>
  <c r="C290" i="8"/>
  <c r="E274" i="8"/>
  <c r="C93" i="62"/>
  <c r="C95" i="62" s="1"/>
  <c r="C97" i="62" s="1"/>
  <c r="C59" i="64"/>
  <c r="C271" i="8"/>
  <c r="C138" i="8"/>
  <c r="I138" i="8" s="1"/>
  <c r="C24" i="64"/>
  <c r="C274" i="8"/>
  <c r="D203" i="12"/>
  <c r="C203" i="12" s="1"/>
  <c r="C137" i="8"/>
  <c r="I137" i="8" s="1"/>
  <c r="F152" i="8"/>
  <c r="G273" i="8"/>
  <c r="C76" i="4"/>
  <c r="G294" i="8" s="1"/>
  <c r="D205" i="12"/>
  <c r="C205" i="12" s="1"/>
  <c r="D204" i="12"/>
  <c r="C204" i="12" s="1"/>
  <c r="C35" i="64"/>
  <c r="C68" i="11"/>
  <c r="C12" i="64"/>
  <c r="C14" i="64" s="1"/>
  <c r="J253" i="8"/>
  <c r="H251" i="8"/>
  <c r="C378" i="8"/>
  <c r="H378" i="8" s="1"/>
  <c r="I378" i="8"/>
  <c r="C191" i="60"/>
  <c r="C195" i="60" s="1"/>
  <c r="C83" i="60"/>
  <c r="D153" i="12" s="1"/>
  <c r="C153" i="12" s="1"/>
  <c r="C32" i="11"/>
  <c r="C105" i="8"/>
  <c r="C106" i="8"/>
  <c r="C20" i="49"/>
  <c r="C53" i="49" s="1"/>
  <c r="C59" i="49" s="1"/>
  <c r="I27" i="1"/>
  <c r="C124" i="8"/>
  <c r="C126" i="8"/>
  <c r="E253" i="8"/>
  <c r="H252" i="8"/>
  <c r="F253" i="8"/>
  <c r="G253" i="8"/>
  <c r="G254" i="8"/>
  <c r="J254" i="8"/>
  <c r="E254" i="8"/>
  <c r="F254" i="8"/>
  <c r="H254" i="8"/>
  <c r="C108" i="60"/>
  <c r="C83" i="8" s="1"/>
  <c r="I83" i="8" s="1"/>
  <c r="AH84" i="8"/>
  <c r="E97" i="12"/>
  <c r="E139" i="8"/>
  <c r="F139" i="8"/>
  <c r="H139" i="8"/>
  <c r="E95" i="12"/>
  <c r="E76" i="12"/>
  <c r="K86" i="8"/>
  <c r="AG86" i="8" s="1"/>
  <c r="J86" i="8"/>
  <c r="E125" i="8"/>
  <c r="F125" i="8"/>
  <c r="H125" i="8"/>
  <c r="H107" i="8"/>
  <c r="F107" i="8"/>
  <c r="E107" i="8"/>
  <c r="C69" i="57"/>
  <c r="C112" i="57"/>
  <c r="C114" i="57" s="1"/>
  <c r="F249" i="8" l="1"/>
  <c r="C92" i="60"/>
  <c r="E249" i="8" s="1"/>
  <c r="H249" i="8"/>
  <c r="I249" i="8"/>
  <c r="J249" i="8" s="1"/>
  <c r="AH249" i="8" s="1"/>
  <c r="C196" i="60"/>
  <c r="O97" i="12"/>
  <c r="G97" i="12"/>
  <c r="N97" i="12"/>
  <c r="F97" i="12"/>
  <c r="M97" i="12"/>
  <c r="L97" i="12"/>
  <c r="K97" i="12"/>
  <c r="J97" i="12"/>
  <c r="I97" i="12"/>
  <c r="H97" i="12"/>
  <c r="Q97" i="12"/>
  <c r="P97" i="12"/>
  <c r="O76" i="12"/>
  <c r="G76" i="12"/>
  <c r="N76" i="12"/>
  <c r="F76" i="12"/>
  <c r="M76" i="12"/>
  <c r="L76" i="12"/>
  <c r="K76" i="12"/>
  <c r="P76" i="12"/>
  <c r="Q76" i="12"/>
  <c r="I76" i="12"/>
  <c r="H76" i="12"/>
  <c r="J76" i="12"/>
  <c r="C81" i="62"/>
  <c r="C48" i="11"/>
  <c r="O95" i="12"/>
  <c r="G95" i="12"/>
  <c r="N95" i="12"/>
  <c r="F95" i="12"/>
  <c r="M95" i="12"/>
  <c r="L95" i="12"/>
  <c r="K95" i="12"/>
  <c r="P95" i="12"/>
  <c r="J95" i="12"/>
  <c r="I95" i="12"/>
  <c r="H95" i="12"/>
  <c r="Q95" i="12"/>
  <c r="H105" i="8"/>
  <c r="G105" i="8"/>
  <c r="K105" i="8"/>
  <c r="AG105" i="8" s="1"/>
  <c r="I105" i="8"/>
  <c r="J138" i="8"/>
  <c r="G138" i="8"/>
  <c r="K138" i="8"/>
  <c r="AG138" i="8" s="1"/>
  <c r="AH138" i="8" s="1"/>
  <c r="G124" i="8"/>
  <c r="K124" i="8"/>
  <c r="AG124" i="8" s="1"/>
  <c r="AH124" i="8" s="1"/>
  <c r="I124" i="8"/>
  <c r="E126" i="8"/>
  <c r="K126" i="8"/>
  <c r="AG126" i="8" s="1"/>
  <c r="AH126" i="8" s="1"/>
  <c r="I126" i="8"/>
  <c r="G126" i="8"/>
  <c r="J137" i="8"/>
  <c r="K137" i="8"/>
  <c r="AG137" i="8" s="1"/>
  <c r="G137" i="8"/>
  <c r="G106" i="8"/>
  <c r="K106" i="8"/>
  <c r="AG106" i="8" s="1"/>
  <c r="AH106" i="8" s="1"/>
  <c r="I106" i="8"/>
  <c r="J106" i="8" s="1"/>
  <c r="K271" i="8"/>
  <c r="AG271" i="8" s="1"/>
  <c r="AH271" i="8" s="1"/>
  <c r="I271" i="8"/>
  <c r="J271" i="8" s="1"/>
  <c r="K293" i="8"/>
  <c r="AG293" i="8" s="1"/>
  <c r="AJ293" i="8" s="1"/>
  <c r="I293" i="8"/>
  <c r="J293" i="8" s="1"/>
  <c r="E290" i="8"/>
  <c r="I290" i="8"/>
  <c r="J290" i="8" s="1"/>
  <c r="K290" i="8"/>
  <c r="AG290" i="8" s="1"/>
  <c r="AH290" i="8" s="1"/>
  <c r="E292" i="8"/>
  <c r="I292" i="8"/>
  <c r="J292" i="8" s="1"/>
  <c r="K292" i="8"/>
  <c r="AG292" i="8" s="1"/>
  <c r="AJ292" i="8" s="1"/>
  <c r="I274" i="8"/>
  <c r="J274" i="8" s="1"/>
  <c r="K274" i="8"/>
  <c r="AG274" i="8" s="1"/>
  <c r="K291" i="8"/>
  <c r="AG291" i="8" s="1"/>
  <c r="AJ291" i="8" s="1"/>
  <c r="I291" i="8"/>
  <c r="J291" i="8" s="1"/>
  <c r="C80" i="62"/>
  <c r="K273" i="8"/>
  <c r="AG273" i="8" s="1"/>
  <c r="I273" i="8"/>
  <c r="J273" i="8" s="1"/>
  <c r="I272" i="8"/>
  <c r="J272" i="8" s="1"/>
  <c r="K272" i="8"/>
  <c r="AG272" i="8" s="1"/>
  <c r="C11" i="64"/>
  <c r="C99" i="62" s="1"/>
  <c r="AH139" i="8"/>
  <c r="C144" i="60"/>
  <c r="C145" i="60" s="1"/>
  <c r="D191" i="12"/>
  <c r="C191" i="12" s="1"/>
  <c r="C28" i="64"/>
  <c r="C21" i="64"/>
  <c r="C45" i="11" s="1"/>
  <c r="H137" i="8"/>
  <c r="E257" i="8"/>
  <c r="G378" i="8"/>
  <c r="E378" i="8" s="1"/>
  <c r="D190" i="12"/>
  <c r="C190" i="12" s="1"/>
  <c r="C260" i="8"/>
  <c r="C79" i="4"/>
  <c r="G259" i="8"/>
  <c r="G260" i="8"/>
  <c r="C287" i="8"/>
  <c r="C286" i="8"/>
  <c r="C257" i="8"/>
  <c r="C7" i="64"/>
  <c r="C47" i="64" s="1"/>
  <c r="E258" i="8"/>
  <c r="E259" i="8"/>
  <c r="E260" i="8"/>
  <c r="G258" i="8"/>
  <c r="C22" i="64"/>
  <c r="C46" i="11" s="1"/>
  <c r="C285" i="8"/>
  <c r="AH152" i="8"/>
  <c r="D192" i="12"/>
  <c r="C192" i="12" s="1"/>
  <c r="C75" i="4"/>
  <c r="C44" i="11" s="1"/>
  <c r="F137" i="8"/>
  <c r="C100" i="62"/>
  <c r="G290" i="8"/>
  <c r="G292" i="8"/>
  <c r="E294" i="8"/>
  <c r="J294" i="8" s="1"/>
  <c r="AH294" i="8" s="1"/>
  <c r="G293" i="8"/>
  <c r="C67" i="11"/>
  <c r="C6" i="56" s="1"/>
  <c r="E291" i="8"/>
  <c r="C34" i="64"/>
  <c r="C8" i="56"/>
  <c r="E137" i="8"/>
  <c r="G291" i="8"/>
  <c r="H138" i="8"/>
  <c r="C288" i="8"/>
  <c r="C259" i="8"/>
  <c r="C48" i="64"/>
  <c r="C258" i="8"/>
  <c r="C18" i="64"/>
  <c r="C60" i="64" s="1"/>
  <c r="C61" i="64" s="1"/>
  <c r="C62" i="64" s="1"/>
  <c r="C64" i="64" s="1"/>
  <c r="C66" i="64" s="1"/>
  <c r="C67" i="64" s="1"/>
  <c r="F138" i="8"/>
  <c r="E138" i="8"/>
  <c r="E293" i="8"/>
  <c r="E106" i="8"/>
  <c r="H106" i="8"/>
  <c r="F106" i="8"/>
  <c r="C55" i="49"/>
  <c r="C56" i="49"/>
  <c r="C54" i="49"/>
  <c r="C58" i="49" s="1"/>
  <c r="C195" i="8" s="1"/>
  <c r="E124" i="8"/>
  <c r="H124" i="8"/>
  <c r="C84" i="60"/>
  <c r="F105" i="8"/>
  <c r="E105" i="8"/>
  <c r="F124" i="8"/>
  <c r="G249" i="8"/>
  <c r="F126" i="8"/>
  <c r="H126" i="8"/>
  <c r="C85" i="8"/>
  <c r="AH86" i="8"/>
  <c r="J83" i="8"/>
  <c r="K83" i="8"/>
  <c r="AG83" i="8" s="1"/>
  <c r="G251" i="8"/>
  <c r="J251" i="8"/>
  <c r="J252" i="8"/>
  <c r="E251" i="8"/>
  <c r="C194" i="8"/>
  <c r="E69" i="57"/>
  <c r="C70" i="57" s="1"/>
  <c r="C71" i="57" s="1"/>
  <c r="E71" i="57" s="1"/>
  <c r="C74" i="57" s="1"/>
  <c r="C68" i="62" l="1"/>
  <c r="C78" i="56"/>
  <c r="I85" i="8"/>
  <c r="J85" i="8" s="1"/>
  <c r="I260" i="8"/>
  <c r="J260" i="8" s="1"/>
  <c r="AH137" i="8"/>
  <c r="AJ272" i="8"/>
  <c r="AH272" i="8"/>
  <c r="AJ271" i="8"/>
  <c r="AH274" i="8"/>
  <c r="AJ274" i="8"/>
  <c r="AJ273" i="8"/>
  <c r="AH273" i="8"/>
  <c r="C79" i="62"/>
  <c r="K195" i="8"/>
  <c r="AG195" i="8" s="1"/>
  <c r="I195" i="8"/>
  <c r="J195" i="8" s="1"/>
  <c r="C78" i="62"/>
  <c r="K260" i="8"/>
  <c r="AG260" i="8" s="1"/>
  <c r="I259" i="8"/>
  <c r="J259" i="8" s="1"/>
  <c r="K194" i="8"/>
  <c r="AG194" i="8" s="1"/>
  <c r="I194" i="8"/>
  <c r="J194" i="8" s="1"/>
  <c r="K259" i="8"/>
  <c r="AG259" i="8" s="1"/>
  <c r="K286" i="8"/>
  <c r="AG286" i="8" s="1"/>
  <c r="AH286" i="8" s="1"/>
  <c r="I286" i="8"/>
  <c r="J286" i="8" s="1"/>
  <c r="G288" i="8"/>
  <c r="K288" i="8"/>
  <c r="AG288" i="8" s="1"/>
  <c r="AH288" i="8" s="1"/>
  <c r="I288" i="8"/>
  <c r="J288" i="8" s="1"/>
  <c r="E287" i="8"/>
  <c r="I287" i="8"/>
  <c r="J287" i="8" s="1"/>
  <c r="K287" i="8"/>
  <c r="AG287" i="8" s="1"/>
  <c r="AJ287" i="8" s="1"/>
  <c r="K258" i="8"/>
  <c r="AG258" i="8" s="1"/>
  <c r="E285" i="8"/>
  <c r="I285" i="8"/>
  <c r="J285" i="8" s="1"/>
  <c r="K285" i="8"/>
  <c r="AG285" i="8" s="1"/>
  <c r="AH285" i="8" s="1"/>
  <c r="K257" i="8"/>
  <c r="AG257" i="8" s="1"/>
  <c r="I257" i="8"/>
  <c r="J257" i="8" s="1"/>
  <c r="I258" i="8"/>
  <c r="J258" i="8" s="1"/>
  <c r="C17" i="64"/>
  <c r="C29" i="64" s="1"/>
  <c r="C13" i="64"/>
  <c r="C15" i="64" s="1"/>
  <c r="C364" i="8" s="1"/>
  <c r="G364" i="8" s="1"/>
  <c r="H364" i="8" s="1"/>
  <c r="C7" i="56"/>
  <c r="C9" i="56" s="1"/>
  <c r="C101" i="62"/>
  <c r="D306" i="8"/>
  <c r="C27" i="64"/>
  <c r="C306" i="8"/>
  <c r="E286" i="8"/>
  <c r="G286" i="8"/>
  <c r="G287" i="8"/>
  <c r="G285" i="8"/>
  <c r="C27" i="56"/>
  <c r="C77" i="4"/>
  <c r="C29" i="4" s="1"/>
  <c r="C68" i="8" s="1"/>
  <c r="J68" i="8" s="1"/>
  <c r="C351" i="8"/>
  <c r="C28" i="11"/>
  <c r="C33" i="11" s="1"/>
  <c r="C39" i="11" s="1"/>
  <c r="C41" i="11" s="1"/>
  <c r="C343" i="8" s="1"/>
  <c r="G343" i="8" s="1"/>
  <c r="C65" i="62"/>
  <c r="E288" i="8"/>
  <c r="C60" i="49"/>
  <c r="C196" i="8" s="1"/>
  <c r="AH292" i="8"/>
  <c r="AJ290" i="8"/>
  <c r="AH291" i="8"/>
  <c r="C65" i="64"/>
  <c r="G102" i="64" s="1"/>
  <c r="K102" i="64" s="1"/>
  <c r="C36" i="64"/>
  <c r="C37" i="64" s="1"/>
  <c r="G87" i="64" s="1"/>
  <c r="K87" i="64" s="1"/>
  <c r="AH293" i="8"/>
  <c r="AH83" i="8"/>
  <c r="C95" i="12"/>
  <c r="J124" i="8" s="1"/>
  <c r="C76" i="12"/>
  <c r="J105" i="8" s="1"/>
  <c r="AH105" i="8" s="1"/>
  <c r="C97" i="12"/>
  <c r="J126" i="8" s="1"/>
  <c r="G252" i="8"/>
  <c r="E252" i="8"/>
  <c r="C31" i="56" l="1"/>
  <c r="C43" i="56"/>
  <c r="C314" i="8" s="1"/>
  <c r="C401" i="8" s="1"/>
  <c r="K85" i="8"/>
  <c r="AG85" i="8" s="1"/>
  <c r="AH85" i="8" s="1"/>
  <c r="AJ259" i="8"/>
  <c r="AH259" i="8"/>
  <c r="AH195" i="8"/>
  <c r="AJ257" i="8"/>
  <c r="AH257" i="8"/>
  <c r="C49" i="11"/>
  <c r="G351" i="8" s="1"/>
  <c r="E351" i="8" s="1"/>
  <c r="AJ258" i="8"/>
  <c r="AH258" i="8"/>
  <c r="AH260" i="8"/>
  <c r="AJ260" i="8"/>
  <c r="K196" i="8"/>
  <c r="AG196" i="8" s="1"/>
  <c r="I196" i="8"/>
  <c r="J196" i="8" s="1"/>
  <c r="C30" i="64"/>
  <c r="C31" i="64" s="1"/>
  <c r="C49" i="64"/>
  <c r="C50" i="64" s="1"/>
  <c r="C51" i="64" s="1"/>
  <c r="C53" i="64" s="1"/>
  <c r="C55" i="64" s="1"/>
  <c r="C56" i="64" s="1"/>
  <c r="C82" i="62"/>
  <c r="AJ285" i="8"/>
  <c r="AJ286" i="8"/>
  <c r="AH287" i="8"/>
  <c r="C64" i="62"/>
  <c r="C69" i="8"/>
  <c r="J69" i="8" s="1"/>
  <c r="AH69" i="8" s="1"/>
  <c r="C26" i="4"/>
  <c r="C62" i="8" s="1"/>
  <c r="J62" i="8" s="1"/>
  <c r="C30" i="56"/>
  <c r="C71" i="8"/>
  <c r="J71" i="8" s="1"/>
  <c r="C70" i="8"/>
  <c r="J70" i="8" s="1"/>
  <c r="C40" i="11"/>
  <c r="C342" i="8" s="1"/>
  <c r="G342" i="8" s="1"/>
  <c r="C95" i="60"/>
  <c r="C80" i="8" s="1"/>
  <c r="J80" i="8" s="1"/>
  <c r="AH80" i="8" s="1"/>
  <c r="C23" i="4"/>
  <c r="C76" i="8" s="1"/>
  <c r="C70" i="49"/>
  <c r="C71" i="49" s="1"/>
  <c r="C206" i="8" s="1"/>
  <c r="C344" i="8"/>
  <c r="H344" i="8" s="1"/>
  <c r="C69" i="11"/>
  <c r="C363" i="8" s="1"/>
  <c r="H363" i="8" s="1"/>
  <c r="C91" i="62"/>
  <c r="AJ288" i="8"/>
  <c r="C63" i="49"/>
  <c r="C64" i="49" s="1"/>
  <c r="C65" i="49" s="1"/>
  <c r="C192" i="8" s="1"/>
  <c r="G90" i="64"/>
  <c r="K90" i="64" s="1"/>
  <c r="G92" i="64"/>
  <c r="K92" i="64" s="1"/>
  <c r="G91" i="64"/>
  <c r="K91" i="64" s="1"/>
  <c r="C38" i="64"/>
  <c r="G89" i="64"/>
  <c r="K89" i="64" s="1"/>
  <c r="AH194" i="8"/>
  <c r="C66" i="62"/>
  <c r="C39" i="64" l="1"/>
  <c r="C71" i="64" s="1"/>
  <c r="D211" i="12" s="1"/>
  <c r="C211" i="12" s="1"/>
  <c r="D92" i="64" s="1"/>
  <c r="C74" i="64"/>
  <c r="C34" i="56"/>
  <c r="C40" i="56"/>
  <c r="C36" i="56"/>
  <c r="C37" i="56"/>
  <c r="C32" i="64"/>
  <c r="C70" i="64" s="1"/>
  <c r="B97" i="64" s="1"/>
  <c r="C73" i="64"/>
  <c r="G79" i="64" s="1"/>
  <c r="K79" i="64" s="1"/>
  <c r="L79" i="64" s="1"/>
  <c r="C35" i="56"/>
  <c r="C39" i="56"/>
  <c r="C38" i="56"/>
  <c r="AH196" i="8"/>
  <c r="I206" i="8"/>
  <c r="J206" i="8" s="1"/>
  <c r="K206" i="8"/>
  <c r="AG206" i="8" s="1"/>
  <c r="K192" i="8"/>
  <c r="AG192" i="8" s="1"/>
  <c r="AH192" i="8" s="1"/>
  <c r="I192" i="8"/>
  <c r="J192" i="8" s="1"/>
  <c r="K76" i="8"/>
  <c r="AG76" i="8" s="1"/>
  <c r="AH76" i="8" s="1"/>
  <c r="G76" i="8"/>
  <c r="I76" i="8"/>
  <c r="J76" i="8" s="1"/>
  <c r="G81" i="64"/>
  <c r="K81" i="64" s="1"/>
  <c r="G83" i="64"/>
  <c r="K83" i="64" s="1"/>
  <c r="G80" i="64"/>
  <c r="K80" i="64" s="1"/>
  <c r="G82" i="64"/>
  <c r="K82" i="64" s="1"/>
  <c r="G78" i="64"/>
  <c r="K78" i="64" s="1"/>
  <c r="C54" i="64"/>
  <c r="G97" i="64" s="1"/>
  <c r="K97" i="64" s="1"/>
  <c r="AJ297" i="8"/>
  <c r="C65" i="8"/>
  <c r="J65" i="8" s="1"/>
  <c r="C74" i="8"/>
  <c r="C64" i="8"/>
  <c r="J64" i="8" s="1"/>
  <c r="AH64" i="8" s="1"/>
  <c r="C66" i="8"/>
  <c r="J66" i="8" s="1"/>
  <c r="C39" i="62"/>
  <c r="C71" i="62"/>
  <c r="C63" i="8"/>
  <c r="J63" i="8" s="1"/>
  <c r="G363" i="8"/>
  <c r="C73" i="8"/>
  <c r="C40" i="62"/>
  <c r="C82" i="8"/>
  <c r="J82" i="8" s="1"/>
  <c r="C211" i="8"/>
  <c r="E76" i="8"/>
  <c r="C205" i="8"/>
  <c r="C79" i="8"/>
  <c r="J79" i="8" s="1"/>
  <c r="C77" i="8"/>
  <c r="H76" i="8"/>
  <c r="C210" i="8"/>
  <c r="C209" i="8"/>
  <c r="G344" i="8"/>
  <c r="C204" i="8"/>
  <c r="F76" i="8"/>
  <c r="C75" i="8"/>
  <c r="C81" i="8"/>
  <c r="J81" i="8" s="1"/>
  <c r="C67" i="49"/>
  <c r="C199" i="8" s="1"/>
  <c r="C66" i="49"/>
  <c r="C198" i="8" s="1"/>
  <c r="E97" i="64" l="1"/>
  <c r="C97" i="64"/>
  <c r="G88" i="64"/>
  <c r="K88" i="64" s="1"/>
  <c r="K199" i="8"/>
  <c r="AG199" i="8" s="1"/>
  <c r="I199" i="8"/>
  <c r="J199" i="8" s="1"/>
  <c r="K210" i="8"/>
  <c r="AG210" i="8" s="1"/>
  <c r="AH210" i="8" s="1"/>
  <c r="I210" i="8"/>
  <c r="J210" i="8" s="1"/>
  <c r="H77" i="8"/>
  <c r="G77" i="8"/>
  <c r="K77" i="8"/>
  <c r="AG77" i="8" s="1"/>
  <c r="AH77" i="8" s="1"/>
  <c r="I77" i="8"/>
  <c r="J77" i="8" s="1"/>
  <c r="K74" i="8"/>
  <c r="AG74" i="8" s="1"/>
  <c r="AH74" i="8" s="1"/>
  <c r="G74" i="8"/>
  <c r="I74" i="8"/>
  <c r="J74" i="8" s="1"/>
  <c r="I211" i="8"/>
  <c r="J211" i="8" s="1"/>
  <c r="K211" i="8"/>
  <c r="AG211" i="8" s="1"/>
  <c r="AH211" i="8" s="1"/>
  <c r="K204" i="8"/>
  <c r="AG204" i="8" s="1"/>
  <c r="AH204" i="8" s="1"/>
  <c r="I204" i="8"/>
  <c r="J204" i="8" s="1"/>
  <c r="K205" i="8"/>
  <c r="AG205" i="8" s="1"/>
  <c r="AH205" i="8" s="1"/>
  <c r="I205" i="8"/>
  <c r="J205" i="8" s="1"/>
  <c r="K198" i="8"/>
  <c r="AG198" i="8" s="1"/>
  <c r="I198" i="8"/>
  <c r="J198" i="8" s="1"/>
  <c r="G73" i="8"/>
  <c r="K73" i="8"/>
  <c r="AG73" i="8" s="1"/>
  <c r="AH73" i="8" s="1"/>
  <c r="I73" i="8"/>
  <c r="J73" i="8" s="1"/>
  <c r="K209" i="8"/>
  <c r="AG209" i="8" s="1"/>
  <c r="I209" i="8"/>
  <c r="J209" i="8" s="1"/>
  <c r="G75" i="8"/>
  <c r="K75" i="8"/>
  <c r="AG75" i="8" s="1"/>
  <c r="I75" i="8"/>
  <c r="J75" i="8" s="1"/>
  <c r="B115" i="64"/>
  <c r="C268" i="8"/>
  <c r="K268" i="8" s="1"/>
  <c r="D198" i="12"/>
  <c r="C198" i="12" s="1"/>
  <c r="D83" i="64" s="1"/>
  <c r="D195" i="12"/>
  <c r="C195" i="12" s="1"/>
  <c r="D80" i="64" s="1"/>
  <c r="D201" i="12"/>
  <c r="E201" i="12" s="1"/>
  <c r="D194" i="12"/>
  <c r="C194" i="12" s="1"/>
  <c r="D78" i="64" s="1"/>
  <c r="B81" i="64"/>
  <c r="B98" i="64"/>
  <c r="C98" i="64" s="1"/>
  <c r="E98" i="64" s="1"/>
  <c r="B80" i="64"/>
  <c r="D197" i="12"/>
  <c r="C197" i="12" s="1"/>
  <c r="D82" i="64" s="1"/>
  <c r="B83" i="64"/>
  <c r="D196" i="12"/>
  <c r="C196" i="12" s="1"/>
  <c r="D81" i="64" s="1"/>
  <c r="D200" i="12"/>
  <c r="C200" i="12" s="1"/>
  <c r="C269" i="8"/>
  <c r="K269" i="8" s="1"/>
  <c r="B82" i="64"/>
  <c r="B78" i="64"/>
  <c r="H74" i="8"/>
  <c r="E74" i="8"/>
  <c r="F74" i="8"/>
  <c r="C41" i="56"/>
  <c r="C316" i="8" s="1"/>
  <c r="C403" i="8" s="1"/>
  <c r="H75" i="8"/>
  <c r="F77" i="8"/>
  <c r="E73" i="8"/>
  <c r="H73" i="8"/>
  <c r="F73" i="8"/>
  <c r="E75" i="8"/>
  <c r="E77" i="8"/>
  <c r="F75" i="8"/>
  <c r="D207" i="12"/>
  <c r="C207" i="12" s="1"/>
  <c r="D87" i="64" s="1"/>
  <c r="C282" i="8"/>
  <c r="B103" i="64"/>
  <c r="C103" i="64" s="1"/>
  <c r="E103" i="64" s="1"/>
  <c r="C283" i="8"/>
  <c r="B92" i="64"/>
  <c r="D209" i="12"/>
  <c r="C209" i="12" s="1"/>
  <c r="D90" i="64" s="1"/>
  <c r="B89" i="64"/>
  <c r="D213" i="12"/>
  <c r="C213" i="12" s="1"/>
  <c r="D102" i="64" s="1"/>
  <c r="D208" i="12"/>
  <c r="C208" i="12" s="1"/>
  <c r="D89" i="64" s="1"/>
  <c r="B102" i="64"/>
  <c r="D210" i="12"/>
  <c r="C210" i="12" s="1"/>
  <c r="D91" i="64" s="1"/>
  <c r="B91" i="64"/>
  <c r="D214" i="12"/>
  <c r="E214" i="12" s="1"/>
  <c r="B90" i="64"/>
  <c r="B87" i="64"/>
  <c r="AH206" i="8"/>
  <c r="L88" i="64" l="1"/>
  <c r="B129" i="64"/>
  <c r="E102" i="64"/>
  <c r="F102" i="64" s="1"/>
  <c r="L102" i="64" s="1"/>
  <c r="D124" i="64" s="1"/>
  <c r="C102" i="64"/>
  <c r="E91" i="64"/>
  <c r="F91" i="64" s="1"/>
  <c r="L91" i="64" s="1"/>
  <c r="B127" i="64" s="1"/>
  <c r="C91" i="64"/>
  <c r="C83" i="64"/>
  <c r="E83" i="64"/>
  <c r="F83" i="64" s="1"/>
  <c r="L83" i="64" s="1"/>
  <c r="B114" i="64" s="1"/>
  <c r="E87" i="64"/>
  <c r="F87" i="64" s="1"/>
  <c r="L87" i="64" s="1"/>
  <c r="B124" i="64" s="1"/>
  <c r="C87" i="64"/>
  <c r="E89" i="64"/>
  <c r="F89" i="64" s="1"/>
  <c r="L89" i="64" s="1"/>
  <c r="B125" i="64" s="1"/>
  <c r="C89" i="64"/>
  <c r="E82" i="64"/>
  <c r="F82" i="64" s="1"/>
  <c r="L82" i="64" s="1"/>
  <c r="B113" i="64" s="1"/>
  <c r="C82" i="64"/>
  <c r="E81" i="64"/>
  <c r="F81" i="64" s="1"/>
  <c r="L81" i="64" s="1"/>
  <c r="B112" i="64" s="1"/>
  <c r="C81" i="64"/>
  <c r="E78" i="64"/>
  <c r="F78" i="64" s="1"/>
  <c r="L78" i="64" s="1"/>
  <c r="B110" i="64" s="1"/>
  <c r="C78" i="64"/>
  <c r="E90" i="64"/>
  <c r="F90" i="64" s="1"/>
  <c r="L90" i="64" s="1"/>
  <c r="B126" i="64" s="1"/>
  <c r="C90" i="64"/>
  <c r="E80" i="64"/>
  <c r="F80" i="64" s="1"/>
  <c r="L80" i="64" s="1"/>
  <c r="B111" i="64" s="1"/>
  <c r="C80" i="64"/>
  <c r="K214" i="12"/>
  <c r="J214" i="12"/>
  <c r="Q214" i="12"/>
  <c r="I214" i="12"/>
  <c r="P214" i="12"/>
  <c r="H214" i="12"/>
  <c r="O214" i="12"/>
  <c r="G214" i="12"/>
  <c r="N214" i="12"/>
  <c r="M214" i="12"/>
  <c r="L214" i="12"/>
  <c r="F214" i="12"/>
  <c r="C92" i="64"/>
  <c r="E92" i="64"/>
  <c r="F92" i="64" s="1"/>
  <c r="L92" i="64" s="1"/>
  <c r="B128" i="64" s="1"/>
  <c r="K201" i="12"/>
  <c r="J201" i="12"/>
  <c r="Q201" i="12"/>
  <c r="I201" i="12"/>
  <c r="P201" i="12"/>
  <c r="H201" i="12"/>
  <c r="O201" i="12"/>
  <c r="G201" i="12"/>
  <c r="N201" i="12"/>
  <c r="M201" i="12"/>
  <c r="L201" i="12"/>
  <c r="F201" i="12"/>
  <c r="D97" i="64"/>
  <c r="F97" i="64" s="1"/>
  <c r="L97" i="64" s="1"/>
  <c r="AH75" i="8"/>
  <c r="AH209" i="8"/>
  <c r="AH199" i="8"/>
  <c r="K282" i="8"/>
  <c r="AG282" i="8" s="1"/>
  <c r="AH282" i="8" s="1"/>
  <c r="I282" i="8"/>
  <c r="J282" i="8" s="1"/>
  <c r="G282" i="8"/>
  <c r="AH198" i="8"/>
  <c r="K283" i="8"/>
  <c r="AG283" i="8" s="1"/>
  <c r="AH283" i="8" s="1"/>
  <c r="F283" i="8"/>
  <c r="G283" i="8"/>
  <c r="AG269" i="8"/>
  <c r="AH269" i="8" s="1"/>
  <c r="G269" i="8"/>
  <c r="I268" i="8"/>
  <c r="J268" i="8" s="1"/>
  <c r="F268" i="8"/>
  <c r="G268" i="8"/>
  <c r="E268" i="8"/>
  <c r="AG268" i="8"/>
  <c r="AH268" i="8" s="1"/>
  <c r="H268" i="8"/>
  <c r="D268" i="8"/>
  <c r="H269" i="8"/>
  <c r="E269" i="8"/>
  <c r="D269" i="8"/>
  <c r="F269" i="8"/>
  <c r="G98" i="64"/>
  <c r="K98" i="64" s="1"/>
  <c r="C46" i="56"/>
  <c r="E282" i="8"/>
  <c r="F282" i="8"/>
  <c r="D282" i="8"/>
  <c r="H282" i="8"/>
  <c r="C298" i="8"/>
  <c r="C318" i="8" s="1"/>
  <c r="C405" i="8" s="1"/>
  <c r="G103" i="64"/>
  <c r="K103" i="64" s="1"/>
  <c r="D283" i="8"/>
  <c r="H283" i="8"/>
  <c r="E283" i="8"/>
  <c r="C48" i="56" l="1"/>
  <c r="C49" i="56" s="1"/>
  <c r="C51" i="56" s="1"/>
  <c r="C50" i="56" s="1"/>
  <c r="C53" i="56" s="1"/>
  <c r="D112" i="64"/>
  <c r="E112" i="64" s="1"/>
  <c r="D110" i="64"/>
  <c r="E110" i="64" s="1"/>
  <c r="D111" i="64"/>
  <c r="E111" i="64" s="1"/>
  <c r="D113" i="64"/>
  <c r="E113" i="64" s="1"/>
  <c r="D114" i="64"/>
  <c r="E114" i="64" s="1"/>
  <c r="C201" i="12"/>
  <c r="D98" i="64" s="1"/>
  <c r="C62" i="56"/>
  <c r="C52" i="56"/>
  <c r="C61" i="56"/>
  <c r="C70" i="56" s="1"/>
  <c r="C55" i="56"/>
  <c r="C57" i="56" s="1"/>
  <c r="E124" i="64"/>
  <c r="C214" i="12"/>
  <c r="I283" i="8" s="1"/>
  <c r="D126" i="64"/>
  <c r="E126" i="64" s="1"/>
  <c r="D127" i="64"/>
  <c r="E127" i="64" s="1"/>
  <c r="D128" i="64"/>
  <c r="E128" i="64" s="1"/>
  <c r="D125" i="64"/>
  <c r="E125" i="64" s="1"/>
  <c r="C54" i="56" l="1"/>
  <c r="C69" i="56" s="1"/>
  <c r="D103" i="64"/>
  <c r="F103" i="64" s="1"/>
  <c r="L103" i="64" s="1"/>
  <c r="D129" i="64" s="1"/>
  <c r="E129" i="64" s="1"/>
  <c r="C131" i="64" s="1"/>
  <c r="C132" i="64" s="1"/>
  <c r="Z277" i="8" s="1"/>
  <c r="F98" i="64"/>
  <c r="L98" i="64" s="1"/>
  <c r="D115" i="64" s="1"/>
  <c r="E115" i="64" s="1"/>
  <c r="C117" i="64" s="1"/>
  <c r="C118" i="64" s="1"/>
  <c r="AC263" i="8" s="1"/>
  <c r="I269" i="8"/>
  <c r="J269" i="8" s="1"/>
  <c r="C63" i="56"/>
  <c r="C66" i="56" s="1"/>
  <c r="J283" i="8"/>
  <c r="C56" i="56"/>
  <c r="C58" i="56"/>
  <c r="C59" i="56"/>
  <c r="AB263" i="8" l="1"/>
  <c r="AA264" i="8"/>
  <c r="AE264" i="8"/>
  <c r="C119" i="64"/>
  <c r="AB268" i="8" s="1"/>
  <c r="X266" i="8"/>
  <c r="Z264" i="8"/>
  <c r="Z263" i="8"/>
  <c r="AF266" i="8"/>
  <c r="AD266" i="8"/>
  <c r="X263" i="8"/>
  <c r="Z265" i="8"/>
  <c r="AB262" i="8"/>
  <c r="AC266" i="8"/>
  <c r="AD264" i="8"/>
  <c r="X265" i="8"/>
  <c r="C262" i="8"/>
  <c r="C11" i="56"/>
  <c r="C12" i="56" s="1"/>
  <c r="AE263" i="8"/>
  <c r="AD262" i="8"/>
  <c r="C266" i="8"/>
  <c r="AE262" i="8"/>
  <c r="AD263" i="8"/>
  <c r="Y266" i="8"/>
  <c r="Y262" i="8"/>
  <c r="AF263" i="8"/>
  <c r="B267" i="8"/>
  <c r="M268" i="8" s="1"/>
  <c r="AE266" i="8"/>
  <c r="AA266" i="8"/>
  <c r="AC262" i="8"/>
  <c r="B261" i="8"/>
  <c r="M266" i="8" s="1"/>
  <c r="Y264" i="8"/>
  <c r="AF264" i="8"/>
  <c r="Y263" i="8"/>
  <c r="AF265" i="8"/>
  <c r="AF262" i="8"/>
  <c r="AC265" i="8"/>
  <c r="AE265" i="8"/>
  <c r="X264" i="8"/>
  <c r="C265" i="8"/>
  <c r="AD265" i="8"/>
  <c r="AB266" i="8"/>
  <c r="C264" i="8"/>
  <c r="AA263" i="8"/>
  <c r="X262" i="8"/>
  <c r="AA262" i="8"/>
  <c r="C263" i="8"/>
  <c r="Z266" i="8"/>
  <c r="AB265" i="8"/>
  <c r="AA265" i="8"/>
  <c r="Y265" i="8"/>
  <c r="AC264" i="8"/>
  <c r="AB264" i="8"/>
  <c r="Z262" i="8"/>
  <c r="C60" i="56"/>
  <c r="Y279" i="8"/>
  <c r="X280" i="8"/>
  <c r="C133" i="64"/>
  <c r="X282" i="8" s="1"/>
  <c r="B275" i="8"/>
  <c r="M278" i="8" s="1"/>
  <c r="C74" i="11"/>
  <c r="C371" i="8" s="1"/>
  <c r="G371" i="8" s="1"/>
  <c r="H371" i="8" s="1"/>
  <c r="C76" i="11"/>
  <c r="C373" i="8" s="1"/>
  <c r="G373" i="8" s="1"/>
  <c r="H373" i="8" s="1"/>
  <c r="AE280" i="8"/>
  <c r="AF276" i="8"/>
  <c r="C75" i="11"/>
  <c r="C372" i="8" s="1"/>
  <c r="G372" i="8" s="1"/>
  <c r="H372" i="8" s="1"/>
  <c r="AB278" i="8"/>
  <c r="Z280" i="8"/>
  <c r="C277" i="8"/>
  <c r="X279" i="8"/>
  <c r="Y280" i="8"/>
  <c r="AD279" i="8"/>
  <c r="C280" i="8"/>
  <c r="AD277" i="8"/>
  <c r="AF280" i="8"/>
  <c r="AA277" i="8"/>
  <c r="C276" i="8"/>
  <c r="AC280" i="8"/>
  <c r="AB280" i="8"/>
  <c r="AC279" i="8"/>
  <c r="AB277" i="8"/>
  <c r="AA276" i="8"/>
  <c r="X276" i="8"/>
  <c r="Y277" i="8"/>
  <c r="AE276" i="8"/>
  <c r="AF279" i="8"/>
  <c r="AD276" i="8"/>
  <c r="AA280" i="8"/>
  <c r="AA279" i="8"/>
  <c r="B281" i="8"/>
  <c r="M282" i="8" s="1"/>
  <c r="AA278" i="8"/>
  <c r="AC278" i="8"/>
  <c r="AC276" i="8"/>
  <c r="AB276" i="8"/>
  <c r="AB279" i="8"/>
  <c r="X278" i="8"/>
  <c r="AC277" i="8"/>
  <c r="C13" i="56"/>
  <c r="C14" i="56" s="1"/>
  <c r="C278" i="8"/>
  <c r="AF278" i="8"/>
  <c r="C279" i="8"/>
  <c r="Z276" i="8"/>
  <c r="AE277" i="8"/>
  <c r="AD278" i="8"/>
  <c r="AD280" i="8"/>
  <c r="C73" i="11"/>
  <c r="C369" i="8" s="1"/>
  <c r="G369" i="8" s="1"/>
  <c r="H369" i="8" s="1"/>
  <c r="AE279" i="8"/>
  <c r="C78" i="11"/>
  <c r="C370" i="8" s="1"/>
  <c r="G370" i="8" s="1"/>
  <c r="H370" i="8" s="1"/>
  <c r="X277" i="8"/>
  <c r="AE278" i="8"/>
  <c r="Y278" i="8"/>
  <c r="Z278" i="8"/>
  <c r="Z279" i="8"/>
  <c r="AF277" i="8"/>
  <c r="Y276" i="8"/>
  <c r="C77" i="11"/>
  <c r="C374" i="8" s="1"/>
  <c r="G374" i="8" s="1"/>
  <c r="H374" i="8" s="1"/>
  <c r="C68" i="56" l="1"/>
  <c r="C67" i="56"/>
  <c r="D279" i="8"/>
  <c r="I279" i="8"/>
  <c r="J279" i="8" s="1"/>
  <c r="G279" i="8"/>
  <c r="K279" i="8"/>
  <c r="AG279" i="8" s="1"/>
  <c r="AH279" i="8" s="1"/>
  <c r="K276" i="8"/>
  <c r="AG276" i="8" s="1"/>
  <c r="AH276" i="8" s="1"/>
  <c r="I276" i="8"/>
  <c r="J276" i="8" s="1"/>
  <c r="G276" i="8"/>
  <c r="D277" i="8"/>
  <c r="K277" i="8"/>
  <c r="AG277" i="8" s="1"/>
  <c r="AH277" i="8" s="1"/>
  <c r="I277" i="8"/>
  <c r="J277" i="8" s="1"/>
  <c r="G277" i="8"/>
  <c r="G278" i="8"/>
  <c r="K278" i="8"/>
  <c r="AG278" i="8" s="1"/>
  <c r="AH278" i="8" s="1"/>
  <c r="I278" i="8"/>
  <c r="J278" i="8" s="1"/>
  <c r="D280" i="8"/>
  <c r="K280" i="8"/>
  <c r="AG280" i="8" s="1"/>
  <c r="AH280" i="8" s="1"/>
  <c r="I280" i="8"/>
  <c r="J280" i="8" s="1"/>
  <c r="G280" i="8"/>
  <c r="I266" i="8"/>
  <c r="J266" i="8" s="1"/>
  <c r="K266" i="8"/>
  <c r="AG266" i="8" s="1"/>
  <c r="AH266" i="8" s="1"/>
  <c r="G266" i="8"/>
  <c r="I265" i="8"/>
  <c r="J265" i="8" s="1"/>
  <c r="K265" i="8"/>
  <c r="AG265" i="8" s="1"/>
  <c r="AH265" i="8" s="1"/>
  <c r="H265" i="8"/>
  <c r="G265" i="8"/>
  <c r="I264" i="8"/>
  <c r="J264" i="8" s="1"/>
  <c r="K264" i="8"/>
  <c r="AG264" i="8" s="1"/>
  <c r="AH264" i="8" s="1"/>
  <c r="F264" i="8"/>
  <c r="G264" i="8"/>
  <c r="I263" i="8"/>
  <c r="J263" i="8" s="1"/>
  <c r="K263" i="8"/>
  <c r="AG263" i="8" s="1"/>
  <c r="AH263" i="8" s="1"/>
  <c r="G263" i="8"/>
  <c r="I262" i="8"/>
  <c r="J262" i="8" s="1"/>
  <c r="K262" i="8"/>
  <c r="AG262" i="8" s="1"/>
  <c r="AH262" i="8" s="1"/>
  <c r="D262" i="8"/>
  <c r="G262" i="8"/>
  <c r="C15" i="56"/>
  <c r="M269" i="8"/>
  <c r="D266" i="8"/>
  <c r="AF269" i="8"/>
  <c r="Y268" i="8"/>
  <c r="AD268" i="8"/>
  <c r="Z269" i="8"/>
  <c r="C17" i="56"/>
  <c r="C18" i="56" s="1"/>
  <c r="AF268" i="8"/>
  <c r="X269" i="8"/>
  <c r="AE268" i="8"/>
  <c r="AA268" i="8"/>
  <c r="E266" i="8"/>
  <c r="F266" i="8"/>
  <c r="AC269" i="8"/>
  <c r="AD269" i="8"/>
  <c r="AC268" i="8"/>
  <c r="Y269" i="8"/>
  <c r="Z268" i="8"/>
  <c r="D265" i="8"/>
  <c r="M264" i="8"/>
  <c r="AA269" i="8"/>
  <c r="H266" i="8"/>
  <c r="F263" i="8"/>
  <c r="D263" i="8"/>
  <c r="AE269" i="8"/>
  <c r="X268" i="8"/>
  <c r="AB269" i="8"/>
  <c r="E265" i="8"/>
  <c r="M262" i="8"/>
  <c r="H262" i="8"/>
  <c r="M263" i="8"/>
  <c r="F262" i="8"/>
  <c r="E262" i="8"/>
  <c r="E263" i="8"/>
  <c r="M265" i="8"/>
  <c r="H263" i="8"/>
  <c r="F265" i="8"/>
  <c r="E264" i="8"/>
  <c r="H264" i="8"/>
  <c r="D264" i="8"/>
  <c r="M276" i="8"/>
  <c r="AB282" i="8"/>
  <c r="Z282" i="8"/>
  <c r="AC283" i="8"/>
  <c r="C19" i="56"/>
  <c r="C20" i="56" s="1"/>
  <c r="C82" i="11"/>
  <c r="C367" i="8" s="1"/>
  <c r="G367" i="8" s="1"/>
  <c r="H367" i="8" s="1"/>
  <c r="E278" i="8"/>
  <c r="AA283" i="8"/>
  <c r="C81" i="11"/>
  <c r="C366" i="8" s="1"/>
  <c r="G366" i="8" s="1"/>
  <c r="H366" i="8" s="1"/>
  <c r="M283" i="8"/>
  <c r="D278" i="8"/>
  <c r="AD282" i="8"/>
  <c r="M280" i="8"/>
  <c r="M279" i="8"/>
  <c r="M277" i="8"/>
  <c r="H280" i="8"/>
  <c r="Y282" i="8"/>
  <c r="X283" i="8"/>
  <c r="AC282" i="8"/>
  <c r="AE283" i="8"/>
  <c r="AD283" i="8"/>
  <c r="Y283" i="8"/>
  <c r="D276" i="8"/>
  <c r="AB283" i="8"/>
  <c r="AE282" i="8"/>
  <c r="AF283" i="8"/>
  <c r="AF282" i="8"/>
  <c r="Z283" i="8"/>
  <c r="AA282" i="8"/>
  <c r="H278" i="8"/>
  <c r="H276" i="8"/>
  <c r="E277" i="8"/>
  <c r="F278" i="8"/>
  <c r="E280" i="8"/>
  <c r="F277" i="8"/>
  <c r="F280" i="8"/>
  <c r="F276" i="8"/>
  <c r="H277" i="8"/>
  <c r="F279" i="8"/>
  <c r="E276" i="8"/>
  <c r="H279" i="8"/>
  <c r="E279" i="8"/>
  <c r="C71" i="56" l="1"/>
  <c r="C315" i="8" s="1"/>
  <c r="C402" i="8" s="1"/>
  <c r="C21" i="56"/>
  <c r="C23" i="56" s="1"/>
  <c r="C74" i="56"/>
  <c r="G380" i="8"/>
  <c r="G381" i="8" s="1"/>
  <c r="C23" i="8" s="1"/>
  <c r="C299" i="8"/>
  <c r="AG297" i="8"/>
  <c r="C75" i="56"/>
  <c r="AH297" i="8"/>
  <c r="C76" i="56"/>
  <c r="C317" i="8" l="1"/>
  <c r="C404" i="8" s="1"/>
  <c r="C24" i="56"/>
  <c r="D312" i="8"/>
  <c r="C312" i="8" s="1"/>
  <c r="C399" i="8" s="1"/>
  <c r="C41" i="62"/>
  <c r="I25" i="1"/>
  <c r="C300" i="8"/>
  <c r="C81" i="56"/>
  <c r="C304" i="8" s="1"/>
  <c r="C307" i="8" s="1"/>
  <c r="C85" i="56" l="1"/>
  <c r="C86" i="56"/>
  <c r="C87" i="56" s="1"/>
  <c r="C42" i="62"/>
  <c r="C43" i="62" s="1"/>
  <c r="I23" i="1"/>
  <c r="D320" i="8"/>
  <c r="C407" i="8" s="1"/>
  <c r="C414" i="8" s="1"/>
  <c r="C335" i="8"/>
  <c r="C20" i="8"/>
  <c r="C324" i="8"/>
  <c r="C19" i="8"/>
  <c r="C323" i="8"/>
  <c r="C84" i="56"/>
  <c r="C321" i="8"/>
  <c r="C322" i="8"/>
  <c r="C325" i="8"/>
  <c r="C313" i="8"/>
  <c r="C319" i="8"/>
  <c r="C334" i="8"/>
  <c r="C311" i="8" l="1"/>
  <c r="C398" i="8" s="1"/>
  <c r="C88" i="56"/>
  <c r="C326" i="8" s="1"/>
  <c r="C413" i="8" s="1"/>
  <c r="C415" i="8" l="1"/>
  <c r="C327" i="8" s="1"/>
  <c r="C416" i="8" s="1"/>
  <c r="C337" i="8"/>
  <c r="C22" i="8" s="1"/>
  <c r="C320" i="8"/>
  <c r="C21" i="8" l="1"/>
  <c r="I24" i="1"/>
  <c r="C336" i="8"/>
  <c r="C390" i="8"/>
  <c r="C392" i="8" l="1"/>
  <c r="C393" i="8" s="1"/>
  <c r="C25" i="8" s="1"/>
  <c r="B24" i="8"/>
  <c r="C394" i="8" l="1"/>
  <c r="C26" i="8" s="1"/>
  <c r="I26" i="1"/>
  <c r="C2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s>
  <commentList>
    <comment ref="L29" authorId="0" shapeId="0" xr:uid="{00000000-0006-0000-03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29" authorId="0" shapeId="0" xr:uid="{00000000-0006-0000-0300-000002000000}">
      <text>
        <r>
          <rPr>
            <b/>
            <sz val="9"/>
            <color indexed="81"/>
            <rFont val="Tahoma"/>
            <family val="2"/>
          </rPr>
          <t>Used internally</t>
        </r>
        <r>
          <rPr>
            <sz val="9"/>
            <color indexed="81"/>
            <rFont val="Tahoma"/>
            <family val="2"/>
          </rPr>
          <t xml:space="preserve">
</t>
        </r>
      </text>
    </comment>
    <comment ref="N29" authorId="1" shapeId="0" xr:uid="{00000000-0006-0000-0300-000003000000}">
      <text>
        <r>
          <rPr>
            <b/>
            <sz val="9"/>
            <color indexed="81"/>
            <rFont val="Tahoma"/>
            <family val="2"/>
          </rPr>
          <t>Used internally by the generate results macro to select components based on system size and component level.
Note: These cells contain formulae. To change the baseline priority selection, use the columns to the right.</t>
        </r>
        <r>
          <rPr>
            <sz val="8"/>
            <color indexed="81"/>
            <rFont val="Tahoma"/>
            <family val="2"/>
          </rPr>
          <t xml:space="preserve">
</t>
        </r>
      </text>
    </comment>
    <comment ref="W29" authorId="1" shapeId="0" xr:uid="{00000000-0006-0000-0300-000004000000}">
      <text>
        <r>
          <rPr>
            <b/>
            <sz val="9"/>
            <color indexed="81"/>
            <rFont val="Tahoma"/>
            <family val="2"/>
          </rPr>
          <t>Indicates which components are included in a retrofit scenario.</t>
        </r>
        <r>
          <rPr>
            <sz val="8"/>
            <color indexed="81"/>
            <rFont val="Tahoma"/>
            <family val="2"/>
          </rPr>
          <t xml:space="preserve">
</t>
        </r>
      </text>
    </comment>
    <comment ref="X29" authorId="1" shapeId="0" xr:uid="{00000000-0006-0000-0300-000005000000}">
      <text>
        <r>
          <rPr>
            <b/>
            <sz val="9"/>
            <color indexed="81"/>
            <rFont val="Tahoma"/>
            <family val="2"/>
          </rPr>
          <t>Used internally by the generate results macro to select components based on system size and component level.</t>
        </r>
      </text>
    </comment>
    <comment ref="AG29" authorId="0" shapeId="0" xr:uid="{00000000-0006-0000-0300-000006000000}">
      <text>
        <r>
          <rPr>
            <b/>
            <sz val="9"/>
            <color indexed="81"/>
            <rFont val="Tahoma"/>
            <family val="2"/>
          </rPr>
          <t>Used internally to calculate composite useful life for the entire system.</t>
        </r>
        <r>
          <rPr>
            <sz val="9"/>
            <color indexed="81"/>
            <rFont val="Tahoma"/>
            <family val="2"/>
          </rPr>
          <t xml:space="preserve">
</t>
        </r>
      </text>
    </comment>
    <comment ref="K43" authorId="0" shapeId="0" xr:uid="{00000000-0006-0000-0300-000007000000}">
      <text>
        <r>
          <rPr>
            <b/>
            <sz val="9"/>
            <color indexed="81"/>
            <rFont val="Tahoma"/>
            <family val="2"/>
          </rPr>
          <t>Replace at same time as basin concrete.</t>
        </r>
        <r>
          <rPr>
            <sz val="9"/>
            <color indexed="81"/>
            <rFont val="Tahoma"/>
            <family val="2"/>
          </rPr>
          <t xml:space="preserve">
</t>
        </r>
      </text>
    </comment>
    <comment ref="K44" authorId="0" shapeId="0" xr:uid="{00000000-0006-0000-0300-000008000000}">
      <text>
        <r>
          <rPr>
            <b/>
            <sz val="9"/>
            <color indexed="81"/>
            <rFont val="Tahoma"/>
            <family val="2"/>
          </rPr>
          <t>Replace at same time as basin concrete.</t>
        </r>
        <r>
          <rPr>
            <sz val="9"/>
            <color indexed="81"/>
            <rFont val="Tahoma"/>
            <family val="2"/>
          </rPr>
          <t xml:space="preserve">
</t>
        </r>
      </text>
    </comment>
    <comment ref="K83" authorId="0" shapeId="0" xr:uid="{00000000-0006-0000-0300-000009000000}">
      <text>
        <r>
          <rPr>
            <b/>
            <sz val="9"/>
            <color indexed="81"/>
            <rFont val="Tahoma"/>
            <family val="2"/>
          </rPr>
          <t>Replace at same time as selected pipe.</t>
        </r>
        <r>
          <rPr>
            <sz val="9"/>
            <color indexed="81"/>
            <rFont val="Tahoma"/>
            <family val="2"/>
          </rPr>
          <t xml:space="preserve">
</t>
        </r>
      </text>
    </comment>
    <comment ref="K84" authorId="0" shapeId="0" xr:uid="{00000000-0006-0000-0300-00000A000000}">
      <text>
        <r>
          <rPr>
            <b/>
            <sz val="9"/>
            <color indexed="81"/>
            <rFont val="Tahoma"/>
            <family val="2"/>
          </rPr>
          <t>Replace at same time as selected pipe.</t>
        </r>
        <r>
          <rPr>
            <sz val="9"/>
            <color indexed="81"/>
            <rFont val="Tahoma"/>
            <family val="2"/>
          </rPr>
          <t xml:space="preserve">
</t>
        </r>
      </text>
    </comment>
    <comment ref="K85" authorId="0" shapeId="0" xr:uid="{00000000-0006-0000-0300-00000B000000}">
      <text>
        <r>
          <rPr>
            <b/>
            <sz val="9"/>
            <color indexed="81"/>
            <rFont val="Tahoma"/>
            <family val="2"/>
          </rPr>
          <t>Replace at same time as selected pipe.</t>
        </r>
        <r>
          <rPr>
            <sz val="9"/>
            <color indexed="81"/>
            <rFont val="Tahoma"/>
            <family val="2"/>
          </rPr>
          <t xml:space="preserve">
</t>
        </r>
      </text>
    </comment>
    <comment ref="K86" authorId="0" shapeId="0" xr:uid="{00000000-0006-0000-0300-00000C000000}">
      <text>
        <r>
          <rPr>
            <b/>
            <sz val="9"/>
            <color indexed="81"/>
            <rFont val="Tahoma"/>
            <family val="2"/>
          </rPr>
          <t>Replace at same time as selected pipe.</t>
        </r>
        <r>
          <rPr>
            <sz val="9"/>
            <color indexed="81"/>
            <rFont val="Tahoma"/>
            <family val="2"/>
          </rPr>
          <t xml:space="preserve">
</t>
        </r>
      </text>
    </comment>
    <comment ref="K243" authorId="0" shapeId="0" xr:uid="{00000000-0006-0000-0300-00000D000000}">
      <text>
        <r>
          <rPr>
            <b/>
            <sz val="9"/>
            <color indexed="81"/>
            <rFont val="Tahoma"/>
            <family val="2"/>
          </rPr>
          <t>Replace at same time as septic tank.</t>
        </r>
        <r>
          <rPr>
            <sz val="9"/>
            <color indexed="81"/>
            <rFont val="Tahoma"/>
            <family val="2"/>
          </rPr>
          <t xml:space="preserve">
</t>
        </r>
      </text>
    </comment>
    <comment ref="K246" authorId="0" shapeId="0" xr:uid="{00000000-0006-0000-0300-00000E000000}">
      <text>
        <r>
          <rPr>
            <b/>
            <sz val="9"/>
            <color indexed="81"/>
            <rFont val="Tahoma"/>
            <family val="2"/>
          </rPr>
          <t>Replace at same time as distribution pipe.</t>
        </r>
        <r>
          <rPr>
            <sz val="9"/>
            <color indexed="81"/>
            <rFont val="Tahoma"/>
            <family val="2"/>
          </rPr>
          <t xml:space="preserve">
</t>
        </r>
      </text>
    </comment>
    <comment ref="K247" authorId="0" shapeId="0" xr:uid="{00000000-0006-0000-0300-00000F000000}">
      <text>
        <r>
          <rPr>
            <b/>
            <sz val="9"/>
            <color indexed="81"/>
            <rFont val="Tahoma"/>
            <family val="2"/>
          </rPr>
          <t>Replace at same time as distribution pipe.</t>
        </r>
        <r>
          <rPr>
            <sz val="9"/>
            <color indexed="81"/>
            <rFont val="Tahoma"/>
            <family val="2"/>
          </rPr>
          <t xml:space="preserve">
</t>
        </r>
      </text>
    </comment>
    <comment ref="K251" authorId="0" shapeId="0" xr:uid="{00000000-0006-0000-0300-000010000000}">
      <text>
        <r>
          <rPr>
            <b/>
            <sz val="9"/>
            <color indexed="81"/>
            <rFont val="Tahoma"/>
            <family val="2"/>
          </rPr>
          <t>Replace at same time as liner.</t>
        </r>
        <r>
          <rPr>
            <sz val="9"/>
            <color indexed="81"/>
            <rFont val="Tahoma"/>
            <family val="2"/>
          </rPr>
          <t xml:space="preserve">
</t>
        </r>
      </text>
    </comment>
    <comment ref="K252" authorId="0" shapeId="0" xr:uid="{00000000-0006-0000-0300-000011000000}">
      <text>
        <r>
          <rPr>
            <b/>
            <sz val="9"/>
            <color indexed="81"/>
            <rFont val="Tahoma"/>
            <family val="2"/>
          </rPr>
          <t>Replace at same time as liner.</t>
        </r>
        <r>
          <rPr>
            <sz val="9"/>
            <color indexed="81"/>
            <rFont val="Tahoma"/>
            <family val="2"/>
          </rPr>
          <t xml:space="preserve">
</t>
        </r>
      </text>
    </comment>
    <comment ref="K254" authorId="0" shapeId="0" xr:uid="{00000000-0006-0000-0300-000012000000}">
      <text>
        <r>
          <rPr>
            <b/>
            <sz val="9"/>
            <color indexed="81"/>
            <rFont val="Tahoma"/>
            <family val="2"/>
          </rPr>
          <t>Replace at same time as liner.</t>
        </r>
        <r>
          <rPr>
            <sz val="9"/>
            <color indexed="81"/>
            <rFont val="Tahoma"/>
            <family val="2"/>
          </rPr>
          <t xml:space="preserve">
</t>
        </r>
      </text>
    </comment>
    <comment ref="H340" authorId="0" shapeId="0" xr:uid="{00000000-0006-0000-0300-000013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397" authorId="0" shapeId="0" xr:uid="{00000000-0006-0000-0300-000014000000}">
      <text>
        <r>
          <rPr>
            <b/>
            <sz val="9"/>
            <color indexed="81"/>
            <rFont val="Tahoma"/>
            <family val="2"/>
          </rPr>
          <t>The rows below are used internally</t>
        </r>
      </text>
    </comment>
    <comment ref="B418" authorId="0" shapeId="0" xr:uid="{00000000-0006-0000-0300-000015000000}">
      <text>
        <r>
          <rPr>
            <b/>
            <sz val="9"/>
            <color indexed="81"/>
            <rFont val="Tahoma"/>
            <family val="2"/>
          </rPr>
          <t>Values to the right are used internally for error checking</t>
        </r>
        <r>
          <rPr>
            <sz val="9"/>
            <color indexed="81"/>
            <rFont val="Tahoma"/>
            <family val="2"/>
          </rPr>
          <t xml:space="preserve">
</t>
        </r>
      </text>
    </comment>
    <comment ref="B419" authorId="0" shapeId="0" xr:uid="{00000000-0006-0000-0300-000016000000}">
      <text>
        <r>
          <rPr>
            <b/>
            <sz val="9"/>
            <color indexed="81"/>
            <rFont val="Tahoma"/>
            <family val="2"/>
          </rPr>
          <t>Values to the right are used internally for error checking</t>
        </r>
        <r>
          <rPr>
            <sz val="9"/>
            <color indexed="81"/>
            <rFont val="Tahoma"/>
            <family val="2"/>
          </rPr>
          <t xml:space="preserve">
</t>
        </r>
      </text>
    </comment>
    <comment ref="B420" authorId="0" shapeId="0" xr:uid="{00000000-0006-0000-0300-000017000000}">
      <text>
        <r>
          <rPr>
            <b/>
            <sz val="9"/>
            <color indexed="81"/>
            <rFont val="Tahoma"/>
            <family val="2"/>
          </rPr>
          <t>Values to the right are used internally for error checking</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400-000001000000}">
      <text>
        <r>
          <rPr>
            <b/>
            <sz val="9"/>
            <color indexed="81"/>
            <rFont val="Tahoma"/>
            <family val="2"/>
          </rPr>
          <t>Internal use</t>
        </r>
      </text>
    </comment>
    <comment ref="C4" authorId="1" shapeId="0" xr:uid="{00000000-0006-0000-04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45" authorId="1" shapeId="0" xr:uid="{00000000-0006-0000-0400-000003000000}">
      <text>
        <r>
          <rPr>
            <b/>
            <sz val="9"/>
            <color indexed="81"/>
            <rFont val="Tahoma"/>
            <family val="2"/>
          </rPr>
          <t>Internal Use</t>
        </r>
        <r>
          <rPr>
            <sz val="9"/>
            <color indexed="81"/>
            <rFont val="Tahoma"/>
            <family val="2"/>
          </rPr>
          <t xml:space="preserve">
</t>
        </r>
      </text>
    </comment>
    <comment ref="C245" authorId="1" shapeId="0" xr:uid="{00000000-0006-0000-0400-000004000000}">
      <text>
        <r>
          <rPr>
            <b/>
            <sz val="9"/>
            <color indexed="81"/>
            <rFont val="Tahoma"/>
            <family val="2"/>
          </rPr>
          <t>Users may change values in this column to reflect differing degrees of automation</t>
        </r>
      </text>
    </comment>
    <comment ref="D245" authorId="1" shapeId="0" xr:uid="{00000000-0006-0000-04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45" authorId="1" shapeId="0" xr:uid="{00000000-0006-0000-04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274" authorId="1" shapeId="0" xr:uid="{00000000-0006-0000-0400-000007000000}">
      <text>
        <r>
          <rPr>
            <b/>
            <sz val="9"/>
            <color indexed="81"/>
            <rFont val="Tahoma"/>
            <family val="2"/>
          </rPr>
          <t>Internal Use</t>
        </r>
        <r>
          <rPr>
            <sz val="9"/>
            <color indexed="81"/>
            <rFont val="Tahoma"/>
            <family val="2"/>
          </rPr>
          <t xml:space="preserve">
</t>
        </r>
      </text>
    </comment>
    <comment ref="C274" authorId="1" shapeId="0" xr:uid="{00000000-0006-0000-0400-000008000000}">
      <text>
        <r>
          <rPr>
            <b/>
            <sz val="9"/>
            <color indexed="81"/>
            <rFont val="Tahoma"/>
            <family val="2"/>
          </rPr>
          <t>Users may change values in this column to reflect differing degrees of automation</t>
        </r>
      </text>
    </comment>
    <comment ref="D274" authorId="1" shapeId="0" xr:uid="{00000000-0006-0000-04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274" authorId="1" shapeId="0" xr:uid="{00000000-0006-0000-04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274" authorId="1" shapeId="0" xr:uid="{00000000-0006-0000-04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500-000001000000}">
      <text>
        <r>
          <rPr>
            <b/>
            <sz val="9"/>
            <color indexed="81"/>
            <rFont val="Tahoma"/>
            <family val="2"/>
          </rPr>
          <t>Internal use</t>
        </r>
      </text>
    </comment>
    <comment ref="C4" authorId="1" shapeId="0" xr:uid="{00000000-0006-0000-05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t>
        </r>
        <r>
          <rPr>
            <sz val="9"/>
            <color indexed="81"/>
            <rFont val="Tahoma"/>
            <family val="2"/>
          </rPr>
          <t xml:space="preserve">
</t>
        </r>
      </text>
    </comment>
    <comment ref="B116" authorId="0" shapeId="0" xr:uid="{00000000-0006-0000-0600-000003000000}">
      <text>
        <r>
          <rPr>
            <b/>
            <sz val="9"/>
            <color indexed="81"/>
            <rFont val="Tahoma"/>
            <family val="2"/>
          </rPr>
          <t>Internal use</t>
        </r>
      </text>
    </comment>
    <comment ref="B128" authorId="0" shapeId="0" xr:uid="{00000000-0006-0000-0600-000004000000}">
      <text>
        <r>
          <rPr>
            <b/>
            <sz val="9"/>
            <color indexed="81"/>
            <rFont val="Tahoma"/>
            <family val="2"/>
          </rPr>
          <t>Internal use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700-000001000000}">
      <text>
        <r>
          <rPr>
            <b/>
            <sz val="9"/>
            <color indexed="81"/>
            <rFont val="Tahoma"/>
            <family val="2"/>
          </rPr>
          <t>Internal use</t>
        </r>
      </text>
    </comment>
    <comment ref="C3" authorId="1" shapeId="0" xr:uid="{00000000-0006-0000-07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C12" authorId="1" shapeId="0" xr:uid="{00000000-0006-0000-0800-000003000000}">
      <text>
        <r>
          <rPr>
            <b/>
            <sz val="9"/>
            <color indexed="81"/>
            <rFont val="Tahoma"/>
            <family val="2"/>
          </rPr>
          <t>Automatically populated by the drop-down on the Input sheet</t>
        </r>
        <r>
          <rPr>
            <sz val="9"/>
            <color indexed="81"/>
            <rFont val="Tahoma"/>
            <family val="2"/>
          </rPr>
          <t xml:space="preserve">
</t>
        </r>
      </text>
    </comment>
    <comment ref="C13" authorId="1" shapeId="0" xr:uid="{00000000-0006-0000-0800-000004000000}">
      <text>
        <r>
          <rPr>
            <b/>
            <sz val="9"/>
            <color indexed="81"/>
            <rFont val="Tahoma"/>
            <family val="2"/>
          </rPr>
          <t>Automatically populated by the drop-down on the Input sheet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900-000001000000}">
      <text>
        <r>
          <rPr>
            <b/>
            <sz val="9"/>
            <color indexed="81"/>
            <rFont val="Tahoma"/>
            <family val="2"/>
          </rPr>
          <t>Internal use</t>
        </r>
      </text>
    </comment>
    <comment ref="C3"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B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15" authorId="2" shapeId="0" xr:uid="{00000000-0006-0000-0E00-000003000000}">
      <text>
        <r>
          <rPr>
            <b/>
            <sz val="9"/>
            <color indexed="81"/>
            <rFont val="Tahoma"/>
            <family val="2"/>
          </rPr>
          <t>Unlike the other figures in this column, this one does not include capital cost; that is included in the annual cost of cooling.</t>
        </r>
      </text>
    </comment>
    <comment ref="B129" authorId="2" shapeId="0" xr:uid="{00000000-0006-0000-0E00-000004000000}">
      <text>
        <r>
          <rPr>
            <b/>
            <sz val="9"/>
            <color indexed="81"/>
            <rFont val="Tahoma"/>
            <family val="2"/>
          </rPr>
          <t>Unlike the other figures in this column, this one does not include capital cost; that is included in the annual cost of cooling.</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AS7" authorId="0" shapeId="0" xr:uid="{00000000-0006-0000-11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C16" authorId="0" shapeId="0" xr:uid="{00000000-0006-0000-1300-000001000000}">
      <text>
        <r>
          <rPr>
            <b/>
            <sz val="9"/>
            <color indexed="81"/>
            <rFont val="Tahoma"/>
            <family val="2"/>
          </rPr>
          <t>This equation is the sum of the parts above.</t>
        </r>
        <r>
          <rPr>
            <sz val="9"/>
            <color indexed="81"/>
            <rFont val="Tahoma"/>
            <family val="2"/>
          </rPr>
          <t xml:space="preserve">
</t>
        </r>
      </text>
    </comment>
    <comment ref="D165" authorId="0" shapeId="0" xr:uid="{00000000-0006-0000-1300-000002000000}">
      <text>
        <r>
          <rPr>
            <b/>
            <sz val="9"/>
            <color indexed="81"/>
            <rFont val="Tahoma"/>
            <family val="2"/>
          </rPr>
          <t>This equation is implemented differently than others. The difference is intentional.</t>
        </r>
        <r>
          <rPr>
            <sz val="9"/>
            <color indexed="81"/>
            <rFont val="Tahoma"/>
            <family val="2"/>
          </rPr>
          <t xml:space="preserve">
</t>
        </r>
      </text>
    </comment>
    <comment ref="D181" authorId="0" shapeId="0" xr:uid="{00000000-0006-0000-1300-000003000000}">
      <text>
        <r>
          <rPr>
            <b/>
            <sz val="9"/>
            <color indexed="81"/>
            <rFont val="Tahoma"/>
            <family val="2"/>
          </rPr>
          <t>This equation is implemented differently than others. The difference is intentional.</t>
        </r>
        <r>
          <rPr>
            <sz val="9"/>
            <color indexed="81"/>
            <rFont val="Tahoma"/>
            <family val="2"/>
          </rPr>
          <t xml:space="preserve">
</t>
        </r>
      </text>
    </comment>
    <comment ref="D182" authorId="0" shapeId="0" xr:uid="{00000000-0006-0000-1300-000004000000}">
      <text>
        <r>
          <rPr>
            <b/>
            <sz val="9"/>
            <color indexed="81"/>
            <rFont val="Tahoma"/>
            <family val="2"/>
          </rPr>
          <t>This equation is implemented differently than others. The difference is intentional.</t>
        </r>
        <r>
          <rPr>
            <sz val="9"/>
            <color indexed="81"/>
            <rFont val="Tahoma"/>
            <family val="2"/>
          </rPr>
          <t xml:space="preserve">
</t>
        </r>
      </text>
    </comment>
    <comment ref="D183" authorId="0" shapeId="0" xr:uid="{00000000-0006-0000-1300-000005000000}">
      <text>
        <r>
          <rPr>
            <b/>
            <sz val="9"/>
            <color indexed="81"/>
            <rFont val="Tahoma"/>
            <family val="2"/>
          </rPr>
          <t>This equation is implemented differently than others. The difference is intentional.</t>
        </r>
        <r>
          <rPr>
            <sz val="9"/>
            <color indexed="81"/>
            <rFont val="Tahoma"/>
            <family val="2"/>
          </rPr>
          <t xml:space="preserve">
</t>
        </r>
      </text>
    </comment>
    <comment ref="D184" authorId="0" shapeId="0" xr:uid="{00000000-0006-0000-1300-000006000000}">
      <text>
        <r>
          <rPr>
            <b/>
            <sz val="9"/>
            <color indexed="81"/>
            <rFont val="Tahoma"/>
            <family val="2"/>
          </rPr>
          <t>This equation is implemented differently than others. The difference is intentional.</t>
        </r>
        <r>
          <rPr>
            <sz val="9"/>
            <color indexed="81"/>
            <rFont val="Tahoma"/>
            <family val="2"/>
          </rPr>
          <t xml:space="preserve">
</t>
        </r>
      </text>
    </comment>
  </commentList>
</comments>
</file>

<file path=xl/sharedStrings.xml><?xml version="1.0" encoding="utf-8"?>
<sst xmlns="http://schemas.openxmlformats.org/spreadsheetml/2006/main" count="11113" uniqueCount="4320">
  <si>
    <t>Number of MOVs for backwash line</t>
  </si>
  <si>
    <t>Number of check valves backwash line</t>
  </si>
  <si>
    <t>tot_back_chv</t>
  </si>
  <si>
    <t>in_meter_size</t>
  </si>
  <si>
    <t>Size of flow meters for process line</t>
  </si>
  <si>
    <t>proc_meter_size</t>
  </si>
  <si>
    <t>Number of check valves on backwash line if no backwash pumps</t>
  </si>
  <si>
    <t>back_chv_no_back</t>
  </si>
  <si>
    <t>Number of motor/air operated control valves on backwash line if no backwash pumps</t>
  </si>
  <si>
    <t>back_MOV_no_back</t>
  </si>
  <si>
    <t>WBS #</t>
  </si>
  <si>
    <t>Item</t>
  </si>
  <si>
    <t>Quantity</t>
  </si>
  <si>
    <t>Size used in estimate</t>
  </si>
  <si>
    <t>Unit Cost</t>
  </si>
  <si>
    <t>Total Cost</t>
  </si>
  <si>
    <t>Useful Life</t>
  </si>
  <si>
    <t>Pressure Vessels</t>
  </si>
  <si>
    <t>Stainless Steel</t>
  </si>
  <si>
    <t>Carbon Steel</t>
  </si>
  <si>
    <t>comm_vol_gal</t>
  </si>
  <si>
    <t>Tanks</t>
  </si>
  <si>
    <t>ventilation</t>
  </si>
  <si>
    <t>Buiding 1 length and width</t>
  </si>
  <si>
    <t>Maximum pump size</t>
  </si>
  <si>
    <t>max_pump_size</t>
  </si>
  <si>
    <t>Maximum backwash tank size</t>
  </si>
  <si>
    <t>max_back_tank_size</t>
  </si>
  <si>
    <t>Land Cost</t>
  </si>
  <si>
    <t>Backwash tank volume</t>
  </si>
  <si>
    <t>back_tank_vol</t>
  </si>
  <si>
    <t>Vessel surface area</t>
  </si>
  <si>
    <t>max_sa</t>
  </si>
  <si>
    <t>Maximum flow per vessel</t>
  </si>
  <si>
    <t>flow_per_vessel</t>
  </si>
  <si>
    <t>EBCT_tank</t>
  </si>
  <si>
    <t>Add coagulant to holding tank?</t>
  </si>
  <si>
    <t>coag_res</t>
  </si>
  <si>
    <t>&lt;-- 1 for yes, 0 for no</t>
  </si>
  <si>
    <t>comp_vert_min_number_a</t>
  </si>
  <si>
    <t>comp_nlines_extra_search_a</t>
  </si>
  <si>
    <t>comp_in_nlines_a</t>
  </si>
  <si>
    <t>target side length</t>
  </si>
  <si>
    <t>comp_length_width_a</t>
  </si>
  <si>
    <t>comp_bed_depth_a</t>
  </si>
  <si>
    <t>Annual heating degree days</t>
  </si>
  <si>
    <t>heat_DD</t>
  </si>
  <si>
    <t>Spent GAC storage (on-site only)</t>
  </si>
  <si>
    <t>spent_storage_bv</t>
  </si>
  <si>
    <t>Regenerated GAC storage (on-site only)</t>
  </si>
  <si>
    <t>regen_storage_bv</t>
  </si>
  <si>
    <t>pump_head</t>
  </si>
  <si>
    <t>pump_efficiency</t>
  </si>
  <si>
    <t>Number of redundant eductors</t>
  </si>
  <si>
    <t>NRD_eductors</t>
  </si>
  <si>
    <t>Maximum eductor size</t>
  </si>
  <si>
    <t>max_eductor_size</t>
  </si>
  <si>
    <t>The largest size for which costs are available.  Assumption used only if tanks are used.</t>
  </si>
  <si>
    <t>Magnetic flow meter</t>
  </si>
  <si>
    <t>flow_mag</t>
  </si>
  <si>
    <t>Orifice plate flow meter</t>
  </si>
  <si>
    <t>flow_op</t>
  </si>
  <si>
    <t>Propeller flow meter</t>
  </si>
  <si>
    <t>flow_prop</t>
  </si>
  <si>
    <t>Venturi flow meter</t>
  </si>
  <si>
    <t>flow_ven</t>
  </si>
  <si>
    <t>Flow Meters - Inlet and Outlet</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</si>
  <si>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</si>
  <si>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</si>
  <si>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</si>
  <si>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</si>
  <si>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</si>
  <si>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</si>
  <si>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</si>
  <si>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</si>
  <si>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</si>
  <si>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</si>
  <si>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</si>
  <si>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</si>
  <si>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</si>
  <si>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</si>
  <si>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</si>
  <si>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</si>
  <si>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</si>
  <si>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</si>
  <si>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</si>
  <si>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</si>
  <si>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</si>
  <si>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</si>
  <si>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6.2.1</t>
  </si>
  <si>
    <t>6.3.1</t>
  </si>
  <si>
    <t>6.4.1</t>
  </si>
  <si>
    <t>6.11</t>
  </si>
  <si>
    <t>6.12</t>
  </si>
  <si>
    <t>6.12.1</t>
  </si>
  <si>
    <t>6.13</t>
  </si>
  <si>
    <t>Flow meter lookup code - inlet/outlet</t>
  </si>
  <si>
    <t>fm_lkp_io</t>
  </si>
  <si>
    <t>These codes are used to look up SCADA requirements, which depend on the type of flow meter selected.</t>
  </si>
  <si>
    <t>Flow meter lookup code - process</t>
  </si>
  <si>
    <t>fm_lkp_proc</t>
  </si>
  <si>
    <t>Flow meter lookup code - residuals</t>
  </si>
  <si>
    <t>fm_lkp_back</t>
  </si>
  <si>
    <t>fm_lkp_res</t>
  </si>
  <si>
    <t>Flow meter lookup code - backwash</t>
  </si>
  <si>
    <t>Building Maintenance</t>
  </si>
  <si>
    <t>Cost for all buildings, excluding heating and cooling</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</si>
  <si>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</si>
  <si>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</si>
  <si>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</si>
  <si>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</si>
  <si>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</si>
  <si>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Annual maintenance for all buildings</t>
  </si>
  <si>
    <t>bldg_maint_cost</t>
  </si>
  <si>
    <t>Includes labor and materials</t>
  </si>
  <si>
    <t>Facility maintenance (materials and labor)</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</si>
  <si>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</si>
  <si>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</si>
  <si>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</si>
  <si>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</si>
  <si>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</si>
  <si>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</si>
  <si>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Enter 0% to exclude. 0.34% is national average rate. RSMeans Building Construction Cost Data 2009, reference section R01100-070</t>
  </si>
  <si>
    <t>Include performance bond cost?</t>
  </si>
  <si>
    <t>Use?</t>
  </si>
  <si>
    <t>lbs/day</t>
  </si>
  <si>
    <t>res_pipe_length</t>
  </si>
  <si>
    <t>ft</t>
  </si>
  <si>
    <t>Interval between backwashes</t>
  </si>
  <si>
    <t>back_interval</t>
  </si>
  <si>
    <t>Pipe length</t>
  </si>
  <si>
    <t>Residuals Discharge</t>
  </si>
  <si>
    <t>Vessel_thickness</t>
  </si>
  <si>
    <t>Trench Volume Inlet &amp; Outlet</t>
  </si>
  <si>
    <t>Thrust force</t>
  </si>
  <si>
    <t>thrust_force</t>
  </si>
  <si>
    <t>Bearing Area (L x H)</t>
  </si>
  <si>
    <t>L</t>
  </si>
  <si>
    <t>H</t>
  </si>
  <si>
    <t>F</t>
  </si>
  <si>
    <t>T</t>
  </si>
  <si>
    <t>bearing_area</t>
  </si>
  <si>
    <t>Pipe diameter with a minimum of 6 inches</t>
  </si>
  <si>
    <t>Thrust block volume</t>
  </si>
  <si>
    <t>block_vol</t>
  </si>
  <si>
    <t>Trench Volume Between Buildings</t>
  </si>
  <si>
    <t>Trench Volume to Distribution Network</t>
  </si>
  <si>
    <t xml:space="preserve"> </t>
  </si>
  <si>
    <t>Bedding depth below pipe</t>
  </si>
  <si>
    <t>bedding_depth</t>
  </si>
  <si>
    <t>Trench inside angle</t>
  </si>
  <si>
    <t>Manual system controls</t>
  </si>
  <si>
    <t>manual</t>
  </si>
  <si>
    <t>Quantities based on user-specified vessel dimensions</t>
  </si>
  <si>
    <t>Adjust bed depth constraints</t>
  </si>
  <si>
    <t>res_trn_depth</t>
  </si>
  <si>
    <t>res_thrust_force</t>
  </si>
  <si>
    <t>res_bearing_area</t>
  </si>
  <si>
    <t>res_block_vol</t>
  </si>
  <si>
    <t>Trench cross-section area</t>
  </si>
  <si>
    <t>res_trench_area</t>
  </si>
  <si>
    <t>Trench volume to discharge point</t>
  </si>
  <si>
    <t>Select to calculate costs for GAC as a pre- or post-treatment for another base technology (e.g., GAC polishing for UVAOP)</t>
  </si>
  <si>
    <t>Is this an add-on (pre- or post-treatment)</t>
  </si>
  <si>
    <t>add_on</t>
  </si>
  <si>
    <t>tot_in_man</t>
  </si>
  <si>
    <t>in_man</t>
  </si>
  <si>
    <t>in_man_addon</t>
  </si>
  <si>
    <t>Carbon Tetrachloride</t>
  </si>
  <si>
    <t>Benzene</t>
  </si>
  <si>
    <t>1,2-Dichloropropane</t>
  </si>
  <si>
    <t>1,2-Dichloroethane</t>
  </si>
  <si>
    <t>1,3-Butadiene</t>
  </si>
  <si>
    <t>1,1-Dichloroethane</t>
  </si>
  <si>
    <t>1,1,1,2-Tetrachloroethane</t>
  </si>
  <si>
    <t>1,1,2,2-Tetrachloroethane</t>
  </si>
  <si>
    <t>1,2,3-Trichloropropane</t>
  </si>
  <si>
    <t>UV Quench Add-on, Pressure</t>
  </si>
  <si>
    <t>UV Quench Add-on, Gravity</t>
  </si>
  <si>
    <t>Atrazine, Pressure</t>
  </si>
  <si>
    <t>Atrazine, Gravity</t>
  </si>
  <si>
    <t>Radon, Pressure</t>
  </si>
  <si>
    <t>Radon, Gravity</t>
  </si>
  <si>
    <t>TCE, Pressure</t>
  </si>
  <si>
    <t>TCE, Gravity</t>
  </si>
  <si>
    <t>PCE, Pressure</t>
  </si>
  <si>
    <t>PCE, Gravity</t>
  </si>
  <si>
    <t>CT, Pressure</t>
  </si>
  <si>
    <t>CT, Gravity</t>
  </si>
  <si>
    <t>Benzene, Pressure</t>
  </si>
  <si>
    <t>Benzene, Gravity</t>
  </si>
  <si>
    <t>1,2-DCP, Pressure</t>
  </si>
  <si>
    <t>1,2-DCP, Gravity</t>
  </si>
  <si>
    <t>1,2-DCA, Pressure</t>
  </si>
  <si>
    <t>1,2-DCA, Gravity</t>
  </si>
  <si>
    <t>1,3-B, Pressure</t>
  </si>
  <si>
    <t>1,3-B, Gravity</t>
  </si>
  <si>
    <t>1,1-DCA, Pressure</t>
  </si>
  <si>
    <t>1,1-DCA, Gravity</t>
  </si>
  <si>
    <t>1,1,1,2-TCA, Gravity</t>
  </si>
  <si>
    <t>1,1,1,2-TCA, Pressure</t>
  </si>
  <si>
    <t>1,1,2,2-TCA, Pressure</t>
  </si>
  <si>
    <t>1,1,2,2-TCA, Gravity</t>
  </si>
  <si>
    <t>1,2,3-TCP, Pressure</t>
  </si>
  <si>
    <t>1,2,3-TCP, Gravity</t>
  </si>
  <si>
    <t>Other, Pressure</t>
  </si>
  <si>
    <t>Other, Gravity</t>
  </si>
  <si>
    <t>Target Bed Depth (Gravity Designs &lt; 1MGD, UVAOP add-on)</t>
  </si>
  <si>
    <t>Target Bed Depth (Gravity Designs &gt; 1 MGD, UVAOP add-on)</t>
  </si>
  <si>
    <t>14.4</t>
  </si>
  <si>
    <t>14.3.1</t>
  </si>
  <si>
    <t>14.4.1</t>
  </si>
  <si>
    <t>14.5</t>
  </si>
  <si>
    <t>Building 1 Addition/Incremental Useage (Retrofit)</t>
  </si>
  <si>
    <t>Building 2 Addition/Incremental Useage (Retrofit)</t>
  </si>
  <si>
    <t>bldg_lo_eq_1_r</t>
  </si>
  <si>
    <t>bldg_mid_eq_1_r</t>
  </si>
  <si>
    <t>bldg_hi_eq_1_r</t>
  </si>
  <si>
    <t>bldg_lo_eq_2_r</t>
  </si>
  <si>
    <t>bldg_mid_eq_2_r</t>
  </si>
  <si>
    <t>bldg_hi_eq_2_r</t>
  </si>
  <si>
    <t>Building Lighting and Ventilation</t>
  </si>
  <si>
    <t>Building Lighting</t>
  </si>
  <si>
    <t>Design flow expressed in gpm</t>
  </si>
  <si>
    <t>Default inputs represent typical options used to generate national average compliance costs.</t>
  </si>
  <si>
    <t>set by the autosize algorithm; TRUE if it finds a valid size, FALSE otherwise</t>
  </si>
  <si>
    <t>MGD</t>
  </si>
  <si>
    <t>design_flow_I</t>
  </si>
  <si>
    <t>Design Flow</t>
  </si>
  <si>
    <t>af_units</t>
  </si>
  <si>
    <t>Average Flow</t>
  </si>
  <si>
    <t>average_flow_I</t>
  </si>
  <si>
    <t>EBCT</t>
  </si>
  <si>
    <t>Include standby power costs for small systems?</t>
  </si>
  <si>
    <t>include_standby_small</t>
  </si>
  <si>
    <t>Include architectural fee for small systems?</t>
  </si>
  <si>
    <t>include_arch_small</t>
  </si>
  <si>
    <t>Financing percentage for small systems</t>
  </si>
  <si>
    <t>Small system construction assumed to take less than one year</t>
  </si>
  <si>
    <t>finance_pct_small</t>
  </si>
  <si>
    <t>Excluded by default for small systems</t>
  </si>
  <si>
    <t>The next three inputs may be entered manually, or calculated with AutoSize button. All other gold inputs must be complete before AutoSizing.</t>
  </si>
  <si>
    <t>The next four inputs may be entered manually, or calculated with AutoSize button. All other gold inputs must be complete before AutoSizing.</t>
  </si>
  <si>
    <t>Bypass pipe diameter</t>
  </si>
  <si>
    <t>bp_pipe_diam</t>
  </si>
  <si>
    <t>Bypass Piping</t>
  </si>
  <si>
    <t>ports_bp</t>
  </si>
  <si>
    <t>Not used if system chooses not to bypass</t>
  </si>
  <si>
    <t>tot_bp_MOVs</t>
  </si>
  <si>
    <t>tot_bp_man</t>
  </si>
  <si>
    <t>Number of MOVs for bypass line</t>
  </si>
  <si>
    <t>Number of manual valves for bypass line</t>
  </si>
  <si>
    <t>Number of manual valves on bypass line</t>
  </si>
  <si>
    <t>Number of Motor/air operated on bypass line</t>
  </si>
  <si>
    <t>Bypass - Polypropylene/PVC</t>
  </si>
  <si>
    <t>Bypass - Stainless Steel</t>
  </si>
  <si>
    <t>Bypass - Cast Iron</t>
  </si>
  <si>
    <t>For semiautomated and automated systems</t>
  </si>
  <si>
    <t>min/event</t>
  </si>
  <si>
    <t>Hours per media changeout</t>
  </si>
  <si>
    <t>uloe_throwaway</t>
  </si>
  <si>
    <t>tot_inst</t>
  </si>
  <si>
    <t>tot_pumps</t>
  </si>
  <si>
    <t>Number of process valves</t>
  </si>
  <si>
    <t>tot_valves</t>
  </si>
  <si>
    <t>Media changeouts per year</t>
  </si>
  <si>
    <t>media_changes</t>
  </si>
  <si>
    <t>Managing media changeouts</t>
  </si>
  <si>
    <t>Carbon Steel - Plastic Internals</t>
  </si>
  <si>
    <t>Mobilization and Demobilization</t>
  </si>
  <si>
    <t>Architectural Fees for Treatment Building</t>
  </si>
  <si>
    <t>Lighting</t>
  </si>
  <si>
    <t>Minimum standby power generator size</t>
  </si>
  <si>
    <t>min_standby</t>
  </si>
  <si>
    <t>Include concrete pad in total capital cost?</t>
  </si>
  <si>
    <t>include_pad</t>
  </si>
  <si>
    <t>&lt;0.1</t>
  </si>
  <si>
    <t>Organic-free surface water</t>
  </si>
  <si>
    <t>Distilled-deionized, ultravfiltered water</t>
  </si>
  <si>
    <t>Raw surface water containing natural organics</t>
  </si>
  <si>
    <t>Coagulated/settled surface water containing natural organics</t>
  </si>
  <si>
    <t>Cyanazine</t>
  </si>
  <si>
    <t>space_vessels</t>
  </si>
  <si>
    <t>Loading rate minimum</t>
  </si>
  <si>
    <t>Loading rate maximum</t>
  </si>
  <si>
    <t>res_s1_opt</t>
  </si>
  <si>
    <t>calculated as a percentage of capital</t>
  </si>
  <si>
    <t>OUTPUT SUMMARY</t>
  </si>
  <si>
    <t>Direct Capital Cost</t>
  </si>
  <si>
    <t>Add-on Cost</t>
  </si>
  <si>
    <t>Indirect Capital Cost</t>
  </si>
  <si>
    <t>Total Capital Cost</t>
  </si>
  <si>
    <t>Annual O&amp;M Cost</t>
  </si>
  <si>
    <t>Contaminant</t>
  </si>
  <si>
    <t>Buildings</t>
  </si>
  <si>
    <t>Include buildings in total capital cost?</t>
  </si>
  <si>
    <t>include_buildings</t>
  </si>
  <si>
    <t>Include permit costs?</t>
  </si>
  <si>
    <t>include_permits</t>
  </si>
  <si>
    <t>Include pilot study costs?</t>
  </si>
  <si>
    <t>include_pilot</t>
  </si>
  <si>
    <t>Land</t>
  </si>
  <si>
    <t>Include land costs?</t>
  </si>
  <si>
    <t>include_land</t>
  </si>
  <si>
    <t>Mobilization percentage for small systems</t>
  </si>
  <si>
    <t>mob_pct_small</t>
  </si>
  <si>
    <t>of direct capital cost</t>
  </si>
  <si>
    <t>Mobilization percentage for medium systems</t>
  </si>
  <si>
    <t>mob_pct_medium</t>
  </si>
  <si>
    <t>Mobilization percentage for large systems</t>
  </si>
  <si>
    <t>mob_pct_large</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</si>
  <si>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</si>
  <si>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</si>
  <si>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</si>
  <si>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</si>
  <si>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</si>
  <si>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</si>
  <si>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</si>
  <si>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</si>
  <si>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include_geo_low</t>
  </si>
  <si>
    <t>Note: geotechnical is always included with the septic system option, regardless of the numbers entered here</t>
  </si>
  <si>
    <t>include_geo_medium</t>
  </si>
  <si>
    <t>include_geo_high</t>
  </si>
  <si>
    <t>Include standby power costs?</t>
  </si>
  <si>
    <t>include_standby</t>
  </si>
  <si>
    <t>Electrical percentage</t>
  </si>
  <si>
    <t>elect_pct</t>
  </si>
  <si>
    <t>of direct cost</t>
  </si>
  <si>
    <t>Instrumentation and control percentage</t>
  </si>
  <si>
    <t>i_c_pct</t>
  </si>
  <si>
    <t>Engineering percentage for small systems</t>
  </si>
  <si>
    <t>Vessel Height/Length</t>
  </si>
  <si>
    <t>Onsite_regeneration_fp</t>
  </si>
  <si>
    <t>component_level</t>
  </si>
  <si>
    <t>freund_1</t>
  </si>
  <si>
    <t>freund_2</t>
  </si>
  <si>
    <t>C_0</t>
  </si>
  <si>
    <t>C_b</t>
  </si>
  <si>
    <t>heating_hp</t>
  </si>
  <si>
    <t>heating_gas_non</t>
  </si>
  <si>
    <t>therms/yr</t>
  </si>
  <si>
    <t>heating_gas</t>
  </si>
  <si>
    <t>ensures that bed depth is sufficient to pass diameter check on vessel design sheet</t>
  </si>
  <si>
    <t>need_cool</t>
  </si>
  <si>
    <t>&lt;--- enter 1 for yes, 0 for no</t>
  </si>
  <si>
    <t>Holding tank volume</t>
  </si>
  <si>
    <t>htank_vol</t>
  </si>
  <si>
    <t>based on target_load CDA</t>
  </si>
  <si>
    <t>based upon  media volume and bed depth</t>
  </si>
  <si>
    <t>below this number of lines, we are constrained to horizontal vessels</t>
  </si>
  <si>
    <t>strictest of the above minima</t>
  </si>
  <si>
    <t>target_bed_depth_under</t>
  </si>
  <si>
    <t>based on max load, design flow, and target number of lines</t>
  </si>
  <si>
    <t>Number of pumps</t>
  </si>
  <si>
    <t>res_pumps</t>
  </si>
  <si>
    <t>Pump design rating</t>
  </si>
  <si>
    <t>res_pump_rating</t>
  </si>
  <si>
    <t>Pipe diameter</t>
  </si>
  <si>
    <t>res_pipe_diam</t>
  </si>
  <si>
    <t>Valves and instrumentation</t>
  </si>
  <si>
    <t>Residuals valve size</t>
  </si>
  <si>
    <t>res_valve_size</t>
  </si>
  <si>
    <t>Number of MOVs for residuals line</t>
  </si>
  <si>
    <t>total_res_MOVs</t>
  </si>
  <si>
    <t>Number of check valves for residuals line</t>
  </si>
  <si>
    <t>tot_res_chv</t>
  </si>
  <si>
    <t>tot_res_alarm</t>
  </si>
  <si>
    <t>Residuals flow meter size</t>
  </si>
  <si>
    <t>res_meter_size</t>
  </si>
  <si>
    <t>Pump operating horsepower</t>
  </si>
  <si>
    <t>Energy per pump</t>
  </si>
  <si>
    <t>Energy for all active pumps</t>
  </si>
  <si>
    <t>res_pump_energy</t>
  </si>
  <si>
    <t>Residuals pump material cost</t>
  </si>
  <si>
    <t>res_pump_mtl</t>
  </si>
  <si>
    <t>POTW Discharge Fees</t>
  </si>
  <si>
    <t>TSS in discharged residuals</t>
  </si>
  <si>
    <t>TSS_residuals_dis</t>
  </si>
  <si>
    <t>Holding tank for spent backwash</t>
  </si>
  <si>
    <t>Single event volume</t>
  </si>
  <si>
    <t>res_vol</t>
  </si>
  <si>
    <t>Time between events</t>
  </si>
  <si>
    <t>res_stagger_time</t>
  </si>
  <si>
    <t>Actual residuals discharge flow rate</t>
  </si>
  <si>
    <t>res_flow_actual</t>
  </si>
  <si>
    <t>Design residuals discharge flow rate</t>
  </si>
  <si>
    <t>res_flow</t>
  </si>
  <si>
    <t>Annual residuals dischage</t>
  </si>
  <si>
    <t>TCE</t>
  </si>
  <si>
    <t>PCE</t>
  </si>
  <si>
    <t>Incremental standby power for ventilation</t>
  </si>
  <si>
    <t>r_std_vent</t>
  </si>
  <si>
    <t>r_std_lighting</t>
  </si>
  <si>
    <t>&lt;-1 for upright cylindrical, 2 for horizontal-laid cylinder</t>
  </si>
  <si>
    <t>transfer_method_I</t>
  </si>
  <si>
    <t>&lt;-- 1 for slurry pumps, 2 for eductors, 3 for manual transfer</t>
  </si>
  <si>
    <t>Total TSS in excess of POTW limit (if applicable)</t>
  </si>
  <si>
    <t>Annual POTW base fee</t>
  </si>
  <si>
    <t>Annual POTW volume fee</t>
  </si>
  <si>
    <t>Annual POTW TSS fee</t>
  </si>
  <si>
    <t>Total annual POTW discharge fee</t>
  </si>
  <si>
    <t>POTW_fee</t>
  </si>
  <si>
    <t>Spent Media Disposal Fees</t>
  </si>
  <si>
    <t>Disposal</t>
  </si>
  <si>
    <t>Transportation</t>
  </si>
  <si>
    <t>Total annual spent media diposal fee</t>
  </si>
  <si>
    <t>disposal_fee</t>
  </si>
  <si>
    <t>lbs/year</t>
  </si>
  <si>
    <t>$/year</t>
  </si>
  <si>
    <t>Access space per residuals holding tank</t>
  </si>
  <si>
    <t>space_ht</t>
  </si>
  <si>
    <t>Residuals pump footprint</t>
  </si>
  <si>
    <t>Residuals holding tank footprint</t>
  </si>
  <si>
    <t>htank_fp</t>
  </si>
  <si>
    <t>Residuals Holding Tanks</t>
  </si>
  <si>
    <t>st_ht_eq</t>
  </si>
  <si>
    <t>Fiberglass Tanks</t>
  </si>
  <si>
    <t>fg_ht_eq</t>
  </si>
  <si>
    <t>Plastic/HDPE Tanks</t>
  </si>
  <si>
    <t>hdpe_ht_eq</t>
  </si>
  <si>
    <t>Residuals Piping</t>
  </si>
  <si>
    <t>cpvc_pipe_eq_res</t>
  </si>
  <si>
    <t>pvc_pipe_eq_res</t>
  </si>
  <si>
    <t>ss_pipe_eq_res</t>
  </si>
  <si>
    <t>st_pipe_eq_res</t>
  </si>
  <si>
    <t>Polypropylene/PVC - residuals</t>
  </si>
  <si>
    <t>pp_mov_eq_res</t>
  </si>
  <si>
    <t>Stainless Steel - residuals</t>
  </si>
  <si>
    <t>ss_mov_eq_res</t>
  </si>
  <si>
    <t>no_back_tank</t>
  </si>
  <si>
    <t>Building 1</t>
  </si>
  <si>
    <t>Building 2</t>
  </si>
  <si>
    <t>Number of printers</t>
  </si>
  <si>
    <t>Design Flow (including bypass)</t>
  </si>
  <si>
    <t>Average Flow (including bypass)</t>
  </si>
  <si>
    <t>Managing backwash</t>
  </si>
  <si>
    <t>594-20-7</t>
  </si>
  <si>
    <t>1,3-dichloropropene</t>
  </si>
  <si>
    <t>542-75-6</t>
  </si>
  <si>
    <t>60-57-1</t>
  </si>
  <si>
    <t>carbon life value- months</t>
  </si>
  <si>
    <t>lines_pump_I</t>
  </si>
  <si>
    <t>GRAVITY CONTACTORS</t>
  </si>
  <si>
    <t>comp_round_sa_a</t>
  </si>
  <si>
    <t>comp_vol_required_a</t>
  </si>
  <si>
    <t>Design search</t>
  </si>
  <si>
    <t>comp_vert_max_media_a</t>
  </si>
  <si>
    <t>comp_sa_min_a</t>
  </si>
  <si>
    <t>comp_sa_max_a</t>
  </si>
  <si>
    <t>comp_target_bed_depth_vert_a</t>
  </si>
  <si>
    <t>comp_sa_required_vert_a</t>
  </si>
  <si>
    <t>min number of lines:</t>
  </si>
  <si>
    <t>For freeboard</t>
  </si>
  <si>
    <t>freeboard_horiz_void</t>
  </si>
  <si>
    <t>For underdrain</t>
  </si>
  <si>
    <t>underdrain_horiz_void</t>
  </si>
  <si>
    <t>Total</t>
  </si>
  <si>
    <t>horiz_void</t>
  </si>
  <si>
    <t>Underdrain space for horizontal vessels</t>
  </si>
  <si>
    <t>horiz_underdrain</t>
  </si>
  <si>
    <t>1.5 feet is a conservative value for a 10' tank. Bob Dvorin, 5/16/05.</t>
  </si>
  <si>
    <t>Volume of a horizontal slice taken out of a cylinder</t>
  </si>
  <si>
    <t>media_volume</t>
  </si>
  <si>
    <t>media_volume_expanded</t>
  </si>
  <si>
    <t>Total vessel volume</t>
  </si>
  <si>
    <t>The largest size for which costs are available.  Applies to backwash tanks and steel GAC storage tanks (below).</t>
  </si>
  <si>
    <t>risers</t>
  </si>
  <si>
    <t>overexcavate</t>
  </si>
  <si>
    <t>conc_thick</t>
  </si>
  <si>
    <t>Footprints for contactors and GAC transfer equipment</t>
  </si>
  <si>
    <t>Two times basin area for walkways and equipment</t>
  </si>
  <si>
    <t>2.</t>
  </si>
  <si>
    <t>2.1</t>
  </si>
  <si>
    <t>2.1.1</t>
  </si>
  <si>
    <t>Backwash Tanks/Basins</t>
  </si>
  <si>
    <t xml:space="preserve">Number of MOVs on process line per contactor </t>
  </si>
  <si>
    <t>valves/contactor</t>
  </si>
  <si>
    <t>pH_controls_g</t>
  </si>
  <si>
    <t>pH_controls_small_g</t>
  </si>
  <si>
    <t>spent_basin_width</t>
  </si>
  <si>
    <t>spent_basin_length</t>
  </si>
  <si>
    <t>spent_basin_depth</t>
  </si>
  <si>
    <t>spent_basin_vol</t>
  </si>
  <si>
    <t>spent_conc_vol</t>
  </si>
  <si>
    <t>spent_excavation_vol</t>
  </si>
  <si>
    <t>spent_backfill_vol</t>
  </si>
  <si>
    <t>spent_railing</t>
  </si>
  <si>
    <t>spent_tanks</t>
  </si>
  <si>
    <t>spent_tank_vol</t>
  </si>
  <si>
    <t>Spent GAC Storage basin width</t>
  </si>
  <si>
    <t>Spent GAC Storage basin length</t>
  </si>
  <si>
    <t>Spent GAC Storage basin volume</t>
  </si>
  <si>
    <t>Number of Spent GAC Storage tanks</t>
  </si>
  <si>
    <t>Spent GAC Storage tank volume</t>
  </si>
  <si>
    <t>Spent GAC Storage basin operating depth</t>
  </si>
  <si>
    <t>Regenerated GAC Storage basin width</t>
  </si>
  <si>
    <t>Additional turbitidy meters (pressure systems)</t>
  </si>
  <si>
    <t>Head loss sensors per contactor</t>
  </si>
  <si>
    <t>Sampling ports per contactor</t>
  </si>
  <si>
    <t>Labor hours per week for contact basins</t>
  </si>
  <si>
    <t>Weekly_labor</t>
  </si>
  <si>
    <t>hr/week/basin or tank</t>
  </si>
  <si>
    <t>Borehole depth for shallow basins</t>
  </si>
  <si>
    <t>bore_depth_min</t>
  </si>
  <si>
    <t>Borehole depth for deep basins</t>
  </si>
  <si>
    <t>bore_depth_max</t>
  </si>
  <si>
    <t>Basin excavation depth above which deeper boreholes are needed</t>
  </si>
  <si>
    <t>deep_bore_need</t>
  </si>
  <si>
    <t>Small pressure system geotechnical investigation can be completed with test pits, larger systems and all gravity systems require boreholes</t>
  </si>
  <si>
    <t>Backwash storage volume in cubic feet</t>
  </si>
  <si>
    <t>back_vol_ft</t>
  </si>
  <si>
    <t>Number of backwash basins</t>
  </si>
  <si>
    <t>back_basins</t>
  </si>
  <si>
    <t>Backwash basin operating depth</t>
  </si>
  <si>
    <t>back_basin_op_depth</t>
  </si>
  <si>
    <t>Backwash basin width</t>
  </si>
  <si>
    <t>back_basin_width</t>
  </si>
  <si>
    <t>Backwash basin length</t>
  </si>
  <si>
    <t>back_basin_length</t>
  </si>
  <si>
    <t>Backwash basin depth including freeboard</t>
  </si>
  <si>
    <t>back_basin_depth</t>
  </si>
  <si>
    <t>Backwash basin volume</t>
  </si>
  <si>
    <t>back_basin_vol</t>
  </si>
  <si>
    <t>back_conc_vol</t>
  </si>
  <si>
    <t>back_excavation_vol</t>
  </si>
  <si>
    <t>back_backfill_vol</t>
  </si>
  <si>
    <t>back_railing</t>
  </si>
  <si>
    <t xml:space="preserve">The number of backwash cycles to provide a storage volume for clean water.  Backwash from elevated storage requires minimum 2 backwash volumes (Randal Braker, General Manager, Duck River Utility Commisssion, TN); WBS models use pumps, however.  </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</si>
  <si>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</si>
  <si>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</si>
  <si>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</si>
  <si>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</si>
  <si>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</si>
  <si>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</si>
  <si>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</si>
  <si>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</si>
  <si>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</si>
  <si>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</si>
  <si>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</si>
  <si>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no holding tank</t>
  </si>
  <si>
    <t>Holding tank</t>
  </si>
  <si>
    <t>manual transfer</t>
  </si>
  <si>
    <t>non-hazardous</t>
  </si>
  <si>
    <t>Leave blank to accept redundancy frequency specified in critical design assumptions</t>
  </si>
  <si>
    <t>Leave blank to use low cost components</t>
  </si>
  <si>
    <t>Leave blank to allow model to pick based on component level</t>
  </si>
  <si>
    <t xml:space="preserve"> -horizontal vessel diameter</t>
  </si>
  <si>
    <t>comp_min_horiz_diam</t>
  </si>
  <si>
    <t>comp_max_horiz_diam</t>
  </si>
  <si>
    <t xml:space="preserve"> - horizontal vessel length</t>
  </si>
  <si>
    <t>comp_min_horiz_length</t>
  </si>
  <si>
    <t>comp_max_horiz_length</t>
  </si>
  <si>
    <t xml:space="preserve"> - horizontal bed depth</t>
  </si>
  <si>
    <t>comp_min_horiz_bed_depth</t>
  </si>
  <si>
    <t>comp_max_horiz_bed_depth</t>
  </si>
  <si>
    <t>length_diam_ratio</t>
  </si>
  <si>
    <t>Septic System</t>
  </si>
  <si>
    <t>Number of septic tanks</t>
  </si>
  <si>
    <t>num_sept_tanks</t>
  </si>
  <si>
    <t>Septic tank volume</t>
  </si>
  <si>
    <t>sept_tank_vol</t>
  </si>
  <si>
    <t>Septic discharge design flow</t>
  </si>
  <si>
    <t>sept_design_flow</t>
  </si>
  <si>
    <t>Inflitration area required</t>
  </si>
  <si>
    <t>sept_infil_area</t>
  </si>
  <si>
    <t>Trench bottom area required</t>
  </si>
  <si>
    <t>sept_trench_bot_area</t>
  </si>
  <si>
    <t>Number of trenches required</t>
  </si>
  <si>
    <t>sept_trenches</t>
  </si>
  <si>
    <t>Number of days per year where natural ventilation is applicable cannot be greater than 365 days</t>
  </si>
  <si>
    <t>From input</t>
  </si>
  <si>
    <t>Includes safety factor</t>
  </si>
  <si>
    <t>Inlet and outlet pipe flow</t>
  </si>
  <si>
    <t>in_out_pipe_flow</t>
  </si>
  <si>
    <t>inches</t>
  </si>
  <si>
    <t>Diameter (inch)</t>
  </si>
  <si>
    <t>Process pipe flow</t>
  </si>
  <si>
    <t>Includes  redundancy</t>
  </si>
  <si>
    <t>Operating pumps</t>
  </si>
  <si>
    <t>Adjust length constraints</t>
  </si>
  <si>
    <t>Select Design Type</t>
  </si>
  <si>
    <t>STEP 3</t>
  </si>
  <si>
    <t>STEP 4</t>
  </si>
  <si>
    <t>STEP 5</t>
  </si>
  <si>
    <t>Input Validation</t>
  </si>
  <si>
    <t>Design Categories</t>
  </si>
  <si>
    <t>Gravity</t>
  </si>
  <si>
    <t>Other</t>
  </si>
  <si>
    <t>Concrete pad for retrofit</t>
  </si>
  <si>
    <t>Incremental footprint required for retrofit</t>
  </si>
  <si>
    <t>r_inc_fp_required</t>
  </si>
  <si>
    <t>r_concrete</t>
  </si>
  <si>
    <t>Additional Furnace Capacity (Retrofit)</t>
  </si>
  <si>
    <t>Building #1 additional value</t>
  </si>
  <si>
    <t>Building #2 additional value</t>
  </si>
  <si>
    <t>Retrofit does not change NPDES status</t>
  </si>
  <si>
    <t>Applies to systems where retrofit pushes land over 1 acre</t>
  </si>
  <si>
    <t>r_permit_cost</t>
  </si>
  <si>
    <t>Sitework cost for retrofit</t>
  </si>
  <si>
    <t>r_sitework_cost</t>
  </si>
  <si>
    <t>Incremental total footprint</t>
  </si>
  <si>
    <t>r_inc_total_fp</t>
  </si>
  <si>
    <t>Indirect</t>
  </si>
  <si>
    <t>r_bldg_maint_cost</t>
  </si>
  <si>
    <t>On-site Regeneration O&amp;M</t>
  </si>
  <si>
    <t>r_regen_energy</t>
  </si>
  <si>
    <t>r_regen_ng</t>
  </si>
  <si>
    <t>Incremental Energy</t>
  </si>
  <si>
    <t>Incremental Natural Gas</t>
  </si>
  <si>
    <t>r_lighting</t>
  </si>
  <si>
    <t>Incremental lighting</t>
  </si>
  <si>
    <t>Lighting for additional building floorplan</t>
  </si>
  <si>
    <t>r_furnace_lighting</t>
  </si>
  <si>
    <t>Building 1 weighted average air changes after retrofit</t>
  </si>
  <si>
    <t>Building 2 weighted average air changes after retrofit</t>
  </si>
  <si>
    <t>Building 1 ventilation after retrofit</t>
  </si>
  <si>
    <t>Building 2 ventilation after retrofit</t>
  </si>
  <si>
    <t>r_air_changes_build1</t>
  </si>
  <si>
    <t>r_air_changes_build2</t>
  </si>
  <si>
    <t>r_ventilation</t>
  </si>
  <si>
    <t>Incremental standby power for lighting</t>
  </si>
  <si>
    <t>Incremental standby power required</t>
  </si>
  <si>
    <t>Incremental standby power cost</t>
  </si>
  <si>
    <t>r_std_power_cost</t>
  </si>
  <si>
    <t>r_std_power</t>
  </si>
  <si>
    <t>r_inc_std_power</t>
  </si>
  <si>
    <t>Total standby power after retrofit</t>
  </si>
  <si>
    <t>Default O&amp;M Assumptions</t>
  </si>
  <si>
    <t>1 indicates small system, 2 indicates medium, 3 indicates large</t>
  </si>
  <si>
    <t>Additional analog input because flow meters include pressure gauges</t>
  </si>
  <si>
    <t>Number of shifts</t>
  </si>
  <si>
    <t>shifts_day</t>
  </si>
  <si>
    <t>shifts/day</t>
  </si>
  <si>
    <t>Used to determine number of workstations</t>
  </si>
  <si>
    <t>Result</t>
  </si>
  <si>
    <t>Variable</t>
  </si>
  <si>
    <t>Slurry Pump System</t>
  </si>
  <si>
    <t>ss_pv_eq</t>
  </si>
  <si>
    <t>fg_pv_eq</t>
  </si>
  <si>
    <t>st_bwt_eq</t>
  </si>
  <si>
    <t>di_pipe_eq</t>
  </si>
  <si>
    <t>cpvc_pipe_eq</t>
  </si>
  <si>
    <t>pvc_pipe_eq</t>
  </si>
  <si>
    <t>ss_pipe_eq</t>
  </si>
  <si>
    <t>st_pipe_eq</t>
  </si>
  <si>
    <t>ss_mov_eq</t>
  </si>
  <si>
    <t>ci_mov_eq_tank</t>
  </si>
  <si>
    <t>ci_mov_eq</t>
  </si>
  <si>
    <t>heating_diesel_non</t>
  </si>
  <si>
    <t>heating_diesel</t>
  </si>
  <si>
    <t>cooling_hp</t>
  </si>
  <si>
    <t>gal/yr</t>
  </si>
  <si>
    <t>BTU/hr</t>
  </si>
  <si>
    <t>Air conditioning</t>
  </si>
  <si>
    <t>Heat pump</t>
  </si>
  <si>
    <t>4.1.3</t>
  </si>
  <si>
    <t>4.1.4</t>
  </si>
  <si>
    <t>4.2.2</t>
  </si>
  <si>
    <t>4.2.3</t>
  </si>
  <si>
    <t>4.2.4</t>
  </si>
  <si>
    <t>4.2.5</t>
  </si>
  <si>
    <t>4.3.2</t>
  </si>
  <si>
    <t>4.3.3</t>
  </si>
  <si>
    <t>4.3.4</t>
  </si>
  <si>
    <t>5.</t>
  </si>
  <si>
    <t>5.1</t>
  </si>
  <si>
    <t>5.2</t>
  </si>
  <si>
    <t>5.3</t>
  </si>
  <si>
    <t>6.</t>
  </si>
  <si>
    <t>6.1</t>
  </si>
  <si>
    <t>7.1</t>
  </si>
  <si>
    <t>7.</t>
  </si>
  <si>
    <t>7.1.1</t>
  </si>
  <si>
    <t>7.1.2</t>
  </si>
  <si>
    <t>7.1.3</t>
  </si>
  <si>
    <t>7.1.4</t>
  </si>
  <si>
    <t>7.1.5</t>
  </si>
  <si>
    <t>7.1.6</t>
  </si>
  <si>
    <t>7.1.7</t>
  </si>
  <si>
    <t>7.1.8</t>
  </si>
  <si>
    <t>7.1.9</t>
  </si>
  <si>
    <t>7.2</t>
  </si>
  <si>
    <t>7.2.1</t>
  </si>
  <si>
    <t>7.2.2</t>
  </si>
  <si>
    <t>7.2.3</t>
  </si>
  <si>
    <t>7.2.4</t>
  </si>
  <si>
    <t>7.2.5</t>
  </si>
  <si>
    <t>7.3</t>
  </si>
  <si>
    <t>7.3.1</t>
  </si>
  <si>
    <t>7.3.2</t>
  </si>
  <si>
    <t>7.3.3</t>
  </si>
  <si>
    <t>7.3.4</t>
  </si>
  <si>
    <t>8.</t>
  </si>
  <si>
    <t>8.1</t>
  </si>
  <si>
    <t>8.1.1</t>
  </si>
  <si>
    <t>8.1.2</t>
  </si>
  <si>
    <t>8.2</t>
  </si>
  <si>
    <t>8.2.1</t>
  </si>
  <si>
    <t>8.3</t>
  </si>
  <si>
    <t>8.3.1</t>
  </si>
  <si>
    <t>9.</t>
  </si>
  <si>
    <t>9.1</t>
  </si>
  <si>
    <t>UPS protects the PLC system from undesired outages and surges that can adversely affect the performance of the PLC unit</t>
  </si>
  <si>
    <t>CPUs</t>
  </si>
  <si>
    <t>I/O discrete input modules</t>
  </si>
  <si>
    <t>I/O discrete output modules</t>
  </si>
  <si>
    <t>ci_mov_eq_back</t>
  </si>
  <si>
    <t>Cast Iron - residuals</t>
  </si>
  <si>
    <t>ci_mov_eq_res</t>
  </si>
  <si>
    <t>pp_man_eq_back</t>
  </si>
  <si>
    <t>ss_man_eq_back</t>
  </si>
  <si>
    <t>ci_man_eq_back</t>
  </si>
  <si>
    <t>pp_man_eq_res</t>
  </si>
  <si>
    <t>ss_man_eq_res</t>
  </si>
  <si>
    <t>ci_man_eq_res</t>
  </si>
  <si>
    <t>pump_mtl</t>
  </si>
  <si>
    <t>lbs/yr</t>
  </si>
  <si>
    <t>/lb</t>
  </si>
  <si>
    <t>Energy</t>
  </si>
  <si>
    <t>pump_energy</t>
  </si>
  <si>
    <t>Energy for booster pumps</t>
  </si>
  <si>
    <t>Mwh/yr</t>
  </si>
  <si>
    <t>/kwh</t>
  </si>
  <si>
    <t>Plastic/HDPE</t>
  </si>
  <si>
    <t>Number of backwash tanks</t>
  </si>
  <si>
    <t>num_back_tanks</t>
  </si>
  <si>
    <t>Small systems do not require office space</t>
  </si>
  <si>
    <t>res_transfer_method</t>
  </si>
  <si>
    <t>Number of chemical supplies</t>
  </si>
  <si>
    <t>tot_chem</t>
  </si>
  <si>
    <t xml:space="preserve">Maintain/inspect chemical supply </t>
  </si>
  <si>
    <t>Polymer needed per event</t>
  </si>
  <si>
    <t>Process - Cast Iron</t>
  </si>
  <si>
    <t>Backwash - Stainless Steel</t>
  </si>
  <si>
    <t>Backwash - Polypropylene/PVC</t>
  </si>
  <si>
    <t>Backwash - Cast Iron</t>
  </si>
  <si>
    <t>Inlet - Polypropylene/PVC</t>
  </si>
  <si>
    <t>Inlet - Stainless Steel</t>
  </si>
  <si>
    <t>Inlet - Cast Iron</t>
  </si>
  <si>
    <t>Inlet and outlet - Polypropylene/PVC</t>
  </si>
  <si>
    <t>Inlet and outlet - Stainless Steel</t>
  </si>
  <si>
    <t>Inlet and outlet - Cast Iron</t>
  </si>
  <si>
    <t>&lt;--Enter 1 to design for rounding on vessel design sheet, 0 otherwise</t>
  </si>
  <si>
    <t>strictest minimum of the above, rounded</t>
  </si>
  <si>
    <t>Regen Method</t>
  </si>
  <si>
    <t>Component level</t>
  </si>
  <si>
    <t>manual_I</t>
  </si>
  <si>
    <t>we switch to horizontal vessels when the desired number of max-size vertical vessels can't handle the design flow</t>
  </si>
  <si>
    <t>dimensions for horizontal vessels</t>
  </si>
  <si>
    <t>assumed void volume per length</t>
  </si>
  <si>
    <t>comp_horiz_void_area</t>
  </si>
  <si>
    <t>target bed depth after expansion</t>
  </si>
  <si>
    <t>comp_horiz_expanded_bd</t>
  </si>
  <si>
    <t>comp_horiz_diam</t>
  </si>
  <si>
    <t>old target diameter</t>
  </si>
  <si>
    <t>comp_horiz_length</t>
  </si>
  <si>
    <t>comp_horiz_bed_depth</t>
  </si>
  <si>
    <t>The minimum ratio of average flow to design flow. If the ratio falls below this value, it will trigger a warning on the INPUT sheet. If this value is zero, no minimum is enforced.</t>
  </si>
  <si>
    <t>Additional building after…</t>
  </si>
  <si>
    <t>add_2nd_building</t>
  </si>
  <si>
    <t>General information</t>
  </si>
  <si>
    <t>Ventilation</t>
  </si>
  <si>
    <t>Heating and Cooling</t>
  </si>
  <si>
    <t>Based on system size, building floorplan, and component level input.</t>
  </si>
  <si>
    <t>Heating Requirements</t>
  </si>
  <si>
    <t>Building 1 total annual heat loss</t>
  </si>
  <si>
    <t>build1_heat_loss_yr</t>
  </si>
  <si>
    <t>Stainless Steel - Process</t>
  </si>
  <si>
    <t>Stainless Steel - Backwash</t>
  </si>
  <si>
    <t>Pumps</t>
  </si>
  <si>
    <t>Booster</t>
  </si>
  <si>
    <t>Backwash</t>
  </si>
  <si>
    <t>Instrumentation</t>
  </si>
  <si>
    <t>back_meter_size</t>
  </si>
  <si>
    <t>NA</t>
  </si>
  <si>
    <t>Could be lower (annual average 3 changes/hr) in a northern climate</t>
  </si>
  <si>
    <t>free_board</t>
  </si>
  <si>
    <t xml:space="preserve">Top and bottom dished vessel sections height and access space </t>
  </si>
  <si>
    <t>Backwash Piping</t>
  </si>
  <si>
    <t>Natural gas non-condensing furnace</t>
  </si>
  <si>
    <t>Natural gas condensing furnace</t>
  </si>
  <si>
    <t xml:space="preserve">Mangerial LOE as a percent of average technical labor </t>
  </si>
  <si>
    <t>Manager_percent</t>
  </si>
  <si>
    <t>fraction</t>
  </si>
  <si>
    <t>Manager_LOE</t>
  </si>
  <si>
    <t>Annual Manager LOE</t>
  </si>
  <si>
    <t xml:space="preserve">Clerical LOE as a percent of average technical labor </t>
  </si>
  <si>
    <t>Annual Clerical LOE</t>
  </si>
  <si>
    <t>On-site regeneration capacity required for retrofit</t>
  </si>
  <si>
    <t>r_regen_capacity</t>
  </si>
  <si>
    <t>Incremental regeneration capacity required for retrofit</t>
  </si>
  <si>
    <t>Base Retrofit Calculations</t>
  </si>
  <si>
    <t>r_build2_fp</t>
  </si>
  <si>
    <t>r_onsite_regeneration_fp</t>
  </si>
  <si>
    <t>On-site regeneration footprint for retrofit</t>
  </si>
  <si>
    <t>Retrofit Carbon Life</t>
  </si>
  <si>
    <t>tot_bp_chv</t>
  </si>
  <si>
    <t>cpvc_pipe_eq_bp</t>
  </si>
  <si>
    <t>pvc_pipe_eq_bp</t>
  </si>
  <si>
    <t>ss_pipe_eq_bp</t>
  </si>
  <si>
    <t>st_pipe_eq_bp</t>
  </si>
  <si>
    <t>Enter 0 to exclude booster pumps (e.g., use existing pumps). Clear cell to accept model defaults (contaminant and design type specific)</t>
  </si>
  <si>
    <t>POTW_volume_fee</t>
  </si>
  <si>
    <t>Apply POTW discharge TSS charge (i.e., $/lb of TSS over limit below)</t>
  </si>
  <si>
    <t>POTW_TSS_fee</t>
  </si>
  <si>
    <t>Operator</t>
  </si>
  <si>
    <t>Regeneration redundancy (on-site only)</t>
  </si>
  <si>
    <t>regen_redund</t>
  </si>
  <si>
    <t>r_inc_build1_fp</t>
  </si>
  <si>
    <t>r_inc_build2_fp</t>
  </si>
  <si>
    <t>New total footprint</t>
  </si>
  <si>
    <t>r_total_fp</t>
  </si>
  <si>
    <t>Incremental land acquisition (opportunity cost)</t>
  </si>
  <si>
    <t>r_land_required</t>
  </si>
  <si>
    <t>10.5</t>
  </si>
  <si>
    <t>10.5.1</t>
  </si>
  <si>
    <t>Furnace System Expansion (Retrofit)</t>
  </si>
  <si>
    <t>r_on_regen_eq</t>
  </si>
  <si>
    <t>Capacity expansion required?</t>
  </si>
  <si>
    <t>r_new_furnace</t>
  </si>
  <si>
    <t>1=yes, 0=no</t>
  </si>
  <si>
    <t>This considers actual output sheet size of existing furnace when curve fitting isn't used</t>
  </si>
  <si>
    <t>calculated based on furnace capacity</t>
  </si>
  <si>
    <t>r_regen_materials</t>
  </si>
  <si>
    <t>Incremental materials for on-site GAC Regeneration</t>
  </si>
  <si>
    <t>For use with mechanical transfer, incorporates number of vessels. For onsite regeneration, media changeout labor is included in regen_labor, below</t>
  </si>
  <si>
    <t>For use with manual transfer, incorporates both removal and refill. For onsite regeneration, media changeout labor is included in regen_labor, below</t>
  </si>
  <si>
    <t>Incremental On-site GAC regeneration labor</t>
  </si>
  <si>
    <t>r_regen_labor</t>
  </si>
  <si>
    <t>transfer_method</t>
  </si>
  <si>
    <t>transfer_time</t>
  </si>
  <si>
    <t>hrs</t>
  </si>
  <si>
    <t>Results</t>
  </si>
  <si>
    <t>Success?</t>
  </si>
  <si>
    <t>comp_out_success</t>
  </si>
  <si>
    <t>Typical designs are 8 to 24 inches; 12 inches common</t>
  </si>
  <si>
    <t>Minimum number of septic drain field trenches</t>
  </si>
  <si>
    <t>sept_min_trenches</t>
  </si>
  <si>
    <t>Maximum septic drain field trench length</t>
  </si>
  <si>
    <t>sept_max_trench_l</t>
  </si>
  <si>
    <t>Distance between drain field trenches</t>
  </si>
  <si>
    <t>sept_trench_dist</t>
  </si>
  <si>
    <t>If total footprint is large, a second building is used for pumps, backwash, onsite regeneration, and chemical storage</t>
  </si>
  <si>
    <t>Cost for parts &amp; maintenance for pumps</t>
  </si>
  <si>
    <t>Polypropylene/PVC - Residuals</t>
  </si>
  <si>
    <t>pp_chv_eq_res</t>
  </si>
  <si>
    <t>Holding tank cleaning frequency</t>
  </si>
  <si>
    <t>Residual solids quantity (total per event)</t>
  </si>
  <si>
    <t>ht_solids</t>
  </si>
  <si>
    <t>res_solids</t>
  </si>
  <si>
    <t>sol_disp_freq</t>
  </si>
  <si>
    <t>Gravimetric dry feeder rating</t>
  </si>
  <si>
    <t>Booster pump material cost</t>
  </si>
  <si>
    <t>Inputs</t>
  </si>
  <si>
    <t>Borings, drill rig and crew with truck mounted auger</t>
  </si>
  <si>
    <t>Office space per employee for small systems</t>
  </si>
  <si>
    <t>based on mIN load, design flow, and target number of lines</t>
  </si>
  <si>
    <t>from reasonable-dimensions table</t>
  </si>
  <si>
    <t>strictest of the above two maxima</t>
  </si>
  <si>
    <t>min diam to avoid bed depth becoming too deep, given required volume</t>
  </si>
  <si>
    <t>from min surface area</t>
  </si>
  <si>
    <t>include_conting_medium</t>
  </si>
  <si>
    <t>Include contingency costs for high cost systems?</t>
  </si>
  <si>
    <t>include_conting_high</t>
  </si>
  <si>
    <t>Include construction management cost for pre-engineered packages?</t>
  </si>
  <si>
    <t>include_cm_pre</t>
  </si>
  <si>
    <t>Turbitity meters per pressure vessel</t>
  </si>
  <si>
    <t>turb_tank_g</t>
  </si>
  <si>
    <t>2.2</t>
  </si>
  <si>
    <t>2.2.1</t>
  </si>
  <si>
    <t>3.</t>
  </si>
  <si>
    <t>3.1</t>
  </si>
  <si>
    <t>3.1.1</t>
  </si>
  <si>
    <t>3.2</t>
  </si>
  <si>
    <t>3.2.1</t>
  </si>
  <si>
    <t>3.3</t>
  </si>
  <si>
    <t>3.3.1</t>
  </si>
  <si>
    <t>3.4</t>
  </si>
  <si>
    <t>3.4.1</t>
  </si>
  <si>
    <t>3.5.1</t>
  </si>
  <si>
    <t>4.</t>
  </si>
  <si>
    <t>4.1</t>
  </si>
  <si>
    <t>4.1.1</t>
  </si>
  <si>
    <t>4.2</t>
  </si>
  <si>
    <t>4.2.1</t>
  </si>
  <si>
    <t>4.3</t>
  </si>
  <si>
    <t>4.3.1</t>
  </si>
  <si>
    <t>4.1.2</t>
  </si>
  <si>
    <t>Holding Tank Solids Disposal Fees</t>
  </si>
  <si>
    <t>Total settled solids diposal fee</t>
  </si>
  <si>
    <t>High/Low Alarm (for holding tanks)</t>
  </si>
  <si>
    <t>Materials for residuals pumps</t>
  </si>
  <si>
    <t>Energy for residuals pumps</t>
  </si>
  <si>
    <t>POTW discharge fees</t>
  </si>
  <si>
    <t>ton/yr</t>
  </si>
  <si>
    <t>/ton</t>
  </si>
  <si>
    <t>Spent media disposal</t>
  </si>
  <si>
    <t>spent_media</t>
  </si>
  <si>
    <t>Number of electrical enclosures</t>
  </si>
  <si>
    <t>elec_encl</t>
  </si>
  <si>
    <t>System Controls</t>
  </si>
  <si>
    <t>PLC Units</t>
  </si>
  <si>
    <t>Backwash pumping</t>
  </si>
  <si>
    <t>Backwash storage</t>
  </si>
  <si>
    <t>no_back_tank_I</t>
  </si>
  <si>
    <t>land_required</t>
  </si>
  <si>
    <t>acres</t>
  </si>
  <si>
    <t>Non fire Buffer for buildings</t>
  </si>
  <si>
    <t>non_fire_buffer</t>
  </si>
  <si>
    <t>Fire Buffer for Buildings</t>
  </si>
  <si>
    <t>fire_buffer</t>
  </si>
  <si>
    <t>Number of manual control valves on residuals line per residuals pump</t>
  </si>
  <si>
    <t>res_man_pump</t>
  </si>
  <si>
    <t>res_man_tank</t>
  </si>
  <si>
    <t>res_MOV_tank</t>
  </si>
  <si>
    <t xml:space="preserve">Operator interfaces </t>
  </si>
  <si>
    <t xml:space="preserve">UPSs </t>
  </si>
  <si>
    <t>sept_trench_d</t>
  </si>
  <si>
    <t>Septic drain field trench gravel depth below distribution pipe</t>
  </si>
  <si>
    <t>sept_gravel_d_below</t>
  </si>
  <si>
    <t>Flow meters for backwash line</t>
  </si>
  <si>
    <t>At backwash discharge outlet</t>
  </si>
  <si>
    <t>add_pH_controls</t>
  </si>
  <si>
    <t>Total pH controls</t>
  </si>
  <si>
    <t>kWh/sf/yr</t>
  </si>
  <si>
    <t>Valves and Instrumentation</t>
  </si>
  <si>
    <t>Structure/Floorplan</t>
  </si>
  <si>
    <t>Land acquisition required</t>
  </si>
  <si>
    <t>Include geotechnical costs for low cost pressure systems?</t>
  </si>
  <si>
    <t>Include geotechnical costs for medium cost pressure systems?</t>
  </si>
  <si>
    <t>Include geotechnical costs for high cost pressure systems?</t>
  </si>
  <si>
    <t>Include geotechnical costs for low cost gravity systems?</t>
  </si>
  <si>
    <t>Include geotechnical costs for medium cost gravity systems?</t>
  </si>
  <si>
    <t>Include geotechnical costs for high cost gravity systems?</t>
  </si>
  <si>
    <t>include_geo_low_g</t>
  </si>
  <si>
    <t>include_geo_medium_g</t>
  </si>
  <si>
    <t>include_geo_high_g</t>
  </si>
  <si>
    <t>Geotechnical is always included for gravity systems, because of basin excavation</t>
  </si>
  <si>
    <t>&lt;-- for national average rate, 2 for a specific rate structure</t>
  </si>
  <si>
    <t>Apply POTW discharge base charge (i.e., $/month)</t>
  </si>
  <si>
    <t>POTW_base_fee</t>
  </si>
  <si>
    <t>&lt;-- 1 for yes, 2 for no</t>
  </si>
  <si>
    <t>Apply POTW discharge volume charge (i.e., $/1000 gallons)</t>
  </si>
  <si>
    <t>Recording operating paramenters for automated systems</t>
  </si>
  <si>
    <t>uloe_inst_auto</t>
  </si>
  <si>
    <t>min/100 sf/day</t>
  </si>
  <si>
    <t>Manual and semiautomated systems use 2x actual backwash time</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</si>
  <si>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</si>
  <si>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</si>
  <si>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</si>
  <si>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</si>
  <si>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</si>
  <si>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</si>
  <si>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</si>
  <si>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</si>
  <si>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</si>
  <si>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</si>
  <si>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</si>
  <si>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</si>
  <si>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Maintenance LOE assumptions</t>
  </si>
  <si>
    <t>Maintenance Materials</t>
  </si>
  <si>
    <t>Materials for on-site GAC Regeneration</t>
  </si>
  <si>
    <t>Number of process instruments for operation</t>
  </si>
  <si>
    <t>Instruments requiring daily observation</t>
  </si>
  <si>
    <t>space_pumps_pre</t>
  </si>
  <si>
    <t>Access space per pump for pre-engineered packages</t>
  </si>
  <si>
    <t>Pumps on skid for pre-engineered packages, no additional access space</t>
  </si>
  <si>
    <t>space_pumps_cust</t>
  </si>
  <si>
    <t>Access space per pump for custom designed systems</t>
  </si>
  <si>
    <t>Mobilization percentage for pre-engineered packages</t>
  </si>
  <si>
    <t>mob_pct_pre</t>
  </si>
  <si>
    <t>Excluded for pre-engineered packages</t>
  </si>
  <si>
    <t>Include contingency costs for low cost systems?</t>
  </si>
  <si>
    <t>include_conting_low</t>
  </si>
  <si>
    <t>Include contingency costs for medium cost systems?</t>
  </si>
  <si>
    <t>Ethernet modules</t>
  </si>
  <si>
    <t>Base expansion modules</t>
  </si>
  <si>
    <t>Base expansion controller modules</t>
  </si>
  <si>
    <t>UPSs</t>
  </si>
  <si>
    <t>Operator Equipment</t>
  </si>
  <si>
    <t>Printers - dot matrix</t>
  </si>
  <si>
    <t>PLC programming software</t>
  </si>
  <si>
    <t>PLC data collection software</t>
  </si>
  <si>
    <t>level_switch_small</t>
  </si>
  <si>
    <t>add_pH_controls_small</t>
  </si>
  <si>
    <t>temp_meters_small</t>
  </si>
  <si>
    <t>Total temperature meters</t>
  </si>
  <si>
    <t>tot_temp_meters</t>
  </si>
  <si>
    <t>add_turb_small</t>
  </si>
  <si>
    <t>head_tank_small</t>
  </si>
  <si>
    <t>Space between skid mounted vessels is reduced, outside access space remains the same</t>
  </si>
  <si>
    <t>space_office_small</t>
  </si>
  <si>
    <t>carbon life value- bed volumes</t>
  </si>
  <si>
    <t>Used?</t>
  </si>
  <si>
    <t>Valid input?</t>
  </si>
  <si>
    <t>Invalid reason?</t>
  </si>
  <si>
    <t>Basin Width</t>
  </si>
  <si>
    <t>basin_width</t>
  </si>
  <si>
    <t>printers</t>
  </si>
  <si>
    <t>Plant intelligence software</t>
  </si>
  <si>
    <t>Total standby power cost</t>
  </si>
  <si>
    <t>std_power_cost</t>
  </si>
  <si>
    <t>Test pit length</t>
  </si>
  <si>
    <t>Test pit width</t>
  </si>
  <si>
    <t>Test pit depth</t>
  </si>
  <si>
    <t>Borehole depth</t>
  </si>
  <si>
    <t>Spent GAC storage footprint (for on-site regeneration)</t>
  </si>
  <si>
    <t>Regenerated GAC storage footprint (for on-site regeneration)</t>
  </si>
  <si>
    <t>Access space per virgin GAC storage tank</t>
  </si>
  <si>
    <t>space_vt</t>
  </si>
  <si>
    <t>Access space per spent GAC storage tank</t>
  </si>
  <si>
    <t>Access space per regenerated GAC storage tank</t>
  </si>
  <si>
    <t>space_st</t>
  </si>
  <si>
    <t>space_rt</t>
  </si>
  <si>
    <t>Backwash pump material cost</t>
  </si>
  <si>
    <t>back_pump_mtl</t>
  </si>
  <si>
    <t>On-site GAC Regeneration</t>
  </si>
  <si>
    <t>regen_labor</t>
  </si>
  <si>
    <t>hours/year</t>
  </si>
  <si>
    <t>Equations developed in Working draft of "Design and Cost Estimates for Advanced Water Treatment Technologies", 9/30/00.</t>
  </si>
  <si>
    <r>
      <t>Bold gold</t>
    </r>
    <r>
      <rPr>
        <sz val="10"/>
        <rFont val="Arial"/>
        <family val="2"/>
      </rPr>
      <t xml:space="preserve"> cells are inputs to the sizing procedure</t>
    </r>
  </si>
  <si>
    <t>If both heating and cooling are included, standby power requirements will be based on the maximum of the two.</t>
  </si>
  <si>
    <t>diesel_heat_content</t>
  </si>
  <si>
    <t>Select one of the eight standard designs at right</t>
  </si>
  <si>
    <t>OR</t>
  </si>
  <si>
    <t>Select "CLEAR FOR MANUAL ENTRY"</t>
  </si>
  <si>
    <t>STEP 1</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</si>
  <si>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</si>
  <si>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</si>
  <si>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</si>
  <si>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</si>
  <si>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Select units</t>
  </si>
  <si>
    <t>STEP 2</t>
  </si>
  <si>
    <t>Select Contaminant</t>
  </si>
  <si>
    <t>For information:</t>
  </si>
  <si>
    <t>Treatment system design flow</t>
  </si>
  <si>
    <t>df_units</t>
  </si>
  <si>
    <t>Design Flow Units</t>
  </si>
  <si>
    <t>Total standby power requirements</t>
  </si>
  <si>
    <t>std_power</t>
  </si>
  <si>
    <r>
      <t xml:space="preserve">Computer workstations per </t>
    </r>
    <r>
      <rPr>
        <i/>
        <sz val="10"/>
        <rFont val="Arial"/>
        <family val="2"/>
      </rPr>
      <t>x</t>
    </r>
    <r>
      <rPr>
        <sz val="10"/>
        <rFont val="Arial"/>
        <family val="2"/>
      </rPr>
      <t xml:space="preserve"> operators</t>
    </r>
  </si>
  <si>
    <t>operator/workstation</t>
  </si>
  <si>
    <t>Printers - laser jet</t>
  </si>
  <si>
    <t>PC Workstations</t>
  </si>
  <si>
    <t>Concrete Basins (includes Excavation, Backfill, and Compaction)</t>
  </si>
  <si>
    <t>6.6</t>
  </si>
  <si>
    <t>6.8</t>
  </si>
  <si>
    <t>Level Switches/Alarms (for vessels)</t>
  </si>
  <si>
    <t>High/Low Alarms (for backwash tanks)</t>
  </si>
  <si>
    <t>pH Meters</t>
  </si>
  <si>
    <t>PLC racks/power supplies</t>
  </si>
  <si>
    <t>Operator interface units</t>
  </si>
  <si>
    <t>comp_in_nlines</t>
  </si>
  <si>
    <t>comp_bed_depth</t>
  </si>
  <si>
    <t>comp_vert_diam</t>
  </si>
  <si>
    <t>comp_vert_height</t>
  </si>
  <si>
    <t>comp_tank_geom</t>
  </si>
  <si>
    <t>comp_max_vol</t>
  </si>
  <si>
    <t>comp_max_vert_diam</t>
  </si>
  <si>
    <t>comp_max_vert_height</t>
  </si>
  <si>
    <t>Include heating for building 1</t>
  </si>
  <si>
    <t>Include cooling for building 1</t>
  </si>
  <si>
    <t>Include heating for building 2</t>
  </si>
  <si>
    <t>Include cooling for building 2</t>
  </si>
  <si>
    <t>build1_need_heat</t>
  </si>
  <si>
    <t>build1_need_cool</t>
  </si>
  <si>
    <t>build2_need_heat</t>
  </si>
  <si>
    <t>build2_need_cool</t>
  </si>
  <si>
    <t>Frost depth</t>
  </si>
  <si>
    <t>frost</t>
  </si>
  <si>
    <t>Minimum trench depth to top of pipe</t>
  </si>
  <si>
    <t>O&amp;M Chemicals</t>
  </si>
  <si>
    <t>replace_gac_eq</t>
  </si>
  <si>
    <t>off_regen_eq</t>
  </si>
  <si>
    <t>Materials for backwash pumps</t>
  </si>
  <si>
    <t>Materials for on-site regeneration</t>
  </si>
  <si>
    <t>Energy for backwash pumps</t>
  </si>
  <si>
    <t>/kWh</t>
  </si>
  <si>
    <t>Energy for on-site regeneration</t>
  </si>
  <si>
    <t>Natural gas for on-site regeneration</t>
  </si>
  <si>
    <t>retrofit_I</t>
  </si>
  <si>
    <t>retrofit</t>
  </si>
  <si>
    <t>Select to calculate costs for modifying operational practices to allow a different carbon life than originally designed</t>
  </si>
  <si>
    <t>Retrofit (operational modification)</t>
  </si>
  <si>
    <t>Is this a retrofit design?</t>
  </si>
  <si>
    <t>1 = retrofit, 0 = new treatment system</t>
  </si>
  <si>
    <t>r_freund_type_I</t>
  </si>
  <si>
    <t>r_freund_1</t>
  </si>
  <si>
    <t>r_freund_2</t>
  </si>
  <si>
    <t>r_C_0</t>
  </si>
  <si>
    <t>r_C_b</t>
  </si>
  <si>
    <t>Carbon life input type for retrofit</t>
  </si>
  <si>
    <t>r_freund_type</t>
  </si>
  <si>
    <t>Select new carbon life input type</t>
  </si>
  <si>
    <t>r_N_0_e</t>
  </si>
  <si>
    <t>For BDST calculation, recalculated for retrofit</t>
  </si>
  <si>
    <t>Number of check valves on residuals line per residuals pump</t>
  </si>
  <si>
    <t>res_chv_pump</t>
  </si>
  <si>
    <t>Number of check valves on residuals line if no pumping</t>
  </si>
  <si>
    <t>res_chv_no_pump</t>
  </si>
  <si>
    <t>S_res_pump</t>
  </si>
  <si>
    <t>Flow meters for residuals line</t>
  </si>
  <si>
    <t>tot_fm_res</t>
  </si>
  <si>
    <t>alarm_res</t>
  </si>
  <si>
    <t>influent_TSS</t>
  </si>
  <si>
    <t>POTW rate structure</t>
  </si>
  <si>
    <t>POTW_rate_type</t>
  </si>
  <si>
    <t>&lt;-- 1 = backwash using existing supply or treated water pumps, blank = include backwash pumps in costs</t>
  </si>
  <si>
    <t>&lt;-- 1 = backwash from existing storage or supply, blank = include backwash tanks in costs</t>
  </si>
  <si>
    <t>Backwash pump operating horsepower (all pumps)</t>
  </si>
  <si>
    <t>Backwash pumping time</t>
  </si>
  <si>
    <t>Energy for all backwash pumps</t>
  </si>
  <si>
    <t>Buildup error?</t>
  </si>
  <si>
    <t>10.</t>
  </si>
  <si>
    <t>10.1</t>
  </si>
  <si>
    <t>10.2</t>
  </si>
  <si>
    <t>10.3</t>
  </si>
  <si>
    <t>10.3.1</t>
  </si>
  <si>
    <t>10.4</t>
  </si>
  <si>
    <t>10.4.1</t>
  </si>
  <si>
    <t>11.</t>
  </si>
  <si>
    <t>11.1</t>
  </si>
  <si>
    <t>11.2</t>
  </si>
  <si>
    <t>11.3</t>
  </si>
  <si>
    <t>11.4</t>
  </si>
  <si>
    <t>11.5</t>
  </si>
  <si>
    <t>11.6</t>
  </si>
  <si>
    <t>12.</t>
  </si>
  <si>
    <t>12.1</t>
  </si>
  <si>
    <t>Concrete pad thickness for small systems</t>
  </si>
  <si>
    <t>pad_thick_small</t>
  </si>
  <si>
    <t>Limitation on transportation is 53 feet in length</t>
  </si>
  <si>
    <t>Size of valves for inlet and outlet lines</t>
  </si>
  <si>
    <t>in_valve_size</t>
  </si>
  <si>
    <t>Cast Iron - Backwash</t>
  </si>
  <si>
    <t>transfer_rate</t>
  </si>
  <si>
    <t>lbs/hr</t>
  </si>
  <si>
    <t>Eductor size</t>
  </si>
  <si>
    <t>eductor_size</t>
  </si>
  <si>
    <t>Eductor Size Selection</t>
  </si>
  <si>
    <t>Transfer Rate (lbs/hr)</t>
  </si>
  <si>
    <t>slurry_eq</t>
  </si>
  <si>
    <t>Miscellaneous Allowance</t>
  </si>
  <si>
    <t>Minimum surface area of contact material</t>
  </si>
  <si>
    <t>Controllers are used only under full automation</t>
  </si>
  <si>
    <t>To change the degree of automation, change the number of controllers to zero for the appropriate items.</t>
  </si>
  <si>
    <t>Drive controllers per booster pump</t>
  </si>
  <si>
    <t>Drive controllers per backwash pump</t>
  </si>
  <si>
    <t>Drive controllers per eductor</t>
  </si>
  <si>
    <t>cs_pv_eq</t>
  </si>
  <si>
    <t>csp_pv_eq</t>
  </si>
  <si>
    <t>fg_bwt_eq</t>
  </si>
  <si>
    <t>hdpe_bwt_eq</t>
  </si>
  <si>
    <t>valves/pump</t>
  </si>
  <si>
    <t>Number of motor/air operated control valves on backwash line per backwash pump</t>
  </si>
  <si>
    <t>valves/tank</t>
  </si>
  <si>
    <t>Number of motor/air operated control valves on backwash line per backwash tank</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</si>
  <si>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</si>
  <si>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</si>
  <si>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</si>
  <si>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</si>
  <si>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</si>
  <si>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</si>
  <si>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</si>
  <si>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</si>
  <si>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</si>
  <si>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</si>
  <si>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</si>
  <si>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</si>
  <si>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</si>
  <si>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</si>
  <si>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</si>
  <si>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</si>
  <si>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</si>
  <si>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</si>
  <si>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</si>
  <si>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</si>
  <si>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</si>
  <si>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</si>
  <si>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</si>
  <si>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</si>
  <si>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</si>
  <si>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</si>
  <si>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</si>
  <si>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</si>
  <si>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</si>
  <si>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</si>
  <si>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</si>
  <si>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</si>
  <si>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</si>
  <si>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</si>
  <si>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</si>
  <si>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</si>
  <si>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</si>
  <si>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</si>
  <si>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</si>
  <si>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</si>
  <si>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</si>
  <si>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</si>
  <si>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</si>
  <si>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</si>
  <si>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</si>
  <si>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</si>
  <si>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</si>
  <si>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</si>
  <si>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</si>
  <si>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</si>
  <si>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</si>
  <si>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</si>
  <si>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</si>
  <si>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</si>
  <si>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</si>
  <si>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</si>
  <si>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</si>
  <si>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</si>
  <si>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</si>
  <si>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</si>
  <si>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</si>
  <si>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</si>
  <si>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</si>
  <si>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</si>
  <si>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</si>
  <si>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</si>
  <si>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</si>
  <si>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</si>
  <si>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</si>
  <si>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</si>
  <si>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</si>
  <si>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</si>
  <si>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</si>
  <si>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</si>
  <si>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</si>
  <si>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</si>
  <si>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</si>
  <si>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</si>
  <si>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</si>
  <si>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</si>
  <si>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</si>
  <si>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</si>
  <si>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</si>
  <si>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</si>
  <si>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</si>
  <si>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</si>
  <si>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</si>
  <si>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</si>
  <si>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</si>
  <si>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</si>
  <si>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</si>
  <si>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</si>
  <si>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</si>
  <si>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</si>
  <si>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</si>
  <si>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</si>
  <si>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</si>
  <si>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</si>
  <si>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</si>
  <si>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</si>
  <si>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</si>
  <si>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</si>
  <si>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</si>
  <si>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</si>
  <si>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</si>
  <si>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</si>
  <si>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</si>
  <si>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</si>
  <si>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</si>
  <si>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</si>
  <si>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</si>
  <si>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</si>
  <si>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</si>
  <si>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</si>
  <si>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</si>
  <si>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</si>
  <si>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</si>
  <si>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</si>
  <si>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</si>
  <si>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</si>
  <si>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</si>
  <si>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</si>
  <si>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</si>
  <si>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</si>
  <si>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</si>
  <si>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</si>
  <si>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</si>
  <si>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</si>
  <si>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Mixer size for holding tanks (if coagulant is used)</t>
  </si>
  <si>
    <t>hmix_size</t>
  </si>
  <si>
    <t>S_feeder</t>
  </si>
  <si>
    <t>regen_type_I</t>
  </si>
  <si>
    <t>Footprint for backwash pumps</t>
  </si>
  <si>
    <t>See Appendix E</t>
  </si>
  <si>
    <t>Standard oil furnace efficiency</t>
  </si>
  <si>
    <t>Mid-efficiency oil furnace efficiency</t>
  </si>
  <si>
    <t>1 = fully manual system, 2 = semi-automated system, 3 = fully automated system.</t>
  </si>
  <si>
    <t>Drive controller</t>
  </si>
  <si>
    <t>Minimum number of contactors in series (i.e., parallel or series operation)</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</si>
  <si>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</si>
  <si>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</si>
  <si>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</si>
  <si>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</si>
  <si>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</si>
  <si>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</si>
  <si>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</si>
  <si>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</si>
  <si>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</si>
  <si>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</si>
  <si>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</si>
  <si>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</si>
  <si>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</si>
  <si>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</si>
  <si>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based on Target Bed Depth CDA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</si>
  <si>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</si>
  <si>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</si>
  <si>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</si>
  <si>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</si>
  <si>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</si>
  <si>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</si>
  <si>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</si>
  <si>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</si>
  <si>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</si>
  <si>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GAC Contactors</t>
  </si>
  <si>
    <t>1.</t>
  </si>
  <si>
    <t>1.1.1</t>
  </si>
  <si>
    <t>GAC Contact Basins</t>
  </si>
  <si>
    <t>Aluminum Railing</t>
  </si>
  <si>
    <t>Aluminum Stairs</t>
  </si>
  <si>
    <t>Excavation</t>
  </si>
  <si>
    <t>Backfill and Compaction</t>
  </si>
  <si>
    <t>1.2</t>
  </si>
  <si>
    <t>1.2.1</t>
  </si>
  <si>
    <t>General for all basins</t>
  </si>
  <si>
    <t>Backwash storage volume</t>
  </si>
  <si>
    <t>back_multiplier</t>
  </si>
  <si>
    <t>volume</t>
  </si>
  <si>
    <t>79-34-5</t>
  </si>
  <si>
    <t>1,2,4-trimethylbenzene</t>
  </si>
  <si>
    <t>95-63-6</t>
  </si>
  <si>
    <t>Acetochlor</t>
  </si>
  <si>
    <t>34126-82-1</t>
  </si>
  <si>
    <t>DDE</t>
  </si>
  <si>
    <t>72-55-9</t>
  </si>
  <si>
    <t>Diazinon</t>
  </si>
  <si>
    <t>Minimum will always be one, but larger systems will have multiple printers</t>
  </si>
  <si>
    <t>Number of computer workstations</t>
  </si>
  <si>
    <t>workstations</t>
  </si>
  <si>
    <t>level_switch</t>
  </si>
  <si>
    <t>This page provides an index to all user-adjustable inputs and assumptions.  Click on a variable name to go directly to the adjustable cells.</t>
  </si>
  <si>
    <t>Height available above media bed (for horizontal vessels)</t>
  </si>
  <si>
    <t>distance_above</t>
  </si>
  <si>
    <t>Void space above media bed (for horizontal vessels)</t>
  </si>
  <si>
    <t>void_above</t>
  </si>
  <si>
    <t>&lt;-- 1 for bed life in months, 2 for calculation from Freundlich isotherms, 4 for bed life in bed volumes</t>
  </si>
  <si>
    <t>Booster pumps</t>
  </si>
  <si>
    <t>General Labor</t>
  </si>
  <si>
    <t>Labor and Materials</t>
  </si>
  <si>
    <t>Systems have used vessels up to 14' diam and height in practice (AWWA Inorganic Contaminants Workshop 2006)</t>
  </si>
  <si>
    <t>Interval Between backwashes</t>
  </si>
  <si>
    <t>back_interval_I</t>
  </si>
  <si>
    <t>backwash Frequency</t>
  </si>
  <si>
    <t>Number of parallel treatment trains</t>
  </si>
  <si>
    <t>Heating Oil Heat Content</t>
  </si>
  <si>
    <t>Standard efficiency oil furnace</t>
  </si>
  <si>
    <t>Mid-efficiency oil furnace</t>
  </si>
  <si>
    <t>6.1.1</t>
  </si>
  <si>
    <t>6.2</t>
  </si>
  <si>
    <t>6.3</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</si>
  <si>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</si>
  <si>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</si>
  <si>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</si>
  <si>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</si>
  <si>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</si>
  <si>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</si>
  <si>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</si>
  <si>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</si>
  <si>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</si>
  <si>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</si>
  <si>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Uses custom function to apply formulae developed in SAIC Permit Report 2004</t>
  </si>
  <si>
    <t>Included only if direct discharge to surface water is the management option chosen on the input sheet</t>
  </si>
  <si>
    <t>Applies to systems requiring 1 acre of land or greater</t>
  </si>
  <si>
    <t>Not applicable for this technology</t>
  </si>
  <si>
    <t>Included only for high cost estimates, unless assumption "include_NEPA" is changed on CDA sheet</t>
  </si>
  <si>
    <t>Total sitework cost</t>
  </si>
  <si>
    <t>sitework_cost</t>
  </si>
  <si>
    <t>regen_materials</t>
  </si>
  <si>
    <t>/year</t>
  </si>
  <si>
    <t>Booster &amp; Backwash Pumps</t>
  </si>
  <si>
    <t>back_pump_psi</t>
  </si>
  <si>
    <t>psi</t>
  </si>
  <si>
    <t>back_hrs_yr</t>
  </si>
  <si>
    <t>back_pump_energy</t>
  </si>
  <si>
    <t>regen_energy</t>
  </si>
  <si>
    <t>6.4</t>
  </si>
  <si>
    <t>Pipe length from water source to the boundary of the 10 foot buffer</t>
  </si>
  <si>
    <t>yard_in</t>
  </si>
  <si>
    <t>yard_out</t>
  </si>
  <si>
    <t>Use if technology is first step in treatment process</t>
  </si>
  <si>
    <t>Use if technology is last step in treatment process</t>
  </si>
  <si>
    <t>Trench Volume total</t>
  </si>
  <si>
    <t>trench_vol</t>
  </si>
  <si>
    <t>Equivalent pipe length</t>
  </si>
  <si>
    <t>yard_pipe_length</t>
  </si>
  <si>
    <t>Bedding cross sectional surface area</t>
  </si>
  <si>
    <t>Bedding depth surrounding the pipe</t>
  </si>
  <si>
    <t>bedding_pct</t>
  </si>
  <si>
    <t>of pipe diameter</t>
  </si>
  <si>
    <t>System Automation</t>
  </si>
  <si>
    <t>System automation</t>
  </si>
  <si>
    <t>Cost estimating method</t>
  </si>
  <si>
    <t>&lt;-- enter 1 to use cost equations, leave blank to use lookup tables for component costs</t>
  </si>
  <si>
    <t>Bedding volume</t>
  </si>
  <si>
    <t>Electric resistance heating efficiency</t>
  </si>
  <si>
    <t>Heat pump heating coefficient of performance</t>
  </si>
  <si>
    <t>resist_eff</t>
  </si>
  <si>
    <t>COP</t>
  </si>
  <si>
    <t>Number of MOVs for process line</t>
  </si>
  <si>
    <t>Guidance: Typical pressure GAC bed depths are 2 to 8.5 ft.</t>
  </si>
  <si>
    <t>GAC transfer method</t>
  </si>
  <si>
    <t>Regeneration</t>
  </si>
  <si>
    <t>regen_type</t>
  </si>
  <si>
    <t>proc_MOV_vessel</t>
  </si>
  <si>
    <t>Carbon Life or Kf</t>
  </si>
  <si>
    <t>Blank or 1/n</t>
  </si>
  <si>
    <t>Blank or Influent Concentration</t>
  </si>
  <si>
    <t>Blank or Breakthrough Concentration</t>
  </si>
  <si>
    <t>EBCT (min) or Influent Conc</t>
  </si>
  <si>
    <t>Blank or Breakthrough Conc</t>
  </si>
  <si>
    <t>Blank or Kss</t>
  </si>
  <si>
    <t>GAC volume when expanded</t>
  </si>
  <si>
    <t>kW</t>
  </si>
  <si>
    <t>Spent Media</t>
  </si>
  <si>
    <t>This is the MAXIMUM; space between vessels and tanks defaults to vessel or tank diameter, up to this maximum.  Maximum provides space for sandblasting and painting for large vessels (5-8 feet per Richard E. Hubel, Peter Keenan, American Water Works Service Company).</t>
  </si>
  <si>
    <t>TSS in system influent</t>
  </si>
  <si>
    <t>Assumption</t>
  </si>
  <si>
    <t>Range Name</t>
  </si>
  <si>
    <t>Value</t>
  </si>
  <si>
    <t>Units</t>
  </si>
  <si>
    <t>Guidance</t>
  </si>
  <si>
    <t>To change the degree of automation, the user may replace the numbers in each of the blue columns.</t>
  </si>
  <si>
    <t>Full automation includes all inputs and outputs, semi-automated uses inputs only, manual control uses neither</t>
  </si>
  <si>
    <t>Concrete pad thickness</t>
  </si>
  <si>
    <t>pad_thick</t>
  </si>
  <si>
    <t>none</t>
  </si>
  <si>
    <t>Average flow expressed in gpm</t>
  </si>
  <si>
    <t>Building and Land Usage</t>
  </si>
  <si>
    <t>Direct Equipment</t>
  </si>
  <si>
    <t>r_build1_fp</t>
  </si>
  <si>
    <t>New footprint of building 1</t>
  </si>
  <si>
    <t>New footprint of building 2</t>
  </si>
  <si>
    <t>Incremental building 1 floorplan required for retrofit</t>
  </si>
  <si>
    <t>Incremental building 2 floorplan required for retrofit</t>
  </si>
  <si>
    <t>Resulting priority selection (after considering whether this is a retrofit scenario)</t>
  </si>
  <si>
    <t>Include in Retrofit?</t>
  </si>
  <si>
    <t>Baseline priority selection</t>
  </si>
  <si>
    <t>Media changeouts per year after retrofit</t>
  </si>
  <si>
    <t>Quantity of media handled per year after retrofit</t>
  </si>
  <si>
    <t>r_media_changes</t>
  </si>
  <si>
    <t>r_media_changes_cf</t>
  </si>
  <si>
    <t>r_disp_freq</t>
  </si>
  <si>
    <t>Spent media disposal frequency after retrofit</t>
  </si>
  <si>
    <t>r_spent_media_yr</t>
  </si>
  <si>
    <t>Spent media quantity (average per year) after retrofit</t>
  </si>
  <si>
    <t>r_disposal_fee</t>
  </si>
  <si>
    <t>Spent media disposal fee after retrofit</t>
  </si>
  <si>
    <t>Total annual spent media diposal fee after retrofit</t>
  </si>
  <si>
    <t>Spent media shipments per year after retrofit</t>
  </si>
  <si>
    <t>Additional Calculations for Retrofit with On-site Regeneration</t>
  </si>
  <si>
    <t>Incremental operator labor for media changeouts after retrofit</t>
  </si>
  <si>
    <t>r_inc_Operator_LOE</t>
  </si>
  <si>
    <t>Average regeneration rate after retrofit</t>
  </si>
  <si>
    <t>Total annual GAC needed after retrofit</t>
  </si>
  <si>
    <t>Annual Regenerated GAC after retrofit</t>
  </si>
  <si>
    <t>Annual Virgin GAC after retrofit</t>
  </si>
  <si>
    <t>Default number of backwash basins</t>
  </si>
  <si>
    <t>back_basins_default</t>
  </si>
  <si>
    <t>Backwash basin depth to volume ratio</t>
  </si>
  <si>
    <t>back_ratio</t>
  </si>
  <si>
    <t>Backwash freeboard</t>
  </si>
  <si>
    <t>back_freeboard</t>
  </si>
  <si>
    <t xml:space="preserve">Number of motor/air operated control valves on process line per contactor </t>
  </si>
  <si>
    <t>Number of motor/air operated control valves on process line per vessel (series presure vessel systems)</t>
  </si>
  <si>
    <t>Number of motor/air operated control valves on backwash line per contactor</t>
  </si>
  <si>
    <t>I/O combination analog modules</t>
  </si>
  <si>
    <t>from max surface area</t>
  </si>
  <si>
    <t>max bed depth for max_height, given freeboard and bed expansion</t>
  </si>
  <si>
    <t>from guidance provided by Bob Dvorin, 5/16/05</t>
  </si>
  <si>
    <t>from max load and actual diameter</t>
  </si>
  <si>
    <t>ensures that bed depth is sufficient for required volume of medium</t>
  </si>
  <si>
    <t>51218-45-2</t>
  </si>
  <si>
    <t>21087-64-9</t>
  </si>
  <si>
    <t>91-20-3</t>
  </si>
  <si>
    <t>1,1,2,2-tetrachloroethane</t>
  </si>
  <si>
    <t>space_bt</t>
  </si>
  <si>
    <t>Water Type</t>
  </si>
  <si>
    <t>Atrazine</t>
  </si>
  <si>
    <t>Average Flow Units</t>
  </si>
  <si>
    <t>EBCT Input Type</t>
  </si>
  <si>
    <t>Maximum hazardous waste shipment size</t>
  </si>
  <si>
    <t>Miles to hazardous solid waste disposal site</t>
  </si>
  <si>
    <t>haz_miles</t>
  </si>
  <si>
    <t>S_mixer</t>
  </si>
  <si>
    <t>solids_haz</t>
  </si>
  <si>
    <t>Spent media regeneration method</t>
  </si>
  <si>
    <t>TSS in residuals</t>
  </si>
  <si>
    <t>TSS_residuals</t>
  </si>
  <si>
    <t>Holding tank annual TSS accumulation</t>
  </si>
  <si>
    <t>Holding tank annual coagulant accumulation</t>
  </si>
  <si>
    <t>Holding tank annual solids accumulation</t>
  </si>
  <si>
    <t>num_treat_lines</t>
  </si>
  <si>
    <t>lines</t>
  </si>
  <si>
    <t>Number of redundant units</t>
  </si>
  <si>
    <t>NRD</t>
  </si>
  <si>
    <t>from media constraint table</t>
  </si>
  <si>
    <t>max bed depth for max_height or max_diam, given freeboard and bed expansion</t>
  </si>
  <si>
    <t>comp_min_vert_height</t>
  </si>
  <si>
    <t>State/local regulations typically require 2x width or depth</t>
  </si>
  <si>
    <t>Septic drain field trench total gravel depth</t>
  </si>
  <si>
    <t>sept_gravel_d</t>
  </si>
  <si>
    <t>ss_man_eq_proc</t>
  </si>
  <si>
    <t>ci_bfv_eq_proc</t>
  </si>
  <si>
    <t>Number of check valves on influent line</t>
  </si>
  <si>
    <t>tot_in_chv</t>
  </si>
  <si>
    <t>Polypropylene/PVC - Inlet</t>
  </si>
  <si>
    <t>pp_chv_eq_in</t>
  </si>
  <si>
    <t>Stainless Steel - Inlet</t>
  </si>
  <si>
    <t>ss_chv_eq_in</t>
  </si>
  <si>
    <t>Cast Iron - Inlet</t>
  </si>
  <si>
    <t>ci_chv_eq_in</t>
  </si>
  <si>
    <t xml:space="preserve"> -vessel surface area</t>
  </si>
  <si>
    <t>comp_min_sa_vessel</t>
  </si>
  <si>
    <t>comp_max_sa_vessel</t>
  </si>
  <si>
    <t>All instruments for preventative maintenance</t>
  </si>
  <si>
    <t>Number of pumps for operation</t>
  </si>
  <si>
    <t>Pumps requiring daily observation/adjustment</t>
  </si>
  <si>
    <t>Total number of pumps for maintenance</t>
  </si>
  <si>
    <t>tot_pumps_maint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</si>
  <si>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</si>
  <si>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</si>
  <si>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</si>
  <si>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</si>
  <si>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</si>
  <si>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</si>
  <si>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Explicitly included when backwash frequency is high</t>
  </si>
  <si>
    <t>Verify/adjust valve positions</t>
  </si>
  <si>
    <t>Preventative maintenance and inspection of valves</t>
  </si>
  <si>
    <t>Visual inspection of facility</t>
  </si>
  <si>
    <t>Technology-specific Labor</t>
  </si>
  <si>
    <t>On-site GAC regeneration labor</t>
  </si>
  <si>
    <t>Buried pipe length</t>
  </si>
  <si>
    <t>buried_res_pipe_length</t>
  </si>
  <si>
    <t>spent_basin_op_depth</t>
  </si>
  <si>
    <t>Total number of instruments for maintenance</t>
  </si>
  <si>
    <t>tot_inst_maint</t>
  </si>
  <si>
    <t>target_bed_depth_over</t>
  </si>
  <si>
    <t>target_bed_depth_horiz</t>
  </si>
  <si>
    <t>Used only for autosize procedure</t>
  </si>
  <si>
    <t>Horizontal design search</t>
  </si>
  <si>
    <t>Alarm (including level switch/alarms, high/low alarms, low alarms)</t>
  </si>
  <si>
    <t>alarm</t>
  </si>
  <si>
    <t>Sampling port</t>
  </si>
  <si>
    <t>port</t>
  </si>
  <si>
    <t>pH meter</t>
  </si>
  <si>
    <t>ph</t>
  </si>
  <si>
    <t>Temperature meter</t>
  </si>
  <si>
    <t>temp</t>
  </si>
  <si>
    <t>Turbidity meter</t>
  </si>
  <si>
    <t>This assumption applies if concrete basins are used. Additonal basins are used, however, if needed to achieve minimum holding time. If tanks are used, number calculated on design sheet.</t>
  </si>
  <si>
    <t>Holding tank/basin mixer horsepower (if coagulant is used)</t>
  </si>
  <si>
    <t>Holding tank/basin solids transfer method</t>
  </si>
  <si>
    <t>High/Low alarms per holding tank/basin</t>
  </si>
  <si>
    <t>Time to empty holding tank/basin soilds</t>
  </si>
  <si>
    <t>Number of manual control valves on residuals line per holding tank/basin</t>
  </si>
  <si>
    <t>Holding tank/basin solids density</t>
  </si>
  <si>
    <t>Number of motor/air operated control valves on residuals line per holding tank/basin</t>
  </si>
  <si>
    <t>Holdin basin operating depth</t>
  </si>
  <si>
    <t>Holding basin width</t>
  </si>
  <si>
    <t>Holding basin length</t>
  </si>
  <si>
    <t>Holding basin depth including freeboard</t>
  </si>
  <si>
    <t>Holding basin volume</t>
  </si>
  <si>
    <t>Total residuals storage volume in cubic feet</t>
  </si>
  <si>
    <t>total_hvol_ft</t>
  </si>
  <si>
    <t>Residuals storage volume per basin in cubic feet</t>
  </si>
  <si>
    <t>Holding basin redundancy factor</t>
  </si>
  <si>
    <t>hbasin_redun</t>
  </si>
  <si>
    <t>To account for minumum coagulation time, when concrete basins are used, rather than tanks</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</si>
  <si>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</si>
  <si>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</si>
  <si>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</si>
  <si>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</si>
  <si>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</si>
  <si>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</si>
  <si>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</si>
  <si>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</si>
  <si>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Natural gas non-condensing furnace efficiency</t>
  </si>
  <si>
    <t>Natural gas condensing furnace efficiency</t>
  </si>
  <si>
    <t>hp_EER</t>
  </si>
  <si>
    <t>gas_non_eff</t>
  </si>
  <si>
    <t>gas_eff</t>
  </si>
  <si>
    <t>diesel_non_eff</t>
  </si>
  <si>
    <t>diesel_eff</t>
  </si>
  <si>
    <t>Building 1 air exchange cooling loss</t>
  </si>
  <si>
    <t>Building 2 side conductance cooling loss</t>
  </si>
  <si>
    <t>Buiding 2 ceiling conductance cooling loss</t>
  </si>
  <si>
    <t>Building 2 air exchange cooling loss</t>
  </si>
  <si>
    <t>Whr/BTU</t>
  </si>
  <si>
    <t>proc_man_pump</t>
  </si>
  <si>
    <t>back_man_vessel</t>
  </si>
  <si>
    <t>back_man_pump</t>
  </si>
  <si>
    <t>back_man_tank</t>
  </si>
  <si>
    <t>back_man_no_back</t>
  </si>
  <si>
    <t xml:space="preserve">Number of manual valves on process line per booster pump </t>
  </si>
  <si>
    <t>Number of manual valves on backwash line per backwash pump</t>
  </si>
  <si>
    <t>Number of manual valves on backwash line per backwash tank</t>
  </si>
  <si>
    <t>Number of manual valves on backwash line if no backwash pumps</t>
  </si>
  <si>
    <t>proc_MOV_vessel_par</t>
  </si>
  <si>
    <t>proc_man_vessel_par</t>
  </si>
  <si>
    <t>proc_man_vessel_ser</t>
  </si>
  <si>
    <t>Empty Bed Contact Time</t>
  </si>
  <si>
    <r>
      <t>C</t>
    </r>
    <r>
      <rPr>
        <b/>
        <vertAlign val="subscript"/>
        <sz val="10"/>
        <color indexed="17"/>
        <rFont val="Arial"/>
        <family val="2"/>
      </rPr>
      <t>e</t>
    </r>
    <r>
      <rPr>
        <b/>
        <sz val="10"/>
        <color indexed="17"/>
        <rFont val="Arial"/>
        <family val="2"/>
      </rPr>
      <t>/C</t>
    </r>
    <r>
      <rPr>
        <b/>
        <vertAlign val="subscript"/>
        <sz val="10"/>
        <color indexed="17"/>
        <rFont val="Arial"/>
        <family val="2"/>
      </rPr>
      <t>0</t>
    </r>
    <r>
      <rPr>
        <b/>
        <sz val="10"/>
        <color indexed="17"/>
        <rFont val="Arial"/>
        <family val="2"/>
      </rPr>
      <t xml:space="preserve"> = e</t>
    </r>
    <r>
      <rPr>
        <b/>
        <vertAlign val="superscript"/>
        <sz val="10"/>
        <color indexed="17"/>
        <rFont val="Arial"/>
        <family val="2"/>
      </rPr>
      <t>-Kss*EBCT</t>
    </r>
  </si>
  <si>
    <t>ht_solids_density</t>
  </si>
  <si>
    <t>htank_TSSrem</t>
  </si>
  <si>
    <t>coag_TSSrem</t>
  </si>
  <si>
    <t>htank_clean_pct</t>
  </si>
  <si>
    <t>1634-04-4</t>
  </si>
  <si>
    <t>Leave blank to accept model defaults (systems &lt;1 MGD backwash using existing supply or treated water pumps, other systems add new backwash pumps)</t>
  </si>
  <si>
    <r>
      <t xml:space="preserve">For information: </t>
    </r>
    <r>
      <rPr>
        <sz val="10"/>
        <color indexed="17"/>
        <rFont val="Arial"/>
        <family val="2"/>
      </rPr>
      <t># of backwash pumps</t>
    </r>
  </si>
  <si>
    <t>res_flow_annual</t>
  </si>
  <si>
    <t>Spent Backwash</t>
  </si>
  <si>
    <t>Accounts for flow equalization if holding tanks used</t>
  </si>
  <si>
    <t>Accounts for less than perfect staggering if holding tanks are used</t>
  </si>
  <si>
    <t>Replacement/disposal frequency</t>
  </si>
  <si>
    <t>disp_freq</t>
  </si>
  <si>
    <t>Spent media quantity (total per event)</t>
  </si>
  <si>
    <t>times per year</t>
  </si>
  <si>
    <t>Capital Items</t>
  </si>
  <si>
    <t>Holding tanks (for flow equalization)</t>
  </si>
  <si>
    <t>Size of valves for process line</t>
  </si>
  <si>
    <t>tot_proc_MOVs</t>
  </si>
  <si>
    <t>tot_back_MOVs</t>
  </si>
  <si>
    <t>Size of valves for backwash pipe line</t>
  </si>
  <si>
    <t>Manual</t>
  </si>
  <si>
    <t>Check Valves</t>
  </si>
  <si>
    <t>Motor/Air Operated (on/off)</t>
  </si>
  <si>
    <t>hp</t>
  </si>
  <si>
    <t>hr/yr</t>
  </si>
  <si>
    <t>/yr</t>
  </si>
  <si>
    <t>Site Work</t>
  </si>
  <si>
    <t>proc_pipe_length</t>
  </si>
  <si>
    <t>Backwash piping length</t>
  </si>
  <si>
    <t>back_pipe_length</t>
  </si>
  <si>
    <t>linear feet</t>
  </si>
  <si>
    <t>Air_changes_contactor</t>
  </si>
  <si>
    <t>Air_changes_pump</t>
  </si>
  <si>
    <t>Air_changes_chem_storage</t>
  </si>
  <si>
    <t>Air_changes_office</t>
  </si>
  <si>
    <t>Building_height</t>
  </si>
  <si>
    <t>air changes/hr</t>
  </si>
  <si>
    <t>Building height</t>
  </si>
  <si>
    <t>Pressure drop across the fan</t>
  </si>
  <si>
    <t>lbs/ft2</t>
  </si>
  <si>
    <t>Fan_pressure_drop</t>
  </si>
  <si>
    <t>cy</t>
  </si>
  <si>
    <t>Booster pump operating horsepower</t>
  </si>
  <si>
    <t>Average Flow Rate</t>
  </si>
  <si>
    <t>average_flow_rate</t>
  </si>
  <si>
    <t>square ft</t>
  </si>
  <si>
    <t>Design #</t>
  </si>
  <si>
    <t>pump_eq_back</t>
  </si>
  <si>
    <t>Footprint for booster pumps</t>
  </si>
  <si>
    <t>Total footprint for pumps</t>
  </si>
  <si>
    <t>Low</t>
  </si>
  <si>
    <t>High</t>
  </si>
  <si>
    <t>Small (&lt;1 mgd)</t>
  </si>
  <si>
    <t>Medium (1-10 mgd)</t>
  </si>
  <si>
    <t>Large (&gt;10 mgd)</t>
  </si>
  <si>
    <t>Cast Iron - Process</t>
  </si>
  <si>
    <t>Number of mechanical ventilation days per year first building (small system)</t>
  </si>
  <si>
    <t>fan_days_build1_small</t>
  </si>
  <si>
    <t>Media and Chemicals</t>
  </si>
  <si>
    <t>di_pipe_eq_proc</t>
  </si>
  <si>
    <t>cpvc_pipe_eq_proc</t>
  </si>
  <si>
    <t>pvc_pipe_eq_proc</t>
  </si>
  <si>
    <t>ss_pipe_eq_proc</t>
  </si>
  <si>
    <t>st_pipe_eq_proc</t>
  </si>
  <si>
    <t>Carbon expansion during backwash</t>
  </si>
  <si>
    <t>Total discrete inputs</t>
  </si>
  <si>
    <t>Total discrete outputs</t>
  </si>
  <si>
    <t>Total analog inputs</t>
  </si>
  <si>
    <t>Total analog outputs</t>
  </si>
  <si>
    <t>discrete_inputs</t>
  </si>
  <si>
    <t>US Army Corps of Engineers recommended minimum cover for distribution pipes of 2.5 ft in grassed areas, 3 ft if buried under pavement or roadways but not less than frost penetration depth (USACOE 1984)</t>
  </si>
  <si>
    <t>min_trench_depth</t>
  </si>
  <si>
    <t>&lt;-- 1 for slurry pumps, 2 for eductors, 3 for manual trabsfer</t>
  </si>
  <si>
    <t>Solids transfer for holding tanks</t>
  </si>
  <si>
    <t>res_transfer_rate</t>
  </si>
  <si>
    <t>Transfer rate in gallons</t>
  </si>
  <si>
    <t>res_transfer_rate_gal</t>
  </si>
  <si>
    <t>Number of slurry pump systems</t>
  </si>
  <si>
    <t>res_slurry_pumps</t>
  </si>
  <si>
    <t>res_eductors</t>
  </si>
  <si>
    <t>Effective transfer rate</t>
  </si>
  <si>
    <t>res_eff_transfer_rate</t>
  </si>
  <si>
    <t>res_eductor_size</t>
  </si>
  <si>
    <t>Solids Transfer</t>
  </si>
  <si>
    <t>res_slurry_eq</t>
  </si>
  <si>
    <t>res_seductor_eq</t>
  </si>
  <si>
    <t>Financing during Construction</t>
  </si>
  <si>
    <t>pp_man_eq</t>
  </si>
  <si>
    <t>ss_man_eq</t>
  </si>
  <si>
    <t>ci_bfv_eq</t>
  </si>
  <si>
    <t>pp_chv_eq_back</t>
  </si>
  <si>
    <t>pp_chv_eq</t>
  </si>
  <si>
    <t>ss_chv_eq_back</t>
  </si>
  <si>
    <t>ss_chv_eq</t>
  </si>
  <si>
    <t>ci_chv_eq_back</t>
  </si>
  <si>
    <t>ci_chv_eq</t>
  </si>
  <si>
    <t>back_pump_eq</t>
  </si>
  <si>
    <t>Number of mechanical ventilation days per year first building (medium system)</t>
  </si>
  <si>
    <t>fan_days_build1_medium</t>
  </si>
  <si>
    <t>For medium systems (1 - 10 MGD)</t>
  </si>
  <si>
    <t>Number of mechanical ventilation days per year 2nd building (medium system)</t>
  </si>
  <si>
    <t>fan_days_build2_medium</t>
  </si>
  <si>
    <t>Volume available for media and expansion:</t>
  </si>
  <si>
    <t>Vertical vessel</t>
  </si>
  <si>
    <t>vert_vol_available</t>
  </si>
  <si>
    <t>Horizontal vessel</t>
  </si>
  <si>
    <t>horiz_vol_available</t>
  </si>
  <si>
    <t>For selected vessel geometry</t>
  </si>
  <si>
    <t>input_vol_vess</t>
  </si>
  <si>
    <t>Size of valves for bypass line</t>
  </si>
  <si>
    <t>bypass_valve_size</t>
  </si>
  <si>
    <t>Number of check valves on bypass line</t>
  </si>
  <si>
    <t>Electric resistance</t>
  </si>
  <si>
    <t>Minutes per backwash for automated systems</t>
  </si>
  <si>
    <t>uloe_autoback</t>
  </si>
  <si>
    <t>Backwashes per year</t>
  </si>
  <si>
    <t>backwash_yr</t>
  </si>
  <si>
    <t>hours/cubic foot</t>
  </si>
  <si>
    <t>Holding tanks are designed with a capacity of one generation event, multiplied by this safety factor. This multiplier accounts for less than perfect staggering of generation events and provides for solids accumulation (i.e., it provides excess capacity).</t>
  </si>
  <si>
    <t>Geotechnical &amp; Sitework</t>
  </si>
  <si>
    <t>proc_pipe_flow</t>
  </si>
  <si>
    <t>Process pipe diameter</t>
  </si>
  <si>
    <t>proc_pipe_diam</t>
  </si>
  <si>
    <t>water_flush</t>
  </si>
  <si>
    <t>Office space</t>
  </si>
  <si>
    <t>office_fp</t>
  </si>
  <si>
    <t>Office space per employee</t>
  </si>
  <si>
    <t>space_office</t>
  </si>
  <si>
    <t>Building 1 weighted average air changes</t>
  </si>
  <si>
    <t>Building 2 weighted average air changes</t>
  </si>
  <si>
    <t>air_changes_build1</t>
  </si>
  <si>
    <t>air_changes_build2</t>
  </si>
  <si>
    <t>Piping Design</t>
  </si>
  <si>
    <t>Backwash pump rating</t>
  </si>
  <si>
    <t>Booster pump rating</t>
  </si>
  <si>
    <t>back_pump_rating</t>
  </si>
  <si>
    <t>Backwash pipe flow</t>
  </si>
  <si>
    <t>back_pipe_flow</t>
  </si>
  <si>
    <t>Backwash pipe diameter</t>
  </si>
  <si>
    <t>back_pipe_diam</t>
  </si>
  <si>
    <t>booster_pump_maintenance</t>
  </si>
  <si>
    <t>cpvc_pipe_eq_in_out</t>
  </si>
  <si>
    <t>pvc_pipe_eq_in_out</t>
  </si>
  <si>
    <t>ss_pipe_eq_in_out</t>
  </si>
  <si>
    <t>st_pipe_eq_in_out</t>
  </si>
  <si>
    <t>di_pipe_eq_in_out</t>
  </si>
  <si>
    <t>Energy per booster pump</t>
  </si>
  <si>
    <t>Energy for all active booster pumps</t>
  </si>
  <si>
    <t>Carbon Steel - Stainless Internals</t>
  </si>
  <si>
    <t>Total number of vessels including redundancy</t>
  </si>
  <si>
    <t>final_num_tanks</t>
  </si>
  <si>
    <t>Number of vessels excluding redundancy</t>
  </si>
  <si>
    <t>op_num_tanks</t>
  </si>
  <si>
    <t>$/acre</t>
  </si>
  <si>
    <t>Installation, Transportatation, and O&amp;P</t>
  </si>
  <si>
    <t>Railing length</t>
  </si>
  <si>
    <t>Virgin GAC Storage basin width</t>
  </si>
  <si>
    <t>Virgin GAC Storage basin length</t>
  </si>
  <si>
    <t>Virgin GAC Storage basin volume</t>
  </si>
  <si>
    <t>Number of Virgin GAC Storage tanks</t>
  </si>
  <si>
    <t>Virgin GAC Storage tank volume</t>
  </si>
  <si>
    <t>Virgin GAC Storage basin operating depth</t>
  </si>
  <si>
    <t>virgin_basin_op_depth</t>
  </si>
  <si>
    <t>virgin_basin_width</t>
  </si>
  <si>
    <t>virgin_basin_length</t>
  </si>
  <si>
    <t>virgin_basin_depth</t>
  </si>
  <si>
    <t>virgin_basin_vol</t>
  </si>
  <si>
    <t>virgin_conc_vol</t>
  </si>
  <si>
    <t>virgin_excavation_vol</t>
  </si>
  <si>
    <t>virgin_backfill_vol</t>
  </si>
  <si>
    <t>virgin_railing</t>
  </si>
  <si>
    <t>virgin_tanks</t>
  </si>
  <si>
    <t>virgin_tank_vol</t>
  </si>
  <si>
    <t>Depth including freeboard</t>
  </si>
  <si>
    <t>If concrete basins are used, rather than tanks</t>
  </si>
  <si>
    <t>cubic yd</t>
  </si>
  <si>
    <t>If tanks are used, rather than concrete basins</t>
  </si>
  <si>
    <t>storage_basins</t>
  </si>
  <si>
    <t>trench_angle</t>
  </si>
  <si>
    <t>Capacity of on-site regeneration increased to account for system runtime and redundancy needs</t>
  </si>
  <si>
    <t>Total annual GAC needed</t>
  </si>
  <si>
    <t>GAC_yr</t>
  </si>
  <si>
    <t>When regenerating, this quantity is made up of regenerated GAC + makeup GAC</t>
  </si>
  <si>
    <t>Annual Regenerated GAC</t>
  </si>
  <si>
    <t>regen_yr</t>
  </si>
  <si>
    <t>Annual Virgin GAC</t>
  </si>
  <si>
    <t>GAC_makeup</t>
  </si>
  <si>
    <t>Transfer rate required</t>
  </si>
  <si>
    <t>virgin_storage</t>
  </si>
  <si>
    <t>cubic ft</t>
  </si>
  <si>
    <t>spent_storage</t>
  </si>
  <si>
    <t>regen_storage</t>
  </si>
  <si>
    <t>Footprint for backwash tank</t>
  </si>
  <si>
    <t>GAC Storage (when on-site regeneration is used)</t>
  </si>
  <si>
    <t>On-site regeneration footprint</t>
  </si>
  <si>
    <t>Vessel Constraints</t>
  </si>
  <si>
    <t>Minimum total contact material needed</t>
  </si>
  <si>
    <t>Minimum volume of contact material per vessel</t>
  </si>
  <si>
    <t>Final surface area of contact material</t>
  </si>
  <si>
    <t>Final surface loading rate</t>
  </si>
  <si>
    <t>comm_SA</t>
  </si>
  <si>
    <t>comm_load_rate</t>
  </si>
  <si>
    <t>max_height</t>
  </si>
  <si>
    <t>max_diam</t>
  </si>
  <si>
    <t>mg/L</t>
  </si>
  <si>
    <t>Technology complexity factor</t>
  </si>
  <si>
    <t>complexity</t>
  </si>
  <si>
    <t>op_fm_eq_back</t>
  </si>
  <si>
    <t>Polypropylene/PVC - Process</t>
  </si>
  <si>
    <t>Polypropylene/PVC - Backwash</t>
  </si>
  <si>
    <t>Eductors</t>
  </si>
  <si>
    <t>ppm</t>
  </si>
  <si>
    <t>gpm</t>
  </si>
  <si>
    <t>bed volumes</t>
  </si>
  <si>
    <t>lbs/cubic ft</t>
  </si>
  <si>
    <t>gallons</t>
  </si>
  <si>
    <t>valves</t>
  </si>
  <si>
    <t>Turbidity meters</t>
  </si>
  <si>
    <t>Head loss sensors</t>
  </si>
  <si>
    <t>Electrical enclosure</t>
  </si>
  <si>
    <t>tot_switches</t>
  </si>
  <si>
    <t>Pressure</t>
  </si>
  <si>
    <t>GAC</t>
  </si>
  <si>
    <t>309-00-2</t>
  </si>
  <si>
    <t>108-86-1</t>
  </si>
  <si>
    <t>21725-46-2</t>
  </si>
  <si>
    <t>1,1-dichloroethane</t>
  </si>
  <si>
    <t>75-34-3</t>
  </si>
  <si>
    <t>res_s2_opt_I</t>
  </si>
  <si>
    <t>res_s1_opt_I</t>
  </si>
  <si>
    <t>solids_haz_I</t>
  </si>
  <si>
    <t>&lt;-- 1 for holding tank, 2 for no holding tank</t>
  </si>
  <si>
    <t>Virgin_GAC_storage_fp</t>
  </si>
  <si>
    <t>Spent_GAC_storage_fp</t>
  </si>
  <si>
    <t>Regenerated_GAC_storage_fp</t>
  </si>
  <si>
    <t>Virgin GAC storage footprint (for on-site regeneration)</t>
  </si>
  <si>
    <t>Polymer solution density</t>
  </si>
  <si>
    <t>Solution feed rate</t>
  </si>
  <si>
    <t>Number of check valves on polymer line per metering pump</t>
  </si>
  <si>
    <t>polymer_chv_pump</t>
  </si>
  <si>
    <t>Applies only with polymer addition to residuals</t>
  </si>
  <si>
    <t>Number of check valves polymer line</t>
  </si>
  <si>
    <t>tot_polymer_chv</t>
  </si>
  <si>
    <t>pp_chv_eq_polymer</t>
  </si>
  <si>
    <t>ss_chv_eq_polymer</t>
  </si>
  <si>
    <t>ci_chv_eq_polymer</t>
  </si>
  <si>
    <t>4.3.5</t>
  </si>
  <si>
    <t>Polymer - Polypropylene/PVC</t>
  </si>
  <si>
    <t>Polymer - Stainless Steel</t>
  </si>
  <si>
    <t>Polymer - Cast Iron</t>
  </si>
  <si>
    <t>UPSs  in add-on scenario</t>
  </si>
  <si>
    <t>existing pumps</t>
  </si>
  <si>
    <t>existing storage</t>
  </si>
  <si>
    <t>Hydraulic surface loading rate determines headloss and is usually kept between 2 -10 gpm/sf. Higher loading rates OK if hydraulics and tests allow. Typical hydraulic design criteria are a surface loading rate of 2-10 gpm/ft2 (Montgomery, James M.  Water Treatment Principles and Design.  New York: John Wiley and Sons, 1985. Pp. 553.)  Most regulatory agencies will not approve rates in excess of 2 gpm/ft2 without successful pilot-scale testing (American Water Works Association and American Society of Civil Engineers. Water Treatment Plant Design. Third Edition. New York: McGraw Hill, 1998. Pp. 158.).</t>
  </si>
  <si>
    <t>Add-on?</t>
  </si>
  <si>
    <t>UVAOP Quench (Add-on)</t>
  </si>
  <si>
    <t>Used only for autosize procedure flow less than 1 MGD</t>
  </si>
  <si>
    <t>target_bed_depth_over_g_UVAOP</t>
  </si>
  <si>
    <t>target_bed_depth_under_g_UVAOP</t>
  </si>
  <si>
    <t>strictest maximum of the above, rounded</t>
  </si>
  <si>
    <t>contact_material</t>
  </si>
  <si>
    <t>cubic feet</t>
  </si>
  <si>
    <t>contact_mat_per_vessel</t>
  </si>
  <si>
    <t>SA</t>
  </si>
  <si>
    <t>diameter</t>
  </si>
  <si>
    <t>height</t>
  </si>
  <si>
    <t xml:space="preserve">    Required vessel diameter (circular vessels)</t>
  </si>
  <si>
    <t>General Operator Labor</t>
  </si>
  <si>
    <t>General_Oper_Labor</t>
  </si>
  <si>
    <t>Technology</t>
  </si>
  <si>
    <t>Based on general operator labor and percentages in critical design assumptions</t>
  </si>
  <si>
    <t>max_length</t>
  </si>
  <si>
    <t>Number of booster pumps</t>
  </si>
  <si>
    <t>booster_pumps</t>
  </si>
  <si>
    <t>pump_rating</t>
  </si>
  <si>
    <t>Total booster pumps</t>
  </si>
  <si>
    <t>total_booster_pumps</t>
  </si>
  <si>
    <t>Safety factor for pumps</t>
  </si>
  <si>
    <t>pump_safety_factor</t>
  </si>
  <si>
    <t>Number of storage basins for each of the above</t>
  </si>
  <si>
    <t>Building 1 side conductance cooling loss</t>
  </si>
  <si>
    <t>Buiding 1 ceiling conductance cooling loss</t>
  </si>
  <si>
    <t>cooling</t>
  </si>
  <si>
    <t>Air conditioning EER</t>
  </si>
  <si>
    <t>EER</t>
  </si>
  <si>
    <t>tank_valve_size</t>
  </si>
  <si>
    <t>back_valve_size</t>
  </si>
  <si>
    <t>pH_controls</t>
  </si>
  <si>
    <t>Size of flow meters for backwash line</t>
  </si>
  <si>
    <t>alarm_back</t>
  </si>
  <si>
    <t>Sampling ports</t>
  </si>
  <si>
    <t>Energy for lighting</t>
  </si>
  <si>
    <t>Energy for ventilation</t>
  </si>
  <si>
    <t>Energy for cooling</t>
  </si>
  <si>
    <t>Building Structure</t>
  </si>
  <si>
    <t>vessel_fp</t>
  </si>
  <si>
    <t>max</t>
  </si>
  <si>
    <t>ft^2</t>
  </si>
  <si>
    <t xml:space="preserve"> - vertical vessel height</t>
  </si>
  <si>
    <t xml:space="preserve"> - vertical vessel diameter</t>
  </si>
  <si>
    <t>comp_min_vert_diam</t>
  </si>
  <si>
    <t>max_diam CDA</t>
  </si>
  <si>
    <t>strictest maximum of the above</t>
  </si>
  <si>
    <r>
      <t>Bold blue</t>
    </r>
    <r>
      <rPr>
        <sz val="10"/>
        <rFont val="Arial"/>
        <family val="2"/>
      </rPr>
      <t xml:space="preserve"> cells are copied to the input sheet</t>
    </r>
  </si>
  <si>
    <t>from max_diam CDA</t>
  </si>
  <si>
    <t>max_length CDA</t>
  </si>
  <si>
    <t>max volume combined with actual diameter</t>
  </si>
  <si>
    <t>Building 2 length and width</t>
  </si>
  <si>
    <t>build1_side</t>
  </si>
  <si>
    <t>build2_side</t>
  </si>
  <si>
    <t>R-value for walls</t>
  </si>
  <si>
    <t>R-value for ceilings</t>
  </si>
  <si>
    <t>R_wall</t>
  </si>
  <si>
    <t>R_ceiling</t>
  </si>
  <si>
    <t>hr-sf-degF/BTU</t>
  </si>
  <si>
    <t>Basin Length</t>
  </si>
  <si>
    <t>basin_length</t>
  </si>
  <si>
    <t>basin_op_depth</t>
  </si>
  <si>
    <t>Pressure Vessel Design</t>
  </si>
  <si>
    <t>Number of redundant contact basins for medium systems</t>
  </si>
  <si>
    <t>NRD_basins_medium</t>
  </si>
  <si>
    <t>Number of redundant contact basins for large systems</t>
  </si>
  <si>
    <t>NRD_basins_large</t>
  </si>
  <si>
    <t>basin_freeboard</t>
  </si>
  <si>
    <t>max_depth</t>
  </si>
  <si>
    <t>min_depth</t>
  </si>
  <si>
    <t>max_width</t>
  </si>
  <si>
    <t>min_width</t>
  </si>
  <si>
    <t>Guidance: Typical gravity GAC bed depths are 3-10 feet</t>
  </si>
  <si>
    <t>Gravity Basin Design</t>
  </si>
  <si>
    <t xml:space="preserve">Number of manual valves on process line per contactor </t>
  </si>
  <si>
    <t>Number of manual valves on process line per vessel (series pressure vessel systems</t>
  </si>
  <si>
    <t>Total Direct Capital Cost (from above)</t>
  </si>
  <si>
    <t>Total Add-on Cost (from above)</t>
  </si>
  <si>
    <t>Total Indirect Cost (from above)</t>
  </si>
  <si>
    <t>TOTAL CAPITAL COST DETAILS</t>
  </si>
  <si>
    <t>Total Cost ($/yr)</t>
  </si>
  <si>
    <t>Total Annual O&amp;M Cost</t>
  </si>
  <si>
    <t>Details</t>
  </si>
  <si>
    <t># of treatment trains</t>
  </si>
  <si>
    <t>Total EBCT</t>
  </si>
  <si>
    <t>(i.e., parallel or series operation)</t>
  </si>
  <si>
    <t>contam_type</t>
  </si>
  <si>
    <t>Standard Designs</t>
  </si>
  <si>
    <t>System Size</t>
  </si>
  <si>
    <t>Optional</t>
  </si>
  <si>
    <t>in use</t>
  </si>
  <si>
    <t>Total technology footprint</t>
  </si>
  <si>
    <t>tech_fp</t>
  </si>
  <si>
    <t>Borings, initial field stake out &amp; determination of elevations</t>
  </si>
  <si>
    <t>Trench depth to top of pipe</t>
  </si>
  <si>
    <t>trench_depth</t>
  </si>
  <si>
    <t>Trench Cross-section Area</t>
  </si>
  <si>
    <t>trench_area</t>
  </si>
  <si>
    <t>Trench Volume Source Water</t>
  </si>
  <si>
    <t>bedding_vol</t>
  </si>
  <si>
    <t>Bedding cost</t>
  </si>
  <si>
    <t>Excavation cost</t>
  </si>
  <si>
    <t>Construction Management and GC Overhead</t>
  </si>
  <si>
    <t>Percentage is applied only to process cost. Building direct costs include electrical components.</t>
  </si>
  <si>
    <t>Lighting power per sf, low-quality buildings and sheds</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</si>
  <si>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</si>
  <si>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</si>
  <si>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</si>
  <si>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</si>
  <si>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</si>
  <si>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</si>
  <si>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</si>
  <si>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</si>
  <si>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</si>
  <si>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</si>
  <si>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Polypropylene/PVC - Bypass</t>
  </si>
  <si>
    <t>pp_mov_eq_bp</t>
  </si>
  <si>
    <t>Stainless Steel - Bypass</t>
  </si>
  <si>
    <t>ss_mov_eq_bp</t>
  </si>
  <si>
    <t>Cast Iron - Bypass</t>
  </si>
  <si>
    <t>ci_mov_eq_bp</t>
  </si>
  <si>
    <t>pp_man_eq_bp</t>
  </si>
  <si>
    <t>ss_man_eq_bp</t>
  </si>
  <si>
    <t>ci_man_eq_bp</t>
  </si>
  <si>
    <t>pp_chv_eq_bp</t>
  </si>
  <si>
    <t>ss_chv_eq_bp</t>
  </si>
  <si>
    <t>ci_chv_eq_bp</t>
  </si>
  <si>
    <t>Process costs</t>
  </si>
  <si>
    <t>Building costs</t>
  </si>
  <si>
    <t>fully automated</t>
  </si>
  <si>
    <t>Distance to discharge point for TCE and PCE</t>
  </si>
  <si>
    <t>add_res_pipe_length_TCE</t>
  </si>
  <si>
    <t>Because these contaminants are present primarily in urban areas, assume sewer connection available at property line</t>
  </si>
  <si>
    <t>Total base standby power requirement</t>
  </si>
  <si>
    <t>std_base</t>
  </si>
  <si>
    <t>Assumes 1 foot below, 1 foot above, 4 inches sides of distribution pipe</t>
  </si>
  <si>
    <t>Septic drain field buffer distance</t>
  </si>
  <si>
    <t>sept_buffer</t>
  </si>
  <si>
    <t>State/local regulations typically require minimum 10 feet offset from property lines and structures, with greater offset for wells, watercourses, etc; the latter would be site-specific</t>
  </si>
  <si>
    <t>Septic tank overexcavation depth</t>
  </si>
  <si>
    <t>sept_overexcav</t>
  </si>
  <si>
    <t>Distance above and each side</t>
  </si>
  <si>
    <t>Maximum distribution pipe connections per distribution box</t>
  </si>
  <si>
    <t>sept_dist_connections</t>
  </si>
  <si>
    <t>Using cost for a 7 outlet distribution box</t>
  </si>
  <si>
    <t>Septic system distribution pipe diameter</t>
  </si>
  <si>
    <t># of contactors</t>
  </si>
  <si>
    <t>(including redundancy)</t>
  </si>
  <si>
    <t>For filter to waste in pressure systems</t>
  </si>
  <si>
    <t>Maintenance materials for all contactor components, excluding backfill and compaction</t>
  </si>
  <si>
    <t>No backwash pumps</t>
  </si>
  <si>
    <t>No backwash tanks</t>
  </si>
  <si>
    <t>Fluidization occurs at 2-4 gpm/sf; 12-15 gpm/sf is needed to "expand" GAC and wash out particulates [Calgon Carbon] (Richard E. Hubel, Peter Keenan, American Water Works Service Company, Inc)</t>
  </si>
  <si>
    <t>One ethernet module is needed; using two to provide redundancy</t>
  </si>
  <si>
    <t>Two to provide redundancy in the event of SCADA node failure</t>
  </si>
  <si>
    <t>Minimum residuals pipe diameter</t>
  </si>
  <si>
    <t>min_res_pipe_size</t>
  </si>
  <si>
    <t>in. diam.</t>
  </si>
  <si>
    <t>GAC_density</t>
  </si>
  <si>
    <t>GAC bulk density</t>
  </si>
  <si>
    <t>Time to empty GAC bed</t>
  </si>
  <si>
    <t>GAC Regeneration and Transfer</t>
  </si>
  <si>
    <t>Regeneration runtime (on-site only)</t>
  </si>
  <si>
    <t>regen_runtime</t>
  </si>
  <si>
    <t xml:space="preserve">Interval between backwash occurrences depends on the loading rate, water quality, and size of carbon.  48 hours for surface water if loading rate 4-6 gpm/sf; 7+ days for ground water (Richard E. Hubel, Peter Keenan, American Water Works Service Company, Inc).  2 weeks or loss of head based on operational experience (Verna Arnette, Greater Cincinnati Water Works).  </t>
  </si>
  <si>
    <t>Gravity Contactor Design</t>
  </si>
  <si>
    <t>Base Expansion Modules</t>
  </si>
  <si>
    <t>plc_base_expansion</t>
  </si>
  <si>
    <t>Base Expansion Controller Modules</t>
  </si>
  <si>
    <t>plc_base_expansion_controller</t>
  </si>
  <si>
    <t>plc_cpu</t>
  </si>
  <si>
    <t xml:space="preserve">plc_ethernet </t>
  </si>
  <si>
    <t>plc_interface</t>
  </si>
  <si>
    <t>ups</t>
  </si>
  <si>
    <t>Default number of residuals basins</t>
  </si>
  <si>
    <t>hbasins_default</t>
  </si>
  <si>
    <t>Holding basin depth to volume ratio</t>
  </si>
  <si>
    <t>holding_ratio</t>
  </si>
  <si>
    <t>Holding basin freeboard</t>
  </si>
  <si>
    <t>holding_freeboard</t>
  </si>
  <si>
    <t>Holding tank/basin suspended solids removal efficiency without coagulant</t>
  </si>
  <si>
    <t>Holding tank/basin suspended solids removal efficiency with coagulant</t>
  </si>
  <si>
    <t>Clean holding tanks/basins when solids accumulation =x% of capacity</t>
  </si>
  <si>
    <t>Holding tank/basin capacity safety factor</t>
  </si>
  <si>
    <t>Number of holding basins</t>
  </si>
  <si>
    <t>hbasins</t>
  </si>
  <si>
    <t>hvol_ft</t>
  </si>
  <si>
    <t>hbasin_op_depth</t>
  </si>
  <si>
    <t>hbasin_width</t>
  </si>
  <si>
    <t>hbasin_length</t>
  </si>
  <si>
    <t>hbasin_depth</t>
  </si>
  <si>
    <t>hbasin_vol</t>
  </si>
  <si>
    <t>hconc_vol</t>
  </si>
  <si>
    <t>hexcavation_vol</t>
  </si>
  <si>
    <t>hbackfill_vol</t>
  </si>
  <si>
    <t>hrailing</t>
  </si>
  <si>
    <t>Holding basins (for flow equalization)</t>
  </si>
  <si>
    <t>Residuals Holding Tanks/Basins</t>
  </si>
  <si>
    <t>res_holding</t>
  </si>
  <si>
    <t>Residuals holding type selected</t>
  </si>
  <si>
    <t>Based on priority lookups on the output sheet, always basins when coagulant is added</t>
  </si>
  <si>
    <t>hbasin_fp</t>
  </si>
  <si>
    <t>Residuals holding  basin footprint</t>
  </si>
  <si>
    <t>Type of coagulant added</t>
  </si>
  <si>
    <t>coag_type</t>
  </si>
  <si>
    <t>&lt;-- 1 for polymer, 2 for ferric chloride, 3 for both polymer &amp; ferric chloride</t>
  </si>
  <si>
    <t>Ferric chloride bulk density</t>
  </si>
  <si>
    <t>Ferric chloride dosage</t>
  </si>
  <si>
    <t>Polymer dosage</t>
  </si>
  <si>
    <t>lb/gal</t>
  </si>
  <si>
    <t>polymer_dose</t>
  </si>
  <si>
    <t>polymer_density</t>
  </si>
  <si>
    <t>Ferric Chloride Addition</t>
  </si>
  <si>
    <t>Ferric chloride in storage</t>
  </si>
  <si>
    <t>Polymer Addition</t>
  </si>
  <si>
    <t>polymer_day</t>
  </si>
  <si>
    <t>Polymer storage in gallons</t>
  </si>
  <si>
    <t>polymer_storage</t>
  </si>
  <si>
    <t>Number of chemical storage tanks</t>
  </si>
  <si>
    <t>polymer_tanks</t>
  </si>
  <si>
    <t>Regenerated GAC Storage basin length</t>
  </si>
  <si>
    <t>Regenerated GAC Storage basin volume</t>
  </si>
  <si>
    <t>Number of Regenerated GAC Storage tanks</t>
  </si>
  <si>
    <t>Regenerated GAC Storage tank volume</t>
  </si>
  <si>
    <t>Regenerated GAC Storage basin operating depth</t>
  </si>
  <si>
    <t>regen_basin_width</t>
  </si>
  <si>
    <t>regen_basin_length</t>
  </si>
  <si>
    <t>regen_basin_depth</t>
  </si>
  <si>
    <t>regen_basin_vol</t>
  </si>
  <si>
    <t>regen_conc_vol</t>
  </si>
  <si>
    <t>regen_excavation_vol</t>
  </si>
  <si>
    <t>back_tank_fp</t>
  </si>
  <si>
    <t>no_backwash</t>
  </si>
  <si>
    <t>tot_fm_in</t>
  </si>
  <si>
    <t>fm_proc</t>
  </si>
  <si>
    <t>bed depth</t>
  </si>
  <si>
    <t>design flow rate</t>
  </si>
  <si>
    <t>min</t>
  </si>
  <si>
    <t>vessel geometry</t>
  </si>
  <si>
    <t>Thickness of vessel walls</t>
  </si>
  <si>
    <t>Yard Piping</t>
  </si>
  <si>
    <t>Geotechnical</t>
  </si>
  <si>
    <t>days/year</t>
  </si>
  <si>
    <t>Backfill cost</t>
  </si>
  <si>
    <t>Pipe cost</t>
  </si>
  <si>
    <t>Total yard piping cost</t>
  </si>
  <si>
    <t>yard_cost</t>
  </si>
  <si>
    <t>Thrust block cost</t>
  </si>
  <si>
    <r>
      <t xml:space="preserve">Printers per </t>
    </r>
    <r>
      <rPr>
        <i/>
        <sz val="10"/>
        <rFont val="Arial"/>
        <family val="2"/>
      </rPr>
      <t>x</t>
    </r>
    <r>
      <rPr>
        <sz val="10"/>
        <rFont val="Arial"/>
        <family val="2"/>
      </rPr>
      <t xml:space="preserve"> computer workstations</t>
    </r>
  </si>
  <si>
    <t>workstation_ratio</t>
  </si>
  <si>
    <t>printer_ratio</t>
  </si>
  <si>
    <t>workstations/printer</t>
  </si>
  <si>
    <t xml:space="preserve">Number of motor/air operated control valves on process line per booster pump </t>
  </si>
  <si>
    <t>Footprint of building 1</t>
  </si>
  <si>
    <t>build1_fp</t>
  </si>
  <si>
    <t>Footprint of building 2</t>
  </si>
  <si>
    <t>Virgin GAC storage (on-site only)</t>
  </si>
  <si>
    <t>virgin_storage_bv</t>
  </si>
  <si>
    <t>Contaminant Removal</t>
  </si>
  <si>
    <t>Carbon Inputs</t>
  </si>
  <si>
    <t>1.33 BV from operational experience (Arnett Verna, Engineer, Greater Cincinnati Water Works).</t>
  </si>
  <si>
    <t>Results summary (see OUTPUT sheet for details)</t>
  </si>
  <si>
    <t>Target Contaminant</t>
  </si>
  <si>
    <t>num_tanks_I</t>
  </si>
  <si>
    <t>upright</t>
  </si>
  <si>
    <t>POTW</t>
  </si>
  <si>
    <t>Concrete volume</t>
  </si>
  <si>
    <t>Backfill volume</t>
  </si>
  <si>
    <t>Number of flow meters for process line</t>
  </si>
  <si>
    <t>tot_fm_proc</t>
  </si>
  <si>
    <t>tot_fm_back</t>
  </si>
  <si>
    <t>BTU/gal</t>
  </si>
  <si>
    <t>Polypropylene/PVC - Inlet and outlet</t>
  </si>
  <si>
    <t>Stainless Steel - Inlet and outlet</t>
  </si>
  <si>
    <t>Cast Iron - Inlet and outlet</t>
  </si>
  <si>
    <t>Footprint for pressure vessels (large system assumptions)</t>
  </si>
  <si>
    <t>GAC Contactor Design (both system types)</t>
  </si>
  <si>
    <r>
      <t xml:space="preserve">Add a redundant pressure vessel per </t>
    </r>
    <r>
      <rPr>
        <b/>
        <i/>
        <sz val="10"/>
        <rFont val="Arial"/>
        <family val="2"/>
      </rPr>
      <t>x</t>
    </r>
    <r>
      <rPr>
        <sz val="10"/>
        <rFont val="Arial"/>
        <family val="2"/>
      </rPr>
      <t xml:space="preserve"> parallel lines</t>
    </r>
  </si>
  <si>
    <t>Minimum bed depth (gravity)</t>
  </si>
  <si>
    <t>Maximum bed depth (gravity)</t>
  </si>
  <si>
    <t>Minimum bed depth (pressure)</t>
  </si>
  <si>
    <t>Maximum bed depth (pressure)</t>
  </si>
  <si>
    <t>max_length_g</t>
  </si>
  <si>
    <t>min_length_g</t>
  </si>
  <si>
    <t>Maximum basin length</t>
  </si>
  <si>
    <t>Minimum basin length</t>
  </si>
  <si>
    <t>Maximum basin width</t>
  </si>
  <si>
    <t>Minimum basin width</t>
  </si>
  <si>
    <t>Target Bed Depth (Gravity Designs &gt; 1 MGD)</t>
  </si>
  <si>
    <t>Target Bed Depth (Gravity Designs &lt; 1MGD)</t>
  </si>
  <si>
    <t>Pressure vessel freeboard above media at full expansion</t>
  </si>
  <si>
    <t>Target Bed Depth (Pressure Designs &lt; 1MGD)</t>
  </si>
  <si>
    <t>Target Bed Depth (Pressure Vertical Designs &gt; 1 MGD)</t>
  </si>
  <si>
    <t>Target Bed Depth (Pressure Horizontal Designs)</t>
  </si>
  <si>
    <t>target_bed_depth_under_g</t>
  </si>
  <si>
    <t>target_bed_depth_over_g</t>
  </si>
  <si>
    <t>Basin freeboard above filter media at full expansion</t>
  </si>
  <si>
    <t>Total contactors (including redundancy from below)</t>
  </si>
  <si>
    <t>total_num_basins</t>
  </si>
  <si>
    <t>Design type chosen</t>
  </si>
  <si>
    <t>design_type</t>
  </si>
  <si>
    <t>&lt;-- 1 for Pressure, 2 for Gravity</t>
  </si>
  <si>
    <t>Gravity Contact Basins</t>
  </si>
  <si>
    <t>PRESSURE VESSELS</t>
  </si>
  <si>
    <t>GRAVITY CONTACT BASINS</t>
  </si>
  <si>
    <t>Minimum volume required</t>
  </si>
  <si>
    <t>min_basin_vol</t>
  </si>
  <si>
    <t>Number of basins (no redundancy)</t>
  </si>
  <si>
    <t>op_num_basins</t>
  </si>
  <si>
    <t>Basin depth including freeboard</t>
  </si>
  <si>
    <t>basin_depth</t>
  </si>
  <si>
    <t>Total basin volume</t>
  </si>
  <si>
    <t>basin_vol</t>
  </si>
  <si>
    <t>Basin loading rate</t>
  </si>
  <si>
    <t>Number of reduntant basins</t>
  </si>
  <si>
    <t>Total number of basins (incl. redundancy)</t>
  </si>
  <si>
    <t>basin_conc_vol</t>
  </si>
  <si>
    <t>Excavation volume</t>
  </si>
  <si>
    <t>excavation_vol</t>
  </si>
  <si>
    <t>backfill_vol</t>
  </si>
  <si>
    <t>railing</t>
  </si>
  <si>
    <t>GAC volume per contactor</t>
  </si>
  <si>
    <t>Surface area each contactor</t>
  </si>
  <si>
    <t>basin_area</t>
  </si>
  <si>
    <t>surface_loading_rate_g</t>
  </si>
  <si>
    <t>NRD_g</t>
  </si>
  <si>
    <t>Number of redundant contactors to be added</t>
  </si>
  <si>
    <r>
      <t xml:space="preserve">For information: </t>
    </r>
    <r>
      <rPr>
        <sz val="10"/>
        <color indexed="17"/>
        <rFont val="Arial"/>
        <family val="2"/>
      </rPr>
      <t>Redundant contactors</t>
    </r>
  </si>
  <si>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</si>
  <si>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</si>
  <si>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</si>
  <si>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for internals costing</t>
  </si>
  <si>
    <t>MEDIA QUANITITIES</t>
  </si>
  <si>
    <t>Guidance: GAC contactors typically are square.</t>
  </si>
  <si>
    <t>Adjust width constraints</t>
  </si>
  <si>
    <t>Footprint for pressure vessels (skid mounted small system)</t>
  </si>
  <si>
    <t>Access space per pressure vessel</t>
  </si>
  <si>
    <t>Footprint for gravity contactors</t>
  </si>
  <si>
    <t>1 for yes, 0 for no</t>
  </si>
  <si>
    <t>The largest pump size for which costs are available.  Applies to booster pumps and backwash pumps.  For booster pumps, will override lines per pump input, if this input results in pumps that are too large.</t>
  </si>
  <si>
    <t>Exact building footprint required</t>
  </si>
  <si>
    <t>fp_required</t>
  </si>
  <si>
    <t>Labor</t>
  </si>
  <si>
    <t>/hr</t>
  </si>
  <si>
    <t>hrs/yr</t>
  </si>
  <si>
    <t>Materials</t>
  </si>
  <si>
    <t>Standby power for cooling</t>
  </si>
  <si>
    <t>std_cool</t>
  </si>
  <si>
    <t>From Input</t>
  </si>
  <si>
    <t>&lt;-- pick one</t>
  </si>
  <si>
    <t>EBCT_type_I</t>
  </si>
  <si>
    <t>Contaminant removal input type</t>
  </si>
  <si>
    <t>proc_MOV_vessel_ser</t>
  </si>
  <si>
    <t>Number of manual valves for backwash line</t>
  </si>
  <si>
    <t>tot_back_man</t>
  </si>
  <si>
    <t>proc_man_vessel_cont</t>
  </si>
  <si>
    <t>Total number of MOVs</t>
  </si>
  <si>
    <t>tot_MOVs</t>
  </si>
  <si>
    <t>Motor/air operated valve</t>
  </si>
  <si>
    <t>valve</t>
  </si>
  <si>
    <t>Ferric Chloride</t>
  </si>
  <si>
    <t>Ventilation air change rate for chemical storage</t>
  </si>
  <si>
    <t>Ventilation air change rate for offices</t>
  </si>
  <si>
    <t>Manager</t>
  </si>
  <si>
    <t>Clerical</t>
  </si>
  <si>
    <t>units/tank</t>
  </si>
  <si>
    <t>Total high/low alarms</t>
  </si>
  <si>
    <t>tot_back_alarm</t>
  </si>
  <si>
    <t>valves/vessel</t>
  </si>
  <si>
    <t>Sampling Ports</t>
  </si>
  <si>
    <t>ports</t>
  </si>
  <si>
    <t>pH</t>
  </si>
  <si>
    <t>Vessels per line</t>
  </si>
  <si>
    <t>ft^3</t>
  </si>
  <si>
    <t>comp_vol_required</t>
  </si>
  <si>
    <t>comp_vert_bed_depth</t>
  </si>
  <si>
    <t xml:space="preserve"> - vertical bed depth</t>
  </si>
  <si>
    <t>comp_min_vert_bed_depth</t>
  </si>
  <si>
    <t>comp_max_vert_bed_depth</t>
  </si>
  <si>
    <t>2,2-dichloropropane</t>
  </si>
  <si>
    <t>Add-on (pre- or post-treatment)</t>
  </si>
  <si>
    <t>addon_I</t>
  </si>
  <si>
    <t>add-on</t>
  </si>
  <si>
    <t>To be compared to vol_vessel, to determine whether vessel is oversized.</t>
  </si>
  <si>
    <t>Vessel requirements based on bed depth and contact time</t>
  </si>
  <si>
    <t>Checks on user-specified dimensions</t>
  </si>
  <si>
    <t>Design dimensions for vertical vessels:</t>
  </si>
  <si>
    <t xml:space="preserve">    Height of vessel required</t>
  </si>
  <si>
    <t xml:space="preserve">    Minimum commercial height given diameter</t>
  </si>
  <si>
    <t>min_comm_height</t>
  </si>
  <si>
    <t xml:space="preserve">    Maximum commercial height given diameter</t>
  </si>
  <si>
    <t>max_comm_height</t>
  </si>
  <si>
    <t>Void space required for horizontal vessels:</t>
  </si>
  <si>
    <t>Operating LOE assumptions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</si>
  <si>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</si>
  <si>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</si>
  <si>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</si>
  <si>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</si>
  <si>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</si>
  <si>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</si>
  <si>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</si>
  <si>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</si>
  <si>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</si>
  <si>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</si>
  <si>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Minutes per 100 sf per week</t>
  </si>
  <si>
    <t>uloe_fp</t>
  </si>
  <si>
    <t>Trench volume total</t>
  </si>
  <si>
    <t>res_trench_vol</t>
  </si>
  <si>
    <t>res_pipe_bedding_vol</t>
  </si>
  <si>
    <t>Bedding</t>
  </si>
  <si>
    <t xml:space="preserve">Backfill and Compaction </t>
  </si>
  <si>
    <t>Thrust Blocks</t>
  </si>
  <si>
    <t>3.4.2</t>
  </si>
  <si>
    <t>3.4.3</t>
  </si>
  <si>
    <t>3.4.5</t>
  </si>
  <si>
    <t>3.4.6</t>
  </si>
  <si>
    <t>Bypass Flow</t>
  </si>
  <si>
    <t>Percent of Total Flow that is Bypassed</t>
  </si>
  <si>
    <t>bp_pct</t>
  </si>
  <si>
    <t>Bypass Flow Rate</t>
  </si>
  <si>
    <t>bp_flow_rate</t>
  </si>
  <si>
    <t>Bypass design flow</t>
  </si>
  <si>
    <t>Bypass piping length</t>
  </si>
  <si>
    <t>bp_pipe_length</t>
  </si>
  <si>
    <t>Minimum number of vessels in series</t>
  </si>
  <si>
    <t>Bed depth</t>
  </si>
  <si>
    <t>minutes</t>
  </si>
  <si>
    <t>feet</t>
  </si>
  <si>
    <t>number of parallel lines per redundant unit</t>
  </si>
  <si>
    <t>Num_tanks</t>
  </si>
  <si>
    <t>units</t>
  </si>
  <si>
    <t>bed_depth</t>
  </si>
  <si>
    <t>redund_freq</t>
  </si>
  <si>
    <t>bed_expansion</t>
  </si>
  <si>
    <t>NRD_I</t>
  </si>
  <si>
    <t>Controls Software</t>
  </si>
  <si>
    <t>Operator interface software</t>
  </si>
  <si>
    <t>Ventilation air change rate for contactor</t>
  </si>
  <si>
    <t>max total vessel volume</t>
  </si>
  <si>
    <t>vessel diameter at max volume</t>
  </si>
  <si>
    <t>vessel length at max volume</t>
  </si>
  <si>
    <t>comp_max_vol_length</t>
  </si>
  <si>
    <t>max vessel surface area</t>
  </si>
  <si>
    <t>comp_max_horiz_sa</t>
  </si>
  <si>
    <t>comp_target_bed_depth_horiz</t>
  </si>
  <si>
    <t>comp_sa_required_horiz</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</si>
  <si>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</si>
  <si>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</si>
  <si>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</si>
  <si>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</si>
  <si>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</si>
  <si>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</si>
  <si>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</si>
  <si>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rounded to reflect the length we will actually use on the input sheet</t>
  </si>
  <si>
    <t>rounded only if the vessel design sheet is rounding</t>
  </si>
  <si>
    <t>volume of a horizontal slice of a cylinder</t>
  </si>
  <si>
    <t>Ventilation air change rate for pump room</t>
  </si>
  <si>
    <t>build2_fp</t>
  </si>
  <si>
    <t>strictest max of the above, rounded</t>
  </si>
  <si>
    <t>strictest min of the above, rounded</t>
  </si>
  <si>
    <t>Constraints</t>
  </si>
  <si>
    <t>S_eductor</t>
  </si>
  <si>
    <t>S_slurry</t>
  </si>
  <si>
    <t>lbs</t>
  </si>
  <si>
    <t>total_backwash</t>
  </si>
  <si>
    <t>Facility dimension assumed square</t>
  </si>
  <si>
    <t>Inlet and outlet pipe length</t>
  </si>
  <si>
    <t>in_out_pipe_length</t>
  </si>
  <si>
    <t>Inlet and Outlet Piping</t>
  </si>
  <si>
    <t>Inlet and outlet piping diameter</t>
  </si>
  <si>
    <t>in_out_pipe_diam</t>
  </si>
  <si>
    <t>Ductile Iron</t>
  </si>
  <si>
    <t>Backwashing one vessel</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</si>
  <si>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</si>
  <si>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</si>
  <si>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</si>
  <si>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</si>
  <si>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</si>
  <si>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</si>
  <si>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</si>
  <si>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</si>
  <si>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</si>
  <si>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</si>
  <si>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</si>
  <si>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</si>
  <si>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</si>
  <si>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</si>
  <si>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</si>
  <si>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</si>
  <si>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Number of manual control valves on chemical line per chemical pump</t>
  </si>
  <si>
    <t>chem_man_pump</t>
  </si>
  <si>
    <t>Number of MOVs for polymer addition line</t>
  </si>
  <si>
    <t>tot_polymer_MOVs</t>
  </si>
  <si>
    <t>Number of manual valves for hydrogen peroxide line</t>
  </si>
  <si>
    <t>tot_polymer_man</t>
  </si>
  <si>
    <t>Polymer pipe flow</t>
  </si>
  <si>
    <t>polymer_pipe_flow</t>
  </si>
  <si>
    <t>Polymer pipe diameter</t>
  </si>
  <si>
    <t>polymer_pipe_diam</t>
  </si>
  <si>
    <t>Polymer addition pipe length</t>
  </si>
  <si>
    <t>polymer_pipe_length</t>
  </si>
  <si>
    <t>polymer_valve_size</t>
  </si>
  <si>
    <t>Polymer storage tank diameter</t>
  </si>
  <si>
    <t>polymer_st_diam</t>
  </si>
  <si>
    <t>Access space per polymer holding tank</t>
  </si>
  <si>
    <t>space_polymer_st</t>
  </si>
  <si>
    <t>Polymer storage tank footprint</t>
  </si>
  <si>
    <t>polymer_fp</t>
  </si>
  <si>
    <t>Polymer Storage Tanks</t>
  </si>
  <si>
    <t>pl_polymer_st_eq</t>
  </si>
  <si>
    <t>pl_cst_eq</t>
  </si>
  <si>
    <t>fg_polymer_st_eq</t>
  </si>
  <si>
    <t>fg_cst_eq</t>
  </si>
  <si>
    <t>Polymer Piping</t>
  </si>
  <si>
    <t>cpvc_pipe_eq_polymer</t>
  </si>
  <si>
    <t>pvc_pipe_eq_polymer</t>
  </si>
  <si>
    <t>ss_pipe_eq_polymer</t>
  </si>
  <si>
    <t>st_pipe_eq_polymer</t>
  </si>
  <si>
    <t>Polypropylene/PVC - Polymer</t>
  </si>
  <si>
    <t>pp_mov_eq_polymer</t>
  </si>
  <si>
    <t>Stainless Steel - Polymer</t>
  </si>
  <si>
    <t>ss_mov_eq_polymer</t>
  </si>
  <si>
    <t>Cast Iron - Polymer</t>
  </si>
  <si>
    <t>ci_mov_eq_polymer</t>
  </si>
  <si>
    <t>pp_man_eq_polymer</t>
  </si>
  <si>
    <t>ss_man_eq_polymer</t>
  </si>
  <si>
    <t>ci_man_eq_polymer</t>
  </si>
  <si>
    <t>PVC - Motor Driven</t>
  </si>
  <si>
    <t>pvc_polymer_mmpump_eq</t>
  </si>
  <si>
    <t>pvc_mmpump_eq</t>
  </si>
  <si>
    <t>Stainless Steel - Motor Driven</t>
  </si>
  <si>
    <t>ss_polymer_mmpump_eq</t>
  </si>
  <si>
    <t>ss_mmpump_eq</t>
  </si>
  <si>
    <t>PVC - Electric</t>
  </si>
  <si>
    <t>pvc_polymer_empump_eq</t>
  </si>
  <si>
    <t>pvc_empump_eq</t>
  </si>
  <si>
    <t>Stainless Steel - Electric</t>
  </si>
  <si>
    <t>ss_polymer_empump_eq</t>
  </si>
  <si>
    <t>ss_empump_eq</t>
  </si>
  <si>
    <t>2.3.1</t>
  </si>
  <si>
    <t>3.6.1</t>
  </si>
  <si>
    <t>Polymer- Polypropylene/PVC</t>
  </si>
  <si>
    <t>Polymer- Stainless Steel</t>
  </si>
  <si>
    <t>Polymer- Cast Iron</t>
  </si>
  <si>
    <t>4.2.6</t>
  </si>
  <si>
    <t>4.1.5</t>
  </si>
  <si>
    <t>Polymer Metering</t>
  </si>
  <si>
    <t>5.4.1</t>
  </si>
  <si>
    <t>Minimum settling time when coagulant is used</t>
  </si>
  <si>
    <t>res_coag_settle_time</t>
  </si>
  <si>
    <t>&lt;-- 1 for surface water, 2 for POTW, 3 for recycle,4 for septic system, 5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</si>
  <si>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</si>
  <si>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</si>
  <si>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</si>
  <si>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</si>
  <si>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</si>
  <si>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</si>
  <si>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</si>
  <si>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</si>
  <si>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</si>
  <si>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</si>
  <si>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</si>
  <si>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</si>
  <si>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</si>
  <si>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</si>
  <si>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</si>
  <si>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</si>
  <si>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</si>
  <si>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</si>
  <si>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</si>
  <si>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</si>
  <si>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</si>
  <si>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</si>
  <si>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</si>
  <si>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</si>
  <si>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</si>
  <si>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</si>
  <si>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</si>
  <si>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</si>
  <si>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</si>
  <si>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</si>
  <si>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</si>
  <si>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</si>
  <si>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</si>
  <si>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</si>
  <si>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</si>
  <si>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</si>
  <si>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</si>
  <si>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</si>
  <si>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</si>
  <si>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</si>
  <si>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</si>
  <si>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</si>
  <si>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</si>
  <si>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</si>
  <si>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</si>
  <si>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</si>
  <si>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</si>
  <si>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</si>
  <si>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</si>
  <si>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</si>
  <si>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</si>
  <si>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Evaporation pond solids density</t>
  </si>
  <si>
    <t>ep_solids_density</t>
  </si>
  <si>
    <t>Evaporation pond dike cross-sectional area</t>
  </si>
  <si>
    <t>dike_xsection</t>
  </si>
  <si>
    <t>13' top and 1:2 side slope, 2'6" height</t>
  </si>
  <si>
    <t>Evaporation Pond or Holding/Septic Tank Solids</t>
  </si>
  <si>
    <t>Evaporation pond TSS accumulation</t>
  </si>
  <si>
    <t>ep_solids</t>
  </si>
  <si>
    <t>Number of motor/air operated control valves on residuals line per cell</t>
  </si>
  <si>
    <t>res_MOV_ep</t>
  </si>
  <si>
    <t>valves/cell</t>
  </si>
  <si>
    <t>res_man_ep</t>
  </si>
  <si>
    <t>Additional footprint for evaporation pond</t>
  </si>
  <si>
    <t>ep_fp</t>
  </si>
  <si>
    <t>Evaporation Pond</t>
  </si>
  <si>
    <t>Backfill</t>
  </si>
  <si>
    <t>Liner</t>
  </si>
  <si>
    <t>Dike Construction</t>
  </si>
  <si>
    <t>14.1.1</t>
  </si>
  <si>
    <t>14.1.2</t>
  </si>
  <si>
    <t>14.1.2.1</t>
  </si>
  <si>
    <t>14.1.3</t>
  </si>
  <si>
    <t>14.1.3.1</t>
  </si>
  <si>
    <t>14.2.1</t>
  </si>
  <si>
    <t>14.2.2</t>
  </si>
  <si>
    <t>14.2.2.1</t>
  </si>
  <si>
    <t>14.2.3</t>
  </si>
  <si>
    <t>14.2.3.1</t>
  </si>
  <si>
    <t>14.3</t>
  </si>
  <si>
    <t>Miles to radioactive (non-hazardous) waste disposal site</t>
  </si>
  <si>
    <t>rad_miles</t>
  </si>
  <si>
    <t>Miles to radioactive hazardous waste disposal site</t>
  </si>
  <si>
    <t>hazrad_miles</t>
  </si>
  <si>
    <t>Sales tax percentage</t>
  </si>
  <si>
    <t>tax_pct</t>
  </si>
  <si>
    <t>Financing percentage</t>
  </si>
  <si>
    <t>finance_pct</t>
  </si>
  <si>
    <t>Annual cooling degree days</t>
  </si>
  <si>
    <t>cool_DD</t>
  </si>
  <si>
    <t>degree days</t>
  </si>
  <si>
    <t>BTU/yr</t>
  </si>
  <si>
    <t>Building 1 side conductance heat loss</t>
  </si>
  <si>
    <t>units/vessel</t>
  </si>
  <si>
    <t>Total level switch/alarms</t>
  </si>
  <si>
    <t>tot_level_switch</t>
  </si>
  <si>
    <t>High/Low alarms per backwash tank</t>
  </si>
  <si>
    <t>kWh/yr</t>
  </si>
  <si>
    <t>MWh/yr</t>
  </si>
  <si>
    <t>/sf/yr</t>
  </si>
  <si>
    <t>Pump head for booster pumps</t>
  </si>
  <si>
    <t>Temperature meters</t>
  </si>
  <si>
    <t>temp_meters</t>
  </si>
  <si>
    <t>turb</t>
  </si>
  <si>
    <t>turb_tank</t>
  </si>
  <si>
    <t>Additional turbitidy meters</t>
  </si>
  <si>
    <t>add_turb</t>
  </si>
  <si>
    <t>head_tank</t>
  </si>
  <si>
    <t>Total turbidity meters</t>
  </si>
  <si>
    <t>Total head loss sensors</t>
  </si>
  <si>
    <t>tot_turb_meters</t>
  </si>
  <si>
    <t>tot_head_sens</t>
  </si>
  <si>
    <t>ports_tank</t>
  </si>
  <si>
    <t>Additional sampling ports</t>
  </si>
  <si>
    <t>add_ports</t>
  </si>
  <si>
    <t>Number of operating vessels</t>
  </si>
  <si>
    <t>Management option for spent carbon</t>
  </si>
  <si>
    <t>Water backwash rate</t>
  </si>
  <si>
    <t>Backwash time</t>
  </si>
  <si>
    <t>h2oflush_backwash_rate</t>
  </si>
  <si>
    <t>backwash_time</t>
  </si>
  <si>
    <t>gpm/square ft</t>
  </si>
  <si>
    <t>Valves</t>
  </si>
  <si>
    <t>Storage basin depth to volume ratio</t>
  </si>
  <si>
    <t>Storage basin freeboard</t>
  </si>
  <si>
    <t>storage_ratio</t>
  </si>
  <si>
    <t>storage_freeboard</t>
  </si>
  <si>
    <t>Required for calculation of hazardous waste transport costs only</t>
  </si>
  <si>
    <t>sol_disposal_fee</t>
  </si>
  <si>
    <t>Coagulant storage footprint</t>
  </si>
  <si>
    <t>Chemical storage height</t>
  </si>
  <si>
    <t>storage_height</t>
  </si>
  <si>
    <t>cstore_fp</t>
  </si>
  <si>
    <t>Chemical Feed and Transfer</t>
  </si>
  <si>
    <t>Dry Feeders</t>
  </si>
  <si>
    <t>Portable</t>
  </si>
  <si>
    <t>Mounted</t>
  </si>
  <si>
    <t>hmount_mix_eq</t>
  </si>
  <si>
    <t>mount_mix_eq</t>
  </si>
  <si>
    <t>Volumetric Feeder</t>
  </si>
  <si>
    <t>Gravimetric Feeder</t>
  </si>
  <si>
    <t>Dry Feeders for Residuals Coagulant</t>
  </si>
  <si>
    <t>Residuals Mixers</t>
  </si>
  <si>
    <t>Residuals Discharge/Disposal</t>
  </si>
  <si>
    <t>&lt;--current inputs</t>
  </si>
  <si>
    <t>&lt;--inputs used at last "Generate Results"</t>
  </si>
  <si>
    <t>EBCT per line</t>
  </si>
  <si>
    <t>Total Vessel Media Volume</t>
  </si>
  <si>
    <t>comp_vol_required_stg1</t>
  </si>
  <si>
    <t>minimum surface area</t>
  </si>
  <si>
    <t>comp_sa_min</t>
  </si>
  <si>
    <t>maximum surface area</t>
  </si>
  <si>
    <t>comp_sa_max</t>
  </si>
  <si>
    <t>required dry volume</t>
  </si>
  <si>
    <t>volume of media in first-stage vessels</t>
  </si>
  <si>
    <t>Borings, cased borings in earth, w/samples, 2.5" dia</t>
  </si>
  <si>
    <t>Test pits</t>
  </si>
  <si>
    <t>Total geotechnical cost</t>
  </si>
  <si>
    <t>geotech_cost</t>
  </si>
  <si>
    <t>Costs</t>
  </si>
  <si>
    <t>Minimum number of boreholes</t>
  </si>
  <si>
    <t>min_holes</t>
  </si>
  <si>
    <t>For BDST calculation</t>
  </si>
  <si>
    <t>Fluid velocity</t>
  </si>
  <si>
    <t>v</t>
  </si>
  <si>
    <t>m/min</t>
  </si>
  <si>
    <t>Bed depth in meters</t>
  </si>
  <si>
    <t>D</t>
  </si>
  <si>
    <t>m</t>
  </si>
  <si>
    <t>Bed life</t>
  </si>
  <si>
    <t>bed_life</t>
  </si>
  <si>
    <t>months</t>
  </si>
  <si>
    <t>Average regeneration rate</t>
  </si>
  <si>
    <t>regen_day</t>
  </si>
  <si>
    <t>Regeneration capacity needed (on-site only)</t>
  </si>
  <si>
    <t>regen_capacity</t>
  </si>
  <si>
    <t>comp_vert_min_number</t>
  </si>
  <si>
    <t>based on guidance and CDAs for max dimensions</t>
  </si>
  <si>
    <t>for all vessels</t>
  </si>
  <si>
    <t>Input Parameters</t>
  </si>
  <si>
    <t>miles</t>
  </si>
  <si>
    <t>Distance to discharge or recycle point</t>
  </si>
  <si>
    <t>Pump efficiency</t>
  </si>
  <si>
    <t>Residuals pump head</t>
  </si>
  <si>
    <t>res_pump_psi</t>
  </si>
  <si>
    <t>Backwash pump head</t>
  </si>
  <si>
    <t>back_pump_head</t>
  </si>
  <si>
    <t>the autosize_opt macro varies this number automatically as a search parameter.  Not user adjustable.</t>
  </si>
  <si>
    <t>based on max_diam CDA</t>
  </si>
  <si>
    <t>Equations developed in Working draft of "Design and Cost Estimates for Advanced Water Treatment Technologies", 9/30/00, include access space.</t>
  </si>
  <si>
    <t>coag_density</t>
  </si>
  <si>
    <t>lb/ft3</t>
  </si>
  <si>
    <t>coag_spf</t>
  </si>
  <si>
    <t>lbs accumulated per pound added</t>
  </si>
  <si>
    <t>88-06-2</t>
  </si>
  <si>
    <t>Fiberglass</t>
  </si>
  <si>
    <t>System Size Category</t>
  </si>
  <si>
    <t>Piping</t>
  </si>
  <si>
    <t>Process Piping</t>
  </si>
  <si>
    <t>lf</t>
  </si>
  <si>
    <t>in. diam</t>
  </si>
  <si>
    <t>CPVC</t>
  </si>
  <si>
    <t>PVC</t>
  </si>
  <si>
    <t>Steel</t>
  </si>
  <si>
    <t>ex_TSS_total</t>
  </si>
  <si>
    <t>grams</t>
  </si>
  <si>
    <t>Materials for booster pumps</t>
  </si>
  <si>
    <t>Drive controllers per residuals pump</t>
  </si>
  <si>
    <t>Drive controllers per coagulant feeder</t>
  </si>
  <si>
    <t>Drive controllers per coagulant mixer</t>
  </si>
  <si>
    <t>hmix_hp_per</t>
  </si>
  <si>
    <t>hp per 1,000 gallons</t>
  </si>
  <si>
    <t>Max holding tank mixer horsepower</t>
  </si>
  <si>
    <t>hmix_hp_max</t>
  </si>
  <si>
    <t>The largest impeller mixer size available</t>
  </si>
  <si>
    <t>Mixers per tank</t>
  </si>
  <si>
    <t>hmix_per_tank</t>
  </si>
  <si>
    <t>Impeller Mixers</t>
  </si>
  <si>
    <t>himp_mix_eq</t>
  </si>
  <si>
    <t>imp_mix_eq</t>
  </si>
  <si>
    <t>Impeller</t>
  </si>
  <si>
    <t>max_diam_override</t>
  </si>
  <si>
    <t>Maximum vessel diameter will be chosen from a table of conventional sizes for commercial vessels, unless entered here.  Systems have used vessels up to 14' diam and height in practice (AWWA Inorganic Contaminants Workshop 2006)</t>
  </si>
  <si>
    <t>From Central Cost Database</t>
  </si>
  <si>
    <t>Maximum Standard Vessel Diameter</t>
  </si>
  <si>
    <t>max_diam_std_size</t>
  </si>
  <si>
    <t>Standard unless overridden on CDA's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</si>
  <si>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</si>
  <si>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Legal percentage</t>
  </si>
  <si>
    <t>legal_pct</t>
  </si>
  <si>
    <t>Soil density</t>
  </si>
  <si>
    <t>soil_dens</t>
  </si>
  <si>
    <t>Number of manual valves on backwash line per contactor</t>
  </si>
  <si>
    <t>No proces flow meters in P&amp;ID for this technology</t>
  </si>
  <si>
    <t>valve/contactor</t>
  </si>
  <si>
    <t>units/contactor</t>
  </si>
  <si>
    <t>Level switch/alarms per pressure vessel</t>
  </si>
  <si>
    <t>Level switch/alarms per GAC basin</t>
  </si>
  <si>
    <t>units/basin</t>
  </si>
  <si>
    <t>level_switch_g</t>
  </si>
  <si>
    <t>level_switch_small_g</t>
  </si>
  <si>
    <t>Additional pH meters (pressure systems)</t>
  </si>
  <si>
    <t>pH meters per gravity contactor</t>
  </si>
  <si>
    <t>Turbitity meters per gravity contactor</t>
  </si>
  <si>
    <t>add_turb_p</t>
  </si>
  <si>
    <t>add_turb_small_p</t>
  </si>
  <si>
    <t>Chemical storage tank size</t>
  </si>
  <si>
    <t>polymer_tank_vol</t>
  </si>
  <si>
    <t>Mixers per storage tank</t>
  </si>
  <si>
    <t>polymer_cmix_per_tank</t>
  </si>
  <si>
    <t>Number of storage tank mixers</t>
  </si>
  <si>
    <t>polymer_cmixers</t>
  </si>
  <si>
    <t>Mixer size for storage tanks</t>
  </si>
  <si>
    <t>polymer_cmix_size</t>
  </si>
  <si>
    <t>polymer_rate</t>
  </si>
  <si>
    <t>Number of chemical metering pumps</t>
  </si>
  <si>
    <t>cm_pumps_polymer</t>
  </si>
  <si>
    <t>Chemical metering pump rating</t>
  </si>
  <si>
    <t>cm_pump_rating_polymer</t>
  </si>
  <si>
    <t>gph</t>
  </si>
  <si>
    <t>Maximum chemical storage tank size</t>
  </si>
  <si>
    <t>max_chem_tank_size</t>
  </si>
  <si>
    <t>Maximum chemical tank mixer horsepower</t>
  </si>
  <si>
    <t>cmix_hp_max</t>
  </si>
  <si>
    <t>Chemical tank mixer horsepower</t>
  </si>
  <si>
    <t>cmix_hp_per</t>
  </si>
  <si>
    <t>hp per 1000 gal</t>
  </si>
  <si>
    <t>Number of redundant chemical metering pumps</t>
  </si>
  <si>
    <t>NRD_cm_pump</t>
  </si>
  <si>
    <t>Maximum chemical metering pump size</t>
  </si>
  <si>
    <t>max_cm_pump_size</t>
  </si>
  <si>
    <t>Annual polymer use</t>
  </si>
  <si>
    <t>polymer_yr</t>
  </si>
  <si>
    <t>Annual ferric chloride use</t>
  </si>
  <si>
    <t>Number of motor/air operated control valves on chemical line per chemical pump</t>
  </si>
  <si>
    <t>chem_MOV_pump</t>
  </si>
  <si>
    <t>Number of manual valves on influent and effluent line</t>
  </si>
  <si>
    <t>City Index</t>
  </si>
  <si>
    <t>For additional TSS removal, if desired</t>
  </si>
  <si>
    <t>coag_dose</t>
  </si>
  <si>
    <t>Stainless Steel - Residuals</t>
  </si>
  <si>
    <t>ss_chv_eq_res</t>
  </si>
  <si>
    <t>Cast Iron - Residuals</t>
  </si>
  <si>
    <t>ci_chv_eq_res</t>
  </si>
  <si>
    <t>Residuals</t>
  </si>
  <si>
    <t>res_pump_eq</t>
  </si>
  <si>
    <t>op_fm_eq_res</t>
  </si>
  <si>
    <t>Residuals - Polypropylene/PVC</t>
  </si>
  <si>
    <t>Residuals - Stainless Steel</t>
  </si>
  <si>
    <t>Residuals - Cast Iron</t>
  </si>
  <si>
    <t>Discharge option for spent backwash</t>
  </si>
  <si>
    <t>TSS in treated water</t>
  </si>
  <si>
    <t>effluent_TSS</t>
  </si>
  <si>
    <t>Backwash pumping flow needed</t>
  </si>
  <si>
    <t>Redundant backwash pumps</t>
  </si>
  <si>
    <t>NRD_back_pumps</t>
  </si>
  <si>
    <t>pump</t>
  </si>
  <si>
    <t>Multiple pumps used if total backwash flow is very high, includes redundant pumps</t>
  </si>
  <si>
    <t>back_pump_flow_total</t>
  </si>
  <si>
    <t>eductors</t>
  </si>
  <si>
    <t>Based on theoretical operating characteristics for Elmridge Liqui-Jet Eductors</t>
  </si>
  <si>
    <t>proc_MOV_pump</t>
  </si>
  <si>
    <t>back_MOV_vessel</t>
  </si>
  <si>
    <t>back_MOV_pump</t>
  </si>
  <si>
    <t>back_MOV_tank</t>
  </si>
  <si>
    <t>Number of check valves on backwash line per backwash pump</t>
  </si>
  <si>
    <t>back_chv_pump</t>
  </si>
  <si>
    <t>Number of eductors</t>
  </si>
  <si>
    <t xml:space="preserve">     For small systems</t>
  </si>
  <si>
    <r>
      <t xml:space="preserve">For information: </t>
    </r>
    <r>
      <rPr>
        <sz val="10"/>
        <color indexed="17"/>
        <rFont val="Arial"/>
        <family val="2"/>
      </rPr>
      <t># of booster pumps</t>
    </r>
  </si>
  <si>
    <t>Number of redundant vessels for small systems with only one vessel</t>
  </si>
  <si>
    <t>NRD_small_1</t>
  </si>
  <si>
    <t>If a design includes only one operating vessel, there should be at least one additional vessel</t>
  </si>
  <si>
    <t>Number of redundant vessels for small systems with multiple vessels</t>
  </si>
  <si>
    <t>NRD_small</t>
  </si>
  <si>
    <t>Small systems can operate at reduced capacity while one vessel is down for backwash, if there are multiple vessels</t>
  </si>
  <si>
    <t>&lt;-- pick or leave blank</t>
  </si>
  <si>
    <t>component_level_I</t>
  </si>
  <si>
    <t>no_backwash_I</t>
  </si>
  <si>
    <t>blank = low cost, 1 = mid cost, 2 = high cost</t>
  </si>
  <si>
    <t>actual diameter</t>
  </si>
  <si>
    <t>actual length</t>
  </si>
  <si>
    <t>max pressure vessel volume in cl.xls</t>
  </si>
  <si>
    <t>Design safety factor for standby power</t>
  </si>
  <si>
    <t>std_safety_factor</t>
  </si>
  <si>
    <t>lighting</t>
  </si>
  <si>
    <t>If total footprint is large, building 1 contains vessels only.  If total footprint is small, building 1 contains all equipment.</t>
  </si>
  <si>
    <t>Building 1 ventilation</t>
  </si>
  <si>
    <t>Building 2 ventilation</t>
  </si>
  <si>
    <t>Total ventilation</t>
  </si>
  <si>
    <t>Always include NEPA compliance costs?</t>
  </si>
  <si>
    <t>include_NEPA</t>
  </si>
  <si>
    <t>&lt;--- enter 1 for yes, 2 for no</t>
  </si>
  <si>
    <t>Carbon Life Input Type</t>
  </si>
  <si>
    <t>Bed Depth</t>
  </si>
  <si>
    <t>Transfer Method</t>
  </si>
  <si>
    <t>op_fm_eq_in</t>
  </si>
  <si>
    <t>op_fm_eq</t>
  </si>
  <si>
    <t>Redundant booster pumps</t>
  </si>
  <si>
    <t>NRD_pumps</t>
  </si>
  <si>
    <t>Pilot Study</t>
  </si>
  <si>
    <t>Contingency</t>
  </si>
  <si>
    <t>Process Engineering</t>
  </si>
  <si>
    <t>Legal, Fiscal, and Administrative</t>
  </si>
  <si>
    <t>Sales Tax</t>
  </si>
  <si>
    <t>total of the two void volumes above</t>
  </si>
  <si>
    <t>remaining volume in a max-size pressure vessel, minus bed expansion</t>
  </si>
  <si>
    <t>extra number to test for min cost</t>
  </si>
  <si>
    <t>comp_nlines_extra_search</t>
  </si>
  <si>
    <t>we will search the number of lines until we find a minumum cost, then go this much farther to make sure we aren't in a local minimum</t>
  </si>
  <si>
    <t>available surface area, one vessel</t>
  </si>
  <si>
    <t>available surface area, all vessels</t>
  </si>
  <si>
    <t>Total GAC quanity</t>
  </si>
  <si>
    <t>GAC quantity each contactor</t>
  </si>
  <si>
    <t>GAC_each</t>
  </si>
  <si>
    <t>Total backwash volume</t>
  </si>
  <si>
    <t>Backwash flow</t>
  </si>
  <si>
    <t>GAC in grams</t>
  </si>
  <si>
    <t>M</t>
  </si>
  <si>
    <t>For Freundlich calculation</t>
  </si>
  <si>
    <t>Flow rate in L/min</t>
  </si>
  <si>
    <t>QL</t>
  </si>
  <si>
    <t>L/min</t>
  </si>
  <si>
    <t>N0/e</t>
  </si>
  <si>
    <t>N_0_e</t>
  </si>
  <si>
    <t>mg/cubic m</t>
  </si>
  <si>
    <t>grav_feed_rate</t>
  </si>
  <si>
    <t>Volumetric dry feeder rating</t>
  </si>
  <si>
    <t>vol_feed_rate</t>
  </si>
  <si>
    <t>Number of mixers</t>
  </si>
  <si>
    <t>hmixers</t>
  </si>
  <si>
    <t>coag_store</t>
  </si>
  <si>
    <t>lbs/min</t>
  </si>
  <si>
    <t>Days of coagulant storage</t>
  </si>
  <si>
    <t>cstore_days</t>
  </si>
  <si>
    <t>days</t>
  </si>
  <si>
    <t>Coagulant Use</t>
  </si>
  <si>
    <t>coag_yr</t>
  </si>
  <si>
    <t>Shipments per year</t>
  </si>
  <si>
    <t>Ratio of  length to diameter for horizontal vessels for autosize</t>
  </si>
  <si>
    <t>Guidance: Carbon life is best determined by pilot or RSSCT tests. Use theoretical calculation methods (e.g., Freundlich isotherms) only in the absence of such data for initial assessment of carbon life and suitability of GAC for treatment.</t>
  </si>
  <si>
    <t>Number of backwash pumps</t>
  </si>
  <si>
    <t>pumps</t>
  </si>
  <si>
    <t>backwash_pumps</t>
  </si>
  <si>
    <t>Process piping length</t>
  </si>
  <si>
    <t>Include heating in standby power</t>
  </si>
  <si>
    <t>Include cooling in standby power</t>
  </si>
  <si>
    <t>need_heat</t>
  </si>
  <si>
    <t>Round surface area?</t>
  </si>
  <si>
    <t>comp_round_sa</t>
  </si>
  <si>
    <t>op_fm_eq_proc</t>
  </si>
  <si>
    <t>gac_slurry_eq</t>
  </si>
  <si>
    <t>seductor_eq</t>
  </si>
  <si>
    <t>regen_backfill_vol</t>
  </si>
  <si>
    <t>regen_railing</t>
  </si>
  <si>
    <t>regen_tanks</t>
  </si>
  <si>
    <t>regen_tank_vol</t>
  </si>
  <si>
    <t>regen_basin_op_depth</t>
  </si>
  <si>
    <t>cpvc_pipe_eq_back</t>
  </si>
  <si>
    <t>pvc_pipe_eq_back</t>
  </si>
  <si>
    <t>ss_pipe_eq_back</t>
  </si>
  <si>
    <t>st_pipe_eq_back</t>
  </si>
  <si>
    <t>Heat pump cooling mode EER</t>
  </si>
  <si>
    <t>Heat pump (cooling mode)</t>
  </si>
  <si>
    <t>pp_mov_eq_tank</t>
  </si>
  <si>
    <t>ss_mov_eq_tank</t>
  </si>
  <si>
    <t>pp_mov_eq_back</t>
  </si>
  <si>
    <t>ss_mov_eq_back</t>
  </si>
  <si>
    <t>Pumping</t>
  </si>
  <si>
    <t>to reach maximum loading rate</t>
  </si>
  <si>
    <t>to reach minimum loading rate</t>
  </si>
  <si>
    <t>volume of media in all vessels</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</si>
  <si>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</si>
  <si>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</si>
  <si>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</si>
  <si>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</si>
  <si>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</si>
  <si>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</si>
  <si>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</si>
  <si>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</si>
  <si>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</si>
  <si>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</si>
  <si>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</si>
  <si>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</si>
  <si>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</si>
  <si>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</si>
  <si>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Leave blank to accept model defaults (only systems between 1 and 10 MGD require separate backwash tanks)</t>
  </si>
  <si>
    <t>radians</t>
  </si>
  <si>
    <t>Pipe length the boundary of the 10 foot buffer to distribution network</t>
  </si>
  <si>
    <t>target number of lines</t>
  </si>
  <si>
    <t>Standby Power</t>
  </si>
  <si>
    <t>Electrical (including yard wiring)</t>
  </si>
  <si>
    <t>Instrumentation and Control</t>
  </si>
  <si>
    <t>Permits</t>
  </si>
  <si>
    <t>Mid</t>
  </si>
  <si>
    <t>Process - Polypropylene/PVC</t>
  </si>
  <si>
    <t>Process - Stainless Steel</t>
  </si>
  <si>
    <t>&lt;-- 1 for regeneration on-site, 2 for regeneration off-site (non-hazardous), 3 for throwaway (non-hazardous), 4 for regeneration off-site (hazardous), 5 for throwaway (hazardous), 6 for throwaway (radioactive), 7 for throwaway (hazardous &amp; radioactive)</t>
  </si>
  <si>
    <t>&lt;-- 1 for non-hazardous, 2 for hazardous, 3 for radioactive, 4 for hazardous radioactive</t>
  </si>
  <si>
    <t>Disposal method for non-hazardous secondary solids</t>
  </si>
  <si>
    <t>solids_method</t>
  </si>
  <si>
    <t>&lt;-- 1 for landfill, 2 for land application</t>
  </si>
  <si>
    <t>Ignored if solids are hazardous or radioactive</t>
  </si>
  <si>
    <t>htransfer_time</t>
  </si>
  <si>
    <t>Ferric chloride sludge production factor</t>
  </si>
  <si>
    <t>Polymer sludge production factor</t>
  </si>
  <si>
    <t>polymer_spf</t>
  </si>
  <si>
    <t>Use basins, instead of tanks, when cogulant is added</t>
  </si>
  <si>
    <t>When coagulant is used, holding tanks will be sized so that residuals are present for at least this long. Based on 90-120 minute settling time in sedimentation basins (Water Treatment Plant Design, 4th ed.)</t>
  </si>
  <si>
    <t>Heating Table (1=include heating in buildings and O&amp;M, 0 = do not include heating)</t>
  </si>
  <si>
    <t>Component Level</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</si>
  <si>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</si>
  <si>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</si>
  <si>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</si>
  <si>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</si>
  <si>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</si>
  <si>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</si>
  <si>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</si>
  <si>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</si>
  <si>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</si>
  <si>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</si>
  <si>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One CPU is needed to run the local and expansion bases and modules (max 8192 I/O); using two to provide redundancy</t>
  </si>
  <si>
    <t>Guidance: EBCT is best determined by pilot tests, but may be calculated for radon if a steady state rate constant (Kss) is available. Use the theoretical calculation method for radon only in the absence of pilot data for initial assessment of EBCT and suitability of GAC for treatment.</t>
  </si>
  <si>
    <t>Adjust bypass percentage</t>
  </si>
  <si>
    <t>Adjust vessel size constraints</t>
  </si>
  <si>
    <t>Adjust loading constraints</t>
  </si>
  <si>
    <t>Maximum vessel height (circular vessels)</t>
  </si>
  <si>
    <t>facil_length</t>
  </si>
  <si>
    <t>Building 1 air exchange heat loss</t>
  </si>
  <si>
    <t>Buiding 2 ceiling conductance heat loss</t>
  </si>
  <si>
    <t>Building 2 air exchange heat loss</t>
  </si>
  <si>
    <t>Building 2 side conductance heat loss</t>
  </si>
  <si>
    <t>heating</t>
  </si>
  <si>
    <t>Head loss sensor</t>
  </si>
  <si>
    <t>head</t>
  </si>
  <si>
    <t>switch</t>
  </si>
  <si>
    <t>99-87-6</t>
  </si>
  <si>
    <t>87-68-3</t>
  </si>
  <si>
    <t>Quantity of media handled per year</t>
  </si>
  <si>
    <t>Managing residual solids</t>
  </si>
  <si>
    <t>Diuron</t>
  </si>
  <si>
    <t>330-54-1</t>
  </si>
  <si>
    <t>EPTC</t>
  </si>
  <si>
    <t>759-94-4</t>
  </si>
  <si>
    <t>Fonofos</t>
  </si>
  <si>
    <t>944-22-9</t>
  </si>
  <si>
    <t>Linuron</t>
  </si>
  <si>
    <t>330-55-2</t>
  </si>
  <si>
    <t>95-48-7</t>
  </si>
  <si>
    <t>Molinate</t>
  </si>
  <si>
    <t>2212-67-1</t>
  </si>
  <si>
    <t>Methyl bromide</t>
  </si>
  <si>
    <t>74-83-9</t>
  </si>
  <si>
    <t>Nitrobenzene</t>
  </si>
  <si>
    <t>98-95-3</t>
  </si>
  <si>
    <t>Prometon</t>
  </si>
  <si>
    <t>1610-18-0</t>
  </si>
  <si>
    <t>RDX</t>
  </si>
  <si>
    <t>121-82-4</t>
  </si>
  <si>
    <t>Terbacil</t>
  </si>
  <si>
    <t>5902-51-2</t>
  </si>
  <si>
    <t>Terbufos</t>
  </si>
  <si>
    <t>13071-79-9</t>
  </si>
  <si>
    <t>Makeup carbon for on-site regeneration</t>
  </si>
  <si>
    <t>makeup_rate</t>
  </si>
  <si>
    <t>pH meters per gravity contactor for small systems</t>
  </si>
  <si>
    <t>Head loss sensors per contactor for small systems</t>
  </si>
  <si>
    <t>Clerical_percent</t>
  </si>
  <si>
    <t>Clerical_LOE</t>
  </si>
  <si>
    <t>Annual Operator LOE</t>
  </si>
  <si>
    <t>Operator_LOE</t>
  </si>
  <si>
    <t>hours</t>
  </si>
  <si>
    <t>/therm</t>
  </si>
  <si>
    <t>/gal</t>
  </si>
  <si>
    <t>pump_fp</t>
  </si>
  <si>
    <t>Total footprint</t>
  </si>
  <si>
    <t>total_fp</t>
  </si>
  <si>
    <t>Concrete Class A for vessel and pumps padding</t>
  </si>
  <si>
    <t>concrete</t>
  </si>
  <si>
    <t>cubic yards</t>
  </si>
  <si>
    <t>Access space per pump</t>
  </si>
  <si>
    <t>Number of holding tanks</t>
  </si>
  <si>
    <t>htanks</t>
  </si>
  <si>
    <t>Guidance: redundant unit every 1-5 parallel lines</t>
  </si>
  <si>
    <t>tank_geom</t>
  </si>
  <si>
    <t>curve</t>
  </si>
  <si>
    <t>Size of flow meters for influent line</t>
  </si>
  <si>
    <t>S_booster_pump</t>
  </si>
  <si>
    <t>S_back_pump</t>
  </si>
  <si>
    <t>Borehole needed every x square feet</t>
  </si>
  <si>
    <t>hole_per_sf</t>
  </si>
  <si>
    <t>Number of test pits</t>
  </si>
  <si>
    <t>num_pits</t>
  </si>
  <si>
    <t>Number of boreholes</t>
  </si>
  <si>
    <t>num_holes</t>
  </si>
  <si>
    <t>Boreholes per job</t>
  </si>
  <si>
    <t>hole_per_job</t>
  </si>
  <si>
    <t>comm_vol</t>
  </si>
  <si>
    <t>gal</t>
  </si>
  <si>
    <t>Energy for heating</t>
  </si>
  <si>
    <t>Borings, drawings showing boring details</t>
  </si>
  <si>
    <t>Borings, report and recommendations from P.E.</t>
  </si>
  <si>
    <t>Borings, mobilization and demobilization, minimum</t>
  </si>
  <si>
    <t>POTW TSS discharge limit (over which fee would be imposed)</t>
  </si>
  <si>
    <t>POTW_TSS_limit</t>
  </si>
  <si>
    <t>Miles to non-hazardous solid waste disposal site</t>
  </si>
  <si>
    <t>non_haz_miles</t>
  </si>
  <si>
    <t>sept_pipe_diam</t>
  </si>
  <si>
    <t>Typical design: 4" perforated pvc pipe</t>
  </si>
  <si>
    <t>Septic tank cleaning frequency</t>
  </si>
  <si>
    <t>septic_disp_freq</t>
  </si>
  <si>
    <t>sf</t>
  </si>
  <si>
    <t>proc_man_vessel</t>
  </si>
  <si>
    <t>Number of manual valves for process line</t>
  </si>
  <si>
    <t>tot_proc_man</t>
  </si>
  <si>
    <t>pp_man_eq_proc</t>
  </si>
  <si>
    <t>Standby power for heating</t>
  </si>
  <si>
    <t>std_heat</t>
  </si>
  <si>
    <t>Pressure vessel relining/basin maintenance materials</t>
  </si>
  <si>
    <t>Basin mainenance labor (gravity systems)</t>
  </si>
  <si>
    <t>filter_labor</t>
  </si>
  <si>
    <t>Building height (gravity systems)</t>
  </si>
  <si>
    <t>Building_height_g</t>
  </si>
  <si>
    <t>Maximum basin excavation depth</t>
  </si>
  <si>
    <t>max_excav_depth</t>
  </si>
  <si>
    <t>Borehole depth (pressure systems)</t>
  </si>
  <si>
    <t>Large gravity systems with deep basins require deeper investigation</t>
  </si>
  <si>
    <t>bore_depth_p</t>
  </si>
  <si>
    <t>Contactors</t>
  </si>
  <si>
    <t>Backwash Basin/Tanks</t>
  </si>
  <si>
    <t>holding tank</t>
  </si>
  <si>
    <t>1.2.2</t>
  </si>
  <si>
    <t>1.2.3</t>
  </si>
  <si>
    <t>1.2.4</t>
  </si>
  <si>
    <t>1.2.5</t>
  </si>
  <si>
    <t>1.2.6</t>
  </si>
  <si>
    <t>Design Type</t>
  </si>
  <si>
    <t># of contactors in series</t>
  </si>
  <si>
    <t>I/O Ports needed per….</t>
  </si>
  <si>
    <t>Lookup name</t>
  </si>
  <si>
    <t>Discrete Inputs</t>
  </si>
  <si>
    <t>Discrete Outputs</t>
  </si>
  <si>
    <t>Analog Inputs</t>
  </si>
  <si>
    <t>Analog Outputs</t>
  </si>
  <si>
    <t>Multiple pump approach eliminates need for redundant pumps</t>
  </si>
  <si>
    <t>Number of CPUs</t>
  </si>
  <si>
    <t>r_bed_life</t>
  </si>
  <si>
    <t>Bed life for retrofit</t>
  </si>
  <si>
    <t>N0/e for retrofit</t>
  </si>
  <si>
    <t>r_regen_day</t>
  </si>
  <si>
    <t>r_GAC_yr</t>
  </si>
  <si>
    <t>r_regen_yr</t>
  </si>
  <si>
    <t>r_GAC_makeup</t>
  </si>
  <si>
    <t>Septic drain field trench depth</t>
  </si>
  <si>
    <t>Backwash tank diameter</t>
  </si>
  <si>
    <t>bt_diam</t>
  </si>
  <si>
    <t>st_diam</t>
  </si>
  <si>
    <t>Residuals holding tank diameter</t>
  </si>
  <si>
    <t>ht_diam</t>
  </si>
  <si>
    <t>Virgin GAC storage tank diameter</t>
  </si>
  <si>
    <t>vt_diam</t>
  </si>
  <si>
    <t>Spent GAC storage tank diameter</t>
  </si>
  <si>
    <t>Regenerated GAC storage tank diameter</t>
  </si>
  <si>
    <t>rt_diam</t>
  </si>
  <si>
    <t>comm_height_length</t>
  </si>
  <si>
    <t>comm_diam</t>
  </si>
  <si>
    <t>Maximum vessel diameter</t>
  </si>
  <si>
    <t>Buiding 1 ceiling conductance heat loss</t>
  </si>
  <si>
    <t>Heating ventilation/infiltration load</t>
  </si>
  <si>
    <t>Cooling ventilation/infiltration load</t>
  </si>
  <si>
    <t>heat_viload</t>
  </si>
  <si>
    <t>cool_viload</t>
  </si>
  <si>
    <t>BTU/cfm</t>
  </si>
  <si>
    <t>Building 1 air exchange rate</t>
  </si>
  <si>
    <t>cfm</t>
  </si>
  <si>
    <t>build1_cfm</t>
  </si>
  <si>
    <t>Building 2 air exchange rate</t>
  </si>
  <si>
    <t>build2_cfm</t>
  </si>
  <si>
    <t>Land Cost per acre</t>
  </si>
  <si>
    <t>land_cost</t>
  </si>
  <si>
    <t>pump_eq</t>
  </si>
  <si>
    <t>Number of mechanical ventilation days per year 2nd building (small system)</t>
  </si>
  <si>
    <t>fan_days_build2_small</t>
  </si>
  <si>
    <t>For small systems (&lt;1 MGD)</t>
  </si>
  <si>
    <t>Many systems can operate to 0.5 gpm/sf (Richard E. Hubel, Peter Keenan, American Water Works Service Company, Inc.).</t>
  </si>
  <si>
    <t>Solids drying pad</t>
  </si>
  <si>
    <t>Area required</t>
  </si>
  <si>
    <t>solids_pad_area</t>
  </si>
  <si>
    <t>Concrete</t>
  </si>
  <si>
    <t>solids_pad_concrete</t>
  </si>
  <si>
    <t>cubic yds</t>
  </si>
  <si>
    <t>Residual solids storage height (for drying pad)</t>
  </si>
  <si>
    <t>solids_storage_height</t>
  </si>
  <si>
    <t>Validity Checks</t>
  </si>
  <si>
    <t>Contaminant removal requirements</t>
  </si>
  <si>
    <t>EBCT_type</t>
  </si>
  <si>
    <t>EBCT_I</t>
  </si>
  <si>
    <t>EBCT_O</t>
  </si>
  <si>
    <t>Kss</t>
  </si>
  <si>
    <t>freund_type</t>
  </si>
  <si>
    <t>Septic Tank Solids Disposal Fees</t>
  </si>
  <si>
    <t>septic_disposal_fee</t>
  </si>
  <si>
    <t>Septic Tanks</t>
  </si>
  <si>
    <t>Excavation for Septic Tanks</t>
  </si>
  <si>
    <t>Distribution Boxes</t>
  </si>
  <si>
    <t>Distribution Pipe (Perforated PVC)</t>
  </si>
  <si>
    <t>Drain Field Trench Excavation</t>
  </si>
  <si>
    <t>Drain Field Gravel</t>
  </si>
  <si>
    <t>septic_tank_eq</t>
  </si>
  <si>
    <t>I/O Discrete Output Modules</t>
  </si>
  <si>
    <t>Redundant Contactors</t>
  </si>
  <si>
    <t>Number of Booster pumps</t>
  </si>
  <si>
    <t>Number of manual valves for residual line</t>
  </si>
  <si>
    <t>total_res_man</t>
  </si>
  <si>
    <t>333-41-5</t>
  </si>
  <si>
    <t>120-83-2</t>
  </si>
  <si>
    <t>563-58-6</t>
  </si>
  <si>
    <t>142-28-9</t>
  </si>
  <si>
    <t>51-28-5</t>
  </si>
  <si>
    <t>121-14-2</t>
  </si>
  <si>
    <t>606-20-2</t>
  </si>
  <si>
    <t>122-66-7</t>
  </si>
  <si>
    <t>Disulfoton</t>
  </si>
  <si>
    <t>298-04-4</t>
  </si>
  <si>
    <t>space_pumps</t>
  </si>
  <si>
    <t>Number of manual valves on process line per vessel</t>
  </si>
  <si>
    <t>Access space per backwash tank</t>
  </si>
  <si>
    <t>Maximum access space per vessel or tank</t>
  </si>
  <si>
    <t>max_space_vessels</t>
  </si>
  <si>
    <t>Minimum will always be one, but larger systems will have multiple workstations to control the system</t>
  </si>
  <si>
    <t>Vessel Geometry</t>
  </si>
  <si>
    <t>Vessel Diameter</t>
  </si>
  <si>
    <t>Organic-free groundwater</t>
  </si>
  <si>
    <t>media_changes_cf</t>
  </si>
  <si>
    <t>cf</t>
  </si>
  <si>
    <t>For use with mechanical transfer, incorporates number of vessels. For onsite regeneration, media changeout labor is included regen_labor, below</t>
  </si>
  <si>
    <t>For use with manual transfer, incorporates both removal and refill. For onsite regeneration, media changeout labor is included regen_labor, below</t>
  </si>
  <si>
    <t>Minimum average flow as percentage of design</t>
  </si>
  <si>
    <t>min_avg_flow</t>
  </si>
  <si>
    <t>Flow meters for process line per vessel</t>
  </si>
  <si>
    <t>Characteristics of holding tank solids</t>
  </si>
  <si>
    <t>O&amp;M Items</t>
  </si>
  <si>
    <t>r_inc_regen_capacity</t>
  </si>
  <si>
    <t>Number of check valves on influent line in add-on scenario</t>
  </si>
  <si>
    <t>in_chv</t>
  </si>
  <si>
    <t>in_chv_addon</t>
  </si>
  <si>
    <t>Number of flow meters for influent and effluent line</t>
  </si>
  <si>
    <t>fm_in</t>
  </si>
  <si>
    <t>fm_in_addon</t>
  </si>
  <si>
    <t>Include pilot study costs in add-on scenario?</t>
  </si>
  <si>
    <t>include_pilot_addon</t>
  </si>
  <si>
    <t>plc_cpu_standalone</t>
  </si>
  <si>
    <t>Number of CPUs in add-on scenario</t>
  </si>
  <si>
    <t>plc_cpu_addon</t>
  </si>
  <si>
    <t>Ethernet modules in add-on scenario</t>
  </si>
  <si>
    <t>plc_ethernet_addon</t>
  </si>
  <si>
    <t>plc_ethernet_standalone</t>
  </si>
  <si>
    <t>plc_interface_standalone</t>
  </si>
  <si>
    <t>plc_interface_addon</t>
  </si>
  <si>
    <t>ups_standalone</t>
  </si>
  <si>
    <t>ups_addon</t>
  </si>
  <si>
    <t>pit_length</t>
  </si>
  <si>
    <t>pit_width</t>
  </si>
  <si>
    <t>pit_depth</t>
  </si>
  <si>
    <t>bore_depth</t>
  </si>
  <si>
    <t>bore_need</t>
  </si>
  <si>
    <t>Technology footprint above which boreholes are needed</t>
  </si>
  <si>
    <t>Drive controllers per slurry pump system</t>
  </si>
  <si>
    <t>Total drive controllers</t>
  </si>
  <si>
    <t>Drive controllers</t>
  </si>
  <si>
    <t>Missing Cost?:</t>
  </si>
  <si>
    <t>See indirect assumptions sheet to exclude buildings</t>
  </si>
  <si>
    <t>Total of process and building costs</t>
  </si>
  <si>
    <t>Internal use</t>
  </si>
  <si>
    <t>Indirect cost multiplier</t>
  </si>
  <si>
    <t>Indirect costs added</t>
  </si>
  <si>
    <t>Subtotal indirect and add-on cost</t>
  </si>
  <si>
    <t>lb/cubic ft.</t>
  </si>
  <si>
    <t>Based on soil density of loamy sand (1.55 gm/cc)</t>
  </si>
  <si>
    <t>Coefficient of passive pressure</t>
  </si>
  <si>
    <t>Reduction factor</t>
  </si>
  <si>
    <t>Coeff_Kp</t>
  </si>
  <si>
    <t>Reduction</t>
  </si>
  <si>
    <t>yard_pipe_diam</t>
  </si>
  <si>
    <t>Actual yard piping diameter</t>
  </si>
  <si>
    <t>hole_per_day</t>
  </si>
  <si>
    <t>boreholes/job</t>
  </si>
  <si>
    <t>RS Means Costworks 2001</t>
  </si>
  <si>
    <t>Linear feet bored per day</t>
  </si>
  <si>
    <t>l.f./day</t>
  </si>
  <si>
    <t>r_replace_gac_eq</t>
  </si>
  <si>
    <t>r_off_regen_eq</t>
  </si>
  <si>
    <t>Retrofit (optional)</t>
  </si>
  <si>
    <t>Retrofit</t>
  </si>
  <si>
    <t>Makeup carbon 10% for on-site regeneration (Richard E. Hubel, Peter Keenan, American Water Works Service Company).</t>
  </si>
  <si>
    <t>Count?</t>
  </si>
  <si>
    <t>Depreciation</t>
  </si>
  <si>
    <t>direct_for_UL</t>
  </si>
  <si>
    <t>total_direct_depreciation</t>
  </si>
  <si>
    <t>build_UL</t>
  </si>
  <si>
    <t>ANNUALIZED COSTS</t>
  </si>
  <si>
    <t>Discount rate</t>
  </si>
  <si>
    <t>User adjustable</t>
  </si>
  <si>
    <t>Calculate households based on:</t>
  </si>
  <si>
    <t>ground water</t>
  </si>
  <si>
    <t>Household size (people per household)</t>
  </si>
  <si>
    <t>Useful Life (Reciprocal Weighted Average)</t>
  </si>
  <si>
    <t>years</t>
  </si>
  <si>
    <t>Number of households served</t>
  </si>
  <si>
    <t>households</t>
  </si>
  <si>
    <t>Annualized Cost</t>
  </si>
  <si>
    <t>Annualized cost per 1,000 gallons average flow</t>
  </si>
  <si>
    <t>/kgal</t>
  </si>
  <si>
    <t>Annualized cost per household</t>
  </si>
  <si>
    <t>/household/year</t>
  </si>
  <si>
    <t>Spent media quantity (average per year)</t>
  </si>
  <si>
    <t>spent_media_yr</t>
  </si>
  <si>
    <t>Makeup carbon for off-site regeneration</t>
  </si>
  <si>
    <t>makeup_rate_off</t>
  </si>
  <si>
    <t>Makeup carbon needs are higher for transport and regeneration off-site -- 30% (Richard E. Hubel, Peter Keenan, American Water Works Service Company).</t>
  </si>
  <si>
    <t>Trench length</t>
  </si>
  <si>
    <t>sept_trench_l</t>
  </si>
  <si>
    <t>Drain field gravel required</t>
  </si>
  <si>
    <t>sept_gravel_vol</t>
  </si>
  <si>
    <t>Trench excavation required</t>
  </si>
  <si>
    <t>sept_trench_excav_vol</t>
  </si>
  <si>
    <t>Septic tank side length</t>
  </si>
  <si>
    <t>sept_tank_side</t>
  </si>
  <si>
    <t>Tank excavation required</t>
  </si>
  <si>
    <t>sept_tank_exav_vol</t>
  </si>
  <si>
    <t>Number of distribution boxes</t>
  </si>
  <si>
    <t>sept_dist_boxes</t>
  </si>
  <si>
    <t>Septic distribution pipe length</t>
  </si>
  <si>
    <t>sept_pipe_length</t>
  </si>
  <si>
    <t>Drain field land area required</t>
  </si>
  <si>
    <t>sept_fp</t>
  </si>
  <si>
    <t>gpd</t>
  </si>
  <si>
    <t>sq ft</t>
  </si>
  <si>
    <t>Typical state/local regulations allow trench sides below pipe to be counted as part of infiltration area</t>
  </si>
  <si>
    <t>cu yd</t>
  </si>
  <si>
    <t>Assumes cube shape for simplicity</t>
  </si>
  <si>
    <t>Assumes piping to septic tank and laterals between trenches are accounted for by existing residuals piping cost</t>
  </si>
  <si>
    <t>Minimum septic tank discharge time</t>
  </si>
  <si>
    <t>min_sept_disch_time</t>
  </si>
  <si>
    <t>Typical of state/local regulations</t>
  </si>
  <si>
    <t>Minimum septic tank volume</t>
  </si>
  <si>
    <t>min_sept_tank_vol</t>
  </si>
  <si>
    <t>State/local regulations dictate a minimum of 750 to 1000 gallons; 1000 is the minimum size for which costs are available</t>
  </si>
  <si>
    <t>Maximum septic tank volume</t>
  </si>
  <si>
    <t>max_sept_tank_vol</t>
  </si>
  <si>
    <t>The largest size for which costs are available</t>
  </si>
  <si>
    <t>Septic tank volume safety factor</t>
  </si>
  <si>
    <t>sept_tank_sf</t>
  </si>
  <si>
    <t>Allow for tank freeboard &amp; effluent other than residuals</t>
  </si>
  <si>
    <t>Long term acceptance rate</t>
  </si>
  <si>
    <t>sept_LTAR</t>
  </si>
  <si>
    <t>gpd/sq ft</t>
  </si>
  <si>
    <t>Used by states/localities to dermine the minimum trench infiltration area; varies based on soil type</t>
  </si>
  <si>
    <t>Septic drain field trench width</t>
  </si>
  <si>
    <t>sept_trench_w</t>
  </si>
  <si>
    <t>State/local regulations require 2 to 4 feet; RS Means costs based on 4' trenches</t>
  </si>
  <si>
    <t>discrete_outputs</t>
  </si>
  <si>
    <t>analog_inputs</t>
  </si>
  <si>
    <t>analog_outputs</t>
  </si>
  <si>
    <t>Maximum vessel length (longitudinal vessels)</t>
  </si>
  <si>
    <t>design_flow</t>
  </si>
  <si>
    <t>average_flow</t>
  </si>
  <si>
    <t>Design Flow Rate</t>
  </si>
  <si>
    <t>design_flow_rate</t>
  </si>
  <si>
    <t>EBCT per vessel</t>
  </si>
  <si>
    <t>load_min</t>
  </si>
  <si>
    <t>load_max</t>
  </si>
  <si>
    <t>square feet</t>
  </si>
  <si>
    <t>target diameter</t>
  </si>
  <si>
    <t>target length</t>
  </si>
  <si>
    <t>from guidance on input sheet</t>
  </si>
  <si>
    <t>target height</t>
  </si>
  <si>
    <t>dimensions for vertical vessels</t>
  </si>
  <si>
    <t>6.5</t>
  </si>
  <si>
    <t>6.7</t>
  </si>
  <si>
    <t>6.9</t>
  </si>
  <si>
    <t>6.10</t>
  </si>
  <si>
    <t>Initial GAC Charge</t>
  </si>
  <si>
    <t>gac_eq</t>
  </si>
  <si>
    <t>Multiple Hearth Furnace System</t>
  </si>
  <si>
    <t>on_regen_eq</t>
  </si>
  <si>
    <t>Virgin GAC Storage</t>
  </si>
  <si>
    <t>Concrete Basins</t>
  </si>
  <si>
    <t>Steel Tanks</t>
  </si>
  <si>
    <t>Spent GAC Storage</t>
  </si>
  <si>
    <t>Regenerated GAC Storage</t>
  </si>
  <si>
    <t>no equation</t>
  </si>
  <si>
    <t>st_vt_eq</t>
  </si>
  <si>
    <t>st_st_eq</t>
  </si>
  <si>
    <t>st_rt_eq</t>
  </si>
  <si>
    <t>Does not include backwash pumping or on-site regeneration, as these activities can be delayed in the event of a power outage</t>
  </si>
  <si>
    <t>throwaway (non-hazardous)</t>
  </si>
  <si>
    <t>regeneration off-site (non-hazardous)</t>
  </si>
  <si>
    <t>Additional Transportation Cost for Off-site Regeneration (Hazardous)</t>
  </si>
  <si>
    <t>Regeneration frequency</t>
  </si>
  <si>
    <t>haz_regen_transp</t>
  </si>
  <si>
    <t>Radon</t>
  </si>
  <si>
    <t>Materials_pct</t>
  </si>
  <si>
    <t>Annual contactor materials cost as a percent of capital</t>
  </si>
  <si>
    <t>To account for vessel relining, as GAC can be corrosive</t>
  </si>
  <si>
    <t>filter_materials</t>
  </si>
  <si>
    <t>Materials for GAC contactors</t>
  </si>
  <si>
    <t>Steady state system constant (Kss)</t>
  </si>
  <si>
    <t>Breakthrough concentration</t>
  </si>
  <si>
    <t>valve_table</t>
  </si>
  <si>
    <t>port_table</t>
  </si>
  <si>
    <t>Temperature meters for small systems</t>
  </si>
  <si>
    <t>Influent concentration</t>
  </si>
  <si>
    <t>Based on output sheet selection for inlet and outlet pipe</t>
  </si>
  <si>
    <t>Includes labor for regular operations, maintenance, regeneration, etc.</t>
  </si>
  <si>
    <t>MGD (excludes bypass flow)</t>
  </si>
  <si>
    <t>Under assumptions below, valves are motorized for fully automated systems, manual for semi-automated and manual systems</t>
  </si>
  <si>
    <t>Hold the greater of one event of media removal or one holding tank cleanout</t>
  </si>
  <si>
    <t>horizontal</t>
  </si>
  <si>
    <t>tank_geom_I</t>
  </si>
  <si>
    <t xml:space="preserve">For information:  </t>
  </si>
  <si>
    <t>Number of treatment trains</t>
  </si>
  <si>
    <t>Natural Gas</t>
  </si>
  <si>
    <t>regen_ng</t>
  </si>
  <si>
    <t>Therms/yr</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</si>
  <si>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</si>
  <si>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</si>
  <si>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</si>
  <si>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</si>
  <si>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</si>
  <si>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</si>
  <si>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</si>
  <si>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</si>
  <si>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</si>
  <si>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</si>
  <si>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</si>
  <si>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eng_pct_small</t>
  </si>
  <si>
    <t>Engineering percentage for medium systems</t>
  </si>
  <si>
    <t>eng_pct_medium</t>
  </si>
  <si>
    <t>Engineering percentage for large systems</t>
  </si>
  <si>
    <t>eng_pct_large</t>
  </si>
  <si>
    <t>Miscellaneous allowance percentage</t>
  </si>
  <si>
    <t>misc_pct</t>
  </si>
  <si>
    <t>from max_height CDA</t>
  </si>
  <si>
    <t>actual bed depth</t>
  </si>
  <si>
    <t>actual height</t>
  </si>
  <si>
    <t>Select carbon life input type</t>
  </si>
  <si>
    <t>freund_type_I</t>
  </si>
  <si>
    <t>Carbon life input type</t>
  </si>
  <si>
    <t>EBCT per contactor</t>
  </si>
  <si>
    <t>Carbon Life</t>
  </si>
  <si>
    <t>&lt;-- enter 1 for parallel, 2 or more for series</t>
  </si>
  <si>
    <t>Vessel geometry</t>
  </si>
  <si>
    <t>Total vessels (incl. redundancy, below)</t>
  </si>
  <si>
    <t>Num_tanks_I</t>
  </si>
  <si>
    <t>min_bed_depth</t>
  </si>
  <si>
    <t>max_bed_depth</t>
  </si>
  <si>
    <t>This sheet performs calculations to confirm that the contactor design on the Input page meets engineering constraints</t>
  </si>
  <si>
    <t>From Inputs</t>
  </si>
  <si>
    <t>Minimum Vessel Diameter</t>
  </si>
  <si>
    <t>min_diam</t>
  </si>
  <si>
    <t>Maximum Vessel Diameter</t>
  </si>
  <si>
    <t>trains</t>
  </si>
  <si>
    <t>res_s2_opt</t>
  </si>
  <si>
    <t>tons</t>
  </si>
  <si>
    <t>res_cap_factor</t>
  </si>
  <si>
    <t>Maximum holding tank size</t>
  </si>
  <si>
    <t>max_htank_size</t>
  </si>
  <si>
    <t>The largest size for which costs are available.</t>
  </si>
  <si>
    <t>Redundant residuals pumps</t>
  </si>
  <si>
    <t>NRD_res_pump</t>
  </si>
  <si>
    <t>Applies only if pumping is included</t>
  </si>
  <si>
    <t>add_res_pipe_length</t>
  </si>
  <si>
    <t>Number of motor/air operated control valves on residuals line per residuals pump</t>
  </si>
  <si>
    <t>res_MOV_pump</t>
  </si>
  <si>
    <t>bed depth for chosen geometry</t>
  </si>
  <si>
    <t>unit</t>
  </si>
  <si>
    <t>Internals (1st cell underdrain)</t>
  </si>
  <si>
    <t>Internals (add cell underdrain)</t>
  </si>
  <si>
    <t>Internals (backwash dist)</t>
  </si>
  <si>
    <t>cont_bot_eq</t>
  </si>
  <si>
    <t>cont_bot_add_eq</t>
  </si>
  <si>
    <t>cont_top_eq</t>
  </si>
  <si>
    <t>Internals (total)</t>
  </si>
  <si>
    <t>cont_int_eq</t>
  </si>
  <si>
    <t>Internals (Underdrain/Backwash System)</t>
  </si>
  <si>
    <t>ss_polymer_st_eq</t>
  </si>
  <si>
    <t>ss_cst_eq</t>
  </si>
  <si>
    <t>backwash_pump_valid</t>
  </si>
  <si>
    <t>new pumps</t>
  </si>
  <si>
    <t>backwash_storage_valid</t>
  </si>
  <si>
    <t>new storage</t>
  </si>
  <si>
    <t>comp_level_valid</t>
  </si>
  <si>
    <t>system_automation_valid</t>
  </si>
  <si>
    <t>semi-automated</t>
  </si>
  <si>
    <t>retrofit_valid</t>
  </si>
  <si>
    <t>add_on_valid</t>
  </si>
  <si>
    <t>INDEX</t>
  </si>
  <si>
    <t>User-adjustable Input or Assumption</t>
  </si>
  <si>
    <t>Variable Name and Link</t>
  </si>
  <si>
    <t>2nd Freundlich constant (1/n) or Bohart and Adams quasi-chemical rate constant (k)</t>
  </si>
  <si>
    <t>Desired effluent concentration</t>
  </si>
  <si>
    <t>Add a redundant pressure vessel per x parallel lines</t>
  </si>
  <si>
    <t>Computer workstations per x operators</t>
  </si>
  <si>
    <t>Printers per x computer workstations</t>
  </si>
  <si>
    <t>Number of control valves of x type on y line per z</t>
  </si>
  <si>
    <t>Semi-auto</t>
  </si>
  <si>
    <t>Fully Auto</t>
  </si>
  <si>
    <t>Valve table</t>
  </si>
  <si>
    <t>I/O port table</t>
  </si>
  <si>
    <t>Heating table for buildings 500 square feet or greater</t>
  </si>
  <si>
    <t>Heating table for buildings less than 500 ft2</t>
  </si>
  <si>
    <t>Cooling table for buildings 500 square feet or greater</t>
  </si>
  <si>
    <t>Cooling table for buildings less than 500 ft2</t>
  </si>
  <si>
    <t>Level switch/alarms per GAC basin for small systems</t>
  </si>
  <si>
    <t>Keeping this assumption with a value of 1 is strongly recommended; the cost equations method is more appropriate for national cost estimating and will be more accurate for nearly all user-specified designs</t>
  </si>
  <si>
    <t>Contaminant Selection</t>
  </si>
  <si>
    <t>Contaminant Name</t>
  </si>
  <si>
    <t>Internal Use</t>
  </si>
  <si>
    <t>Design Indices</t>
  </si>
  <si>
    <t>Number of Tanks</t>
  </si>
  <si>
    <t>Default Critical Design Assumptions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</si>
  <si>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</si>
  <si>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</si>
  <si>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</si>
  <si>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I/O Port Table</t>
  </si>
  <si>
    <t>See the I/O Port Table at the bottom of this page for additional assumptions relating to system controls</t>
  </si>
  <si>
    <t>Users may change any of the cells in the Value column</t>
  </si>
  <si>
    <t>Default Assumptions for Indirect and Add-On Costs</t>
  </si>
  <si>
    <t>Retrofit Calculations</t>
  </si>
  <si>
    <t>Calculation</t>
  </si>
  <si>
    <t>Contactor Constraint Calculations</t>
  </si>
  <si>
    <t>Backwash and Regeneration Calculations</t>
  </si>
  <si>
    <t>Pumps and Transfer Equipment</t>
  </si>
  <si>
    <t>Pumps, Piping, and Structure Calculations</t>
  </si>
  <si>
    <t>Instrumentation and Control Calculations</t>
  </si>
  <si>
    <t>Based on system size and component level (see cell comment), unless user overrides on input sheet</t>
  </si>
  <si>
    <t>res_s1_valid</t>
  </si>
  <si>
    <t>res_sol_validation</t>
  </si>
  <si>
    <t>contam_lookup</t>
  </si>
  <si>
    <t>Residuals Management Calculations</t>
  </si>
  <si>
    <t>Operation and Maintenance Calculations</t>
  </si>
  <si>
    <t>Building Heating, Ventilating, and Air Conditioning Calculations</t>
  </si>
  <si>
    <t>Indirect and Add-on Cost Calculations</t>
  </si>
  <si>
    <t>Component</t>
  </si>
  <si>
    <t>Cost Equations</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</si>
  <si>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</si>
  <si>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</si>
  <si>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Autosize</t>
  </si>
  <si>
    <t>This sheet is used internally to calculate component costs using the cost equations method; see model documentation for more details on the development of cost equations</t>
  </si>
  <si>
    <t>Lookup Tables and Input Validation</t>
  </si>
  <si>
    <t>This sheet is used internally to perform certain reference calculations and support input sheet data validation</t>
  </si>
  <si>
    <t>GRANULAR ACTIVATED CARBON (GAC) SYSTEM DESIGN AND COST INPUT</t>
  </si>
  <si>
    <t>Parameter</t>
  </si>
  <si>
    <t>Annualized cost per household per year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</si>
  <si>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</si>
  <si>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Design Quanitity</t>
  </si>
  <si>
    <t>Design Size</t>
  </si>
  <si>
    <t>Full Line Item Name</t>
  </si>
  <si>
    <t>Total of direct line items above:</t>
  </si>
  <si>
    <t>Direct cost category</t>
  </si>
  <si>
    <t>Add-on Line Item</t>
  </si>
  <si>
    <r>
      <t xml:space="preserve">Add-on Cost Details </t>
    </r>
    <r>
      <rPr>
        <i/>
        <sz val="10"/>
        <color rgb="FF008000"/>
        <rFont val="Arial"/>
        <family val="2"/>
      </rPr>
      <t>(See indirect assumptions sheet to exclude individual add-on items)</t>
    </r>
  </si>
  <si>
    <t>Indirect Line Item</t>
  </si>
  <si>
    <t>Percent</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</si>
  <si>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</si>
  <si>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t>Capital Cost Category</t>
  </si>
  <si>
    <t>User adjustable. Can be used to adjust estimated costs to be more reflective of a specific geographical location</t>
  </si>
  <si>
    <r>
      <t>Grand total capital cost</t>
    </r>
    <r>
      <rPr>
        <b/>
        <sz val="12"/>
        <color rgb="FF008000"/>
        <rFont val="Arial"/>
        <family val="2"/>
      </rPr>
      <t xml:space="preserve"> </t>
    </r>
    <r>
      <rPr>
        <i/>
        <sz val="10"/>
        <color rgb="FF008000"/>
        <rFont val="Arial"/>
        <family val="2"/>
      </rPr>
      <t>(incorporating city index)</t>
    </r>
  </si>
  <si>
    <t>Included by default for high cost systems only.</t>
  </si>
  <si>
    <r>
      <t xml:space="preserve">Indirect Capital Cost Details </t>
    </r>
    <r>
      <rPr>
        <i/>
        <sz val="10"/>
        <color rgb="FF008000"/>
        <rFont val="Arial"/>
        <family val="2"/>
      </rPr>
      <t>(See indirect assumptions sheet to exclude individual indirect items)</t>
    </r>
  </si>
  <si>
    <r>
      <t>Annual Operating and Maintenance Cost Details</t>
    </r>
    <r>
      <rPr>
        <i/>
        <sz val="10"/>
        <color rgb="FF008000"/>
        <rFont val="Arial"/>
        <family val="2"/>
      </rPr>
      <t xml:space="preserve"> (items in italics, without a 1 in the "Use?" column, represent alternate costs and are excluded from total)</t>
    </r>
  </si>
  <si>
    <t>1 ton cooling = 12,000 BTU/hr</t>
  </si>
  <si>
    <t>thousands of BTU per hour</t>
  </si>
  <si>
    <t>Guidance: Typically upright, although larger systems (e.g., greater than 2,000 gpm) might use horizontal vessels</t>
  </si>
  <si>
    <t>Guidance: Typically up to 14 feet for upright vessels, 20 to 40 feet for horizontal vessels</t>
  </si>
  <si>
    <t>Guidance: Typically 1.5 to 14 feet for upright vessels, 10 to 14 feet for horizontal vessels</t>
  </si>
  <si>
    <t>Size of valves for polymer line</t>
  </si>
  <si>
    <t>Polymer Mixers</t>
  </si>
  <si>
    <t>8.4</t>
  </si>
  <si>
    <t>8.4.1</t>
  </si>
  <si>
    <t>Polymer Storage Tank Mixers</t>
  </si>
  <si>
    <t>cmount_mix_eq_polymer</t>
  </si>
  <si>
    <t>cimp_mix_eq_polymer</t>
  </si>
  <si>
    <t>throwaway (radioactive)</t>
  </si>
  <si>
    <t>&lt;-- 2 for atrazine, 3 for radon, 4 for TCE, 5 for PCE, etc.</t>
  </si>
  <si>
    <t>For future expansion, Pressure</t>
  </si>
  <si>
    <t>One for treated water line, one on residual side of backwash line</t>
  </si>
  <si>
    <t>One for influent line, one for treated water line</t>
  </si>
  <si>
    <t>Pressure systems also include one on influent line</t>
  </si>
  <si>
    <t>Sampling ports for blended treated water</t>
  </si>
  <si>
    <t>One for influent line, one for treated water line, one on residual side of backwash line</t>
  </si>
  <si>
    <t>Number of manual valves on influent and treated water line</t>
  </si>
  <si>
    <t>Number of manual valves on influent and treated water line in add-on scenario</t>
  </si>
  <si>
    <t>Flow meters for influent and treated water line</t>
  </si>
  <si>
    <t>Flow meters for influent and treated water line in add-on scenario</t>
  </si>
  <si>
    <t>Automation</t>
  </si>
  <si>
    <r>
      <t xml:space="preserve">For information: </t>
    </r>
    <r>
      <rPr>
        <sz val="10"/>
        <color indexed="17"/>
        <rFont val="Arial"/>
        <family val="2"/>
      </rPr>
      <t>Component level</t>
    </r>
  </si>
  <si>
    <t>Number of stair risers for basins</t>
  </si>
  <si>
    <t>Overexcavation for basins</t>
  </si>
  <si>
    <t>Concrete thickness for basins</t>
  </si>
  <si>
    <t>Assumes standard building materials. If higher R-value materials are desired, user may also need to adjust the cost of building materials.</t>
  </si>
  <si>
    <t>Should be consistent with (reflect same climate as) heating and cooling assumptions on O&amp;M assumptions page</t>
  </si>
  <si>
    <t>For calculating cost of actual maintenance materials; not to be confused with depreciation; 5% would be too high (Richard E. Hubel, Peter Keenan, American Water Works Service Company, Inc)</t>
  </si>
  <si>
    <t>Heating and cooling assumptions should be consistent with one another. Assumed values are for a climate that results in a total energy usage for heating and cooling equal to the national median.</t>
  </si>
  <si>
    <t>Default of 0 means NEPA compliance is included in the high component cost estimate only. Selecting 1 means NEPA compliance will be included in all estimates. Selecting 0 means NEPA compliance will never be included.</t>
  </si>
  <si>
    <t>Typically 2-5% of the estimated construction cost. Enter 0% to exclude.</t>
  </si>
  <si>
    <t>Enter 0% to exclude. Highly site-specific. Can range from 2-5% of equipment, installation, construction, electrical, and standby power.</t>
  </si>
  <si>
    <t>Suppliers may provide specific data for individual GAC media</t>
  </si>
  <si>
    <t>Guidance: Typical pressure GAC bed depths are 2 to 8.5 ft</t>
  </si>
  <si>
    <t>Set to zero because vendor designs and quotes are usually expressed in inside diameter. Increase if user desires to input outside diameter.</t>
  </si>
  <si>
    <t>This assumption used only if concrete basins are used</t>
  </si>
  <si>
    <t>2 feet each side in each dimension. This assumption used only if concrete basins are used.</t>
  </si>
  <si>
    <t>Backwash duration is time allowed for backwash of filter. Use highest expected duration. Typically 5-10 minutes. Default is 10 minutes.</t>
  </si>
  <si>
    <t>This assumption applies if concrete basins are used. If tanks are used, number calculated on design sheet.</t>
  </si>
  <si>
    <t>Bulk density, not particle density. GAC density range of 22-30 lb/cubic ft; lignite GAC approximately 22 and bituminous GAC approximately 28 lb/cubic ft (Randal J. Braker, General Manager, Duck River Utility Commission)</t>
  </si>
  <si>
    <t>Percent of time that regeneration facility operates. Less than full time (100%) to allow for routine maintenance.</t>
  </si>
  <si>
    <t>100% means no redundancy (i.e., no additional capacity beyond that needed to account for runtime). Use a value greater than 100% to add capacity and provide redundancy.</t>
  </si>
  <si>
    <t>Target for systems using mechanical transfer. For systems with manual transfer, calcuated based on media volume.</t>
  </si>
  <si>
    <t>Default: one each for virgin, spent, and regenerated GAC. This assumption applies if concrete basins are used. If steel tanks are used, number calculated on regeneration sheet.</t>
  </si>
  <si>
    <t>Required only for technologies with significant electric-powered equipment outside a building</t>
  </si>
  <si>
    <t>Top_bottom_Vessel_space</t>
  </si>
  <si>
    <t>This is used to determine the building height for purposes of heating and cooling cost</t>
  </si>
  <si>
    <t>This is INFLUENT TSS. Backwash TSS is calculated and will be higher, as TSS removed are concentrated.</t>
  </si>
  <si>
    <t>Most common limit for cities with a limit</t>
  </si>
  <si>
    <t>Reflects an arid climate. If evaporation ponds are used, climate assumptions on O&amp;M assumptions page should also be changed to reflect an arid climate.</t>
  </si>
  <si>
    <t>A minimum of 2 two cells is essential to ensure availability of storage space during cleaning, maintainance or emergency conditions (Dewatering Municipal Wastewater Sludge,EPA design Manual, Dewatering Municipal Wastewater Sludges.EPA/625/1-87/014, September 1987)</t>
  </si>
  <si>
    <t>Range from 1 to 3 yrs, depending on the final solid concentration required and local climate (Dewatering Municipal Wastewater Sludge,EPA design Manual, Dewatering Municipal Wastewater Sludges.EPA/625/1-87/014, September 1987)</t>
  </si>
  <si>
    <t>For systems using manual media transfer. Based on 20 cubic yards per day, applied separately to removal and replacement.</t>
  </si>
  <si>
    <t>1, 2, and 4 W/sf are the assumptions used for building capital costs</t>
  </si>
  <si>
    <t>U.S. DOE, Energy Information Administration</t>
  </si>
  <si>
    <t>Default 0%. Apply a percentage to increase standby power requirements.</t>
  </si>
  <si>
    <t>If a system uses gas or diesel heat, heating will not be included in standby power, regardless of this assumption.</t>
  </si>
  <si>
    <t>Included as a direct cost line item</t>
  </si>
  <si>
    <t>Technology-specific factor. See Appendices for details. Low complexity = 0.5; Average complexity = 1.0; High complexity = 1.5; Very high complexity = 2.0.</t>
  </si>
  <si>
    <t>Enter 0% to exclude</t>
  </si>
  <si>
    <t>May be exempt if constructed with public funds. May be as high as 7.25% of equipment and construction, with national average 4.75%.</t>
  </si>
  <si>
    <t>Enter 0% to exclude. Typically assumed to be one year's interest on capital cost.</t>
  </si>
  <si>
    <t>For future expansion, Gravity</t>
  </si>
  <si>
    <t>Reference Data and Sources for Freundlich Isotherm Constants</t>
  </si>
  <si>
    <t>Freundlich Isotherm data provided by EPA Office of Research and Development</t>
  </si>
  <si>
    <t>Aldrin</t>
  </si>
  <si>
    <t>Bromobenzene</t>
  </si>
  <si>
    <t>Desethyl atrazine</t>
  </si>
  <si>
    <t>Dieldrin</t>
  </si>
  <si>
    <t>p-Isopropyltoluene</t>
  </si>
  <si>
    <t>Hexachlorobutadiene</t>
  </si>
  <si>
    <t>Methyl tert-butyl ether</t>
  </si>
  <si>
    <t>Metolachlor</t>
  </si>
  <si>
    <t>Metribuzin</t>
  </si>
  <si>
    <t>Naphthalene</t>
  </si>
  <si>
    <t>Molecular Weight</t>
  </si>
  <si>
    <t>Density (g/ml)</t>
  </si>
  <si>
    <t>Vapor Pressure (kPa)</t>
  </si>
  <si>
    <t>Solubility (mg/L)</t>
  </si>
  <si>
    <t>Reported 1/n (dimensionless)</t>
  </si>
  <si>
    <t>Predicted 1/n (dimensionless)</t>
  </si>
  <si>
    <r>
      <t>Reported K (ug/g)(L/ug)</t>
    </r>
    <r>
      <rPr>
        <b/>
        <vertAlign val="superscript"/>
        <sz val="10"/>
        <rFont val="Arial"/>
        <family val="2"/>
      </rPr>
      <t>1/n</t>
    </r>
  </si>
  <si>
    <r>
      <t>Predicted K (ug/g)(L/ug)</t>
    </r>
    <r>
      <rPr>
        <b/>
        <vertAlign val="superscript"/>
        <sz val="10"/>
        <rFont val="Arial"/>
        <family val="2"/>
      </rPr>
      <t>1/n</t>
    </r>
  </si>
  <si>
    <t>1,1-dichloropropene</t>
  </si>
  <si>
    <t>1,2-diphenylhydrazine</t>
  </si>
  <si>
    <t>1,3-dichloropropane</t>
  </si>
  <si>
    <t>2,4,6-trichlorophenol</t>
  </si>
  <si>
    <t>2,4-dichlorophenol</t>
  </si>
  <si>
    <t>2,4-dinitrophenol</t>
  </si>
  <si>
    <t>2,4-dinitrotoluene</t>
  </si>
  <si>
    <t>2,6-dinitrotoluene</t>
  </si>
  <si>
    <t>2-methyl phenol (o-Cresol)</t>
  </si>
  <si>
    <t>Atrazine and Cyanazine Data from Leung and Segar, 1999 (see below for reference)</t>
  </si>
  <si>
    <t>Alkalinity (mg-CaCO3/L)</t>
  </si>
  <si>
    <t>Hardness (mg-CaCO3/L)</t>
  </si>
  <si>
    <t>UV254 (1/cm)</t>
  </si>
  <si>
    <t>DOC (mg/L)</t>
  </si>
  <si>
    <t>Initial Concentration (ug/L)</t>
  </si>
  <si>
    <t>Influent Water Characteristics</t>
  </si>
  <si>
    <t>They found that constants varied depending on the characteristics of the influent water and on initial concentrations. Therefore, constants should be selected to best reflect the treatment conditions.</t>
  </si>
  <si>
    <t>Source: Leung and Segar. 1999.  Adsorptiona of s-triazine Herbicides in Natural Water by Activated Carbon.  Proceedings of American Water Works Association Annual Conference and Exposition.</t>
  </si>
  <si>
    <t>Transportation unit cost</t>
  </si>
  <si>
    <t>$/ton-mile</t>
  </si>
  <si>
    <t>$/shipment</t>
  </si>
  <si>
    <t>Transportation minimum charge per shipment</t>
  </si>
  <si>
    <t>Transportation mileage</t>
  </si>
  <si>
    <t>CAS Number</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</si>
  <si>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</si>
  <si>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</si>
  <si>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</si>
  <si>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</si>
  <si>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</si>
  <si>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Carbon life, 1st Freundlich constant (Kf), or Sorption capacity</t>
  </si>
  <si>
    <t>Percent Removal, Influent Concentration, or Total Theoretical Empty Bed Contact Time (EBCT)</t>
  </si>
  <si>
    <t>Pressure vessel bed depth</t>
  </si>
  <si>
    <t>Pressure vessel geometry</t>
  </si>
  <si>
    <t>Pressure vessel diameter</t>
  </si>
  <si>
    <t>Pressure vessel length (straight) or height (straight)</t>
  </si>
  <si>
    <t>Gravity contact basin width</t>
  </si>
  <si>
    <t>Gravity contact basin length</t>
  </si>
  <si>
    <t>Gravity contact bed depth</t>
  </si>
  <si>
    <t>Characteristics of evaporation pond solids or Characteristics of holding tank solids</t>
  </si>
  <si>
    <t>Retrofit - New carbon life, 1st Freundlich constant (Kf), or Sorption capacity</t>
  </si>
  <si>
    <t>Retrofit - 2nd Freundlich constant (1/n) or Bohart and Adams quasi-chemical rate constant (k)</t>
  </si>
  <si>
    <t>Retrofit - New influent concentration</t>
  </si>
  <si>
    <t>Retrofit - New breakthrough concentration</t>
  </si>
  <si>
    <t>Opeating LOE - Minutes per instrument per day</t>
  </si>
  <si>
    <t>Operating LOE - Recording operating paramenters for automated systems</t>
  </si>
  <si>
    <t>Operating LOE - Minutes per pump per day</t>
  </si>
  <si>
    <t>Operating LOE - Minutes per valve per week</t>
  </si>
  <si>
    <t>Operating LOE - Minutes per 100 sf per week</t>
  </si>
  <si>
    <t>Operating LOE - Minutes per backwash for automated systems</t>
  </si>
  <si>
    <t>Operating LOE - Hours per media changeout</t>
  </si>
  <si>
    <t>Level swithch/alarms per pressure vessel for small systems</t>
  </si>
  <si>
    <t>Additonal pH meters (pressure systems) for small systems</t>
  </si>
  <si>
    <t>Additonal turbidity meters for small systems</t>
  </si>
  <si>
    <t>Additional turbidity meters (pressure systems) for small systems</t>
  </si>
  <si>
    <t>Operator interfaces in add-on scenario</t>
  </si>
  <si>
    <t>GAC in grams (unchanged)</t>
  </si>
  <si>
    <t>Flow rate in L/min (unchanged)</t>
  </si>
  <si>
    <t>Fluid velocity (unchanged)</t>
  </si>
  <si>
    <t>Bed depth in meters (unchanged)</t>
  </si>
  <si>
    <t>Maintenance LOE for chemical supply systems</t>
  </si>
  <si>
    <t>Maintenance LOE for instruments (includes calibration)</t>
  </si>
  <si>
    <t>Maintenance LOE for pumps</t>
  </si>
  <si>
    <t>Maintenance LOE for valves</t>
  </si>
  <si>
    <t>For Freundlich calculation, does not change in retrofit scenario, repeated here for reference</t>
  </si>
  <si>
    <t>For BDST calculation, does not change in retrofit scenario, repeated here for reference</t>
  </si>
  <si>
    <t>Hazardous regeneration shipments per year after retrofit</t>
  </si>
  <si>
    <t>Additional transportation cost for hazardous regeneration after retrofit</t>
  </si>
  <si>
    <t>Regeneration frequency after retrofit</t>
  </si>
  <si>
    <t>r_haz_regen_transp</t>
  </si>
  <si>
    <t>Polymer storage in pounds</t>
  </si>
  <si>
    <t>polymer_storage_lbs</t>
  </si>
  <si>
    <t>eloss_pumps</t>
  </si>
  <si>
    <t>waste_heat_pumps</t>
  </si>
  <si>
    <t>Power lost: booster pumps</t>
  </si>
  <si>
    <t>Waste heat: booster pumps</t>
  </si>
  <si>
    <t>Power lost: backwash pumps</t>
  </si>
  <si>
    <t>eloss_bw_pumps</t>
  </si>
  <si>
    <t>Waste heat: backwash pumps</t>
  </si>
  <si>
    <t>waste_heat_bw_pumps</t>
  </si>
  <si>
    <t>Typically, bypass flow ranges between 0% and 50% of inflow. Enter zero to remove bypass piping and components. 0% is default consistent with the type of cost curves that EPA will need for its national cost simulation model.</t>
  </si>
  <si>
    <t>pump_hp</t>
  </si>
  <si>
    <t>back_pump_hp</t>
  </si>
  <si>
    <t>Plastic/XLPE</t>
  </si>
  <si>
    <t>disposal_shipments</t>
  </si>
  <si>
    <t>disposal_miles</t>
  </si>
  <si>
    <t>sol_disposal_shipments</t>
  </si>
  <si>
    <t>sol_disposal_miles</t>
  </si>
  <si>
    <t>Maximum waste shipment size</t>
  </si>
  <si>
    <t>max_waste_ship</t>
  </si>
  <si>
    <t>Include workstations in add-on scenario</t>
  </si>
  <si>
    <t>workstation_addon</t>
  </si>
  <si>
    <t>Include printers in add-on scenario</t>
  </si>
  <si>
    <t>printer_addon</t>
  </si>
  <si>
    <t>Include PLC rack/power supplies in add-on scenario</t>
  </si>
  <si>
    <t>plc_rack_addon</t>
  </si>
  <si>
    <t>Assumes additional PLC modules for add-on will fit on existing racks</t>
  </si>
  <si>
    <t>Include yard piping costs in add-on scenario?</t>
  </si>
  <si>
    <t>include_yardpipe_addon</t>
  </si>
  <si>
    <t>Include standby power costs in add-on scenario?</t>
  </si>
  <si>
    <t>include_standby_addon</t>
  </si>
  <si>
    <t>Include residuals pumps in add-on scenario</t>
  </si>
  <si>
    <t>res_pump_addon</t>
  </si>
  <si>
    <t>Include piping to discharge point in add-on scenario</t>
  </si>
  <si>
    <t>include_add_res_pipe_addon</t>
  </si>
  <si>
    <t>&lt;--1 for contaminant removal %, 2 for influent and effluent concentrations, 3 for EBCT</t>
  </si>
  <si>
    <t>Coagulant Purchasing</t>
  </si>
  <si>
    <t>Quantity required for large quantity purchase</t>
  </si>
  <si>
    <t>#N/A indicates that price data do not depend on volume purchased.</t>
  </si>
  <si>
    <t>Quantity required for mid quantity purchase</t>
  </si>
  <si>
    <t>Quantity required for small quantity purchase</t>
  </si>
  <si>
    <t>Purchase Type</t>
  </si>
  <si>
    <t>coag_purchase</t>
  </si>
  <si>
    <t>Returns descriptive term based on volume of each purchase for use in determining pricing. Blank indicates that price data do not depend on volume purchased.</t>
  </si>
  <si>
    <t>Polymer Purchasing</t>
  </si>
  <si>
    <t>polymer_purchase</t>
  </si>
  <si>
    <t>Media</t>
  </si>
  <si>
    <t>Maximum furnace capacity</t>
  </si>
  <si>
    <t>max_furnace_size</t>
  </si>
  <si>
    <t>Number of furnaces for on-site regeneration</t>
  </si>
  <si>
    <t>num_furnaces</t>
  </si>
  <si>
    <t>Capacity of each furnace</t>
  </si>
  <si>
    <t>furnace_size</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</si>
  <si>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</si>
  <si>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</si>
  <si>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</si>
  <si>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</si>
  <si>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</si>
  <si>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</si>
  <si>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</si>
  <si>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</si>
  <si>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</si>
  <si>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</si>
  <si>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</si>
  <si>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contact vendor</t>
  </si>
  <si>
    <t>back_pump_cost_cl</t>
  </si>
  <si>
    <t>BCI</t>
  </si>
  <si>
    <t>Avg. Unit Cost (per cy)</t>
  </si>
  <si>
    <t>N/A</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</si>
  <si>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</si>
  <si>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</si>
  <si>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</si>
  <si>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</si>
  <si>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</si>
  <si>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</si>
  <si>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</si>
  <si>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</si>
  <si>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</si>
  <si>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</si>
  <si>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</si>
  <si>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</si>
  <si>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</si>
  <si>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</si>
  <si>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</si>
  <si>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</si>
  <si>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</si>
  <si>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</si>
  <si>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</si>
  <si>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</si>
  <si>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</si>
  <si>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</si>
  <si>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</si>
  <si>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</si>
  <si>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</si>
  <si>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</si>
  <si>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</si>
  <si>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</si>
  <si>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</si>
  <si>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Mid Qty</t>
  </si>
  <si>
    <t>Calcium Hydroxide (Lime) - Small Qty</t>
  </si>
  <si>
    <t>Calcium Hypochlorite - Large Qty</t>
  </si>
  <si>
    <t>Calcium Hypochlorite - Mid Qty</t>
  </si>
  <si>
    <t>Calcium Hypochlorite - Small Qty</t>
  </si>
  <si>
    <t>Calcium Oxide (Quicklime)</t>
  </si>
  <si>
    <t>Citric Acid (food grade)</t>
  </si>
  <si>
    <t>Ethanol</t>
  </si>
  <si>
    <t>Ferric Chloride - Large Qty</t>
  </si>
  <si>
    <t>Ferric Chloride - Mid Qty</t>
  </si>
  <si>
    <t>Ferric Chloride - Small Qty</t>
  </si>
  <si>
    <t>Ferric Sulfate - Large Qty</t>
  </si>
  <si>
    <t>Ferric Sulfate - Mid Qty</t>
  </si>
  <si>
    <t>Ferric Sulfate - Small Qty</t>
  </si>
  <si>
    <t>Ferrous Sulfate</t>
  </si>
  <si>
    <t>Hydrochloric Acid</t>
  </si>
  <si>
    <t>Hydrogen Peroxide</t>
  </si>
  <si>
    <t>Liquid Oxygen</t>
  </si>
  <si>
    <t>Membrane Cleaner - High pH Detergent</t>
  </si>
  <si>
    <t>Membrane Cleaner - Low pH Sulfate Control</t>
  </si>
  <si>
    <t>Phosphoric Acid - Large Qty</t>
  </si>
  <si>
    <t>Phosphoric Acid - Small Qty</t>
  </si>
  <si>
    <t>Polyaluminum Chloride - Large Qty</t>
  </si>
  <si>
    <t>Polyaluminum Chloride - Mid Qty</t>
  </si>
  <si>
    <t>Polyaluminum Chloride - Small Qty</t>
  </si>
  <si>
    <t>Polymers - Large Qty</t>
  </si>
  <si>
    <t>Polymers - Small Qty</t>
  </si>
  <si>
    <t>Potassium Permanganate - Large Qty</t>
  </si>
  <si>
    <t>Potassium Permanganate - Mid Qty</t>
  </si>
  <si>
    <t>Potassium Permanganate - Small Qty</t>
  </si>
  <si>
    <t>Sodium Bicarbonate</t>
  </si>
  <si>
    <t>Sodium Bisulfite</t>
  </si>
  <si>
    <t>Sodium Carbonate (soda ash)</t>
  </si>
  <si>
    <t>Sodium Chloride - Large Qty</t>
  </si>
  <si>
    <t>Sodium Chloride - Small Qty</t>
  </si>
  <si>
    <t>Sodium Chlorite 25.0% Solution</t>
  </si>
  <si>
    <t>Sodium Chlorite 7.5% Solution</t>
  </si>
  <si>
    <t>Sodium Hexametaphosphate</t>
  </si>
  <si>
    <t>Sodium Hydroxide - Large Qty</t>
  </si>
  <si>
    <t>Sodium Hydroxide - Mid Qty</t>
  </si>
  <si>
    <t>Sodium Hydroxide - Small Qty</t>
  </si>
  <si>
    <t>Sodium Hypochlorite - Large Qty</t>
  </si>
  <si>
    <t>Sodium Hypochlorite - Small Qty</t>
  </si>
  <si>
    <t>Sulfuric Acid - Large Qty</t>
  </si>
  <si>
    <t>Sulfuric Acid - Small Qty</t>
  </si>
  <si>
    <t>Tetrasodium Polyphosphate - Large Qty</t>
  </si>
  <si>
    <t>Tetrasodium Polyphosphate - Small Qty</t>
  </si>
  <si>
    <t>Zinc Orthophosphate - Large Qty</t>
  </si>
  <si>
    <t>Zinc Orthophosphate - Mid Qty</t>
  </si>
  <si>
    <t>Zinc Orthophosphate - Small Qty</t>
  </si>
  <si>
    <t>chem_cost_cl</t>
  </si>
  <si>
    <t>bls1149</t>
  </si>
  <si>
    <t>Cast Iron Manual Valves</t>
  </si>
  <si>
    <t>Size needed (in. diam)</t>
  </si>
  <si>
    <t>Size selected (in. diam)</t>
  </si>
  <si>
    <t>ci_bfv_cost_cl</t>
  </si>
  <si>
    <t>Cast Iron Check Valves</t>
  </si>
  <si>
    <t>ci_chv_cost_cl</t>
  </si>
  <si>
    <t>Cast Iron Motor/Air Operated Valves (on/off)</t>
  </si>
  <si>
    <t>ci_mov_cost_cl</t>
  </si>
  <si>
    <t>Concrete for Basins</t>
  </si>
  <si>
    <t>conc_basin_cost_cl</t>
  </si>
  <si>
    <t>Concrete Pad</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</si>
  <si>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</si>
  <si>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</si>
  <si>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</si>
  <si>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</si>
  <si>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</si>
  <si>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</si>
  <si>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</si>
  <si>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</si>
  <si>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</si>
  <si>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</si>
  <si>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</si>
  <si>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</si>
  <si>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</si>
  <si>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</si>
  <si>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</si>
  <si>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</si>
  <si>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</si>
  <si>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</si>
  <si>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</si>
  <si>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</si>
  <si>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</si>
  <si>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</si>
  <si>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</si>
  <si>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bls1154</t>
  </si>
  <si>
    <t>Dot Matrix Printer</t>
  </si>
  <si>
    <t>dotmatrix_printer_cost_cl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</si>
  <si>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</si>
  <si>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</si>
  <si>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</si>
  <si>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</si>
  <si>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</si>
  <si>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</si>
  <si>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</si>
  <si>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</si>
  <si>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</si>
  <si>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</si>
  <si>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</si>
  <si>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</si>
  <si>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</si>
  <si>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</si>
  <si>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</si>
  <si>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</si>
  <si>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</si>
  <si>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</si>
  <si>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</si>
  <si>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</si>
  <si>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</si>
  <si>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</si>
  <si>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gac_cost_cl</t>
  </si>
  <si>
    <t>Slurry Pumps for Media Transfer</t>
  </si>
  <si>
    <t>Size Needed (lb/hr)</t>
  </si>
  <si>
    <t>Size Selected (lb/hr)</t>
  </si>
  <si>
    <t>gac_slurry_cost_cl</t>
  </si>
  <si>
    <t>bls114</t>
  </si>
  <si>
    <t>Gravimetric Dry Feeder</t>
  </si>
  <si>
    <t>Size Needed (lb/min)</t>
  </si>
  <si>
    <t>Size Selected (lb/min)</t>
  </si>
  <si>
    <t>grav_feed_cost_cl</t>
  </si>
  <si>
    <t xml:space="preserve">HDPE Backwash Tanks </t>
  </si>
  <si>
    <t>hdpe_bwt_cost_cl</t>
  </si>
  <si>
    <t>Head Loss Sensor</t>
  </si>
  <si>
    <t>headloss_cost_cl</t>
  </si>
  <si>
    <t>Impeller Mixers for Rapid Mix</t>
  </si>
  <si>
    <t>Size needed (hp)</t>
  </si>
  <si>
    <t>Size selected (hp)</t>
  </si>
  <si>
    <t>imp_mix_cost_cl</t>
  </si>
  <si>
    <t>Laser Jet Printer</t>
  </si>
  <si>
    <t>laser_printer_cost_cl</t>
  </si>
  <si>
    <t>Magnetic Flow Meters</t>
  </si>
  <si>
    <t>mag_fm_cost_cl</t>
  </si>
  <si>
    <t>Metalwork</t>
  </si>
  <si>
    <t>riser</t>
  </si>
  <si>
    <t>Checkered Plate Platform</t>
  </si>
  <si>
    <t>Grating</t>
  </si>
  <si>
    <t>metal_cost_cl</t>
  </si>
  <si>
    <t>Mounted Mixers (for neutralization tanks, etc)</t>
  </si>
  <si>
    <t>mount_mix_cost_cl</t>
  </si>
  <si>
    <t>CPI</t>
  </si>
  <si>
    <t>Off-site GAC Regeneration</t>
  </si>
  <si>
    <t>off_regen_cost_cl</t>
  </si>
  <si>
    <t>bls1134</t>
  </si>
  <si>
    <t>GAC Regeneration - Multiple Hearth Furnace System</t>
  </si>
  <si>
    <t>Size Needed (lb/day)</t>
  </si>
  <si>
    <t>Size Selected (lb/day)</t>
  </si>
  <si>
    <t>on_regen_cost_cl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</si>
  <si>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</si>
  <si>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</si>
  <si>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</si>
  <si>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</si>
  <si>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</si>
  <si>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</si>
  <si>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</si>
  <si>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</si>
  <si>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</si>
  <si>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</si>
  <si>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</si>
  <si>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</si>
  <si>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</si>
  <si>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</si>
  <si>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</si>
  <si>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</si>
  <si>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</si>
  <si>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</si>
  <si>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</si>
  <si>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</si>
  <si>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</si>
  <si>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</si>
  <si>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</si>
  <si>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</si>
  <si>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</si>
  <si>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</si>
  <si>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</si>
  <si>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</si>
  <si>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</si>
  <si>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</si>
  <si>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</si>
  <si>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</si>
  <si>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</si>
  <si>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</si>
  <si>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</si>
  <si>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</si>
  <si>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</si>
  <si>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</si>
  <si>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</si>
  <si>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</si>
  <si>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</si>
  <si>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</si>
  <si>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</si>
  <si>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</si>
  <si>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</si>
  <si>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</si>
  <si>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pp_man_cost_cl</t>
  </si>
  <si>
    <t>Polypropylene/PVC Motor/Air Operated Valves (on/off)</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</si>
  <si>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</si>
  <si>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</si>
  <si>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</si>
  <si>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</si>
  <si>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</si>
  <si>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</si>
  <si>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</si>
  <si>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</si>
  <si>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</si>
  <si>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</si>
  <si>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</si>
  <si>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</si>
  <si>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</si>
  <si>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</si>
  <si>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</si>
  <si>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</si>
  <si>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</si>
  <si>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Septic System Distribution Box</t>
  </si>
  <si>
    <t>Size needed</t>
  </si>
  <si>
    <t>Size selected</t>
  </si>
  <si>
    <t>sept_distbox_cost_cl</t>
  </si>
  <si>
    <t>Septic system distribution pipe (perforated PVC)</t>
  </si>
  <si>
    <t>sept_distpipe_cost_cl</t>
  </si>
  <si>
    <t>Septic system drain field trench excavation</t>
  </si>
  <si>
    <t>sept_trench_excav_cost</t>
  </si>
  <si>
    <t>Septic system drain field gravel</t>
  </si>
  <si>
    <t>sept_gravel_cost_cl</t>
  </si>
  <si>
    <t>Septic tank excavation and drain field</t>
  </si>
  <si>
    <t>Septic tank excavation</t>
  </si>
  <si>
    <t>sept_tank_excav_cost</t>
  </si>
  <si>
    <t>sept_tank_excav_cost_cl</t>
  </si>
  <si>
    <t>sept_trench_excav_cost_cl</t>
  </si>
  <si>
    <t>septic_tank_cost_cl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</si>
  <si>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</si>
  <si>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</si>
  <si>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</si>
  <si>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</si>
  <si>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</si>
  <si>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</si>
  <si>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</si>
  <si>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</si>
  <si>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</si>
  <si>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</si>
  <si>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</si>
  <si>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</si>
  <si>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</si>
  <si>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</si>
  <si>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</si>
  <si>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</si>
  <si>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</si>
  <si>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</si>
  <si>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</si>
  <si>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</si>
  <si>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</si>
  <si>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</si>
  <si>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</si>
  <si>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</si>
  <si>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</si>
  <si>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</si>
  <si>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</si>
  <si>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</si>
  <si>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</si>
  <si>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</si>
  <si>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</si>
  <si>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</si>
  <si>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</si>
  <si>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</si>
  <si>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</si>
  <si>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</si>
  <si>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Turbidimeter</t>
  </si>
  <si>
    <t>turbidimeter_cost_cl</t>
  </si>
  <si>
    <t>UPS</t>
  </si>
  <si>
    <t>ups_cost_cl</t>
  </si>
  <si>
    <t>Venturi Flow Meters</t>
  </si>
  <si>
    <t>ven_fm_cost_cl</t>
  </si>
  <si>
    <t>Volumetric Dry Feeder</t>
  </si>
  <si>
    <t>Size Needed (cfm)</t>
  </si>
  <si>
    <t>Size Selected (cfm)</t>
  </si>
  <si>
    <t>vol_feed_cost_cl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</si>
  <si>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</si>
  <si>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</si>
  <si>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</si>
  <si>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</si>
  <si>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</si>
  <si>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</si>
  <si>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</si>
  <si>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</si>
  <si>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</si>
  <si>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</si>
  <si>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</si>
  <si>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</si>
  <si>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</si>
  <si>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</si>
  <si>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</si>
  <si>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</si>
  <si>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</si>
  <si>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</si>
  <si>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</si>
  <si>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</si>
  <si>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</si>
  <si>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</si>
  <si>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</si>
  <si>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</si>
  <si>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</si>
  <si>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</si>
  <si>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</si>
  <si>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</si>
  <si>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</si>
  <si>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</si>
  <si>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</si>
  <si>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</si>
  <si>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</si>
  <si>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</si>
  <si>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</si>
  <si>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</si>
  <si>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</si>
  <si>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</si>
  <si>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</si>
  <si>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</si>
  <si>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</si>
  <si>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</si>
  <si>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</si>
  <si>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</si>
  <si>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</si>
  <si>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</si>
  <si>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</si>
  <si>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</si>
  <si>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</si>
  <si>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ECI</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</si>
  <si>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</si>
  <si>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</si>
  <si>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</si>
  <si>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</si>
  <si>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</si>
  <si>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</si>
  <si>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</si>
  <si>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</si>
  <si>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</si>
  <si>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</si>
  <si>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System Size  greater than (MGD)</t>
  </si>
  <si>
    <t>Assumed Population</t>
  </si>
  <si>
    <t>Unit Cost ($/acre)</t>
  </si>
  <si>
    <t>25-100</t>
  </si>
  <si>
    <t>101-500</t>
  </si>
  <si>
    <t>501-1,000</t>
  </si>
  <si>
    <t>1,001-3,300</t>
  </si>
  <si>
    <t>3,301-10,000</t>
  </si>
  <si>
    <t>10,001-50,000</t>
  </si>
  <si>
    <t>50,001-100,000</t>
  </si>
  <si>
    <t>100,001-1,000,000</t>
  </si>
  <si>
    <t>land_cost_cl</t>
  </si>
  <si>
    <t>NEPA Compliance Costs</t>
  </si>
  <si>
    <t>Land area (acres)</t>
  </si>
  <si>
    <t>Permit Cost (inf. adj.)</t>
  </si>
  <si>
    <t>NEPA_cost_cl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</si>
  <si>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</si>
  <si>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</si>
  <si>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</si>
  <si>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</si>
  <si>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</si>
  <si>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</si>
  <si>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</si>
  <si>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</si>
  <si>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</si>
  <si>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</si>
  <si>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</si>
  <si>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</si>
  <si>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</si>
  <si>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</si>
  <si>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AA</t>
  </si>
  <si>
    <t>AAFS-50</t>
  </si>
  <si>
    <t>G2</t>
  </si>
  <si>
    <t>SORB33</t>
  </si>
  <si>
    <t>GFH</t>
  </si>
  <si>
    <t>GF</t>
  </si>
  <si>
    <t>AX</t>
  </si>
  <si>
    <t>CX</t>
  </si>
  <si>
    <t>Lime</t>
  </si>
  <si>
    <t>RO</t>
  </si>
  <si>
    <t>NF</t>
  </si>
  <si>
    <t>EDR</t>
  </si>
  <si>
    <t>PLPM</t>
  </si>
  <si>
    <t>SLPM</t>
  </si>
  <si>
    <t>confilt</t>
  </si>
  <si>
    <t>dirfilt</t>
  </si>
  <si>
    <t>UV</t>
  </si>
  <si>
    <t>PTA</t>
  </si>
  <si>
    <t>MSBA</t>
  </si>
  <si>
    <t>Tray Aeration</t>
  </si>
  <si>
    <t>Diffuse Aeration</t>
  </si>
  <si>
    <t>O3_PX</t>
  </si>
  <si>
    <t>O3_D</t>
  </si>
  <si>
    <t>RCF for Cr(VI) Removal</t>
  </si>
  <si>
    <t>BIO</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</si>
  <si>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</si>
  <si>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</si>
  <si>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</si>
  <si>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</si>
  <si>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</si>
  <si>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</si>
  <si>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</si>
  <si>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</si>
  <si>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</si>
  <si>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</si>
  <si>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</si>
  <si>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</si>
  <si>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</si>
  <si>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</si>
  <si>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</si>
  <si>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</si>
  <si>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</si>
  <si>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</si>
  <si>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</si>
  <si>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</si>
  <si>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</si>
  <si>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</si>
  <si>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</si>
  <si>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</si>
  <si>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</si>
  <si>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</si>
  <si>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</si>
  <si>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</si>
  <si>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</si>
  <si>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Septic tank pump and haul cost</t>
  </si>
  <si>
    <t>septic_disposal_cost_cl</t>
  </si>
  <si>
    <t>Storm Water Permit Costs</t>
  </si>
  <si>
    <t>SW_permit_cost_cl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</si>
  <si>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</si>
  <si>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</si>
  <si>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</si>
  <si>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</si>
  <si>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</si>
  <si>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</si>
  <si>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</si>
  <si>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</si>
  <si>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</si>
  <si>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</si>
  <si>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</si>
  <si>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</si>
  <si>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Chemical Price Break Points</t>
  </si>
  <si>
    <t>Quantity Breakpoint</t>
  </si>
  <si>
    <t>Large Qty price is for bulk truckload of 50,000 lbs</t>
  </si>
  <si>
    <t>Mid Qty price is for 200x 50 lb bags per year; assume breakpoint occurs at monthly purchase of 10x 50 lb bags (120 per year) (approximate midpoint between mid and small qtys)</t>
  </si>
  <si>
    <t>Large Qty price is for 100x 100 lb bags per year; assume breakpoint occurs at monthly purchase of 5x 100 lb bags (60 per year) (approximate midpoint between large and mid qtys)</t>
  </si>
  <si>
    <t>Mid Qty price is for 52x 100 lb bags per year; assume breakpoint occurs at monthly purchase of 2x 100 lb bags (24 per year) (approximate midpoint between mid and small qtys)</t>
  </si>
  <si>
    <t>Large Qty price is for 30,000 gal annually (2,500 gal/month); assume 12.6 lbs/gal</t>
  </si>
  <si>
    <t>Mid Qty price is for 4+ 55 gal drums; assume 12.6 lbs/gal</t>
  </si>
  <si>
    <t>Large Qty price is for bulk truckloads of 4,500 gal; assume 9.69 lbs/gal of solution at 19% FeSO4  and that breakpoint occurs at a bulk truckload of 2,000 gal</t>
  </si>
  <si>
    <t>Mid Qty price is for 4+ 50 lb containers</t>
  </si>
  <si>
    <t>Large Qty price is for bulk truck deliveries in minimum quantities of 44,000 to 48,000 lbs</t>
  </si>
  <si>
    <t>Phosphoric Acid - Mid Qty</t>
  </si>
  <si>
    <t>Uses same value as large qty because no intermediate price break exists</t>
  </si>
  <si>
    <t>Large Qty price is for 104,000 gal per year (8,667 gal per month); assume 9.9 lbs/gal and that breakpoint occurs at a bulk truckload of 2,000 gal</t>
  </si>
  <si>
    <t>Mid Qty prices are for 74,250 to 182,000 lbs per year (6,188 to 15,167 lbs per month); assume 9.9 lbs/gal and that breakpoint occurs at monthly purchas of 10x 55 gal drums (120 per year)</t>
  </si>
  <si>
    <t>Large Qty price is for puchases in 450 lb drums</t>
  </si>
  <si>
    <t>Polymers - Mid Qty</t>
  </si>
  <si>
    <t>Mid Qty price is for 12,000 to 15,300 lbs per year (1,000 to 1,275 lbs per month); assume breakpoint occurs at 650 lb shipment (approximate midpoint between large and mid qtys)</t>
  </si>
  <si>
    <t>Mid Qty price is for 2,420 to 3,700 lbs per year (202 to 308 lbs per month); assume breakpoint occurs at 100 lb shipment (approximate midpoint between mid and small qtys)</t>
  </si>
  <si>
    <t>Large Qty price is for 69,600 lbs per year (5,800 lbs per month); assume breakpoint occurs at 3,500 lbs (approximate midpoint between large and small qtys)</t>
  </si>
  <si>
    <t>Sodium Chloride - Mid Qty</t>
  </si>
  <si>
    <t>Large Qty price is for 80 tons per year as NaOH in bulk truckloads (converts to 317,140 lbs of bulk solution per year = 26,428 lbs of bulk solution per month); assume breakpoint occurs at bulk truckload of 2,000 gal</t>
  </si>
  <si>
    <t>Mid Qty price is for less than bulk truckload; assume breakpoint occurs at midpoint between large and small qtys</t>
  </si>
  <si>
    <t>Large Qty price is for 2,310 to 5,300 gal per year (7x 330 gal containers to 100x 53 gal drums); assume breakpoint occurs at monthly purchase of 3x 55 gal drums (1,980 gal per year) (approximate midpoint between large and small qtys)</t>
  </si>
  <si>
    <t>Sodium Hypochlorite - Mid Qty</t>
  </si>
  <si>
    <t>Large Qty price is for bulk delivery of 2,900 gal (converts to 41,220 lbs of bulk solution); assume breakpoint occurs at bulk truckload of 2,000 gal</t>
  </si>
  <si>
    <t>Sulfuric Acid - Mid Qty</t>
  </si>
  <si>
    <t>Large Qty price is for 45 kg bulk container</t>
  </si>
  <si>
    <t>Tetrasodium Polyphosphate - Mid Qty</t>
  </si>
  <si>
    <t>Large Qty price is for bulk delivery of 844,000 lbs per year in typical order of 41,000 lbs (3,130 gal assuming bulk density 13.1 lbs/gal consistent with 36% as PO4); assume breakpoint occurs at bulk truckload of 2,000 gal</t>
  </si>
  <si>
    <t>Mid Qty price is for 200x 30 gal drums per year (500 gal/month); assume breakpont occurs at 300 gal per month (approximate midpoint between mid and small qtys)</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</si>
  <si>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</si>
  <si>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</si>
  <si>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</si>
  <si>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</si>
  <si>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</si>
  <si>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</si>
  <si>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</si>
  <si>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</si>
  <si>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</si>
  <si>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</si>
  <si>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</si>
  <si>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</si>
  <si>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</si>
  <si>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</si>
  <si>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Transfer Rate (GPM)</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</si>
  <si>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</si>
  <si>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</si>
  <si>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</si>
  <si>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</si>
  <si>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</si>
  <si>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</si>
  <si>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</si>
  <si>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</si>
  <si>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</si>
  <si>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</si>
  <si>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</si>
  <si>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</si>
  <si>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</si>
  <si>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</si>
  <si>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</si>
  <si>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</si>
  <si>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</si>
  <si>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</si>
  <si>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</si>
  <si>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</si>
  <si>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</si>
  <si>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</si>
  <si>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</si>
  <si>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Flow (GPM)</t>
  </si>
  <si>
    <t>Maximum Flow (GPM)</t>
  </si>
  <si>
    <t>Pump Dimensions (for centrifugal pumps)</t>
  </si>
  <si>
    <t>Pump Rating Needed (gpm)</t>
  </si>
  <si>
    <t>Pump Rating Selected (gpm)</t>
  </si>
  <si>
    <t>Length (ft)</t>
  </si>
  <si>
    <t>Width (ft)</t>
  </si>
  <si>
    <t>Thrust Blocks for Yard Piping</t>
  </si>
  <si>
    <t>Pipe Diameter (inches)</t>
  </si>
  <si>
    <t xml:space="preserve"> Thrust Force</t>
  </si>
  <si>
    <t>Based on 90 degree angles</t>
  </si>
  <si>
    <t>Size Needed</t>
  </si>
  <si>
    <t>kg</t>
  </si>
  <si>
    <t>Size Selected</t>
  </si>
  <si>
    <t>Commercial Pressure Vessel Dimensions</t>
  </si>
  <si>
    <t>Note: Models may specify a maximum height or diameter which is smaller than those tabulated here</t>
  </si>
  <si>
    <t>Diameter</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</si>
  <si>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</si>
  <si>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</si>
  <si>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</si>
  <si>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</si>
  <si>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</si>
  <si>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</si>
  <si>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</si>
  <si>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</si>
  <si>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</si>
  <si>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</si>
  <si>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</si>
  <si>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</si>
  <si>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</si>
  <si>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</si>
  <si>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</si>
  <si>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</si>
  <si>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</si>
  <si>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</si>
  <si>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</si>
  <si>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</si>
  <si>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</si>
  <si>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</si>
  <si>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</si>
  <si>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6/20/2017 11:43:02 AM</t>
  </si>
  <si>
    <t xml:space="preserve"> 6/20/2017 11:44:20 AM</t>
  </si>
  <si>
    <t xml:space="preserve"> 6/20/2017 11:44:43 AM</t>
  </si>
  <si>
    <t xml:space="preserve"> 6/20/2017 11:51:53 AM</t>
  </si>
  <si>
    <t xml:space="preserve"> 6/20/2017 11:52:42 AM</t>
  </si>
  <si>
    <t xml:space="preserve"> 6/20/2017 12:02:28 PM</t>
  </si>
  <si>
    <t xml:space="preserve"> 6/20/2017 12:04:08 PM</t>
  </si>
  <si>
    <t xml:space="preserve"> 6/20/2017 12:06:10 PM</t>
  </si>
  <si>
    <t xml:space="preserve"> 6/20/2017 12:10:04 PM</t>
  </si>
  <si>
    <t xml:space="preserve"> 6/20/2017 12:07:44 PM</t>
  </si>
  <si>
    <t xml:space="preserve"> 6/21/2017 10:56:31 AM</t>
  </si>
  <si>
    <t xml:space="preserve"> 6/21/2017 12:21:08 PM</t>
  </si>
  <si>
    <t xml:space="preserve"> 6/21/2017 11:02:23 AM</t>
  </si>
  <si>
    <t xml:space="preserve"> 6/21/2017 11:03:32 AM</t>
  </si>
  <si>
    <t xml:space="preserve"> 6/21/2017 11:04:26 AM</t>
  </si>
  <si>
    <t>pp_mov_eq_large</t>
  </si>
  <si>
    <t xml:space="preserve"> 6/23/2017 11:56:12 AM</t>
  </si>
  <si>
    <t>pp_mov_eq_small</t>
  </si>
  <si>
    <t xml:space="preserve"> 6/23/2017 11:55:40 AM</t>
  </si>
  <si>
    <t xml:space="preserve"> 6/23/2017 12:02:57 PM</t>
  </si>
  <si>
    <t xml:space="preserve"> 6/23/2017 10:28:52 AM</t>
  </si>
  <si>
    <t>pp_man_eq_large</t>
  </si>
  <si>
    <t xml:space="preserve"> 6/21/2017 3:55:57 PM</t>
  </si>
  <si>
    <t>pp_man_eq_small</t>
  </si>
  <si>
    <t xml:space="preserve"> 6/21/2017 3:55:11 PM</t>
  </si>
  <si>
    <t xml:space="preserve"> 6/21/2017 3:40:26 PM</t>
  </si>
  <si>
    <t>ci_bfv_eq_small</t>
  </si>
  <si>
    <t xml:space="preserve"> 6/21/2017 3:58:12 PM</t>
  </si>
  <si>
    <t>ci_bfv_eq_large</t>
  </si>
  <si>
    <t xml:space="preserve"> 6/21/2017 3:59:11 PM</t>
  </si>
  <si>
    <t xml:space="preserve"> 6/21/2017 4:01:20 PM</t>
  </si>
  <si>
    <t xml:space="preserve"> 6/21/2017 4:02:12 PM</t>
  </si>
  <si>
    <t xml:space="preserve"> 6/21/2017 4:03:19 PM</t>
  </si>
  <si>
    <t xml:space="preserve"> 6/21/2017 4:04:31 PM</t>
  </si>
  <si>
    <t xml:space="preserve"> 6/21/2017 4:05:02 PM</t>
  </si>
  <si>
    <t xml:space="preserve"> 6/21/2017 4:05:33 PM</t>
  </si>
  <si>
    <t xml:space="preserve"> 6/21/2017 4:06:06 PM</t>
  </si>
  <si>
    <t xml:space="preserve"> 6/21/2017 4:07:27 PM</t>
  </si>
  <si>
    <t xml:space="preserve"> 6/21/2017 4:07:58 PM</t>
  </si>
  <si>
    <t xml:space="preserve"> 6/21/2017 4:10:39 PM</t>
  </si>
  <si>
    <t xml:space="preserve"> 6/21/2017 4:31:48 PM</t>
  </si>
  <si>
    <t xml:space="preserve"> 6/21/2017 4:32:10 PM</t>
  </si>
  <si>
    <t xml:space="preserve"> 6/21/2017 4:42:21 PM</t>
  </si>
  <si>
    <t xml:space="preserve"> 6/23/2017 1:19:01 PM</t>
  </si>
  <si>
    <t xml:space="preserve"> 6/23/2017 1:19:18 PM</t>
  </si>
  <si>
    <t xml:space="preserve"> 6/23/2017 1:19:43 PM</t>
  </si>
  <si>
    <t xml:space="preserve"> 6/23/2017 1:20:53 PM</t>
  </si>
  <si>
    <t xml:space="preserve"> 6/23/2017 1:27:52 PM</t>
  </si>
  <si>
    <t xml:space="preserve"> 6/23/2017 1:28:53 PM</t>
  </si>
  <si>
    <t xml:space="preserve"> 6/23/2017 1:29:08 PM</t>
  </si>
  <si>
    <t xml:space="preserve"> 6/23/2017 1:29:41 PM</t>
  </si>
  <si>
    <t xml:space="preserve"> 6/23/2017 1:30:34 PM</t>
  </si>
  <si>
    <t xml:space="preserve"> 6/23/2017 1:30:54 PM</t>
  </si>
  <si>
    <t xml:space="preserve"> 8/17/2015 2:37:21 PM</t>
  </si>
  <si>
    <t xml:space="preserve"> 10/17/2017 10:32:24 AM</t>
  </si>
  <si>
    <t xml:space="preserve"> 10/17/2017 10:33:04 AM</t>
  </si>
  <si>
    <t xml:space="preserve"> 10/17/2017 10:33:37 AM</t>
  </si>
  <si>
    <t xml:space="preserve"> 10/17/2017 10:34:00 AM</t>
  </si>
  <si>
    <t xml:space="preserve"> 10/17/2017 10:34:25 AM</t>
  </si>
  <si>
    <t xml:space="preserve"> 10/17/2017 10:34:48 AM</t>
  </si>
  <si>
    <t>hvac_hp_eq_small</t>
  </si>
  <si>
    <t xml:space="preserve"> 6/23/2017 3:07:28 PM</t>
  </si>
  <si>
    <t>hvac_hp_eq_large</t>
  </si>
  <si>
    <t xml:space="preserve"> 6/23/2017 3:08:16 PM</t>
  </si>
  <si>
    <t xml:space="preserve"> 6/23/2017 3:03:10 PM</t>
  </si>
  <si>
    <t xml:space="preserve"> 6/23/2017 3:03:32 PM</t>
  </si>
  <si>
    <t xml:space="preserve"> 6/23/2017 3:04:02 PM</t>
  </si>
  <si>
    <t>Work Breakdown Structure (WBS) Model for Granular Activated Carbon (GAC) Treatment</t>
  </si>
  <si>
    <r>
      <t>·</t>
    </r>
    <r>
      <rPr>
        <sz val="10"/>
        <rFont val="Times New Roman"/>
        <family val="1"/>
      </rPr>
      <t> </t>
    </r>
    <r>
      <rPr>
        <sz val="10"/>
        <rFont val="Arial"/>
        <family val="2"/>
      </rPr>
      <t>This model is designed to assist EPA in estimating national compliance costs for drinking water regulations.</t>
    </r>
  </si>
  <si>
    <r>
      <rPr>
        <sz val="10"/>
        <rFont val="Symbol"/>
        <family val="1"/>
        <charset val="2"/>
      </rPr>
      <t>·</t>
    </r>
    <r>
      <rPr>
        <sz val="10"/>
        <rFont val="Arial"/>
        <family val="2"/>
      </rPr>
      <t xml:space="preserve"> As such, the costs are intended to be representative of typical facilities.</t>
    </r>
  </si>
  <si>
    <r>
      <rPr>
        <sz val="10"/>
        <rFont val="Symbol"/>
        <family val="1"/>
        <charset val="2"/>
      </rPr>
      <t>·</t>
    </r>
    <r>
      <rPr>
        <sz val="10"/>
        <rFont val="Arial"/>
        <family val="2"/>
      </rPr>
      <t xml:space="preserve"> The costs, however, do not account for all of the site-specific factors that could affect the cost of any given individual facility.</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</si>
  <si>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</si>
  <si>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</si>
  <si>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</si>
  <si>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</si>
  <si>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</si>
  <si>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</si>
  <si>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</si>
  <si>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</si>
  <si>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</si>
  <si>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</si>
  <si>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r>
      <t xml:space="preserve">USEPA. 2017. </t>
    </r>
    <r>
      <rPr>
        <i/>
        <sz val="10"/>
        <rFont val="Arial"/>
        <family val="2"/>
      </rPr>
      <t>Work Breakdown Structure-Based Cost Model for Granular Activated Carbon (GAC) Drinking Water Treatment</t>
    </r>
    <r>
      <rPr>
        <sz val="10"/>
        <rFont val="Arial"/>
        <family val="2"/>
      </rPr>
      <t>. Office of Water.</t>
    </r>
  </si>
  <si>
    <t>U.S. EPA Office of Ground Water and Drinking Water</t>
  </si>
  <si>
    <t>Release Date: February 8,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</si>
</sst>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6" formatCode="&quot;$&quot;#,##0_);[Red]\(&quot;$&quot;#,##0\)"/>
    <numFmt numFmtId="8" formatCode="&quot;$&quot;#,##0.00_);[Red]\(&quot;$&quot;#,##0.00\)"/>
    <numFmt numFmtId="41" formatCode="_(* #,##0_);_(* \(#,##0\);_(* &quot;-&quot;_);_(@_)"/>
    <numFmt numFmtId="44" formatCode="_(&quot;$&quot;* #,##0.00_);_(&quot;$&quot;* \(#,##0.00\);_(&quot;$&quot;* &quot;-&quot;??_);_(@_)"/>
    <numFmt numFmtId="43" formatCode="_(* #,##0.00_);_(* \(#,##0.00\);_(* &quot;-&quot;??_);_(@_)"/>
    <numFmt numFmtId="164" formatCode="_(* #,##0.0_);_(* \(#,##0.0\);_(* &quot;-&quot;??_);_(@_)"/>
    <numFmt numFmtId="165" formatCode="_(* #,##0_);_(* \(#,##0\);_(* &quot;-&quot;??_);_(@_)"/>
    <numFmt numFmtId="166" formatCode="0.00000"/>
    <numFmt numFmtId="167" formatCode="0.0000"/>
    <numFmt numFmtId="168" formatCode="0.000"/>
    <numFmt numFmtId="169" formatCode="_(&quot;$&quot;* #,##0_);_(&quot;$&quot;* \(#,##0\);_(&quot;$&quot;* &quot;-&quot;??_);_(@_)"/>
    <numFmt numFmtId="170" formatCode="&quot;$&quot;#,##0"/>
    <numFmt numFmtId="171" formatCode="0.0"/>
    <numFmt numFmtId="172" formatCode="0.000000"/>
    <numFmt numFmtId="173" formatCode="_(* #,##0.000_);_(* \(#,##0.000\);_(* &quot;-&quot;??_);_(@_)"/>
    <numFmt numFmtId="174" formatCode="_(* #,##0.0000_);_(* \(#,##0.0000\);_(* &quot;-&quot;??_);_(@_)"/>
    <numFmt numFmtId="175" formatCode="0.0%"/>
    <numFmt numFmtId="176" formatCode="_(&quot;$&quot;* #,##0.000_);_(&quot;$&quot;* \(#,##0.000\);_(&quot;$&quot;* &quot;-&quot;??_);_(@_)"/>
    <numFmt numFmtId="177" formatCode="#,##0.0"/>
    <numFmt numFmtId="178" formatCode="0.0E+00"/>
    <numFmt numFmtId="179" formatCode="&quot;$&quot;#,##0.00"/>
  </numFmts>
  <fonts count="79">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10"/>
      <color indexed="57"/>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b/>
      <sz val="10"/>
      <color indexed="8"/>
      <name val="Arial"/>
      <family val="2"/>
    </font>
    <font>
      <sz val="10"/>
      <color indexed="10"/>
      <name val="Arial"/>
      <family val="2"/>
    </font>
    <font>
      <b/>
      <i/>
      <sz val="10"/>
      <color indexed="17"/>
      <name val="Arial"/>
      <family val="2"/>
    </font>
    <font>
      <sz val="10"/>
      <color indexed="17"/>
      <name val="Arial"/>
      <family val="2"/>
    </font>
    <font>
      <sz val="10"/>
      <color indexed="23"/>
      <name val="Arial"/>
      <family val="2"/>
    </font>
    <font>
      <sz val="8"/>
      <color indexed="81"/>
      <name val="Tahoma"/>
      <family val="2"/>
    </font>
    <font>
      <b/>
      <u/>
      <sz val="10"/>
      <name val="Arial"/>
      <family val="2"/>
    </font>
    <font>
      <b/>
      <vertAlign val="subscript"/>
      <sz val="10"/>
      <color indexed="17"/>
      <name val="Arial"/>
      <family val="2"/>
    </font>
    <font>
      <b/>
      <vertAlign val="superscript"/>
      <sz val="10"/>
      <color indexed="17"/>
      <name val="Arial"/>
      <family val="2"/>
    </font>
    <font>
      <sz val="10"/>
      <color indexed="8"/>
      <name val="Arial"/>
      <family val="2"/>
    </font>
    <font>
      <b/>
      <sz val="8"/>
      <color indexed="10"/>
      <name val="Arial"/>
      <family val="2"/>
    </font>
    <font>
      <b/>
      <sz val="10"/>
      <color indexed="57"/>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sz val="8"/>
      <color indexed="17"/>
      <name val="Arial"/>
      <family val="2"/>
    </font>
    <font>
      <b/>
      <u/>
      <sz val="12"/>
      <color indexed="12"/>
      <name val="Arial"/>
      <family val="2"/>
    </font>
    <font>
      <i/>
      <sz val="10"/>
      <color indexed="17"/>
      <name val="Arial"/>
      <family val="2"/>
    </font>
    <font>
      <b/>
      <u/>
      <sz val="12"/>
      <name val="Arial"/>
      <family val="2"/>
    </font>
    <font>
      <sz val="10"/>
      <color indexed="17"/>
      <name val="Arial"/>
      <family val="2"/>
    </font>
    <font>
      <b/>
      <sz val="12"/>
      <color indexed="12"/>
      <name val="Arial"/>
      <family val="2"/>
    </font>
    <font>
      <sz val="9"/>
      <color indexed="17"/>
      <name val="Arial"/>
      <family val="2"/>
    </font>
    <font>
      <b/>
      <u/>
      <sz val="12"/>
      <color indexed="61"/>
      <name val="Arial"/>
      <family val="2"/>
    </font>
    <font>
      <b/>
      <sz val="12"/>
      <color indexed="61"/>
      <name val="Arial"/>
      <family val="2"/>
    </font>
    <font>
      <u/>
      <sz val="10"/>
      <name val="Arial"/>
      <family val="2"/>
    </font>
    <font>
      <sz val="10"/>
      <color indexed="18"/>
      <name val="Arial"/>
      <family val="2"/>
    </font>
    <font>
      <sz val="8"/>
      <color indexed="57"/>
      <name val="Arial"/>
      <family val="2"/>
    </font>
    <font>
      <b/>
      <sz val="10"/>
      <color indexed="17"/>
      <name val="Arial"/>
      <family val="2"/>
    </font>
    <font>
      <sz val="8"/>
      <name val="Arial"/>
      <family val="2"/>
    </font>
    <font>
      <i/>
      <sz val="10"/>
      <name val="Arial"/>
      <family val="2"/>
    </font>
    <font>
      <b/>
      <sz val="10"/>
      <name val="Arial"/>
      <family val="2"/>
    </font>
    <font>
      <b/>
      <sz val="12"/>
      <color indexed="20"/>
      <name val="Arial"/>
      <family val="2"/>
    </font>
    <font>
      <i/>
      <u/>
      <sz val="10"/>
      <color indexed="17"/>
      <name val="Arial"/>
      <family val="2"/>
    </font>
    <font>
      <sz val="10"/>
      <name val="Arial"/>
      <family val="2"/>
    </font>
    <font>
      <b/>
      <sz val="10"/>
      <color theme="1"/>
      <name val="Arial"/>
      <family val="2"/>
    </font>
    <font>
      <sz val="10"/>
      <color theme="1"/>
      <name val="Arial"/>
      <family val="2"/>
    </font>
    <font>
      <sz val="9"/>
      <color indexed="81"/>
      <name val="Tahoma"/>
      <family val="2"/>
    </font>
    <font>
      <b/>
      <sz val="9"/>
      <color indexed="81"/>
      <name val="Tahoma"/>
      <family val="2"/>
    </font>
    <font>
      <b/>
      <sz val="10"/>
      <color rgb="FF008000"/>
      <name val="Arial"/>
      <family val="2"/>
    </font>
    <font>
      <b/>
      <u/>
      <sz val="9"/>
      <color indexed="81"/>
      <name val="Tahoma"/>
      <family val="2"/>
    </font>
    <font>
      <i/>
      <sz val="10"/>
      <color rgb="FF008000"/>
      <name val="Arial"/>
      <family val="2"/>
    </font>
    <font>
      <b/>
      <sz val="12"/>
      <color rgb="FF008000"/>
      <name val="Arial"/>
      <family val="2"/>
    </font>
    <font>
      <b/>
      <sz val="10"/>
      <color indexed="12"/>
      <name val="Arial"/>
      <family val="2"/>
    </font>
    <font>
      <b/>
      <u/>
      <sz val="12"/>
      <color rgb="FF993366"/>
      <name val="Arial"/>
      <family val="2"/>
    </font>
    <font>
      <b/>
      <sz val="12"/>
      <color rgb="FF0000FF"/>
      <name val="Arial"/>
      <family val="2"/>
    </font>
    <font>
      <sz val="10"/>
      <color rgb="FF008000"/>
      <name val="Arial"/>
      <family val="2"/>
    </font>
    <font>
      <b/>
      <vertAlign val="superscript"/>
      <sz val="10"/>
      <name val="Arial"/>
      <family val="2"/>
    </font>
    <font>
      <sz val="10"/>
      <color rgb="FF000000"/>
      <name val="Arial"/>
      <family val="2"/>
    </font>
    <font>
      <u/>
      <sz val="10"/>
      <color theme="1"/>
      <name val="Arial"/>
      <family val="2"/>
    </font>
    <font>
      <i/>
      <sz val="10"/>
      <color theme="1"/>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Calibri"/>
      <family val="2"/>
      <scheme val="minor"/>
    </font>
    <font>
      <sz val="10"/>
      <name val="Symbol"/>
      <family val="1"/>
      <charset val="2"/>
    </font>
    <font>
      <sz val="10"/>
      <name val="Times New Roman"/>
      <family val="1"/>
    </font>
    <font>
      <u/>
      <sz val="10"/>
      <color indexed="12"/>
      <name val="Symbol"/>
      <family val="1"/>
      <charset val="2"/>
    </font>
  </fonts>
  <fills count="12">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bgColor indexed="64"/>
      </patternFill>
    </fill>
    <fill>
      <patternFill patternType="solid">
        <fgColor rgb="FFC0C0C0"/>
        <bgColor indexed="64"/>
      </patternFill>
    </fill>
  </fills>
  <borders count="84">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22"/>
      </top>
      <bottom/>
      <diagonal/>
    </border>
    <border>
      <left style="thin">
        <color indexed="22"/>
      </left>
      <right style="thin">
        <color indexed="64"/>
      </right>
      <top style="thin">
        <color indexed="22"/>
      </top>
      <bottom style="thin">
        <color indexed="22"/>
      </bottom>
      <diagonal/>
    </border>
    <border>
      <left/>
      <right style="thin">
        <color indexed="64"/>
      </right>
      <top style="thin">
        <color indexed="22"/>
      </top>
      <bottom/>
      <diagonal/>
    </border>
    <border>
      <left/>
      <right/>
      <top style="thin">
        <color indexed="64"/>
      </top>
      <bottom/>
      <diagonal/>
    </border>
    <border>
      <left/>
      <right style="thin">
        <color indexed="64"/>
      </right>
      <top style="thin">
        <color indexed="64"/>
      </top>
      <bottom/>
      <diagonal/>
    </border>
    <border>
      <left style="thin">
        <color indexed="22"/>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64"/>
      </bottom>
      <diagonal/>
    </border>
    <border>
      <left/>
      <right/>
      <top/>
      <bottom style="thin">
        <color indexed="22"/>
      </bottom>
      <diagonal/>
    </border>
    <border>
      <left/>
      <right style="thin">
        <color indexed="22"/>
      </right>
      <top/>
      <bottom style="thin">
        <color indexed="22"/>
      </bottom>
      <diagonal/>
    </border>
    <border>
      <left/>
      <right style="thin">
        <color indexed="22"/>
      </right>
      <top style="thin">
        <color indexed="22"/>
      </top>
      <bottom/>
      <diagonal/>
    </border>
    <border>
      <left/>
      <right/>
      <top style="thin">
        <color indexed="22"/>
      </top>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64"/>
      </top>
      <bottom style="thin">
        <color indexed="22"/>
      </bottom>
      <diagonal/>
    </border>
    <border>
      <left/>
      <right style="thin">
        <color indexed="64"/>
      </right>
      <top/>
      <bottom style="thin">
        <color indexed="22"/>
      </bottom>
      <diagonal/>
    </border>
    <border>
      <left style="thin">
        <color indexed="64"/>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right style="thin">
        <color indexed="22"/>
      </right>
      <top/>
      <bottom style="thin">
        <color indexed="64"/>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style="thin">
        <color indexed="22"/>
      </left>
      <right style="thin">
        <color indexed="22"/>
      </right>
      <top/>
      <bottom style="thin">
        <color indexed="64"/>
      </bottom>
      <diagonal/>
    </border>
    <border>
      <left style="thin">
        <color indexed="64"/>
      </left>
      <right style="thin">
        <color indexed="64"/>
      </right>
      <top/>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22"/>
      </bottom>
      <diagonal/>
    </border>
    <border>
      <left/>
      <right/>
      <top style="thin">
        <color indexed="22"/>
      </top>
      <bottom style="thin">
        <color indexed="22"/>
      </bottom>
      <diagonal/>
    </border>
    <border>
      <left style="thin">
        <color indexed="64"/>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style="thin">
        <color indexed="64"/>
      </right>
      <top style="thin">
        <color indexed="64"/>
      </top>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right/>
      <top style="thin">
        <color indexed="22"/>
      </top>
      <bottom/>
      <diagonal/>
    </border>
    <border>
      <left style="thin">
        <color auto="1"/>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22"/>
      </top>
      <bottom/>
      <diagonal/>
    </border>
    <border>
      <left style="thin">
        <color indexed="64"/>
      </left>
      <right/>
      <top style="thin">
        <color indexed="22"/>
      </top>
      <bottom/>
      <diagonal/>
    </border>
    <border>
      <left style="thin">
        <color rgb="FFC0C0C0"/>
      </left>
      <right style="thin">
        <color rgb="FFC0C0C0"/>
      </right>
      <top style="thin">
        <color rgb="FFC0C0C0"/>
      </top>
      <bottom style="thin">
        <color indexed="64"/>
      </bottom>
      <diagonal/>
    </border>
    <border>
      <left/>
      <right style="thin">
        <color indexed="22"/>
      </right>
      <top style="thin">
        <color indexed="22"/>
      </top>
      <bottom/>
      <diagonal/>
    </border>
    <border>
      <left style="thin">
        <color rgb="FFC0C0C0"/>
      </left>
      <right style="thin">
        <color rgb="FFC0C0C0"/>
      </right>
      <top style="thin">
        <color rgb="FFC0C0C0"/>
      </top>
      <bottom style="thin">
        <color rgb="FFC0C0C0"/>
      </bottom>
      <diagonal/>
    </border>
    <border>
      <left style="thin">
        <color rgb="FFC0C0C0"/>
      </left>
      <right style="thin">
        <color indexed="22"/>
      </right>
      <top style="thin">
        <color indexed="22"/>
      </top>
      <bottom style="thin">
        <color rgb="FFC0C0C0"/>
      </bottom>
      <diagonal/>
    </border>
    <border>
      <left style="thin">
        <color rgb="FFC0C0C0"/>
      </left>
      <right style="thin">
        <color indexed="22"/>
      </right>
      <top style="thin">
        <color rgb="FFC0C0C0"/>
      </top>
      <bottom style="thin">
        <color rgb="FFC0C0C0"/>
      </bottom>
      <diagonal/>
    </border>
    <border>
      <left style="thin">
        <color rgb="FFC0C0C0"/>
      </left>
      <right style="thin">
        <color indexed="22"/>
      </right>
      <top style="thin">
        <color rgb="FFC0C0C0"/>
      </top>
      <bottom style="thin">
        <color indexed="22"/>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diagonal/>
    </border>
    <border>
      <left style="thin">
        <color indexed="64"/>
      </left>
      <right/>
      <top/>
      <bottom style="thin">
        <color indexed="64"/>
      </bottom>
      <diagonal/>
    </border>
  </borders>
  <cellStyleXfs count="33">
    <xf numFmtId="0" fontId="0" fillId="0" borderId="0"/>
    <xf numFmtId="9" fontId="3" fillId="2" borderId="0" applyNumberFormat="0" applyBorder="0">
      <alignment horizontal="right"/>
      <protection locked="0"/>
    </xf>
    <xf numFmtId="0" fontId="10" fillId="0" borderId="0">
      <alignment vertical="center"/>
    </xf>
    <xf numFmtId="0" fontId="8" fillId="3" borderId="0" applyNumberFormat="0" applyBorder="0">
      <alignment horizontal="right"/>
      <protection locked="0"/>
    </xf>
    <xf numFmtId="0" fontId="22" fillId="0" borderId="0" applyNumberFormat="0" applyBorder="0"/>
    <xf numFmtId="0" fontId="8" fillId="2" borderId="0" applyBorder="0" applyAlignment="0">
      <protection locked="0"/>
    </xf>
    <xf numFmtId="43" fontId="3" fillId="0" borderId="0" applyFont="0" applyFill="0" applyBorder="0" applyAlignment="0" applyProtection="0"/>
    <xf numFmtId="43" fontId="8" fillId="0" borderId="0" applyFont="0" applyFill="0" applyBorder="0" applyAlignment="0" applyProtection="0"/>
    <xf numFmtId="44" fontId="3" fillId="0" borderId="0" applyFont="0" applyFill="0" applyBorder="0" applyAlignment="0" applyProtection="0"/>
    <xf numFmtId="44" fontId="8" fillId="0" borderId="0" applyFont="0" applyFill="0" applyBorder="0" applyAlignment="0" applyProtection="0"/>
    <xf numFmtId="0" fontId="15" fillId="0" borderId="0" applyNumberFormat="0" applyFill="0" applyBorder="0" applyAlignment="0" applyProtection="0">
      <alignment vertical="top"/>
      <protection locked="0"/>
    </xf>
    <xf numFmtId="0" fontId="22" fillId="0" borderId="1" applyNumberFormat="0" applyBorder="0">
      <alignment horizontal="right" vertical="center" wrapText="1"/>
    </xf>
    <xf numFmtId="0" fontId="22" fillId="0" borderId="2" applyNumberFormat="0" applyBorder="0">
      <alignment horizontal="left" vertical="center" wrapText="1"/>
    </xf>
    <xf numFmtId="0" fontId="22" fillId="0" borderId="0" applyNumberFormat="0">
      <alignment vertical="center"/>
    </xf>
    <xf numFmtId="0" fontId="52" fillId="4" borderId="0" applyNumberFormat="0" applyFill="0" applyBorder="0">
      <alignment vertical="center" wrapText="1"/>
    </xf>
    <xf numFmtId="0" fontId="22" fillId="0" borderId="0" applyNumberFormat="0">
      <alignment vertical="center"/>
    </xf>
    <xf numFmtId="0" fontId="25" fillId="0" borderId="0" applyNumberFormat="0" applyBorder="0">
      <alignment vertical="center"/>
    </xf>
    <xf numFmtId="0" fontId="8" fillId="0" borderId="0" applyNumberFormat="0" applyFill="0" applyBorder="0">
      <alignment horizontal="left" vertical="center" wrapText="1" indent="1"/>
    </xf>
    <xf numFmtId="0" fontId="50" fillId="0" borderId="0" applyNumberFormat="0" applyBorder="0">
      <alignment vertical="center"/>
    </xf>
    <xf numFmtId="0" fontId="4" fillId="2" borderId="0" applyBorder="0">
      <alignment horizontal="right" vertical="center"/>
      <protection locked="0"/>
    </xf>
    <xf numFmtId="0" fontId="4" fillId="3" borderId="3" applyBorder="0">
      <alignment horizontal="right" vertical="center"/>
      <protection locked="0"/>
    </xf>
    <xf numFmtId="0" fontId="8" fillId="0" borderId="4" applyBorder="0">
      <alignment vertical="center"/>
    </xf>
    <xf numFmtId="0" fontId="47" fillId="0" borderId="5" applyNumberFormat="0" applyBorder="0">
      <alignment horizontal="right" vertical="center"/>
    </xf>
    <xf numFmtId="9" fontId="8" fillId="3" borderId="0" applyNumberFormat="0" applyFont="0" applyBorder="0">
      <protection locked="0"/>
    </xf>
    <xf numFmtId="0" fontId="8" fillId="0" borderId="0"/>
    <xf numFmtId="0" fontId="3" fillId="0" borderId="0"/>
    <xf numFmtId="0" fontId="3" fillId="0" borderId="0"/>
    <xf numFmtId="9" fontId="3" fillId="0" borderId="0" applyFont="0" applyFill="0" applyBorder="0" applyAlignment="0" applyProtection="0"/>
    <xf numFmtId="0" fontId="49" fillId="0" borderId="0" applyNumberFormat="0" applyFill="0" applyBorder="0">
      <alignment vertical="center"/>
    </xf>
    <xf numFmtId="0" fontId="2" fillId="0" borderId="0"/>
    <xf numFmtId="0" fontId="1" fillId="0" borderId="0"/>
    <xf numFmtId="0" fontId="15" fillId="0" borderId="0" applyNumberFormat="0" applyFill="0" applyBorder="0" applyAlignment="0" applyProtection="0">
      <alignment vertical="top"/>
      <protection locked="0"/>
    </xf>
    <xf numFmtId="0" fontId="3" fillId="0" borderId="0"/>
  </cellStyleXfs>
  <cellXfs count="1190">
    <xf numFmtId="0" fontId="0" fillId="0" borderId="0" xfId="0"/>
    <xf numFmtId="0" fontId="4" fillId="0" borderId="0" xfId="0" applyFont="1"/>
    <xf numFmtId="0" fontId="5" fillId="0" borderId="0" xfId="0" applyFont="1"/>
    <xf numFmtId="0" fontId="6" fillId="0" borderId="0" xfId="0" applyFont="1"/>
    <xf numFmtId="0" fontId="7" fillId="0" borderId="0" xfId="0" applyFont="1"/>
    <xf numFmtId="0" fontId="8" fillId="0" borderId="0" xfId="0" applyFont="1"/>
    <xf numFmtId="0" fontId="0" fillId="0" borderId="0" xfId="0" applyFill="1"/>
    <xf numFmtId="0" fontId="6" fillId="0" borderId="0" xfId="0" applyFont="1" applyFill="1"/>
    <xf numFmtId="0" fontId="8" fillId="0" borderId="0" xfId="0" applyFont="1" applyFill="1"/>
    <xf numFmtId="0" fontId="0" fillId="0" borderId="0" xfId="0" quotePrefix="1"/>
    <xf numFmtId="0" fontId="10" fillId="0" borderId="0" xfId="0" applyFont="1"/>
    <xf numFmtId="16" fontId="10" fillId="0" borderId="0" xfId="0" applyNumberFormat="1" applyFont="1"/>
    <xf numFmtId="0" fontId="12" fillId="0" borderId="0" xfId="0" applyFont="1"/>
    <xf numFmtId="1" fontId="0" fillId="0" borderId="0" xfId="0" applyNumberFormat="1"/>
    <xf numFmtId="0" fontId="13" fillId="0" borderId="0" xfId="0" applyFont="1"/>
    <xf numFmtId="0" fontId="11" fillId="0" borderId="0" xfId="0" applyFont="1"/>
    <xf numFmtId="0" fontId="8" fillId="5" borderId="0" xfId="0" applyFont="1" applyFill="1"/>
    <xf numFmtId="169" fontId="0" fillId="0" borderId="0" xfId="8" applyNumberFormat="1" applyFont="1"/>
    <xf numFmtId="169" fontId="0" fillId="0" borderId="0" xfId="0" applyNumberFormat="1"/>
    <xf numFmtId="0" fontId="4" fillId="6" borderId="0" xfId="0" applyFont="1" applyFill="1"/>
    <xf numFmtId="171" fontId="0" fillId="0" borderId="0" xfId="0" applyNumberFormat="1"/>
    <xf numFmtId="0" fontId="9" fillId="0" borderId="0" xfId="0" applyFont="1"/>
    <xf numFmtId="3" fontId="0" fillId="0" borderId="0" xfId="0" applyNumberFormat="1"/>
    <xf numFmtId="0" fontId="20" fillId="0" borderId="0" xfId="0" applyFont="1"/>
    <xf numFmtId="0" fontId="0" fillId="4" borderId="0" xfId="0" applyFill="1"/>
    <xf numFmtId="43" fontId="0" fillId="0" borderId="0" xfId="0" applyNumberFormat="1"/>
    <xf numFmtId="167" fontId="0" fillId="0" borderId="0" xfId="0" applyNumberFormat="1"/>
    <xf numFmtId="0" fontId="0" fillId="3" borderId="0" xfId="0" applyFill="1"/>
    <xf numFmtId="169" fontId="0" fillId="4" borderId="0" xfId="8" applyNumberFormat="1" applyFont="1" applyFill="1"/>
    <xf numFmtId="0" fontId="8" fillId="0" borderId="0" xfId="0" applyFont="1" applyFill="1" applyProtection="1">
      <protection locked="0"/>
    </xf>
    <xf numFmtId="0" fontId="0" fillId="0" borderId="0" xfId="0" applyAlignment="1"/>
    <xf numFmtId="0" fontId="4" fillId="6" borderId="0" xfId="0" applyFont="1" applyFill="1" applyProtection="1">
      <protection hidden="1"/>
    </xf>
    <xf numFmtId="165" fontId="0" fillId="0" borderId="0" xfId="6" applyNumberFormat="1" applyFont="1" applyProtection="1">
      <protection hidden="1"/>
    </xf>
    <xf numFmtId="165" fontId="0" fillId="0" borderId="0" xfId="6" applyNumberFormat="1" applyFont="1" applyAlignment="1" applyProtection="1">
      <alignment horizontal="right"/>
      <protection hidden="1"/>
    </xf>
    <xf numFmtId="0" fontId="0" fillId="0" borderId="0" xfId="0" applyProtection="1">
      <protection hidden="1"/>
    </xf>
    <xf numFmtId="0" fontId="0" fillId="0" borderId="0" xfId="6" applyNumberFormat="1" applyFont="1" applyProtection="1">
      <protection hidden="1"/>
    </xf>
    <xf numFmtId="165" fontId="8" fillId="0" borderId="0" xfId="6" applyNumberFormat="1" applyFont="1" applyFill="1" applyProtection="1">
      <protection hidden="1"/>
    </xf>
    <xf numFmtId="3" fontId="8" fillId="0" borderId="0" xfId="0" applyNumberFormat="1" applyFont="1" applyProtection="1">
      <protection hidden="1"/>
    </xf>
    <xf numFmtId="0" fontId="8" fillId="0" borderId="0" xfId="0" applyFont="1" applyProtection="1">
      <protection hidden="1"/>
    </xf>
    <xf numFmtId="170" fontId="8" fillId="0" borderId="0" xfId="0" applyNumberFormat="1" applyFont="1" applyProtection="1">
      <protection hidden="1"/>
    </xf>
    <xf numFmtId="0" fontId="6" fillId="0" borderId="0" xfId="0" applyFont="1" applyProtection="1">
      <protection hidden="1"/>
    </xf>
    <xf numFmtId="0" fontId="10" fillId="0" borderId="0" xfId="0" quotePrefix="1" applyFont="1" applyAlignment="1">
      <alignment horizontal="left"/>
    </xf>
    <xf numFmtId="0" fontId="6" fillId="0" borderId="0" xfId="0" quotePrefix="1" applyFont="1" applyAlignment="1">
      <alignment horizontal="left"/>
    </xf>
    <xf numFmtId="0" fontId="10" fillId="0" borderId="0" xfId="0" applyFont="1" applyAlignment="1">
      <alignment vertical="top"/>
    </xf>
    <xf numFmtId="0" fontId="6" fillId="0" borderId="0" xfId="0" applyFont="1" applyAlignment="1">
      <alignment horizontal="left"/>
    </xf>
    <xf numFmtId="165" fontId="0" fillId="0" borderId="0" xfId="6" applyNumberFormat="1" applyFont="1"/>
    <xf numFmtId="0" fontId="8" fillId="5" borderId="0" xfId="0" applyFont="1" applyFill="1" applyProtection="1">
      <protection hidden="1"/>
    </xf>
    <xf numFmtId="0" fontId="8" fillId="0" borderId="0" xfId="0" applyFont="1" applyFill="1" applyProtection="1">
      <protection hidden="1"/>
    </xf>
    <xf numFmtId="0" fontId="4" fillId="3" borderId="0" xfId="0" applyFont="1" applyFill="1"/>
    <xf numFmtId="43" fontId="0" fillId="0" borderId="0" xfId="6" applyFont="1"/>
    <xf numFmtId="0" fontId="0" fillId="0" borderId="0" xfId="0" applyAlignment="1">
      <alignment horizontal="right"/>
    </xf>
    <xf numFmtId="0" fontId="5" fillId="0" borderId="0" xfId="0" applyFont="1" applyAlignment="1">
      <alignment horizontal="left"/>
    </xf>
    <xf numFmtId="171" fontId="8" fillId="0" borderId="0" xfId="0" applyNumberFormat="1" applyFont="1"/>
    <xf numFmtId="0" fontId="10" fillId="0" borderId="0" xfId="0" applyFont="1" applyAlignment="1"/>
    <xf numFmtId="44" fontId="8" fillId="0" borderId="0" xfId="8" applyFont="1" applyProtection="1">
      <protection hidden="1"/>
    </xf>
    <xf numFmtId="165" fontId="8" fillId="0" borderId="0" xfId="6" applyNumberFormat="1" applyFont="1" applyProtection="1">
      <protection hidden="1"/>
    </xf>
    <xf numFmtId="165" fontId="8" fillId="0" borderId="0" xfId="6" applyNumberFormat="1" applyFont="1"/>
    <xf numFmtId="0" fontId="6" fillId="0" borderId="0" xfId="0" applyFont="1" applyBorder="1"/>
    <xf numFmtId="0" fontId="21" fillId="0" borderId="0" xfId="0" applyFont="1"/>
    <xf numFmtId="0" fontId="5" fillId="0" borderId="9" xfId="0" applyFont="1" applyBorder="1"/>
    <xf numFmtId="0" fontId="5" fillId="0" borderId="10" xfId="0" applyFont="1" applyBorder="1"/>
    <xf numFmtId="0" fontId="6" fillId="0" borderId="13" xfId="0" applyFont="1" applyBorder="1"/>
    <xf numFmtId="0" fontId="10" fillId="0" borderId="0" xfId="0" applyFont="1" applyProtection="1">
      <protection hidden="1"/>
    </xf>
    <xf numFmtId="43" fontId="8" fillId="0" borderId="0" xfId="6" applyNumberFormat="1" applyFont="1"/>
    <xf numFmtId="177" fontId="8" fillId="0" borderId="0" xfId="0" applyNumberFormat="1" applyFont="1" applyProtection="1">
      <protection hidden="1"/>
    </xf>
    <xf numFmtId="165" fontId="0" fillId="0" borderId="0" xfId="0" applyNumberFormat="1"/>
    <xf numFmtId="0" fontId="0" fillId="0" borderId="0" xfId="0" applyAlignment="1" applyProtection="1">
      <protection hidden="1"/>
    </xf>
    <xf numFmtId="44" fontId="0" fillId="0" borderId="0" xfId="8" applyFont="1"/>
    <xf numFmtId="0" fontId="3" fillId="0" borderId="0" xfId="26" applyFont="1"/>
    <xf numFmtId="171" fontId="3" fillId="0" borderId="0" xfId="26" applyNumberFormat="1"/>
    <xf numFmtId="2" fontId="3" fillId="0" borderId="0" xfId="26" applyNumberFormat="1" applyFont="1" applyFill="1"/>
    <xf numFmtId="44" fontId="0" fillId="0" borderId="0" xfId="8" applyNumberFormat="1" applyFont="1"/>
    <xf numFmtId="44" fontId="0" fillId="0" borderId="0" xfId="0" applyNumberFormat="1"/>
    <xf numFmtId="0" fontId="6" fillId="7" borderId="0" xfId="0" applyFont="1" applyFill="1"/>
    <xf numFmtId="0" fontId="23" fillId="0" borderId="0" xfId="0" applyFont="1" applyAlignment="1">
      <alignment horizontal="left" indent="1"/>
    </xf>
    <xf numFmtId="0" fontId="4" fillId="7" borderId="0" xfId="0" applyFont="1" applyFill="1"/>
    <xf numFmtId="0" fontId="25" fillId="0" borderId="0" xfId="0" applyFont="1"/>
    <xf numFmtId="0" fontId="6" fillId="3" borderId="0" xfId="0" applyFont="1" applyFill="1"/>
    <xf numFmtId="0" fontId="4" fillId="0" borderId="0" xfId="0" applyFont="1" applyProtection="1">
      <protection hidden="1"/>
    </xf>
    <xf numFmtId="171" fontId="0" fillId="0" borderId="0" xfId="0" applyNumberFormat="1" applyProtection="1">
      <protection hidden="1"/>
    </xf>
    <xf numFmtId="0" fontId="10" fillId="0" borderId="0" xfId="0" applyFont="1" applyAlignment="1">
      <alignment horizontal="left"/>
    </xf>
    <xf numFmtId="164" fontId="28" fillId="0" borderId="0" xfId="6" applyNumberFormat="1" applyFont="1" applyFill="1" applyProtection="1">
      <protection hidden="1"/>
    </xf>
    <xf numFmtId="0" fontId="6" fillId="0" borderId="0" xfId="0" quotePrefix="1" applyFont="1" applyAlignment="1" applyProtection="1">
      <alignment horizontal="left"/>
      <protection hidden="1"/>
    </xf>
    <xf numFmtId="164" fontId="0" fillId="0" borderId="0" xfId="6" applyNumberFormat="1" applyFont="1"/>
    <xf numFmtId="0" fontId="30" fillId="0" borderId="0" xfId="0" applyFont="1"/>
    <xf numFmtId="177" fontId="8" fillId="0" borderId="0" xfId="0" applyNumberFormat="1" applyFont="1"/>
    <xf numFmtId="0" fontId="0" fillId="0" borderId="15" xfId="0" applyBorder="1"/>
    <xf numFmtId="0" fontId="6" fillId="0" borderId="15" xfId="0" applyFont="1" applyBorder="1"/>
    <xf numFmtId="0" fontId="4" fillId="0" borderId="0" xfId="0" applyFont="1" applyFill="1"/>
    <xf numFmtId="165" fontId="8" fillId="0" borderId="0" xfId="6" applyNumberFormat="1" applyFont="1" applyAlignment="1">
      <alignment horizontal="right"/>
    </xf>
    <xf numFmtId="165" fontId="8" fillId="0" borderId="0" xfId="6" applyNumberFormat="1" applyFont="1" applyFill="1" applyAlignment="1" applyProtection="1">
      <alignment horizontal="right"/>
      <protection hidden="1"/>
    </xf>
    <xf numFmtId="43" fontId="8" fillId="0" borderId="0" xfId="6" applyNumberFormat="1" applyFont="1" applyFill="1" applyAlignment="1" applyProtection="1">
      <alignment horizontal="right"/>
      <protection hidden="1"/>
    </xf>
    <xf numFmtId="173" fontId="8" fillId="0" borderId="0" xfId="6" applyNumberFormat="1" applyFont="1" applyFill="1" applyAlignment="1" applyProtection="1">
      <alignment horizontal="right"/>
      <protection hidden="1"/>
    </xf>
    <xf numFmtId="44" fontId="8" fillId="0" borderId="0" xfId="0" applyNumberFormat="1" applyFont="1" applyProtection="1">
      <protection hidden="1"/>
    </xf>
    <xf numFmtId="43" fontId="0" fillId="0" borderId="0" xfId="6" applyFont="1" applyAlignment="1">
      <alignment horizontal="right"/>
    </xf>
    <xf numFmtId="0" fontId="0" fillId="0" borderId="0" xfId="0" applyAlignment="1">
      <alignment horizontal="left"/>
    </xf>
    <xf numFmtId="0" fontId="6" fillId="0" borderId="0" xfId="0" applyFont="1" applyAlignment="1" applyProtection="1">
      <alignment horizontal="left"/>
      <protection hidden="1"/>
    </xf>
    <xf numFmtId="0" fontId="8" fillId="5" borderId="0" xfId="0" applyFont="1" applyFill="1" applyProtection="1">
      <protection locked="0"/>
    </xf>
    <xf numFmtId="0" fontId="8" fillId="0" borderId="0" xfId="0" applyFont="1" applyProtection="1">
      <protection locked="0"/>
    </xf>
    <xf numFmtId="174" fontId="8" fillId="0" borderId="0" xfId="6" applyNumberFormat="1" applyFont="1"/>
    <xf numFmtId="172" fontId="8" fillId="0" borderId="0" xfId="0" applyNumberFormat="1" applyFont="1" applyProtection="1">
      <protection hidden="1"/>
    </xf>
    <xf numFmtId="0" fontId="8" fillId="0" borderId="0" xfId="6" applyNumberFormat="1" applyFont="1" applyFill="1" applyProtection="1">
      <protection locked="0"/>
    </xf>
    <xf numFmtId="0" fontId="8" fillId="0" borderId="0" xfId="0" applyNumberFormat="1" applyFont="1" applyProtection="1">
      <protection hidden="1"/>
    </xf>
    <xf numFmtId="0" fontId="8" fillId="2" borderId="0" xfId="0" applyFont="1" applyFill="1"/>
    <xf numFmtId="0" fontId="25" fillId="4" borderId="0" xfId="0" applyFont="1" applyFill="1" applyBorder="1" applyAlignment="1">
      <alignment horizontal="left"/>
    </xf>
    <xf numFmtId="0" fontId="4" fillId="4" borderId="0" xfId="0" applyFont="1" applyFill="1" applyProtection="1">
      <protection hidden="1"/>
    </xf>
    <xf numFmtId="0" fontId="0" fillId="4" borderId="0" xfId="0" applyFill="1" applyBorder="1" applyAlignment="1"/>
    <xf numFmtId="0" fontId="0" fillId="4" borderId="0" xfId="0" applyFill="1" applyBorder="1"/>
    <xf numFmtId="0" fontId="0" fillId="4" borderId="17" xfId="0" applyFill="1" applyBorder="1" applyAlignment="1"/>
    <xf numFmtId="0" fontId="0" fillId="4" borderId="1" xfId="0" applyFill="1" applyBorder="1" applyAlignment="1"/>
    <xf numFmtId="0" fontId="0" fillId="4" borderId="2" xfId="0" applyFill="1" applyBorder="1" applyAlignment="1"/>
    <xf numFmtId="0" fontId="0" fillId="4" borderId="18" xfId="0" applyFill="1" applyBorder="1" applyAlignment="1"/>
    <xf numFmtId="0" fontId="25" fillId="4" borderId="0" xfId="0" applyFont="1" applyFill="1" applyBorder="1" applyAlignment="1">
      <alignment horizontal="left" vertical="top"/>
    </xf>
    <xf numFmtId="0" fontId="6" fillId="4" borderId="0" xfId="0" applyFont="1" applyFill="1" applyBorder="1" applyAlignment="1">
      <alignment wrapText="1"/>
    </xf>
    <xf numFmtId="0" fontId="8" fillId="4" borderId="0" xfId="0" applyFont="1" applyFill="1" applyBorder="1" applyAlignment="1">
      <alignment horizontal="left" vertical="center" wrapText="1"/>
    </xf>
    <xf numFmtId="0" fontId="25" fillId="4" borderId="0" xfId="0" applyFont="1" applyFill="1" applyBorder="1" applyAlignment="1">
      <alignment wrapText="1"/>
    </xf>
    <xf numFmtId="0" fontId="25" fillId="4" borderId="0" xfId="0" applyFont="1" applyFill="1"/>
    <xf numFmtId="0" fontId="6" fillId="4" borderId="0" xfId="0" applyFont="1" applyFill="1"/>
    <xf numFmtId="0" fontId="0" fillId="4" borderId="5" xfId="0" applyFill="1" applyBorder="1"/>
    <xf numFmtId="168" fontId="4" fillId="4" borderId="0" xfId="0" applyNumberFormat="1" applyFont="1" applyFill="1" applyBorder="1" applyProtection="1">
      <protection locked="0"/>
    </xf>
    <xf numFmtId="168" fontId="7" fillId="4" borderId="2" xfId="0" applyNumberFormat="1" applyFont="1" applyFill="1" applyBorder="1" applyAlignment="1" applyProtection="1">
      <alignment horizontal="left"/>
      <protection locked="0"/>
    </xf>
    <xf numFmtId="168" fontId="4" fillId="4" borderId="15" xfId="0" applyNumberFormat="1" applyFont="1" applyFill="1" applyBorder="1" applyProtection="1">
      <protection locked="0"/>
    </xf>
    <xf numFmtId="0" fontId="8" fillId="4" borderId="0" xfId="0" applyFont="1" applyFill="1" applyBorder="1" applyAlignment="1">
      <alignment horizontal="left"/>
    </xf>
    <xf numFmtId="0" fontId="10" fillId="4" borderId="19" xfId="0" applyFont="1" applyFill="1" applyBorder="1" applyAlignment="1">
      <alignment horizontal="right"/>
    </xf>
    <xf numFmtId="0" fontId="22" fillId="4" borderId="1" xfId="0" applyFont="1" applyFill="1" applyBorder="1" applyAlignment="1">
      <alignment horizontal="right"/>
    </xf>
    <xf numFmtId="168" fontId="10" fillId="4" borderId="0" xfId="0" applyNumberFormat="1" applyFont="1" applyFill="1" applyBorder="1" applyProtection="1">
      <protection locked="0"/>
    </xf>
    <xf numFmtId="168" fontId="35" fillId="4" borderId="2" xfId="0" applyNumberFormat="1" applyFont="1" applyFill="1" applyBorder="1" applyAlignment="1" applyProtection="1">
      <alignment horizontal="left"/>
      <protection locked="0"/>
    </xf>
    <xf numFmtId="0" fontId="22" fillId="4" borderId="18" xfId="0" applyFont="1" applyFill="1" applyBorder="1" applyAlignment="1">
      <alignment horizontal="right"/>
    </xf>
    <xf numFmtId="0" fontId="11" fillId="4" borderId="16" xfId="0" applyFont="1" applyFill="1" applyBorder="1" applyAlignment="1" applyProtection="1">
      <alignment horizontal="right"/>
      <protection locked="0"/>
    </xf>
    <xf numFmtId="168" fontId="7" fillId="3" borderId="20" xfId="0" applyNumberFormat="1" applyFont="1" applyFill="1" applyBorder="1" applyAlignment="1" applyProtection="1">
      <alignment horizontal="left"/>
      <protection locked="0"/>
    </xf>
    <xf numFmtId="171" fontId="10" fillId="4" borderId="0" xfId="0" applyNumberFormat="1" applyFont="1" applyFill="1" applyBorder="1" applyProtection="1">
      <protection locked="0"/>
    </xf>
    <xf numFmtId="0" fontId="6" fillId="4" borderId="0" xfId="0" applyFont="1" applyFill="1" applyBorder="1"/>
    <xf numFmtId="0" fontId="5" fillId="0" borderId="15" xfId="0" applyFont="1" applyBorder="1"/>
    <xf numFmtId="0" fontId="0" fillId="4" borderId="15" xfId="0" applyFill="1" applyBorder="1"/>
    <xf numFmtId="0" fontId="0" fillId="4" borderId="16" xfId="0" applyFill="1" applyBorder="1"/>
    <xf numFmtId="0" fontId="7" fillId="4" borderId="0" xfId="0" applyFont="1" applyFill="1"/>
    <xf numFmtId="0" fontId="10" fillId="4" borderId="1" xfId="0" applyFont="1" applyFill="1" applyBorder="1" applyAlignment="1">
      <alignment horizontal="right"/>
    </xf>
    <xf numFmtId="0" fontId="6" fillId="4" borderId="0" xfId="0" applyFont="1" applyFill="1" applyBorder="1" applyProtection="1">
      <protection hidden="1"/>
    </xf>
    <xf numFmtId="0" fontId="28" fillId="0" borderId="0" xfId="0" applyFont="1" applyFill="1" applyProtection="1">
      <protection locked="0"/>
    </xf>
    <xf numFmtId="164" fontId="10" fillId="4" borderId="0" xfId="6" applyNumberFormat="1" applyFont="1" applyFill="1" applyBorder="1" applyProtection="1">
      <protection hidden="1"/>
    </xf>
    <xf numFmtId="0" fontId="11" fillId="4" borderId="0" xfId="0" applyFont="1" applyFill="1" applyBorder="1" applyProtection="1">
      <protection locked="0"/>
    </xf>
    <xf numFmtId="0" fontId="7" fillId="4" borderId="2" xfId="0" applyFont="1" applyFill="1" applyBorder="1"/>
    <xf numFmtId="0" fontId="6" fillId="0" borderId="0" xfId="0" applyFont="1" applyFill="1" applyBorder="1"/>
    <xf numFmtId="0" fontId="7" fillId="0" borderId="2" xfId="0" applyFont="1" applyFill="1" applyBorder="1"/>
    <xf numFmtId="0" fontId="0" fillId="4" borderId="0" xfId="0" applyFill="1" applyAlignment="1"/>
    <xf numFmtId="0" fontId="4" fillId="0" borderId="0" xfId="0" applyFont="1" applyFill="1" applyBorder="1" applyAlignment="1">
      <alignment horizontal="right"/>
    </xf>
    <xf numFmtId="0" fontId="4" fillId="0" borderId="0" xfId="0" applyFont="1" applyFill="1" applyBorder="1" applyAlignment="1" applyProtection="1">
      <alignment horizontal="center"/>
      <protection locked="0"/>
    </xf>
    <xf numFmtId="0" fontId="10" fillId="4" borderId="1" xfId="0" applyFont="1" applyFill="1" applyBorder="1" applyAlignment="1">
      <alignment horizontal="right" vertical="center" wrapText="1"/>
    </xf>
    <xf numFmtId="0" fontId="22" fillId="4" borderId="1" xfId="0" applyFont="1" applyFill="1" applyBorder="1" applyAlignment="1">
      <alignment horizontal="right" vertical="center" wrapText="1"/>
    </xf>
    <xf numFmtId="0" fontId="22" fillId="4" borderId="1" xfId="0" applyFont="1" applyFill="1" applyBorder="1" applyAlignment="1">
      <alignment horizontal="right" vertical="center"/>
    </xf>
    <xf numFmtId="0" fontId="7" fillId="0" borderId="2" xfId="0" applyFont="1" applyBorder="1" applyAlignment="1">
      <alignment vertical="center"/>
    </xf>
    <xf numFmtId="0" fontId="8" fillId="0" borderId="0" xfId="0" applyFont="1" applyFill="1" applyBorder="1"/>
    <xf numFmtId="0" fontId="29" fillId="0" borderId="0" xfId="0" applyFont="1" applyAlignment="1">
      <alignment horizontal="left"/>
    </xf>
    <xf numFmtId="0" fontId="11" fillId="4" borderId="2" xfId="0" applyFont="1" applyFill="1" applyBorder="1" applyAlignment="1" applyProtection="1">
      <alignment horizontal="right"/>
      <protection locked="0"/>
    </xf>
    <xf numFmtId="0" fontId="0" fillId="0" borderId="0" xfId="0" applyAlignment="1">
      <alignment horizontal="left" indent="1"/>
    </xf>
    <xf numFmtId="0" fontId="0" fillId="0" borderId="0" xfId="0" applyAlignment="1" applyProtection="1">
      <alignment horizontal="left" indent="1"/>
      <protection hidden="1"/>
    </xf>
    <xf numFmtId="2" fontId="0" fillId="0" borderId="0" xfId="0" applyNumberFormat="1"/>
    <xf numFmtId="0" fontId="0" fillId="4" borderId="1" xfId="0" quotePrefix="1" applyFill="1" applyBorder="1"/>
    <xf numFmtId="0" fontId="0" fillId="4" borderId="18" xfId="0" quotePrefix="1" applyFill="1" applyBorder="1"/>
    <xf numFmtId="0" fontId="6" fillId="4" borderId="15" xfId="0" applyFont="1" applyFill="1" applyBorder="1"/>
    <xf numFmtId="0" fontId="10" fillId="4" borderId="0" xfId="0" applyFont="1" applyFill="1" applyBorder="1" applyProtection="1">
      <protection locked="0"/>
    </xf>
    <xf numFmtId="0" fontId="10" fillId="4" borderId="0" xfId="0" applyFont="1" applyFill="1" applyBorder="1"/>
    <xf numFmtId="0" fontId="7" fillId="4" borderId="21" xfId="0" applyFont="1" applyFill="1" applyBorder="1"/>
    <xf numFmtId="0" fontId="0" fillId="0" borderId="21" xfId="0" applyBorder="1"/>
    <xf numFmtId="0" fontId="0" fillId="4" borderId="2" xfId="0" applyFill="1" applyBorder="1"/>
    <xf numFmtId="0" fontId="11" fillId="4" borderId="16" xfId="0" applyFont="1" applyFill="1" applyBorder="1" applyAlignment="1" applyProtection="1">
      <alignment horizontal="right"/>
      <protection hidden="1"/>
    </xf>
    <xf numFmtId="0" fontId="10" fillId="4" borderId="0" xfId="0" applyFont="1" applyFill="1"/>
    <xf numFmtId="0" fontId="10" fillId="4" borderId="0" xfId="0" applyFont="1" applyFill="1" applyAlignment="1"/>
    <xf numFmtId="0" fontId="0" fillId="4" borderId="0" xfId="0" applyFill="1" applyAlignment="1">
      <alignment vertical="top"/>
    </xf>
    <xf numFmtId="0" fontId="0" fillId="4" borderId="1" xfId="0" applyFill="1" applyBorder="1" applyAlignment="1">
      <alignment vertical="top"/>
    </xf>
    <xf numFmtId="0" fontId="0" fillId="4" borderId="0" xfId="0" applyFill="1" applyAlignment="1">
      <alignment wrapText="1"/>
    </xf>
    <xf numFmtId="0" fontId="0" fillId="4" borderId="18" xfId="0" applyFill="1" applyBorder="1"/>
    <xf numFmtId="0" fontId="0" fillId="4" borderId="15" xfId="0" applyFill="1" applyBorder="1" applyProtection="1">
      <protection locked="0"/>
    </xf>
    <xf numFmtId="0" fontId="10" fillId="4" borderId="18" xfId="0" applyFont="1" applyFill="1" applyBorder="1" applyAlignment="1">
      <alignment horizontal="right"/>
    </xf>
    <xf numFmtId="0" fontId="10" fillId="4" borderId="1" xfId="0" applyFont="1" applyFill="1" applyBorder="1" applyAlignment="1">
      <alignment horizontal="right" vertical="top" wrapText="1"/>
    </xf>
    <xf numFmtId="0" fontId="10" fillId="4" borderId="0" xfId="0" applyFont="1" applyFill="1" applyBorder="1" applyAlignment="1" applyProtection="1">
      <alignment horizontal="right" vertical="top"/>
      <protection locked="0"/>
    </xf>
    <xf numFmtId="0" fontId="35" fillId="4" borderId="2" xfId="0" applyFont="1" applyFill="1" applyBorder="1" applyAlignment="1">
      <alignment vertical="top"/>
    </xf>
    <xf numFmtId="0" fontId="0" fillId="2" borderId="0" xfId="0" applyFill="1"/>
    <xf numFmtId="43" fontId="0" fillId="0" borderId="0" xfId="6" applyNumberFormat="1" applyFont="1"/>
    <xf numFmtId="0" fontId="8" fillId="4" borderId="0" xfId="0" applyFont="1" applyFill="1"/>
    <xf numFmtId="0" fontId="13" fillId="4" borderId="0" xfId="0" applyFont="1" applyFill="1"/>
    <xf numFmtId="169" fontId="0" fillId="4" borderId="0" xfId="0" applyNumberFormat="1" applyFill="1"/>
    <xf numFmtId="0" fontId="0" fillId="4" borderId="22" xfId="0" applyFill="1" applyBorder="1"/>
    <xf numFmtId="0" fontId="13" fillId="4" borderId="22" xfId="0" applyFont="1" applyFill="1" applyBorder="1"/>
    <xf numFmtId="0" fontId="8" fillId="4" borderId="1" xfId="0" applyFont="1" applyFill="1" applyBorder="1"/>
    <xf numFmtId="0" fontId="13" fillId="4" borderId="0" xfId="0" applyFont="1" applyFill="1" applyBorder="1"/>
    <xf numFmtId="0" fontId="8" fillId="4" borderId="0" xfId="0" applyFont="1" applyFill="1" applyBorder="1"/>
    <xf numFmtId="0" fontId="4" fillId="4" borderId="0" xfId="0" applyFont="1" applyFill="1" applyBorder="1"/>
    <xf numFmtId="0" fontId="5" fillId="0" borderId="0" xfId="0" applyFont="1" applyFill="1" applyBorder="1"/>
    <xf numFmtId="0" fontId="4" fillId="0" borderId="0" xfId="0" applyFont="1" applyBorder="1"/>
    <xf numFmtId="0" fontId="4" fillId="0" borderId="0" xfId="0" applyFont="1" applyBorder="1" applyAlignment="1">
      <alignment horizontal="right"/>
    </xf>
    <xf numFmtId="0" fontId="5" fillId="0" borderId="24" xfId="0" applyFont="1" applyBorder="1"/>
    <xf numFmtId="9" fontId="0" fillId="2" borderId="0" xfId="27" applyFont="1" applyFill="1"/>
    <xf numFmtId="0" fontId="5" fillId="0" borderId="25" xfId="0" applyFont="1" applyBorder="1"/>
    <xf numFmtId="0" fontId="10" fillId="0" borderId="0" xfId="0" applyFont="1" applyFill="1" applyBorder="1"/>
    <xf numFmtId="169" fontId="6" fillId="0" borderId="0" xfId="8" applyNumberFormat="1" applyFont="1" applyBorder="1"/>
    <xf numFmtId="0" fontId="22" fillId="4" borderId="0" xfId="0" applyFont="1" applyFill="1" applyAlignment="1">
      <alignment vertical="center"/>
    </xf>
    <xf numFmtId="0" fontId="22" fillId="4" borderId="0" xfId="0" applyFont="1" applyFill="1"/>
    <xf numFmtId="0" fontId="22" fillId="4" borderId="0" xfId="0" applyFont="1" applyFill="1" applyAlignment="1" applyProtection="1">
      <alignment horizontal="left"/>
      <protection hidden="1"/>
    </xf>
    <xf numFmtId="0" fontId="8" fillId="4" borderId="0" xfId="0" applyFont="1" applyFill="1" applyAlignment="1">
      <alignment horizontal="left"/>
    </xf>
    <xf numFmtId="0" fontId="8" fillId="4" borderId="0" xfId="0" applyFont="1" applyFill="1" applyAlignment="1" applyProtection="1">
      <alignment horizontal="left"/>
      <protection hidden="1"/>
    </xf>
    <xf numFmtId="169" fontId="8" fillId="4" borderId="0" xfId="8" applyNumberFormat="1" applyFont="1" applyFill="1" applyAlignment="1">
      <alignment horizontal="left"/>
    </xf>
    <xf numFmtId="0" fontId="22" fillId="4" borderId="0" xfId="0" applyFont="1" applyFill="1" applyAlignment="1">
      <alignment horizontal="left"/>
    </xf>
    <xf numFmtId="0" fontId="6" fillId="4" borderId="0" xfId="0" applyFont="1" applyFill="1" applyAlignment="1">
      <alignment horizontal="left"/>
    </xf>
    <xf numFmtId="0" fontId="8" fillId="4" borderId="0" xfId="0" applyFont="1" applyFill="1" applyAlignment="1" applyProtection="1">
      <alignment horizontal="left"/>
      <protection locked="0"/>
    </xf>
    <xf numFmtId="0" fontId="7" fillId="4" borderId="0" xfId="0" applyFont="1" applyFill="1" applyAlignment="1">
      <alignment horizontal="left"/>
    </xf>
    <xf numFmtId="0" fontId="22" fillId="4" borderId="0" xfId="0" applyFont="1" applyFill="1" applyAlignment="1">
      <alignment horizontal="left" vertical="top"/>
    </xf>
    <xf numFmtId="0" fontId="8" fillId="4" borderId="0" xfId="0" applyFont="1" applyFill="1" applyAlignment="1">
      <alignment horizontal="left" vertical="top"/>
    </xf>
    <xf numFmtId="0" fontId="4" fillId="0" borderId="15" xfId="0" applyFont="1" applyFill="1" applyBorder="1"/>
    <xf numFmtId="0" fontId="4" fillId="0" borderId="15" xfId="0" applyFont="1" applyBorder="1"/>
    <xf numFmtId="0" fontId="4" fillId="0" borderId="15" xfId="0" applyFont="1" applyBorder="1" applyAlignment="1">
      <alignment horizontal="right"/>
    </xf>
    <xf numFmtId="175" fontId="8" fillId="2" borderId="0" xfId="0" applyNumberFormat="1" applyFont="1" applyFill="1"/>
    <xf numFmtId="2" fontId="8" fillId="2" borderId="0" xfId="0" applyNumberFormat="1" applyFont="1" applyFill="1" applyProtection="1">
      <protection hidden="1"/>
    </xf>
    <xf numFmtId="9" fontId="8" fillId="2" borderId="0" xfId="0" applyNumberFormat="1" applyFont="1" applyFill="1"/>
    <xf numFmtId="165" fontId="0" fillId="2" borderId="0" xfId="6" applyNumberFormat="1" applyFont="1" applyFill="1"/>
    <xf numFmtId="0" fontId="21" fillId="0" borderId="0" xfId="0" applyFont="1" applyAlignment="1">
      <alignment horizontal="left"/>
    </xf>
    <xf numFmtId="0" fontId="0" fillId="5" borderId="0" xfId="0" applyFill="1" applyBorder="1" applyProtection="1">
      <protection hidden="1"/>
    </xf>
    <xf numFmtId="0" fontId="10" fillId="0" borderId="0" xfId="0" applyFont="1" applyAlignment="1">
      <alignment horizontal="right"/>
    </xf>
    <xf numFmtId="0" fontId="8" fillId="5" borderId="0" xfId="0" applyFont="1" applyFill="1" applyBorder="1" applyProtection="1">
      <protection locked="0"/>
    </xf>
    <xf numFmtId="0" fontId="8" fillId="5" borderId="0" xfId="0" applyFont="1" applyFill="1" applyBorder="1" applyProtection="1">
      <protection hidden="1"/>
    </xf>
    <xf numFmtId="9" fontId="6" fillId="0" borderId="0" xfId="0" applyNumberFormat="1" applyFont="1"/>
    <xf numFmtId="0" fontId="39" fillId="4" borderId="0" xfId="0" applyFont="1" applyFill="1"/>
    <xf numFmtId="0" fontId="0" fillId="5" borderId="0" xfId="0" applyFill="1" applyBorder="1" applyAlignment="1" applyProtection="1">
      <alignment horizontal="right"/>
      <protection hidden="1"/>
    </xf>
    <xf numFmtId="0" fontId="0" fillId="5" borderId="2" xfId="0" applyFill="1" applyBorder="1" applyAlignment="1" applyProtection="1">
      <alignment horizontal="right"/>
      <protection hidden="1"/>
    </xf>
    <xf numFmtId="0" fontId="20" fillId="0" borderId="0" xfId="0" applyFont="1" applyFill="1"/>
    <xf numFmtId="0" fontId="8" fillId="0" borderId="24" xfId="0" applyNumberFormat="1" applyFont="1" applyFill="1" applyBorder="1" applyProtection="1">
      <protection hidden="1"/>
    </xf>
    <xf numFmtId="170" fontId="41" fillId="4" borderId="0" xfId="0" applyNumberFormat="1" applyFont="1" applyFill="1" applyBorder="1" applyProtection="1">
      <protection hidden="1"/>
    </xf>
    <xf numFmtId="0" fontId="41" fillId="4" borderId="15" xfId="0" applyFont="1" applyFill="1" applyBorder="1"/>
    <xf numFmtId="0" fontId="22" fillId="4" borderId="15" xfId="0" applyFont="1" applyFill="1" applyBorder="1" applyAlignment="1"/>
    <xf numFmtId="0" fontId="41" fillId="4" borderId="0" xfId="0" applyFont="1" applyFill="1" applyBorder="1"/>
    <xf numFmtId="0" fontId="22" fillId="4" borderId="0" xfId="0" applyFont="1" applyFill="1" applyBorder="1"/>
    <xf numFmtId="0" fontId="22" fillId="4" borderId="15" xfId="0" applyFont="1" applyFill="1" applyBorder="1"/>
    <xf numFmtId="0" fontId="42" fillId="4" borderId="17" xfId="0" applyFont="1" applyFill="1" applyBorder="1"/>
    <xf numFmtId="0" fontId="0" fillId="4" borderId="0" xfId="0" applyFill="1" applyProtection="1">
      <protection hidden="1"/>
    </xf>
    <xf numFmtId="0" fontId="20" fillId="4" borderId="0" xfId="0" applyFont="1" applyFill="1"/>
    <xf numFmtId="0" fontId="4" fillId="6" borderId="1" xfId="0" quotePrefix="1" applyFont="1" applyFill="1" applyBorder="1" applyAlignment="1">
      <alignment horizontal="left"/>
    </xf>
    <xf numFmtId="0" fontId="4" fillId="6" borderId="0" xfId="0" applyFont="1" applyFill="1" applyBorder="1"/>
    <xf numFmtId="0" fontId="17" fillId="6" borderId="0" xfId="0" applyFont="1" applyFill="1" applyBorder="1"/>
    <xf numFmtId="0" fontId="4" fillId="6" borderId="2" xfId="0" applyFont="1" applyFill="1" applyBorder="1"/>
    <xf numFmtId="0" fontId="8" fillId="5" borderId="0" xfId="0" applyFont="1" applyFill="1" applyBorder="1"/>
    <xf numFmtId="0" fontId="4" fillId="6" borderId="1" xfId="0" quotePrefix="1" applyFont="1" applyFill="1" applyBorder="1"/>
    <xf numFmtId="0" fontId="4" fillId="6" borderId="0" xfId="0" applyFont="1" applyFill="1" applyBorder="1" applyProtection="1">
      <protection hidden="1"/>
    </xf>
    <xf numFmtId="165" fontId="4" fillId="6" borderId="0" xfId="6" applyNumberFormat="1" applyFont="1" applyFill="1" applyBorder="1" applyProtection="1">
      <protection hidden="1"/>
    </xf>
    <xf numFmtId="0" fontId="4" fillId="6" borderId="2" xfId="0" applyFont="1" applyFill="1" applyBorder="1" applyProtection="1">
      <protection hidden="1"/>
    </xf>
    <xf numFmtId="165" fontId="0" fillId="5" borderId="0" xfId="6" applyNumberFormat="1" applyFont="1" applyFill="1" applyBorder="1" applyProtection="1">
      <protection hidden="1"/>
    </xf>
    <xf numFmtId="0" fontId="0" fillId="5" borderId="0" xfId="0" applyFill="1" applyBorder="1"/>
    <xf numFmtId="0" fontId="0" fillId="5" borderId="2" xfId="0" applyFill="1" applyBorder="1" applyProtection="1">
      <protection hidden="1"/>
    </xf>
    <xf numFmtId="49" fontId="0" fillId="5" borderId="1" xfId="0" applyNumberFormat="1" applyFill="1" applyBorder="1"/>
    <xf numFmtId="169" fontId="0" fillId="5" borderId="0" xfId="8" applyNumberFormat="1" applyFont="1" applyFill="1" applyBorder="1" applyProtection="1">
      <protection hidden="1"/>
    </xf>
    <xf numFmtId="169" fontId="0" fillId="5" borderId="0" xfId="0" applyNumberFormat="1" applyFill="1" applyBorder="1" applyAlignment="1" applyProtection="1">
      <alignment horizontal="right"/>
      <protection hidden="1"/>
    </xf>
    <xf numFmtId="0" fontId="0" fillId="5" borderId="2" xfId="0" applyFill="1" applyBorder="1"/>
    <xf numFmtId="0" fontId="4" fillId="6" borderId="1" xfId="0" quotePrefix="1" applyFont="1" applyFill="1" applyBorder="1" applyProtection="1">
      <protection hidden="1"/>
    </xf>
    <xf numFmtId="0" fontId="0" fillId="6" borderId="0" xfId="0" applyFill="1" applyBorder="1" applyProtection="1">
      <protection hidden="1"/>
    </xf>
    <xf numFmtId="0" fontId="0" fillId="6" borderId="0" xfId="0" applyFill="1" applyBorder="1"/>
    <xf numFmtId="0" fontId="0" fillId="6" borderId="2" xfId="0" applyFill="1" applyBorder="1"/>
    <xf numFmtId="0" fontId="0" fillId="5" borderId="0" xfId="0" applyFill="1" applyBorder="1" applyAlignment="1"/>
    <xf numFmtId="0" fontId="4" fillId="6" borderId="0" xfId="0" applyFont="1" applyFill="1" applyBorder="1" applyAlignment="1" applyProtection="1">
      <alignment horizontal="right"/>
      <protection hidden="1"/>
    </xf>
    <xf numFmtId="44" fontId="0" fillId="5" borderId="0" xfId="8" applyFont="1" applyFill="1" applyBorder="1" applyProtection="1">
      <protection hidden="1"/>
    </xf>
    <xf numFmtId="1" fontId="0" fillId="5" borderId="0" xfId="0" applyNumberFormat="1" applyFill="1" applyBorder="1" applyAlignment="1" applyProtection="1">
      <alignment horizontal="right"/>
      <protection hidden="1"/>
    </xf>
    <xf numFmtId="1" fontId="0" fillId="5" borderId="2" xfId="0" applyNumberFormat="1" applyFill="1" applyBorder="1" applyAlignment="1" applyProtection="1">
      <alignment horizontal="right"/>
      <protection hidden="1"/>
    </xf>
    <xf numFmtId="0" fontId="4" fillId="6" borderId="0" xfId="0" quotePrefix="1" applyFont="1" applyFill="1" applyBorder="1"/>
    <xf numFmtId="0" fontId="0" fillId="4" borderId="1" xfId="0" applyFill="1" applyBorder="1"/>
    <xf numFmtId="0" fontId="0" fillId="4" borderId="0" xfId="0" applyFill="1" applyBorder="1" applyProtection="1">
      <protection hidden="1"/>
    </xf>
    <xf numFmtId="0" fontId="13" fillId="4" borderId="0" xfId="0" applyFont="1" applyFill="1" applyBorder="1" applyProtection="1">
      <protection hidden="1"/>
    </xf>
    <xf numFmtId="165" fontId="0" fillId="4" borderId="0" xfId="6" applyNumberFormat="1" applyFont="1" applyFill="1" applyBorder="1" applyProtection="1">
      <protection hidden="1"/>
    </xf>
    <xf numFmtId="44" fontId="0" fillId="4" borderId="0" xfId="8" applyFont="1" applyFill="1" applyBorder="1" applyProtection="1">
      <protection hidden="1"/>
    </xf>
    <xf numFmtId="169" fontId="0" fillId="4" borderId="0" xfId="0" applyNumberFormat="1" applyFill="1" applyBorder="1" applyProtection="1">
      <protection hidden="1"/>
    </xf>
    <xf numFmtId="0" fontId="0" fillId="4" borderId="2" xfId="0" applyFill="1" applyBorder="1" applyProtection="1">
      <protection hidden="1"/>
    </xf>
    <xf numFmtId="169" fontId="0" fillId="4" borderId="0" xfId="0" applyNumberFormat="1" applyFill="1" applyBorder="1"/>
    <xf numFmtId="0" fontId="14" fillId="4" borderId="0" xfId="0" applyFont="1" applyFill="1" applyBorder="1"/>
    <xf numFmtId="169" fontId="0" fillId="4" borderId="22" xfId="0" applyNumberFormat="1" applyFill="1" applyBorder="1"/>
    <xf numFmtId="0" fontId="20" fillId="4" borderId="1" xfId="0" applyFont="1" applyFill="1" applyBorder="1"/>
    <xf numFmtId="0" fontId="20" fillId="4" borderId="18" xfId="0" applyFont="1" applyFill="1" applyBorder="1"/>
    <xf numFmtId="0" fontId="0" fillId="4" borderId="15" xfId="0" applyFill="1" applyBorder="1" applyAlignment="1">
      <alignment wrapText="1"/>
    </xf>
    <xf numFmtId="0" fontId="0" fillId="4" borderId="16" xfId="0" applyFill="1" applyBorder="1" applyAlignment="1">
      <alignment wrapText="1"/>
    </xf>
    <xf numFmtId="0" fontId="0" fillId="0" borderId="22" xfId="0" applyBorder="1"/>
    <xf numFmtId="0" fontId="0" fillId="4" borderId="23" xfId="0" applyFill="1" applyBorder="1"/>
    <xf numFmtId="0" fontId="20" fillId="4" borderId="15" xfId="0" applyFont="1" applyFill="1" applyBorder="1"/>
    <xf numFmtId="169" fontId="13" fillId="4" borderId="15" xfId="0" applyNumberFormat="1" applyFont="1" applyFill="1" applyBorder="1" applyProtection="1">
      <protection hidden="1"/>
    </xf>
    <xf numFmtId="169" fontId="0" fillId="4" borderId="15" xfId="0" applyNumberFormat="1" applyFill="1" applyBorder="1"/>
    <xf numFmtId="171" fontId="0" fillId="2" borderId="0" xfId="0" applyNumberFormat="1" applyFill="1" applyBorder="1" applyProtection="1">
      <protection locked="0"/>
    </xf>
    <xf numFmtId="9" fontId="0" fillId="4" borderId="22" xfId="27" applyFont="1" applyFill="1" applyBorder="1" applyProtection="1">
      <protection locked="0"/>
    </xf>
    <xf numFmtId="0" fontId="14" fillId="4" borderId="22" xfId="0" applyFont="1" applyFill="1" applyBorder="1"/>
    <xf numFmtId="0" fontId="8" fillId="4" borderId="22" xfId="0" applyFont="1" applyFill="1" applyBorder="1"/>
    <xf numFmtId="0" fontId="8" fillId="4" borderId="0" xfId="0" applyFont="1" applyFill="1" applyBorder="1" applyAlignment="1">
      <alignment horizontal="right"/>
    </xf>
    <xf numFmtId="169" fontId="0" fillId="4" borderId="0" xfId="8" applyNumberFormat="1" applyFont="1" applyFill="1" applyProtection="1">
      <protection locked="0"/>
    </xf>
    <xf numFmtId="0" fontId="13" fillId="5" borderId="0" xfId="0" applyFont="1" applyFill="1" applyBorder="1"/>
    <xf numFmtId="0" fontId="17" fillId="4" borderId="22" xfId="0" applyFont="1" applyFill="1" applyBorder="1"/>
    <xf numFmtId="0" fontId="16" fillId="8" borderId="0" xfId="0" applyFont="1" applyFill="1"/>
    <xf numFmtId="0" fontId="20" fillId="4" borderId="0" xfId="0" applyFont="1" applyFill="1" applyBorder="1" applyAlignment="1">
      <alignment wrapText="1"/>
    </xf>
    <xf numFmtId="0" fontId="8" fillId="7" borderId="0" xfId="0" applyFont="1" applyFill="1"/>
    <xf numFmtId="0" fontId="0" fillId="0" borderId="0" xfId="0" applyAlignment="1" applyProtection="1">
      <alignment horizontal="right"/>
      <protection hidden="1"/>
    </xf>
    <xf numFmtId="0" fontId="0" fillId="5" borderId="0" xfId="0" applyFill="1" applyBorder="1" applyAlignment="1">
      <alignment horizontal="right"/>
    </xf>
    <xf numFmtId="0" fontId="13" fillId="0" borderId="0" xfId="0" applyFont="1" applyFill="1"/>
    <xf numFmtId="164" fontId="0" fillId="0" borderId="0" xfId="6" applyNumberFormat="1" applyFont="1" applyProtection="1">
      <protection hidden="1"/>
    </xf>
    <xf numFmtId="0" fontId="0" fillId="0" borderId="28" xfId="0" applyBorder="1" applyProtection="1">
      <protection hidden="1"/>
    </xf>
    <xf numFmtId="0" fontId="15" fillId="4" borderId="0" xfId="10" applyFill="1" applyAlignment="1" applyProtection="1"/>
    <xf numFmtId="0" fontId="0" fillId="4" borderId="31" xfId="0" applyFill="1" applyBorder="1"/>
    <xf numFmtId="0" fontId="22" fillId="4" borderId="1" xfId="0" applyFont="1" applyFill="1" applyBorder="1" applyAlignment="1" applyProtection="1">
      <alignment horizontal="left" vertical="center" wrapText="1"/>
      <protection hidden="1"/>
    </xf>
    <xf numFmtId="0" fontId="22" fillId="4" borderId="0" xfId="0" applyFont="1" applyFill="1" applyAlignment="1" applyProtection="1">
      <alignment horizontal="left" vertical="center" wrapText="1"/>
      <protection hidden="1"/>
    </xf>
    <xf numFmtId="171" fontId="0" fillId="2" borderId="0" xfId="6" applyNumberFormat="1" applyFont="1" applyFill="1"/>
    <xf numFmtId="0" fontId="8" fillId="4" borderId="0" xfId="0" applyFont="1" applyFill="1" applyBorder="1" applyAlignment="1">
      <alignment horizontal="left" wrapText="1"/>
    </xf>
    <xf numFmtId="0" fontId="0" fillId="4" borderId="0" xfId="0" applyFill="1" applyBorder="1" applyAlignment="1">
      <alignment horizontal="left"/>
    </xf>
    <xf numFmtId="0" fontId="4" fillId="4" borderId="0" xfId="0" applyFont="1" applyFill="1" applyBorder="1" applyAlignment="1">
      <alignment horizontal="left" wrapText="1"/>
    </xf>
    <xf numFmtId="0" fontId="0" fillId="4" borderId="0" xfId="0" applyFill="1" applyAlignment="1">
      <alignment horizontal="left"/>
    </xf>
    <xf numFmtId="0" fontId="4" fillId="0" borderId="32" xfId="0" applyFont="1" applyBorder="1"/>
    <xf numFmtId="0" fontId="6" fillId="0" borderId="33" xfId="0" applyFont="1" applyBorder="1"/>
    <xf numFmtId="168" fontId="4" fillId="3" borderId="33" xfId="0" applyNumberFormat="1" applyFont="1" applyFill="1" applyBorder="1" applyProtection="1">
      <protection locked="0"/>
    </xf>
    <xf numFmtId="0" fontId="4" fillId="0" borderId="34" xfId="0" applyFont="1" applyBorder="1"/>
    <xf numFmtId="0" fontId="6" fillId="0" borderId="6" xfId="0" applyFont="1" applyBorder="1"/>
    <xf numFmtId="168" fontId="4" fillId="3" borderId="6" xfId="0" applyNumberFormat="1" applyFont="1" applyFill="1" applyBorder="1" applyProtection="1">
      <protection locked="0"/>
    </xf>
    <xf numFmtId="168" fontId="7" fillId="3" borderId="35" xfId="0" applyNumberFormat="1" applyFont="1" applyFill="1" applyBorder="1" applyAlignment="1" applyProtection="1">
      <alignment horizontal="left"/>
      <protection locked="0"/>
    </xf>
    <xf numFmtId="0" fontId="4" fillId="0" borderId="32" xfId="0" applyFont="1" applyBorder="1" applyAlignment="1" applyProtection="1">
      <alignment vertical="center"/>
      <protection hidden="1"/>
    </xf>
    <xf numFmtId="0" fontId="6" fillId="0" borderId="33" xfId="0" applyFont="1" applyBorder="1" applyProtection="1">
      <protection hidden="1"/>
    </xf>
    <xf numFmtId="0" fontId="7" fillId="0" borderId="36" xfId="0" applyFont="1" applyBorder="1" applyAlignment="1" applyProtection="1">
      <alignment vertical="center" wrapText="1"/>
      <protection hidden="1"/>
    </xf>
    <xf numFmtId="0" fontId="4" fillId="0" borderId="34" xfId="0" applyFont="1" applyBorder="1" applyProtection="1">
      <protection hidden="1"/>
    </xf>
    <xf numFmtId="0" fontId="6" fillId="0" borderId="6" xfId="0" applyFont="1" applyBorder="1" applyProtection="1">
      <protection hidden="1"/>
    </xf>
    <xf numFmtId="0" fontId="19" fillId="3" borderId="6" xfId="0" applyFont="1" applyFill="1" applyBorder="1" applyProtection="1">
      <protection locked="0"/>
    </xf>
    <xf numFmtId="0" fontId="7" fillId="0" borderId="20" xfId="0" applyFont="1" applyBorder="1" applyProtection="1">
      <protection hidden="1"/>
    </xf>
    <xf numFmtId="0" fontId="4" fillId="0" borderId="34" xfId="0" applyFont="1" applyFill="1" applyBorder="1" applyProtection="1">
      <protection hidden="1"/>
    </xf>
    <xf numFmtId="0" fontId="6" fillId="4" borderId="31" xfId="0" applyFont="1" applyFill="1" applyBorder="1" applyProtection="1">
      <protection hidden="1"/>
    </xf>
    <xf numFmtId="0" fontId="0" fillId="4" borderId="21" xfId="0" applyFill="1" applyBorder="1"/>
    <xf numFmtId="0" fontId="35" fillId="4" borderId="2" xfId="0" applyFont="1" applyFill="1" applyBorder="1" applyProtection="1">
      <protection hidden="1"/>
    </xf>
    <xf numFmtId="0" fontId="4" fillId="3" borderId="33" xfId="0" applyFont="1" applyFill="1" applyBorder="1" applyAlignment="1">
      <alignment horizontal="right" vertical="center" wrapText="1"/>
    </xf>
    <xf numFmtId="0" fontId="22" fillId="4" borderId="0" xfId="0" applyFont="1" applyFill="1" applyBorder="1" applyAlignment="1">
      <alignment horizontal="right"/>
    </xf>
    <xf numFmtId="0" fontId="11" fillId="4" borderId="0" xfId="0" applyFont="1" applyFill="1" applyBorder="1" applyAlignment="1" applyProtection="1">
      <alignment horizontal="right"/>
      <protection locked="0"/>
    </xf>
    <xf numFmtId="0" fontId="11" fillId="0" borderId="2" xfId="0" applyFont="1" applyBorder="1" applyAlignment="1">
      <alignment horizontal="right"/>
    </xf>
    <xf numFmtId="0" fontId="7" fillId="0" borderId="37" xfId="0" applyFont="1" applyFill="1" applyBorder="1" applyAlignment="1">
      <alignment vertical="center" wrapText="1"/>
    </xf>
    <xf numFmtId="0" fontId="4" fillId="4" borderId="38" xfId="0" applyFont="1" applyFill="1" applyBorder="1" applyAlignment="1">
      <alignment vertical="center" wrapText="1"/>
    </xf>
    <xf numFmtId="0" fontId="6" fillId="0" borderId="28" xfId="0" applyFont="1" applyBorder="1" applyAlignment="1">
      <alignment vertical="center"/>
    </xf>
    <xf numFmtId="0" fontId="4" fillId="3" borderId="0" xfId="0" applyFont="1" applyFill="1" applyBorder="1" applyAlignment="1">
      <alignment vertical="center"/>
    </xf>
    <xf numFmtId="0" fontId="22" fillId="4" borderId="0" xfId="0" applyFont="1" applyFill="1" applyAlignment="1">
      <alignment horizontal="left" vertical="center"/>
    </xf>
    <xf numFmtId="0" fontId="4" fillId="0" borderId="34" xfId="0" applyFont="1" applyBorder="1" applyAlignment="1" applyProtection="1">
      <alignment vertical="center" wrapText="1"/>
      <protection hidden="1"/>
    </xf>
    <xf numFmtId="0" fontId="19" fillId="3" borderId="6" xfId="0" applyFont="1" applyFill="1" applyBorder="1" applyAlignment="1" applyProtection="1">
      <alignment vertical="center"/>
      <protection locked="0"/>
    </xf>
    <xf numFmtId="0" fontId="7" fillId="0" borderId="20" xfId="0" applyFont="1" applyBorder="1" applyAlignment="1" applyProtection="1">
      <alignment vertical="center"/>
      <protection hidden="1"/>
    </xf>
    <xf numFmtId="0" fontId="0" fillId="4" borderId="0" xfId="0" quotePrefix="1" applyFill="1"/>
    <xf numFmtId="0" fontId="11" fillId="4" borderId="0" xfId="0" applyFont="1" applyFill="1" applyProtection="1">
      <protection locked="0"/>
    </xf>
    <xf numFmtId="0" fontId="0" fillId="4" borderId="0" xfId="0" applyFill="1" applyProtection="1">
      <protection locked="0"/>
    </xf>
    <xf numFmtId="0" fontId="4" fillId="0" borderId="34" xfId="0" applyFont="1" applyBorder="1" applyAlignment="1">
      <alignment horizontal="right"/>
    </xf>
    <xf numFmtId="0" fontId="4" fillId="0" borderId="34" xfId="0" applyFont="1" applyFill="1" applyBorder="1" applyAlignment="1">
      <alignment horizontal="right" vertical="center"/>
    </xf>
    <xf numFmtId="0" fontId="6" fillId="0" borderId="6" xfId="0" applyFont="1" applyFill="1" applyBorder="1"/>
    <xf numFmtId="0" fontId="4" fillId="3" borderId="39" xfId="0" applyFont="1" applyFill="1" applyBorder="1" applyAlignment="1" applyProtection="1">
      <alignment horizontal="right" vertical="center"/>
      <protection locked="0"/>
    </xf>
    <xf numFmtId="0" fontId="4" fillId="0" borderId="34" xfId="0" quotePrefix="1" applyFont="1" applyFill="1" applyBorder="1" applyAlignment="1">
      <alignment horizontal="right"/>
    </xf>
    <xf numFmtId="0" fontId="4" fillId="3" borderId="39" xfId="0" applyFont="1" applyFill="1" applyBorder="1" applyProtection="1">
      <protection locked="0"/>
    </xf>
    <xf numFmtId="0" fontId="4" fillId="3" borderId="6" xfId="27" applyNumberFormat="1" applyFont="1" applyFill="1" applyBorder="1" applyProtection="1">
      <protection locked="0"/>
    </xf>
    <xf numFmtId="3" fontId="19" fillId="3" borderId="6" xfId="6" applyNumberFormat="1" applyFont="1" applyFill="1" applyBorder="1" applyProtection="1">
      <protection locked="0"/>
    </xf>
    <xf numFmtId="3" fontId="19" fillId="4" borderId="31" xfId="6" applyNumberFormat="1" applyFont="1" applyFill="1" applyBorder="1" applyProtection="1">
      <protection locked="0"/>
    </xf>
    <xf numFmtId="0" fontId="7" fillId="4" borderId="21" xfId="0" applyFont="1" applyFill="1" applyBorder="1" applyProtection="1">
      <protection hidden="1"/>
    </xf>
    <xf numFmtId="0" fontId="4" fillId="3" borderId="6" xfId="0" applyFont="1" applyFill="1" applyBorder="1" applyAlignment="1">
      <alignment horizontal="right"/>
    </xf>
    <xf numFmtId="0" fontId="7" fillId="0" borderId="20" xfId="0" applyFont="1" applyBorder="1"/>
    <xf numFmtId="0" fontId="19" fillId="3" borderId="6" xfId="0" applyFont="1" applyFill="1" applyBorder="1" applyAlignment="1" applyProtection="1">
      <alignment horizontal="right"/>
      <protection locked="0"/>
    </xf>
    <xf numFmtId="0" fontId="4" fillId="0" borderId="32" xfId="0" applyFont="1" applyFill="1" applyBorder="1" applyAlignment="1">
      <alignment vertical="center"/>
    </xf>
    <xf numFmtId="0" fontId="6" fillId="0" borderId="33" xfId="0" applyFont="1" applyBorder="1" applyAlignment="1">
      <alignment vertical="center"/>
    </xf>
    <xf numFmtId="0" fontId="4" fillId="3" borderId="33" xfId="0" applyFont="1" applyFill="1" applyBorder="1" applyAlignment="1" applyProtection="1">
      <alignment vertical="center"/>
      <protection locked="0"/>
    </xf>
    <xf numFmtId="0" fontId="7" fillId="0" borderId="36" xfId="0" applyFont="1" applyFill="1" applyBorder="1" applyAlignment="1">
      <alignment vertical="center"/>
    </xf>
    <xf numFmtId="0" fontId="4" fillId="0" borderId="34" xfId="0" applyFont="1" applyFill="1" applyBorder="1"/>
    <xf numFmtId="0" fontId="4" fillId="2" borderId="6" xfId="0" applyFont="1" applyFill="1" applyBorder="1" applyProtection="1">
      <protection locked="0"/>
    </xf>
    <xf numFmtId="0" fontId="7" fillId="0" borderId="20" xfId="0" applyFont="1" applyFill="1" applyBorder="1"/>
    <xf numFmtId="0" fontId="4" fillId="2" borderId="6" xfId="0" applyFont="1" applyFill="1" applyBorder="1" applyAlignment="1" applyProtection="1">
      <alignment horizontal="right" vertical="center" wrapText="1"/>
      <protection locked="0"/>
    </xf>
    <xf numFmtId="0" fontId="7" fillId="0" borderId="20" xfId="0" applyFont="1" applyBorder="1" applyAlignment="1">
      <alignment vertical="center"/>
    </xf>
    <xf numFmtId="0" fontId="4" fillId="2" borderId="6" xfId="0" applyFont="1" applyFill="1" applyBorder="1" applyAlignment="1">
      <alignment horizontal="right"/>
    </xf>
    <xf numFmtId="0" fontId="0" fillId="4" borderId="0" xfId="0" applyFill="1" applyAlignment="1">
      <alignment vertical="center"/>
    </xf>
    <xf numFmtId="0" fontId="4" fillId="0" borderId="32" xfId="0" applyFont="1" applyBorder="1" applyAlignment="1">
      <alignment vertical="center"/>
    </xf>
    <xf numFmtId="0" fontId="4" fillId="2" borderId="33" xfId="0" applyFont="1" applyFill="1" applyBorder="1" applyAlignment="1" applyProtection="1">
      <alignment vertical="center"/>
      <protection locked="0"/>
    </xf>
    <xf numFmtId="0" fontId="7" fillId="0" borderId="36" xfId="0" applyFont="1" applyBorder="1" applyAlignment="1">
      <alignment vertical="center"/>
    </xf>
    <xf numFmtId="0" fontId="11" fillId="4" borderId="16" xfId="0" applyFont="1" applyFill="1" applyBorder="1" applyAlignment="1">
      <alignment horizontal="right" vertical="center"/>
    </xf>
    <xf numFmtId="0" fontId="36" fillId="4" borderId="17" xfId="0" applyFont="1" applyFill="1" applyBorder="1"/>
    <xf numFmtId="0" fontId="4" fillId="4" borderId="22" xfId="0" applyFont="1" applyFill="1" applyBorder="1" applyAlignment="1">
      <alignment wrapText="1"/>
    </xf>
    <xf numFmtId="169" fontId="0" fillId="0" borderId="30" xfId="0" applyNumberFormat="1" applyBorder="1"/>
    <xf numFmtId="0" fontId="8" fillId="0" borderId="27" xfId="0" applyNumberFormat="1" applyFont="1" applyFill="1" applyBorder="1" applyProtection="1">
      <protection hidden="1"/>
    </xf>
    <xf numFmtId="169" fontId="0" fillId="0" borderId="41" xfId="0" applyNumberFormat="1" applyBorder="1"/>
    <xf numFmtId="0" fontId="4" fillId="4" borderId="22" xfId="0" applyFont="1" applyFill="1" applyBorder="1"/>
    <xf numFmtId="0" fontId="4" fillId="0" borderId="31" xfId="0" applyFont="1" applyBorder="1"/>
    <xf numFmtId="0" fontId="4" fillId="0" borderId="30" xfId="0" applyFont="1" applyBorder="1" applyAlignment="1">
      <alignment horizontal="center"/>
    </xf>
    <xf numFmtId="0" fontId="4" fillId="6" borderId="26" xfId="0" quotePrefix="1" applyFont="1" applyFill="1" applyBorder="1"/>
    <xf numFmtId="0" fontId="4" fillId="6" borderId="25" xfId="0" quotePrefix="1" applyFont="1" applyFill="1" applyBorder="1"/>
    <xf numFmtId="0" fontId="4" fillId="5" borderId="0" xfId="0" applyFont="1" applyFill="1" applyBorder="1" applyProtection="1">
      <protection hidden="1"/>
    </xf>
    <xf numFmtId="0" fontId="4" fillId="5" borderId="0" xfId="0" applyFont="1" applyFill="1" applyBorder="1"/>
    <xf numFmtId="0" fontId="4" fillId="5" borderId="2" xfId="0" applyFont="1" applyFill="1" applyBorder="1" applyProtection="1">
      <protection hidden="1"/>
    </xf>
    <xf numFmtId="0" fontId="0" fillId="5" borderId="0" xfId="0" applyNumberFormat="1" applyFill="1" applyBorder="1" applyProtection="1">
      <protection hidden="1"/>
    </xf>
    <xf numFmtId="0" fontId="45" fillId="0" borderId="0" xfId="0" applyFont="1"/>
    <xf numFmtId="0" fontId="15" fillId="4" borderId="5" xfId="10" applyFill="1" applyBorder="1" applyAlignment="1" applyProtection="1">
      <alignment horizontal="center"/>
    </xf>
    <xf numFmtId="0" fontId="0" fillId="4" borderId="45" xfId="0" applyFill="1" applyBorder="1" applyAlignment="1">
      <alignment horizontal="center"/>
    </xf>
    <xf numFmtId="0" fontId="8" fillId="4" borderId="45" xfId="0" applyFont="1" applyFill="1" applyBorder="1" applyAlignment="1">
      <alignment horizontal="center"/>
    </xf>
    <xf numFmtId="2" fontId="10" fillId="4" borderId="0" xfId="0" applyNumberFormat="1" applyFont="1" applyFill="1"/>
    <xf numFmtId="0" fontId="46" fillId="4" borderId="2" xfId="0" applyFont="1" applyFill="1" applyBorder="1"/>
    <xf numFmtId="0" fontId="46" fillId="0" borderId="2" xfId="0" applyFont="1" applyFill="1" applyBorder="1" applyAlignment="1">
      <alignment vertical="top"/>
    </xf>
    <xf numFmtId="0" fontId="10" fillId="0" borderId="0" xfId="0" applyFont="1" applyFill="1"/>
    <xf numFmtId="0" fontId="15" fillId="4" borderId="0" xfId="10" applyFill="1" applyAlignment="1" applyProtection="1">
      <alignment vertical="top"/>
    </xf>
    <xf numFmtId="0" fontId="19" fillId="3" borderId="6" xfId="0" applyFont="1" applyFill="1" applyBorder="1" applyAlignment="1" applyProtection="1">
      <alignment horizontal="right" wrapText="1"/>
      <protection locked="0"/>
    </xf>
    <xf numFmtId="169" fontId="8" fillId="0" borderId="0" xfId="8" applyNumberFormat="1" applyFont="1" applyProtection="1">
      <protection hidden="1"/>
    </xf>
    <xf numFmtId="0" fontId="39" fillId="4" borderId="0" xfId="0" applyFont="1" applyFill="1" applyAlignment="1" applyProtection="1">
      <protection locked="0" hidden="1"/>
    </xf>
    <xf numFmtId="0" fontId="4" fillId="0" borderId="0" xfId="0" applyFont="1" applyBorder="1" applyProtection="1">
      <protection hidden="1"/>
    </xf>
    <xf numFmtId="165" fontId="4" fillId="0" borderId="0" xfId="6" applyNumberFormat="1" applyFont="1" applyBorder="1" applyProtection="1">
      <protection hidden="1"/>
    </xf>
    <xf numFmtId="165" fontId="4" fillId="0" borderId="0" xfId="6" applyNumberFormat="1" applyFont="1" applyBorder="1" applyAlignment="1" applyProtection="1">
      <alignment horizontal="right"/>
      <protection hidden="1"/>
    </xf>
    <xf numFmtId="169" fontId="4" fillId="0" borderId="0" xfId="8" applyNumberFormat="1" applyFont="1" applyBorder="1" applyProtection="1">
      <protection hidden="1"/>
    </xf>
    <xf numFmtId="169" fontId="4" fillId="0" borderId="0" xfId="0" applyNumberFormat="1" applyFont="1" applyBorder="1" applyAlignment="1" applyProtection="1">
      <alignment horizontal="right"/>
      <protection hidden="1"/>
    </xf>
    <xf numFmtId="0" fontId="4" fillId="0" borderId="2" xfId="0" applyFont="1" applyBorder="1" applyProtection="1">
      <protection hidden="1"/>
    </xf>
    <xf numFmtId="169" fontId="4" fillId="0" borderId="0" xfId="0" applyNumberFormat="1" applyFont="1" applyFill="1" applyBorder="1" applyAlignment="1" applyProtection="1">
      <alignment horizontal="right"/>
      <protection hidden="1"/>
    </xf>
    <xf numFmtId="0" fontId="4" fillId="0" borderId="1" xfId="0" applyFont="1" applyBorder="1"/>
    <xf numFmtId="0" fontId="4" fillId="0" borderId="0" xfId="0" applyFont="1" applyFill="1" applyBorder="1"/>
    <xf numFmtId="169" fontId="4" fillId="0" borderId="0" xfId="8" applyNumberFormat="1"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2" xfId="0" applyFont="1" applyBorder="1" applyAlignment="1" applyProtection="1">
      <alignment horizontal="right"/>
      <protection hidden="1"/>
    </xf>
    <xf numFmtId="49" fontId="4" fillId="0" borderId="1" xfId="0" applyNumberFormat="1" applyFont="1" applyFill="1" applyBorder="1"/>
    <xf numFmtId="1" fontId="4" fillId="0" borderId="0" xfId="0" applyNumberFormat="1" applyFont="1" applyBorder="1" applyAlignment="1">
      <alignment horizontal="right"/>
    </xf>
    <xf numFmtId="1" fontId="4" fillId="0" borderId="2" xfId="0" applyNumberFormat="1" applyFont="1" applyBorder="1" applyAlignment="1">
      <alignment horizontal="right"/>
    </xf>
    <xf numFmtId="0" fontId="4" fillId="0" borderId="0" xfId="0" applyNumberFormat="1" applyFont="1" applyBorder="1" applyProtection="1">
      <protection hidden="1"/>
    </xf>
    <xf numFmtId="44" fontId="4" fillId="0" borderId="0" xfId="8" applyFont="1" applyBorder="1" applyProtection="1">
      <protection hidden="1"/>
    </xf>
    <xf numFmtId="0" fontId="4" fillId="0" borderId="0" xfId="0" applyFont="1" applyBorder="1" applyProtection="1">
      <protection locked="0"/>
    </xf>
    <xf numFmtId="0" fontId="4" fillId="0" borderId="0" xfId="0" applyNumberFormat="1" applyFont="1" applyBorder="1" applyAlignment="1" applyProtection="1">
      <alignment horizontal="right"/>
      <protection hidden="1"/>
    </xf>
    <xf numFmtId="0" fontId="4" fillId="0" borderId="2" xfId="0" applyFont="1" applyBorder="1" applyAlignment="1">
      <alignment horizontal="right"/>
    </xf>
    <xf numFmtId="0" fontId="4" fillId="0" borderId="1" xfId="0" applyFont="1" applyFill="1" applyBorder="1"/>
    <xf numFmtId="0" fontId="4" fillId="0" borderId="0" xfId="0" applyFont="1" applyFill="1" applyBorder="1" applyProtection="1">
      <protection hidden="1"/>
    </xf>
    <xf numFmtId="0" fontId="4" fillId="0" borderId="1" xfId="0" applyFont="1" applyBorder="1" applyProtection="1">
      <protection hidden="1"/>
    </xf>
    <xf numFmtId="0" fontId="4" fillId="0" borderId="0" xfId="0" applyFont="1" applyFill="1" applyBorder="1" applyAlignment="1" applyProtection="1">
      <alignment horizontal="right"/>
      <protection hidden="1"/>
    </xf>
    <xf numFmtId="169" fontId="4" fillId="0" borderId="0" xfId="8" applyNumberFormat="1" applyFont="1" applyFill="1" applyBorder="1" applyAlignment="1" applyProtection="1">
      <alignment horizontal="right"/>
      <protection hidden="1"/>
    </xf>
    <xf numFmtId="0" fontId="4" fillId="0" borderId="2" xfId="0" applyFont="1" applyFill="1" applyBorder="1" applyAlignment="1" applyProtection="1">
      <alignment horizontal="right"/>
      <protection hidden="1"/>
    </xf>
    <xf numFmtId="0" fontId="4" fillId="5" borderId="0" xfId="0" applyFont="1" applyFill="1" applyBorder="1" applyProtection="1">
      <protection locked="0"/>
    </xf>
    <xf numFmtId="0" fontId="4" fillId="0" borderId="2" xfId="0" applyFont="1" applyBorder="1"/>
    <xf numFmtId="0" fontId="4" fillId="0" borderId="0" xfId="0" applyFont="1" applyAlignment="1" applyProtection="1">
      <alignment horizontal="right"/>
      <protection hidden="1"/>
    </xf>
    <xf numFmtId="0" fontId="4" fillId="0" borderId="0" xfId="0" applyFont="1" applyFill="1" applyAlignment="1" applyProtection="1">
      <alignment horizontal="right"/>
      <protection hidden="1"/>
    </xf>
    <xf numFmtId="0" fontId="4" fillId="0" borderId="2" xfId="0" applyFont="1" applyFill="1" applyBorder="1" applyProtection="1">
      <protection hidden="1"/>
    </xf>
    <xf numFmtId="0" fontId="4" fillId="0" borderId="1" xfId="0" applyFont="1" applyFill="1" applyBorder="1" applyProtection="1">
      <protection hidden="1"/>
    </xf>
    <xf numFmtId="0" fontId="4" fillId="0" borderId="0" xfId="6" applyNumberFormat="1" applyFont="1" applyBorder="1" applyProtection="1">
      <protection hidden="1"/>
    </xf>
    <xf numFmtId="0" fontId="4" fillId="0" borderId="0" xfId="0" applyNumberFormat="1" applyFont="1" applyFill="1" applyBorder="1" applyProtection="1">
      <protection hidden="1"/>
    </xf>
    <xf numFmtId="172" fontId="4" fillId="0" borderId="0" xfId="0" applyNumberFormat="1" applyFont="1" applyBorder="1" applyAlignment="1" applyProtection="1">
      <alignment horizontal="right"/>
      <protection hidden="1"/>
    </xf>
    <xf numFmtId="174" fontId="4" fillId="0" borderId="0" xfId="6" applyNumberFormat="1" applyFont="1" applyBorder="1" applyAlignment="1" applyProtection="1">
      <alignment horizontal="right"/>
      <protection hidden="1"/>
    </xf>
    <xf numFmtId="166" fontId="4" fillId="0" borderId="0" xfId="0" applyNumberFormat="1" applyFont="1" applyBorder="1" applyAlignment="1" applyProtection="1">
      <alignment horizontal="right"/>
      <protection hidden="1"/>
    </xf>
    <xf numFmtId="43" fontId="4" fillId="0" borderId="0" xfId="6" applyNumberFormat="1" applyFont="1" applyBorder="1" applyAlignment="1" applyProtection="1">
      <alignment horizontal="right"/>
      <protection hidden="1"/>
    </xf>
    <xf numFmtId="165" fontId="4" fillId="0" borderId="0" xfId="6" applyNumberFormat="1" applyFont="1" applyFill="1" applyBorder="1" applyProtection="1">
      <protection hidden="1"/>
    </xf>
    <xf numFmtId="44" fontId="4" fillId="0" borderId="0" xfId="8" applyFont="1" applyFill="1" applyBorder="1" applyProtection="1">
      <protection hidden="1"/>
    </xf>
    <xf numFmtId="1" fontId="4" fillId="0" borderId="0" xfId="0" applyNumberFormat="1" applyFont="1" applyBorder="1" applyAlignment="1" applyProtection="1">
      <alignment horizontal="right"/>
      <protection hidden="1"/>
    </xf>
    <xf numFmtId="1" fontId="4" fillId="0" borderId="2" xfId="0" applyNumberFormat="1" applyFont="1" applyBorder="1" applyAlignment="1" applyProtection="1">
      <alignment horizontal="right"/>
      <protection hidden="1"/>
    </xf>
    <xf numFmtId="44" fontId="4" fillId="0" borderId="0" xfId="8" applyNumberFormat="1" applyFont="1" applyBorder="1" applyAlignment="1" applyProtection="1">
      <alignment horizontal="right"/>
      <protection hidden="1"/>
    </xf>
    <xf numFmtId="0" fontId="4" fillId="0" borderId="0" xfId="0" applyFont="1" applyBorder="1" applyAlignment="1" applyProtection="1">
      <alignment horizontal="left"/>
      <protection hidden="1"/>
    </xf>
    <xf numFmtId="0" fontId="4" fillId="0" borderId="0" xfId="0" applyFont="1" applyFill="1" applyBorder="1" applyProtection="1">
      <protection locked="0"/>
    </xf>
    <xf numFmtId="0" fontId="4" fillId="0" borderId="0" xfId="0" applyNumberFormat="1" applyFont="1" applyAlignment="1" applyProtection="1">
      <alignment horizontal="right"/>
      <protection hidden="1"/>
    </xf>
    <xf numFmtId="0" fontId="4" fillId="5" borderId="0" xfId="0" applyNumberFormat="1" applyFont="1" applyFill="1" applyBorder="1" applyProtection="1">
      <protection hidden="1"/>
    </xf>
    <xf numFmtId="44" fontId="4" fillId="0" borderId="0" xfId="8" applyFont="1" applyBorder="1" applyAlignment="1" applyProtection="1">
      <alignment horizontal="right"/>
      <protection hidden="1"/>
    </xf>
    <xf numFmtId="0" fontId="4" fillId="5" borderId="28" xfId="0" applyFont="1" applyFill="1" applyBorder="1"/>
    <xf numFmtId="0" fontId="4" fillId="0" borderId="28" xfId="0" applyFont="1" applyFill="1" applyBorder="1" applyProtection="1">
      <protection hidden="1"/>
    </xf>
    <xf numFmtId="165" fontId="4" fillId="0" borderId="0" xfId="6" applyNumberFormat="1" applyFont="1" applyBorder="1"/>
    <xf numFmtId="169" fontId="4" fillId="0" borderId="0" xfId="0" applyNumberFormat="1" applyFont="1" applyBorder="1" applyProtection="1">
      <protection hidden="1"/>
    </xf>
    <xf numFmtId="0" fontId="4" fillId="0" borderId="26" xfId="0" applyFont="1" applyBorder="1" applyProtection="1">
      <protection locked="0" hidden="1"/>
    </xf>
    <xf numFmtId="0" fontId="4" fillId="5" borderId="0" xfId="0" applyFont="1" applyFill="1" applyBorder="1" applyAlignment="1">
      <alignment vertical="center"/>
    </xf>
    <xf numFmtId="165" fontId="4" fillId="0" borderId="0" xfId="6" applyNumberFormat="1" applyFont="1" applyBorder="1" applyAlignment="1">
      <alignment vertical="center"/>
    </xf>
    <xf numFmtId="44" fontId="4" fillId="0" borderId="0" xfId="8" applyFont="1" applyBorder="1" applyAlignment="1" applyProtection="1">
      <alignment vertical="center"/>
      <protection hidden="1"/>
    </xf>
    <xf numFmtId="0" fontId="4" fillId="0" borderId="0" xfId="0" applyFont="1" applyBorder="1" applyAlignment="1" applyProtection="1">
      <alignment vertical="center"/>
      <protection hidden="1"/>
    </xf>
    <xf numFmtId="169" fontId="4" fillId="0" borderId="0" xfId="0" applyNumberFormat="1" applyFont="1" applyBorder="1" applyAlignment="1" applyProtection="1">
      <alignment vertical="center"/>
      <protection hidden="1"/>
    </xf>
    <xf numFmtId="0" fontId="4" fillId="0" borderId="26" xfId="0" applyFont="1" applyBorder="1" applyAlignment="1" applyProtection="1">
      <alignment vertical="center"/>
      <protection locked="0" hidden="1"/>
    </xf>
    <xf numFmtId="0" fontId="9" fillId="5" borderId="0" xfId="0" applyFont="1" applyFill="1" applyBorder="1" applyProtection="1">
      <protection hidden="1"/>
    </xf>
    <xf numFmtId="0" fontId="4" fillId="0" borderId="0" xfId="0" quotePrefix="1" applyFont="1" applyBorder="1" applyProtection="1">
      <protection hidden="1"/>
    </xf>
    <xf numFmtId="0" fontId="4" fillId="0" borderId="26" xfId="0" applyFont="1" applyBorder="1"/>
    <xf numFmtId="176" fontId="4" fillId="0" borderId="0" xfId="8" applyNumberFormat="1" applyFont="1" applyBorder="1" applyAlignment="1" applyProtection="1">
      <alignment horizontal="right"/>
      <protection hidden="1"/>
    </xf>
    <xf numFmtId="164" fontId="4" fillId="0" borderId="0" xfId="6" applyNumberFormat="1" applyFont="1" applyBorder="1" applyProtection="1">
      <protection hidden="1"/>
    </xf>
    <xf numFmtId="0" fontId="39" fillId="4" borderId="0" xfId="0" applyFont="1" applyFill="1" applyAlignment="1" applyProtection="1">
      <alignment vertical="center"/>
      <protection locked="0" hidden="1"/>
    </xf>
    <xf numFmtId="0" fontId="6" fillId="4" borderId="1" xfId="0" applyFont="1" applyFill="1" applyBorder="1" applyAlignment="1">
      <alignment horizontal="left"/>
    </xf>
    <xf numFmtId="0" fontId="0" fillId="4" borderId="46" xfId="0" applyFill="1" applyBorder="1" applyAlignment="1">
      <alignment horizontal="center" vertical="center"/>
    </xf>
    <xf numFmtId="0" fontId="0" fillId="0" borderId="0" xfId="0" applyFill="1" applyAlignment="1">
      <alignment vertical="center"/>
    </xf>
    <xf numFmtId="0" fontId="47" fillId="0" borderId="47" xfId="22" applyBorder="1">
      <alignment horizontal="right" vertical="center"/>
    </xf>
    <xf numFmtId="0" fontId="22" fillId="4" borderId="48" xfId="0" applyFont="1" applyFill="1" applyBorder="1" applyAlignment="1">
      <alignment horizontal="right"/>
    </xf>
    <xf numFmtId="0" fontId="6" fillId="4" borderId="48" xfId="0" applyFont="1" applyFill="1" applyBorder="1" applyProtection="1">
      <protection hidden="1"/>
    </xf>
    <xf numFmtId="171" fontId="10" fillId="4" borderId="48" xfId="0" applyNumberFormat="1" applyFont="1" applyFill="1" applyBorder="1" applyProtection="1">
      <protection locked="0"/>
    </xf>
    <xf numFmtId="0" fontId="35" fillId="4" borderId="48" xfId="0" applyFont="1" applyFill="1" applyBorder="1" applyProtection="1">
      <protection hidden="1"/>
    </xf>
    <xf numFmtId="0" fontId="6" fillId="4" borderId="22" xfId="0" applyFont="1" applyFill="1" applyBorder="1" applyProtection="1">
      <protection hidden="1"/>
    </xf>
    <xf numFmtId="171" fontId="10" fillId="4" borderId="22" xfId="0" applyNumberFormat="1" applyFont="1" applyFill="1" applyBorder="1" applyProtection="1">
      <protection locked="0"/>
    </xf>
    <xf numFmtId="0" fontId="35" fillId="4" borderId="23" xfId="0" applyFont="1" applyFill="1" applyBorder="1" applyProtection="1">
      <protection hidden="1"/>
    </xf>
    <xf numFmtId="0" fontId="4" fillId="4" borderId="17" xfId="0" applyFont="1" applyFill="1" applyBorder="1" applyAlignment="1">
      <alignment horizontal="left"/>
    </xf>
    <xf numFmtId="0" fontId="4" fillId="3" borderId="6" xfId="0" applyNumberFormat="1" applyFont="1" applyFill="1" applyBorder="1" applyProtection="1">
      <protection locked="0" hidden="1"/>
    </xf>
    <xf numFmtId="0" fontId="7" fillId="0" borderId="20" xfId="0" applyFont="1" applyFill="1" applyBorder="1" applyProtection="1">
      <protection locked="0" hidden="1"/>
    </xf>
    <xf numFmtId="0" fontId="4" fillId="0" borderId="34" xfId="0" applyFont="1" applyFill="1" applyBorder="1" applyAlignment="1">
      <alignment horizontal="right"/>
    </xf>
    <xf numFmtId="171" fontId="4" fillId="3" borderId="6" xfId="0" applyNumberFormat="1" applyFont="1" applyFill="1" applyBorder="1" applyProtection="1">
      <protection locked="0" hidden="1"/>
    </xf>
    <xf numFmtId="0" fontId="10" fillId="0" borderId="0" xfId="0" applyFont="1" applyProtection="1">
      <protection locked="0" hidden="1"/>
    </xf>
    <xf numFmtId="0" fontId="4" fillId="4" borderId="0" xfId="0" applyNumberFormat="1" applyFont="1" applyFill="1" applyBorder="1" applyProtection="1">
      <protection locked="0" hidden="1"/>
    </xf>
    <xf numFmtId="0" fontId="0" fillId="4" borderId="0" xfId="0" applyFill="1" applyBorder="1" applyProtection="1">
      <protection locked="0" hidden="1"/>
    </xf>
    <xf numFmtId="43" fontId="8" fillId="0" borderId="0" xfId="6" applyNumberFormat="1" applyFont="1" applyProtection="1">
      <protection hidden="1"/>
    </xf>
    <xf numFmtId="0" fontId="10" fillId="0" borderId="0" xfId="0" applyNumberFormat="1" applyFont="1"/>
    <xf numFmtId="0" fontId="4" fillId="4" borderId="17" xfId="0" applyFont="1" applyFill="1" applyBorder="1"/>
    <xf numFmtId="0" fontId="6" fillId="4" borderId="22" xfId="0" applyFont="1" applyFill="1" applyBorder="1"/>
    <xf numFmtId="0" fontId="11" fillId="4" borderId="22" xfId="0" applyFont="1" applyFill="1" applyBorder="1" applyProtection="1">
      <protection locked="0"/>
    </xf>
    <xf numFmtId="0" fontId="7" fillId="4" borderId="23" xfId="0" applyFont="1" applyFill="1" applyBorder="1"/>
    <xf numFmtId="0" fontId="0" fillId="4" borderId="15" xfId="0" applyFill="1" applyBorder="1" applyProtection="1">
      <protection locked="0" hidden="1"/>
    </xf>
    <xf numFmtId="0" fontId="22" fillId="4" borderId="0" xfId="0" applyFont="1" applyFill="1" applyAlignment="1" applyProtection="1">
      <protection locked="0" hidden="1"/>
    </xf>
    <xf numFmtId="0" fontId="22" fillId="4" borderId="0" xfId="0" applyFont="1" applyFill="1" applyProtection="1">
      <protection locked="0" hidden="1"/>
    </xf>
    <xf numFmtId="0" fontId="15" fillId="4" borderId="0" xfId="10" applyFill="1" applyAlignment="1" applyProtection="1">
      <protection locked="0" hidden="1"/>
    </xf>
    <xf numFmtId="0" fontId="11" fillId="4" borderId="16" xfId="0" applyFont="1" applyFill="1" applyBorder="1" applyAlignment="1">
      <alignment horizontal="right"/>
    </xf>
    <xf numFmtId="0" fontId="16" fillId="9" borderId="0" xfId="0" applyFont="1" applyFill="1"/>
    <xf numFmtId="0" fontId="6" fillId="9" borderId="0" xfId="0" applyFont="1" applyFill="1"/>
    <xf numFmtId="0" fontId="0" fillId="9" borderId="0" xfId="0" applyFill="1"/>
    <xf numFmtId="0" fontId="0" fillId="7" borderId="0" xfId="0" applyFill="1"/>
    <xf numFmtId="0" fontId="8" fillId="5" borderId="1" xfId="0" quotePrefix="1" applyFont="1" applyFill="1" applyBorder="1" applyAlignment="1">
      <alignment horizontal="left"/>
    </xf>
    <xf numFmtId="0" fontId="8" fillId="5" borderId="2" xfId="0" applyFont="1" applyFill="1" applyBorder="1"/>
    <xf numFmtId="0" fontId="0" fillId="5" borderId="1" xfId="0" quotePrefix="1" applyFill="1" applyBorder="1"/>
    <xf numFmtId="0" fontId="0" fillId="5" borderId="1" xfId="0" quotePrefix="1" applyFill="1" applyBorder="1" applyProtection="1">
      <protection hidden="1"/>
    </xf>
    <xf numFmtId="0" fontId="4" fillId="5" borderId="1" xfId="0" quotePrefix="1" applyFont="1" applyFill="1" applyBorder="1"/>
    <xf numFmtId="0" fontId="4" fillId="5" borderId="1" xfId="0" quotePrefix="1" applyFont="1" applyFill="1" applyBorder="1" applyProtection="1">
      <protection hidden="1"/>
    </xf>
    <xf numFmtId="0" fontId="4" fillId="5" borderId="49" xfId="0" quotePrefix="1" applyFont="1" applyFill="1" applyBorder="1"/>
    <xf numFmtId="49" fontId="0" fillId="5" borderId="1" xfId="0" applyNumberFormat="1" applyFill="1" applyBorder="1" applyProtection="1"/>
    <xf numFmtId="0" fontId="8" fillId="5" borderId="0" xfId="0" applyFont="1" applyFill="1" applyBorder="1" applyProtection="1"/>
    <xf numFmtId="0" fontId="0" fillId="5" borderId="0" xfId="0" applyFill="1" applyBorder="1" applyAlignment="1" applyProtection="1">
      <alignment horizontal="right"/>
    </xf>
    <xf numFmtId="0" fontId="0" fillId="5" borderId="2" xfId="0" applyFill="1" applyBorder="1" applyAlignment="1" applyProtection="1">
      <alignment horizontal="right"/>
    </xf>
    <xf numFmtId="0" fontId="4" fillId="0" borderId="1" xfId="0" applyFont="1" applyBorder="1" applyProtection="1"/>
    <xf numFmtId="0" fontId="4" fillId="0" borderId="0" xfId="0" applyFont="1" applyFill="1" applyBorder="1" applyProtection="1"/>
    <xf numFmtId="0" fontId="4" fillId="0" borderId="0" xfId="0" applyFont="1" applyBorder="1" applyProtection="1"/>
    <xf numFmtId="0" fontId="4" fillId="0" borderId="2" xfId="0" applyFont="1" applyBorder="1" applyAlignment="1" applyProtection="1">
      <alignment horizontal="right"/>
    </xf>
    <xf numFmtId="0" fontId="8" fillId="0" borderId="0" xfId="0" applyFont="1" applyProtection="1"/>
    <xf numFmtId="169" fontId="8" fillId="0" borderId="0" xfId="0" applyNumberFormat="1" applyFont="1"/>
    <xf numFmtId="0" fontId="3" fillId="2" borderId="0" xfId="1" applyNumberFormat="1">
      <alignment horizontal="right"/>
      <protection locked="0"/>
    </xf>
    <xf numFmtId="169" fontId="0" fillId="0" borderId="0" xfId="0" applyNumberFormat="1" applyFill="1"/>
    <xf numFmtId="175" fontId="0" fillId="0" borderId="0" xfId="27" applyNumberFormat="1" applyFont="1"/>
    <xf numFmtId="164" fontId="0" fillId="0" borderId="0" xfId="0" applyNumberFormat="1" applyProtection="1">
      <protection hidden="1"/>
    </xf>
    <xf numFmtId="175" fontId="8" fillId="2" borderId="0" xfId="27" applyNumberFormat="1" applyFont="1" applyFill="1"/>
    <xf numFmtId="0" fontId="8" fillId="0" borderId="0" xfId="0" applyFont="1" applyAlignment="1"/>
    <xf numFmtId="0" fontId="13" fillId="0" borderId="0" xfId="0" applyFont="1" applyAlignment="1"/>
    <xf numFmtId="0" fontId="5" fillId="0" borderId="0" xfId="0" applyFont="1" applyAlignment="1"/>
    <xf numFmtId="3" fontId="10" fillId="0" borderId="0" xfId="0" applyNumberFormat="1" applyFont="1" applyFill="1" applyProtection="1">
      <protection hidden="1"/>
    </xf>
    <xf numFmtId="3" fontId="10" fillId="0" borderId="0" xfId="0" applyNumberFormat="1" applyFont="1" applyFill="1" applyAlignment="1" applyProtection="1">
      <protection hidden="1"/>
    </xf>
    <xf numFmtId="43" fontId="0" fillId="0" borderId="0" xfId="6" applyFont="1" applyAlignment="1"/>
    <xf numFmtId="43" fontId="8" fillId="0" borderId="0" xfId="6" applyFont="1" applyProtection="1">
      <protection hidden="1"/>
    </xf>
    <xf numFmtId="165" fontId="3" fillId="0" borderId="0" xfId="6" applyNumberFormat="1"/>
    <xf numFmtId="1" fontId="4" fillId="0" borderId="0" xfId="0" applyNumberFormat="1" applyFont="1" applyFill="1" applyBorder="1" applyProtection="1">
      <protection hidden="1"/>
    </xf>
    <xf numFmtId="169" fontId="4" fillId="0" borderId="0" xfId="8" applyNumberFormat="1" applyFont="1" applyBorder="1" applyAlignment="1">
      <alignment horizontal="right"/>
    </xf>
    <xf numFmtId="0" fontId="50" fillId="0" borderId="34" xfId="18" applyFont="1" applyBorder="1">
      <alignment vertical="center"/>
    </xf>
    <xf numFmtId="0" fontId="6" fillId="0" borderId="48" xfId="0" applyFont="1" applyBorder="1"/>
    <xf numFmtId="165" fontId="4" fillId="0" borderId="0" xfId="6" applyNumberFormat="1" applyFont="1" applyBorder="1" applyAlignment="1">
      <alignment horizontal="right"/>
    </xf>
    <xf numFmtId="0" fontId="6" fillId="0" borderId="7" xfId="0" applyFont="1" applyBorder="1" applyAlignment="1">
      <alignment vertical="top" wrapText="1"/>
    </xf>
    <xf numFmtId="0" fontId="6" fillId="0" borderId="0" xfId="0" applyFont="1" applyBorder="1" applyAlignment="1">
      <alignment wrapText="1"/>
    </xf>
    <xf numFmtId="0" fontId="3" fillId="2" borderId="0" xfId="0" applyFont="1" applyFill="1" applyBorder="1"/>
    <xf numFmtId="0" fontId="3" fillId="2" borderId="11" xfId="0" applyFont="1" applyFill="1" applyBorder="1"/>
    <xf numFmtId="0" fontId="8" fillId="0" borderId="0" xfId="0" applyNumberFormat="1" applyFont="1" applyProtection="1"/>
    <xf numFmtId="164" fontId="8" fillId="0" borderId="0" xfId="6" applyNumberFormat="1" applyFont="1" applyFill="1" applyAlignment="1" applyProtection="1">
      <alignment horizontal="right"/>
      <protection hidden="1"/>
    </xf>
    <xf numFmtId="164" fontId="8" fillId="0" borderId="0" xfId="6" applyNumberFormat="1" applyFont="1"/>
    <xf numFmtId="0" fontId="6" fillId="0" borderId="7" xfId="0" applyFont="1" applyBorder="1" applyAlignment="1">
      <alignment vertical="top"/>
    </xf>
    <xf numFmtId="0" fontId="6" fillId="0" borderId="0" xfId="0" applyFont="1" applyBorder="1" applyAlignment="1"/>
    <xf numFmtId="0" fontId="6" fillId="0" borderId="0" xfId="0" applyFont="1" applyAlignment="1"/>
    <xf numFmtId="0" fontId="10" fillId="0" borderId="0" xfId="0" applyFont="1" applyBorder="1" applyAlignment="1"/>
    <xf numFmtId="0" fontId="3" fillId="0" borderId="0" xfId="0" applyFont="1"/>
    <xf numFmtId="0" fontId="3" fillId="0" borderId="0" xfId="0" applyFont="1" applyFill="1"/>
    <xf numFmtId="0" fontId="8" fillId="4" borderId="23" xfId="0" applyFont="1" applyFill="1" applyBorder="1"/>
    <xf numFmtId="9" fontId="8" fillId="2" borderId="6" xfId="27" applyFont="1" applyFill="1" applyBorder="1"/>
    <xf numFmtId="0" fontId="8" fillId="4" borderId="2" xfId="0" applyFont="1" applyFill="1" applyBorder="1"/>
    <xf numFmtId="9" fontId="8" fillId="2" borderId="6" xfId="27" applyFont="1" applyFill="1" applyBorder="1" applyAlignment="1">
      <alignment horizontal="right"/>
    </xf>
    <xf numFmtId="0" fontId="8" fillId="2" borderId="6" xfId="27" applyNumberFormat="1" applyFont="1" applyFill="1" applyBorder="1" applyAlignment="1">
      <alignment horizontal="right"/>
    </xf>
    <xf numFmtId="0" fontId="3" fillId="4" borderId="1" xfId="0" applyFont="1" applyFill="1" applyBorder="1"/>
    <xf numFmtId="0" fontId="3" fillId="4" borderId="0" xfId="0" applyFont="1" applyFill="1" applyBorder="1"/>
    <xf numFmtId="0" fontId="3" fillId="4" borderId="2" xfId="0" applyFont="1" applyFill="1" applyBorder="1"/>
    <xf numFmtId="0" fontId="3" fillId="4" borderId="51" xfId="0" applyFont="1" applyFill="1" applyBorder="1" applyAlignment="1">
      <alignment horizontal="center"/>
    </xf>
    <xf numFmtId="0" fontId="3" fillId="4" borderId="0" xfId="0" applyFont="1" applyFill="1" applyBorder="1" applyAlignment="1">
      <alignment horizontal="center"/>
    </xf>
    <xf numFmtId="0" fontId="11" fillId="4" borderId="0" xfId="0" applyNumberFormat="1" applyFont="1" applyFill="1" applyBorder="1" applyAlignment="1">
      <alignment horizontal="center"/>
    </xf>
    <xf numFmtId="0" fontId="4" fillId="6" borderId="1" xfId="0" applyFont="1" applyFill="1" applyBorder="1"/>
    <xf numFmtId="169" fontId="4" fillId="0" borderId="42" xfId="0" applyNumberFormat="1" applyFont="1" applyBorder="1" applyProtection="1">
      <protection hidden="1"/>
    </xf>
    <xf numFmtId="0" fontId="6" fillId="4" borderId="31" xfId="0" applyFont="1" applyFill="1" applyBorder="1"/>
    <xf numFmtId="0" fontId="46" fillId="4" borderId="21" xfId="0" applyFont="1" applyFill="1" applyBorder="1" applyAlignment="1">
      <alignment vertical="top"/>
    </xf>
    <xf numFmtId="0" fontId="46" fillId="4" borderId="37" xfId="0" applyFont="1" applyFill="1" applyBorder="1" applyAlignment="1">
      <alignment vertical="top"/>
    </xf>
    <xf numFmtId="0" fontId="22" fillId="4" borderId="49" xfId="18" applyFont="1" applyFill="1" applyBorder="1" applyAlignment="1">
      <alignment horizontal="right" vertical="top"/>
    </xf>
    <xf numFmtId="0" fontId="6" fillId="4" borderId="28" xfId="0" applyFont="1" applyFill="1" applyBorder="1" applyAlignment="1">
      <alignment vertical="top"/>
    </xf>
    <xf numFmtId="0" fontId="10" fillId="4" borderId="31" xfId="0" applyFont="1" applyFill="1" applyBorder="1" applyAlignment="1" applyProtection="1">
      <alignment horizontal="right" vertical="top" wrapText="1"/>
      <protection locked="0"/>
    </xf>
    <xf numFmtId="0" fontId="10" fillId="4" borderId="28" xfId="0" applyFont="1" applyFill="1" applyBorder="1" applyAlignment="1" applyProtection="1">
      <alignment horizontal="right" vertical="top" wrapText="1"/>
      <protection locked="0"/>
    </xf>
    <xf numFmtId="164" fontId="3" fillId="2" borderId="0" xfId="6" applyNumberFormat="1" applyFont="1" applyFill="1"/>
    <xf numFmtId="0" fontId="4" fillId="4" borderId="32" xfId="0" applyNumberFormat="1" applyFont="1" applyFill="1" applyBorder="1" applyAlignment="1"/>
    <xf numFmtId="0" fontId="6" fillId="4" borderId="33" xfId="0" applyNumberFormat="1" applyFont="1" applyFill="1" applyBorder="1" applyAlignment="1"/>
    <xf numFmtId="0" fontId="4" fillId="2" borderId="33" xfId="0" applyNumberFormat="1" applyFont="1" applyFill="1" applyBorder="1" applyAlignment="1">
      <alignment horizontal="right"/>
    </xf>
    <xf numFmtId="0" fontId="39" fillId="4" borderId="0" xfId="0" applyNumberFormat="1" applyFont="1" applyFill="1" applyAlignment="1"/>
    <xf numFmtId="0" fontId="3" fillId="0" borderId="0" xfId="0" applyFont="1" applyAlignment="1">
      <alignment horizontal="left"/>
    </xf>
    <xf numFmtId="0" fontId="4" fillId="4" borderId="34" xfId="0" applyNumberFormat="1" applyFont="1" applyFill="1" applyBorder="1" applyAlignment="1">
      <alignment horizontal="left" indent="1"/>
    </xf>
    <xf numFmtId="0" fontId="6" fillId="0" borderId="6" xfId="0" applyNumberFormat="1" applyFont="1" applyBorder="1" applyAlignment="1"/>
    <xf numFmtId="0" fontId="7" fillId="4" borderId="20" xfId="0" applyNumberFormat="1" applyFont="1" applyFill="1" applyBorder="1" applyAlignment="1"/>
    <xf numFmtId="0" fontId="19" fillId="3" borderId="6" xfId="0" applyNumberFormat="1" applyFont="1" applyFill="1" applyBorder="1" applyAlignment="1" applyProtection="1">
      <alignment horizontal="right"/>
      <protection locked="0"/>
    </xf>
    <xf numFmtId="0" fontId="6" fillId="0" borderId="6" xfId="0" applyNumberFormat="1" applyFont="1" applyBorder="1" applyAlignment="1">
      <alignment vertical="center"/>
    </xf>
    <xf numFmtId="167" fontId="19" fillId="3" borderId="6" xfId="0" applyNumberFormat="1" applyFont="1" applyFill="1" applyBorder="1" applyAlignment="1" applyProtection="1">
      <alignment horizontal="right" vertical="center" wrapText="1"/>
      <protection locked="0"/>
    </xf>
    <xf numFmtId="0" fontId="7" fillId="4" borderId="20" xfId="0" applyNumberFormat="1" applyFont="1" applyFill="1" applyBorder="1" applyAlignment="1">
      <alignment vertical="center"/>
    </xf>
    <xf numFmtId="0" fontId="4" fillId="4" borderId="34" xfId="0" applyNumberFormat="1" applyFont="1" applyFill="1" applyBorder="1" applyAlignment="1">
      <alignment horizontal="left" vertical="center" indent="1"/>
    </xf>
    <xf numFmtId="0" fontId="4" fillId="0" borderId="0" xfId="0" applyNumberFormat="1" applyFont="1" applyAlignment="1">
      <alignment horizontal="center"/>
    </xf>
    <xf numFmtId="0" fontId="22" fillId="4" borderId="0" xfId="0" applyFont="1" applyFill="1" applyBorder="1" applyAlignment="1" applyProtection="1"/>
    <xf numFmtId="0" fontId="43" fillId="0" borderId="52" xfId="0" applyFont="1" applyBorder="1" applyProtection="1"/>
    <xf numFmtId="169" fontId="43" fillId="0" borderId="41" xfId="8" applyNumberFormat="1" applyFont="1" applyBorder="1" applyProtection="1">
      <protection locked="0"/>
    </xf>
    <xf numFmtId="0" fontId="42" fillId="4" borderId="53" xfId="0" applyFont="1" applyFill="1" applyBorder="1"/>
    <xf numFmtId="0" fontId="11" fillId="4" borderId="0" xfId="0" applyFont="1" applyFill="1" applyBorder="1" applyAlignment="1">
      <alignment horizontal="right" wrapText="1"/>
    </xf>
    <xf numFmtId="0" fontId="8" fillId="0" borderId="6" xfId="0" applyFont="1" applyBorder="1"/>
    <xf numFmtId="169" fontId="0" fillId="0" borderId="6" xfId="8" applyNumberFormat="1" applyFont="1" applyBorder="1" applyProtection="1">
      <protection locked="0"/>
    </xf>
    <xf numFmtId="0" fontId="40" fillId="0" borderId="44" xfId="0" applyFont="1" applyBorder="1" applyProtection="1"/>
    <xf numFmtId="169" fontId="40" fillId="0" borderId="44" xfId="0" applyNumberFormat="1" applyFont="1" applyBorder="1"/>
    <xf numFmtId="0" fontId="8" fillId="0" borderId="40" xfId="0" applyFont="1" applyBorder="1"/>
    <xf numFmtId="169" fontId="3" fillId="0" borderId="40" xfId="0" applyNumberFormat="1" applyFont="1" applyBorder="1" applyProtection="1"/>
    <xf numFmtId="0" fontId="4" fillId="0" borderId="28" xfId="0" applyFont="1" applyFill="1" applyBorder="1"/>
    <xf numFmtId="165" fontId="4" fillId="0" borderId="28" xfId="6" applyNumberFormat="1" applyFont="1" applyBorder="1" applyAlignment="1" applyProtection="1">
      <alignment horizontal="right"/>
      <protection hidden="1"/>
    </xf>
    <xf numFmtId="44" fontId="4" fillId="0" borderId="28" xfId="8" applyFont="1" applyBorder="1" applyAlignment="1" applyProtection="1">
      <alignment horizontal="right"/>
      <protection hidden="1"/>
    </xf>
    <xf numFmtId="169" fontId="4" fillId="0" borderId="28" xfId="0" applyNumberFormat="1" applyFont="1" applyFill="1" applyBorder="1" applyAlignment="1" applyProtection="1">
      <alignment horizontal="right"/>
      <protection hidden="1"/>
    </xf>
    <xf numFmtId="0" fontId="4" fillId="0" borderId="28" xfId="0" applyFont="1" applyBorder="1" applyAlignment="1" applyProtection="1">
      <alignment horizontal="right"/>
      <protection hidden="1"/>
    </xf>
    <xf numFmtId="169" fontId="40" fillId="0" borderId="41" xfId="8" applyNumberFormat="1" applyFont="1" applyBorder="1"/>
    <xf numFmtId="0" fontId="4" fillId="4" borderId="38" xfId="0" applyNumberFormat="1" applyFont="1" applyFill="1" applyBorder="1" applyAlignment="1"/>
    <xf numFmtId="0" fontId="6" fillId="4" borderId="43" xfId="0" applyNumberFormat="1" applyFont="1" applyFill="1" applyBorder="1" applyAlignment="1"/>
    <xf numFmtId="0" fontId="4" fillId="2" borderId="43" xfId="0" applyNumberFormat="1" applyFont="1" applyFill="1" applyBorder="1" applyAlignment="1">
      <alignment horizontal="right"/>
    </xf>
    <xf numFmtId="0" fontId="7" fillId="0" borderId="35" xfId="0" applyFont="1" applyBorder="1" applyAlignment="1">
      <alignment vertical="center"/>
    </xf>
    <xf numFmtId="0" fontId="6" fillId="4" borderId="50" xfId="0" applyFont="1" applyFill="1" applyBorder="1"/>
    <xf numFmtId="0" fontId="7" fillId="0" borderId="0" xfId="0" applyFont="1" applyBorder="1"/>
    <xf numFmtId="0" fontId="0" fillId="0" borderId="0" xfId="0" applyFill="1" applyAlignment="1">
      <alignment horizontal="right"/>
    </xf>
    <xf numFmtId="0" fontId="15" fillId="0" borderId="0" xfId="10" applyAlignment="1" applyProtection="1"/>
    <xf numFmtId="0" fontId="4" fillId="0" borderId="0" xfId="24" applyFont="1"/>
    <xf numFmtId="0" fontId="6" fillId="0" borderId="0" xfId="24" applyFont="1"/>
    <xf numFmtId="0" fontId="10" fillId="0" borderId="0" xfId="24" applyFont="1"/>
    <xf numFmtId="0" fontId="6" fillId="0" borderId="0" xfId="24" applyFont="1" applyFill="1"/>
    <xf numFmtId="0" fontId="10" fillId="0" borderId="0" xfId="24" applyFont="1" applyFill="1"/>
    <xf numFmtId="0" fontId="5" fillId="0" borderId="0" xfId="24" applyFont="1" applyFill="1"/>
    <xf numFmtId="165" fontId="0" fillId="0" borderId="0" xfId="7" applyNumberFormat="1" applyFont="1"/>
    <xf numFmtId="0" fontId="18" fillId="0" borderId="0" xfId="24" applyFont="1" applyFill="1"/>
    <xf numFmtId="0" fontId="9" fillId="0" borderId="0" xfId="24" applyFont="1" applyFill="1"/>
    <xf numFmtId="0" fontId="8" fillId="0" borderId="0" xfId="0" applyFont="1" applyFill="1" applyAlignment="1">
      <alignment horizontal="left" indent="1"/>
    </xf>
    <xf numFmtId="0" fontId="0" fillId="0" borderId="0" xfId="0" quotePrefix="1" applyFill="1"/>
    <xf numFmtId="3" fontId="0" fillId="0" borderId="0" xfId="0" quotePrefix="1" applyNumberFormat="1" applyFill="1"/>
    <xf numFmtId="49" fontId="4" fillId="6" borderId="1" xfId="0" applyNumberFormat="1" applyFont="1" applyFill="1" applyBorder="1"/>
    <xf numFmtId="49" fontId="4" fillId="6" borderId="0" xfId="0" applyNumberFormat="1" applyFont="1" applyFill="1" applyBorder="1"/>
    <xf numFmtId="0" fontId="4" fillId="6" borderId="2" xfId="0" quotePrefix="1" applyFont="1" applyFill="1" applyBorder="1"/>
    <xf numFmtId="49" fontId="0" fillId="5" borderId="0" xfId="0" applyNumberFormat="1" applyFill="1" applyBorder="1"/>
    <xf numFmtId="49" fontId="4" fillId="0" borderId="1" xfId="0" applyNumberFormat="1" applyFont="1" applyBorder="1"/>
    <xf numFmtId="49" fontId="4" fillId="0" borderId="0" xfId="0" applyNumberFormat="1" applyFont="1" applyBorder="1"/>
    <xf numFmtId="165" fontId="4" fillId="0" borderId="0" xfId="7" applyNumberFormat="1" applyFont="1" applyBorder="1" applyAlignment="1">
      <alignment horizontal="right"/>
    </xf>
    <xf numFmtId="0" fontId="4" fillId="0" borderId="0" xfId="0" applyFont="1" applyBorder="1" applyAlignment="1">
      <alignment horizontal="left"/>
    </xf>
    <xf numFmtId="44" fontId="4" fillId="0" borderId="0" xfId="9" applyNumberFormat="1" applyFont="1" applyBorder="1" applyAlignment="1">
      <alignment horizontal="right"/>
    </xf>
    <xf numFmtId="169" fontId="4" fillId="0" borderId="0" xfId="0" applyNumberFormat="1" applyFont="1" applyBorder="1" applyAlignment="1">
      <alignment horizontal="right"/>
    </xf>
    <xf numFmtId="0" fontId="0" fillId="0" borderId="0" xfId="0" applyNumberFormat="1" applyFill="1"/>
    <xf numFmtId="0" fontId="8" fillId="0" borderId="0" xfId="27" applyNumberFormat="1" applyFont="1" applyFill="1"/>
    <xf numFmtId="0" fontId="4" fillId="0" borderId="0" xfId="0" applyFont="1" applyAlignment="1">
      <alignment horizontal="left"/>
    </xf>
    <xf numFmtId="169" fontId="4" fillId="0" borderId="0" xfId="9" applyNumberFormat="1" applyFont="1" applyBorder="1" applyAlignment="1">
      <alignment horizontal="right"/>
    </xf>
    <xf numFmtId="171" fontId="4" fillId="0" borderId="0" xfId="0" applyNumberFormat="1" applyFont="1" applyBorder="1" applyAlignment="1">
      <alignment horizontal="right"/>
    </xf>
    <xf numFmtId="0" fontId="4" fillId="0" borderId="26" xfId="8" applyNumberFormat="1" applyFont="1" applyBorder="1" applyProtection="1">
      <protection hidden="1"/>
    </xf>
    <xf numFmtId="165" fontId="0" fillId="0" borderId="0" xfId="6" applyNumberFormat="1" applyFont="1" applyFill="1"/>
    <xf numFmtId="0" fontId="4" fillId="0" borderId="37" xfId="0" applyFont="1" applyBorder="1" applyProtection="1">
      <protection hidden="1"/>
    </xf>
    <xf numFmtId="0" fontId="53" fillId="0" borderId="0" xfId="0" applyFont="1"/>
    <xf numFmtId="0" fontId="8" fillId="0" borderId="0" xfId="6" applyNumberFormat="1" applyFont="1" applyFill="1" applyAlignment="1" applyProtection="1">
      <alignment horizontal="right"/>
      <protection hidden="1"/>
    </xf>
    <xf numFmtId="0" fontId="5" fillId="0" borderId="0" xfId="0" applyFont="1" applyProtection="1">
      <protection hidden="1"/>
    </xf>
    <xf numFmtId="41" fontId="8" fillId="0" borderId="0" xfId="6" applyNumberFormat="1" applyFont="1" applyFill="1" applyAlignment="1" applyProtection="1">
      <alignment horizontal="right"/>
      <protection hidden="1"/>
    </xf>
    <xf numFmtId="0" fontId="6" fillId="0" borderId="0" xfId="28" applyFont="1">
      <alignment vertical="center"/>
    </xf>
    <xf numFmtId="0" fontId="8" fillId="0" borderId="0" xfId="0" quotePrefix="1" applyFont="1"/>
    <xf numFmtId="174" fontId="8" fillId="0" borderId="0" xfId="7" applyNumberFormat="1" applyFont="1"/>
    <xf numFmtId="0" fontId="0" fillId="5" borderId="1" xfId="0" applyFill="1" applyBorder="1" applyAlignment="1">
      <alignment horizontal="left"/>
    </xf>
    <xf numFmtId="165" fontId="0" fillId="5" borderId="0" xfId="0" applyNumberFormat="1" applyFill="1" applyBorder="1"/>
    <xf numFmtId="165" fontId="0" fillId="5" borderId="0" xfId="7" applyNumberFormat="1" applyFont="1" applyFill="1" applyBorder="1" applyAlignment="1">
      <alignment horizontal="right"/>
    </xf>
    <xf numFmtId="165" fontId="4" fillId="0" borderId="0" xfId="0" applyNumberFormat="1" applyFont="1" applyAlignment="1">
      <alignment horizontal="right"/>
    </xf>
    <xf numFmtId="44" fontId="4" fillId="0" borderId="0" xfId="9" applyFont="1" applyAlignment="1">
      <alignment horizontal="right"/>
    </xf>
    <xf numFmtId="169" fontId="4" fillId="0" borderId="0" xfId="0" applyNumberFormat="1" applyFont="1" applyAlignment="1">
      <alignment horizontal="right"/>
    </xf>
    <xf numFmtId="0" fontId="4" fillId="0" borderId="0" xfId="0" applyFont="1" applyAlignment="1">
      <alignment horizontal="right"/>
    </xf>
    <xf numFmtId="0" fontId="4" fillId="4" borderId="0" xfId="0" applyFont="1" applyFill="1"/>
    <xf numFmtId="0" fontId="0" fillId="5" borderId="0" xfId="0" applyNumberFormat="1" applyFill="1" applyBorder="1" applyAlignment="1">
      <alignment horizontal="right"/>
    </xf>
    <xf numFmtId="165" fontId="0" fillId="5" borderId="0" xfId="0" applyNumberFormat="1" applyFill="1" applyBorder="1" applyAlignment="1">
      <alignment horizontal="right"/>
    </xf>
    <xf numFmtId="0" fontId="4" fillId="0" borderId="0" xfId="0" applyNumberFormat="1" applyFont="1" applyAlignment="1">
      <alignment horizontal="right"/>
    </xf>
    <xf numFmtId="0" fontId="0" fillId="5" borderId="1" xfId="0" quotePrefix="1" applyFill="1" applyBorder="1" applyAlignment="1">
      <alignment horizontal="left"/>
    </xf>
    <xf numFmtId="0" fontId="0" fillId="5" borderId="1" xfId="0" quotePrefix="1" applyFill="1" applyBorder="1" applyAlignment="1" applyProtection="1">
      <alignment horizontal="left"/>
      <protection hidden="1"/>
    </xf>
    <xf numFmtId="0" fontId="4" fillId="0" borderId="0" xfId="0" applyFont="1" applyAlignment="1">
      <alignment horizontal="center"/>
    </xf>
    <xf numFmtId="0" fontId="4" fillId="0" borderId="0" xfId="0" applyFont="1" applyFill="1" applyProtection="1">
      <protection hidden="1"/>
    </xf>
    <xf numFmtId="165" fontId="0" fillId="5" borderId="0" xfId="0" applyNumberFormat="1" applyFill="1" applyBorder="1" applyProtection="1">
      <protection hidden="1"/>
    </xf>
    <xf numFmtId="173" fontId="0" fillId="5" borderId="0" xfId="7" applyNumberFormat="1" applyFont="1" applyFill="1" applyAlignment="1">
      <alignment horizontal="right"/>
    </xf>
    <xf numFmtId="165" fontId="0" fillId="5" borderId="0" xfId="7" applyNumberFormat="1" applyFont="1" applyFill="1" applyAlignment="1">
      <alignment horizontal="right"/>
    </xf>
    <xf numFmtId="169" fontId="0" fillId="5" borderId="0" xfId="9" applyNumberFormat="1" applyFont="1" applyFill="1" applyAlignment="1">
      <alignment horizontal="right"/>
    </xf>
    <xf numFmtId="169" fontId="0" fillId="5" borderId="0" xfId="0" applyNumberFormat="1" applyFill="1" applyAlignment="1">
      <alignment horizontal="right"/>
    </xf>
    <xf numFmtId="0" fontId="0" fillId="5" borderId="2" xfId="0" applyFill="1" applyBorder="1" applyAlignment="1">
      <alignment horizontal="right"/>
    </xf>
    <xf numFmtId="0" fontId="8" fillId="0" borderId="0" xfId="9" applyNumberFormat="1" applyFont="1" applyAlignment="1">
      <alignment horizontal="right"/>
    </xf>
    <xf numFmtId="0" fontId="0" fillId="0" borderId="0" xfId="0" applyBorder="1" applyProtection="1">
      <protection hidden="1"/>
    </xf>
    <xf numFmtId="0" fontId="4" fillId="5" borderId="1" xfId="0" applyFont="1" applyFill="1" applyBorder="1" applyAlignment="1">
      <alignment horizontal="left"/>
    </xf>
    <xf numFmtId="165" fontId="4" fillId="0" borderId="0" xfId="7" applyNumberFormat="1" applyFont="1" applyBorder="1" applyProtection="1">
      <protection hidden="1"/>
    </xf>
    <xf numFmtId="165" fontId="4" fillId="0" borderId="0" xfId="7" applyNumberFormat="1" applyFont="1" applyBorder="1" applyAlignment="1" applyProtection="1">
      <alignment horizontal="right"/>
      <protection hidden="1"/>
    </xf>
    <xf numFmtId="169" fontId="4" fillId="0" borderId="0" xfId="9" applyNumberFormat="1" applyFont="1" applyBorder="1" applyAlignment="1" applyProtection="1">
      <alignment horizontal="right"/>
      <protection hidden="1"/>
    </xf>
    <xf numFmtId="44" fontId="4" fillId="0" borderId="0" xfId="9" applyNumberFormat="1" applyFont="1" applyBorder="1" applyAlignment="1" applyProtection="1">
      <alignment horizontal="right"/>
      <protection hidden="1"/>
    </xf>
    <xf numFmtId="43" fontId="4" fillId="0" borderId="0" xfId="6" applyNumberFormat="1" applyFont="1" applyBorder="1" applyProtection="1">
      <protection hidden="1"/>
    </xf>
    <xf numFmtId="0" fontId="8" fillId="0" borderId="0" xfId="0" quotePrefix="1" applyFont="1" applyFill="1"/>
    <xf numFmtId="0" fontId="8" fillId="0" borderId="0" xfId="0" quotePrefix="1" applyFont="1" applyFill="1" applyBorder="1"/>
    <xf numFmtId="0" fontId="6" fillId="0" borderId="0" xfId="0" applyFont="1" applyFill="1" applyProtection="1">
      <protection hidden="1"/>
    </xf>
    <xf numFmtId="165" fontId="3" fillId="0" borderId="0" xfId="6" applyNumberFormat="1" applyFont="1" applyFill="1"/>
    <xf numFmtId="3" fontId="4" fillId="0" borderId="0" xfId="0" applyNumberFormat="1" applyFont="1" applyBorder="1"/>
    <xf numFmtId="3" fontId="4" fillId="0" borderId="0" xfId="0" applyNumberFormat="1" applyFont="1" applyBorder="1" applyAlignment="1">
      <alignment horizontal="right"/>
    </xf>
    <xf numFmtId="0" fontId="3" fillId="0" borderId="0" xfId="0" applyFont="1" applyProtection="1">
      <protection hidden="1"/>
    </xf>
    <xf numFmtId="0" fontId="5" fillId="0" borderId="8" xfId="0" applyFont="1" applyBorder="1" applyAlignment="1">
      <alignment horizontal="left"/>
    </xf>
    <xf numFmtId="0" fontId="5" fillId="0" borderId="9" xfId="0" applyFont="1" applyBorder="1" applyAlignment="1">
      <alignment horizontal="right"/>
    </xf>
    <xf numFmtId="0" fontId="3" fillId="0" borderId="0" xfId="0" applyFont="1" applyAlignment="1">
      <alignment horizontal="right"/>
    </xf>
    <xf numFmtId="0" fontId="3" fillId="2" borderId="0" xfId="0" applyFont="1" applyFill="1" applyProtection="1">
      <protection locked="0"/>
    </xf>
    <xf numFmtId="0" fontId="3" fillId="0" borderId="0" xfId="0" applyFont="1" applyAlignment="1"/>
    <xf numFmtId="0" fontId="3" fillId="2" borderId="0" xfId="0" applyFont="1" applyFill="1"/>
    <xf numFmtId="9" fontId="3" fillId="3" borderId="0" xfId="0" applyNumberFormat="1" applyFont="1" applyFill="1"/>
    <xf numFmtId="0" fontId="3" fillId="3" borderId="0" xfId="0" applyFont="1" applyFill="1"/>
    <xf numFmtId="0" fontId="3" fillId="2" borderId="0" xfId="0" applyFont="1" applyFill="1" applyAlignment="1">
      <alignment horizontal="right"/>
    </xf>
    <xf numFmtId="0" fontId="3" fillId="2" borderId="0" xfId="0" applyFont="1" applyFill="1" applyAlignment="1" applyProtection="1">
      <alignment horizontal="right"/>
      <protection hidden="1"/>
    </xf>
    <xf numFmtId="0" fontId="3" fillId="0" borderId="1" xfId="0" applyFont="1" applyBorder="1"/>
    <xf numFmtId="0" fontId="11" fillId="0" borderId="0" xfId="0" applyFont="1" applyAlignment="1">
      <alignment horizontal="left"/>
    </xf>
    <xf numFmtId="0" fontId="3" fillId="0" borderId="0" xfId="0" applyFont="1" applyBorder="1"/>
    <xf numFmtId="0" fontId="3" fillId="2" borderId="0" xfId="0" applyFont="1" applyFill="1" applyProtection="1">
      <protection hidden="1"/>
    </xf>
    <xf numFmtId="0" fontId="3" fillId="2" borderId="0" xfId="0" applyFont="1" applyFill="1" applyBorder="1" applyProtection="1">
      <protection locked="0" hidden="1"/>
    </xf>
    <xf numFmtId="0" fontId="3" fillId="0" borderId="0" xfId="0" applyFont="1" applyFill="1" applyBorder="1" applyProtection="1">
      <protection locked="0" hidden="1"/>
    </xf>
    <xf numFmtId="9" fontId="3" fillId="2" borderId="0" xfId="27" applyFont="1" applyFill="1"/>
    <xf numFmtId="165" fontId="3" fillId="2" borderId="0" xfId="6" applyNumberFormat="1" applyFont="1" applyFill="1"/>
    <xf numFmtId="0" fontId="3" fillId="2" borderId="0" xfId="7" applyNumberFormat="1" applyFont="1" applyFill="1"/>
    <xf numFmtId="9" fontId="3" fillId="3" borderId="0" xfId="0" applyNumberFormat="1" applyFont="1" applyFill="1" applyAlignment="1">
      <alignment horizontal="right"/>
    </xf>
    <xf numFmtId="9" fontId="3" fillId="0" borderId="0" xfId="0" applyNumberFormat="1" applyFont="1" applyFill="1" applyAlignment="1">
      <alignment horizontal="right"/>
    </xf>
    <xf numFmtId="9" fontId="3" fillId="3" borderId="0" xfId="27" applyNumberFormat="1" applyFont="1" applyFill="1"/>
    <xf numFmtId="0" fontId="3" fillId="0" borderId="7" xfId="0" applyFont="1" applyBorder="1"/>
    <xf numFmtId="0" fontId="3" fillId="0" borderId="11" xfId="0" applyFont="1" applyBorder="1"/>
    <xf numFmtId="0" fontId="3" fillId="2" borderId="0" xfId="0" applyFont="1" applyFill="1" applyBorder="1" applyAlignment="1">
      <alignment horizontal="right"/>
    </xf>
    <xf numFmtId="0" fontId="3" fillId="0" borderId="12" xfId="0" applyFont="1" applyBorder="1"/>
    <xf numFmtId="0" fontId="3" fillId="2" borderId="13" xfId="0" applyFont="1" applyFill="1" applyBorder="1"/>
    <xf numFmtId="0" fontId="3" fillId="2" borderId="13" xfId="0" applyFont="1" applyFill="1" applyBorder="1" applyAlignment="1">
      <alignment horizontal="right"/>
    </xf>
    <xf numFmtId="0" fontId="3" fillId="0" borderId="14" xfId="0" applyFont="1" applyBorder="1"/>
    <xf numFmtId="0" fontId="3" fillId="0" borderId="0" xfId="0" quotePrefix="1" applyFont="1"/>
    <xf numFmtId="0" fontId="6" fillId="0" borderId="0" xfId="28" applyFont="1" applyBorder="1">
      <alignment vertical="center"/>
    </xf>
    <xf numFmtId="0" fontId="3" fillId="2" borderId="14" xfId="0" applyFont="1" applyFill="1" applyBorder="1"/>
    <xf numFmtId="0" fontId="3" fillId="2" borderId="0" xfId="1" applyNumberFormat="1" applyFont="1">
      <alignment horizontal="right"/>
      <protection locked="0"/>
    </xf>
    <xf numFmtId="0" fontId="3" fillId="2" borderId="0" xfId="6" applyNumberFormat="1" applyFont="1" applyFill="1"/>
    <xf numFmtId="0" fontId="3" fillId="2" borderId="0" xfId="9" applyNumberFormat="1" applyFont="1" applyFill="1"/>
    <xf numFmtId="1" fontId="3" fillId="0" borderId="0" xfId="0" applyNumberFormat="1" applyFont="1"/>
    <xf numFmtId="0" fontId="3" fillId="0" borderId="15" xfId="0" applyFont="1" applyBorder="1" applyAlignment="1">
      <alignment wrapText="1"/>
    </xf>
    <xf numFmtId="0" fontId="3" fillId="0" borderId="15" xfId="0" applyFont="1" applyBorder="1" applyAlignment="1">
      <alignment horizontal="center" wrapText="1"/>
    </xf>
    <xf numFmtId="0" fontId="3" fillId="0" borderId="18" xfId="0" applyFont="1" applyBorder="1" applyAlignment="1">
      <alignment wrapText="1"/>
    </xf>
    <xf numFmtId="0" fontId="3" fillId="0" borderId="16" xfId="0" applyFont="1" applyBorder="1" applyAlignment="1">
      <alignment wrapText="1"/>
    </xf>
    <xf numFmtId="0" fontId="3" fillId="0" borderId="16" xfId="0" applyFont="1" applyBorder="1"/>
    <xf numFmtId="0" fontId="3" fillId="0" borderId="18" xfId="0" applyFont="1" applyBorder="1" applyAlignment="1">
      <alignment horizontal="center" wrapText="1"/>
    </xf>
    <xf numFmtId="0" fontId="3" fillId="0" borderId="0" xfId="0" applyFont="1" applyAlignment="1">
      <alignment wrapText="1"/>
    </xf>
    <xf numFmtId="0" fontId="3" fillId="0" borderId="1" xfId="0" applyFont="1" applyBorder="1" applyAlignment="1">
      <alignment horizontal="right"/>
    </xf>
    <xf numFmtId="0" fontId="3" fillId="0" borderId="0" xfId="0" applyFont="1" applyBorder="1" applyAlignment="1">
      <alignment horizontal="right"/>
    </xf>
    <xf numFmtId="1" fontId="3" fillId="0" borderId="0" xfId="0" applyNumberFormat="1" applyFont="1" applyBorder="1" applyAlignment="1">
      <alignment horizontal="right"/>
    </xf>
    <xf numFmtId="0" fontId="3" fillId="0" borderId="0" xfId="0" quotePrefix="1" applyFont="1" applyBorder="1" applyAlignment="1">
      <alignment horizontal="right"/>
    </xf>
    <xf numFmtId="0" fontId="3" fillId="0" borderId="2" xfId="0" quotePrefix="1" applyFont="1" applyBorder="1" applyAlignment="1">
      <alignment horizontal="right"/>
    </xf>
    <xf numFmtId="0" fontId="3" fillId="0" borderId="0" xfId="0" applyFont="1" applyBorder="1" applyAlignment="1">
      <alignment horizontal="left"/>
    </xf>
    <xf numFmtId="0" fontId="3" fillId="0" borderId="2" xfId="0" applyFont="1" applyBorder="1" applyAlignment="1">
      <alignment horizontal="right"/>
    </xf>
    <xf numFmtId="171" fontId="3" fillId="0" borderId="0" xfId="0" applyNumberFormat="1" applyFont="1" applyBorder="1" applyAlignment="1">
      <alignment horizontal="right"/>
    </xf>
    <xf numFmtId="0" fontId="3" fillId="0" borderId="2" xfId="0" applyFont="1" applyBorder="1"/>
    <xf numFmtId="0" fontId="3" fillId="0" borderId="15" xfId="0" applyFont="1" applyBorder="1" applyAlignment="1">
      <alignment horizontal="right"/>
    </xf>
    <xf numFmtId="0" fontId="3" fillId="0" borderId="18" xfId="0" applyFont="1" applyBorder="1"/>
    <xf numFmtId="0" fontId="3" fillId="0" borderId="15" xfId="0" applyFont="1" applyBorder="1"/>
    <xf numFmtId="0" fontId="3" fillId="0" borderId="18" xfId="0" applyFont="1" applyBorder="1" applyAlignment="1">
      <alignment horizontal="right"/>
    </xf>
    <xf numFmtId="1" fontId="3" fillId="0" borderId="15" xfId="0" applyNumberFormat="1" applyFont="1" applyBorder="1" applyAlignment="1">
      <alignment horizontal="right"/>
    </xf>
    <xf numFmtId="0" fontId="3" fillId="0" borderId="16" xfId="0" applyFont="1" applyBorder="1" applyAlignment="1">
      <alignment horizontal="right"/>
    </xf>
    <xf numFmtId="171" fontId="3" fillId="0" borderId="15" xfId="0" applyNumberFormat="1" applyFont="1" applyBorder="1" applyAlignment="1">
      <alignment horizontal="right"/>
    </xf>
    <xf numFmtId="0" fontId="3" fillId="0" borderId="18" xfId="0" quotePrefix="1" applyFont="1" applyBorder="1" applyAlignment="1">
      <alignment horizontal="right"/>
    </xf>
    <xf numFmtId="0" fontId="3" fillId="0" borderId="15" xfId="0" quotePrefix="1" applyFont="1" applyBorder="1" applyAlignment="1">
      <alignment horizontal="right"/>
    </xf>
    <xf numFmtId="0" fontId="3" fillId="0" borderId="16" xfId="0" quotePrefix="1" applyFont="1" applyBorder="1" applyAlignment="1">
      <alignment horizontal="right"/>
    </xf>
    <xf numFmtId="0" fontId="3" fillId="0" borderId="15" xfId="0" applyFont="1" applyBorder="1" applyAlignment="1">
      <alignment horizontal="left"/>
    </xf>
    <xf numFmtId="0" fontId="3" fillId="0" borderId="22" xfId="0" applyFont="1" applyBorder="1" applyAlignment="1">
      <alignment horizontal="right"/>
    </xf>
    <xf numFmtId="0" fontId="3" fillId="0" borderId="23" xfId="0" applyFont="1" applyBorder="1" applyAlignment="1">
      <alignment horizontal="right"/>
    </xf>
    <xf numFmtId="0" fontId="3" fillId="0" borderId="17" xfId="0" applyFont="1" applyBorder="1" applyAlignment="1">
      <alignment horizontal="right"/>
    </xf>
    <xf numFmtId="0" fontId="3" fillId="0" borderId="22" xfId="0" quotePrefix="1" applyFont="1" applyBorder="1" applyAlignment="1">
      <alignment horizontal="right"/>
    </xf>
    <xf numFmtId="0" fontId="3" fillId="0" borderId="23" xfId="0" quotePrefix="1" applyFont="1" applyBorder="1" applyAlignment="1">
      <alignment horizontal="right"/>
    </xf>
    <xf numFmtId="0" fontId="3" fillId="0" borderId="0" xfId="0" applyFont="1" applyBorder="1" applyAlignment="1"/>
    <xf numFmtId="0" fontId="3" fillId="0" borderId="0" xfId="0" applyFont="1" applyFill="1" applyBorder="1"/>
    <xf numFmtId="0" fontId="3" fillId="0" borderId="15" xfId="0" applyFont="1" applyFill="1" applyBorder="1"/>
    <xf numFmtId="0" fontId="3" fillId="0" borderId="22" xfId="0" applyFont="1" applyBorder="1" applyAlignment="1">
      <alignment horizontal="left"/>
    </xf>
    <xf numFmtId="0" fontId="3" fillId="0" borderId="22" xfId="0" applyFont="1" applyBorder="1"/>
    <xf numFmtId="0" fontId="3" fillId="0" borderId="0" xfId="0" applyFont="1" applyFill="1" applyAlignment="1"/>
    <xf numFmtId="0" fontId="15" fillId="0" borderId="0" xfId="10" applyFill="1" applyAlignment="1" applyProtection="1"/>
    <xf numFmtId="0" fontId="0" fillId="0" borderId="0" xfId="0" applyAlignment="1">
      <alignment wrapText="1"/>
    </xf>
    <xf numFmtId="0" fontId="58" fillId="0" borderId="0" xfId="0" applyFont="1" applyFill="1"/>
    <xf numFmtId="0" fontId="25" fillId="0" borderId="0" xfId="0" applyFont="1" applyFill="1" applyBorder="1"/>
    <xf numFmtId="0" fontId="25" fillId="0" borderId="0" xfId="0" applyFont="1" applyBorder="1" applyAlignment="1">
      <alignment vertical="top"/>
    </xf>
    <xf numFmtId="0" fontId="4" fillId="0" borderId="0" xfId="0" applyFont="1" applyAlignment="1">
      <alignment vertical="top"/>
    </xf>
    <xf numFmtId="0" fontId="5" fillId="0" borderId="0" xfId="0" applyFont="1" applyAlignment="1" applyProtection="1">
      <alignment horizontal="left" indent="1"/>
      <protection hidden="1"/>
    </xf>
    <xf numFmtId="0" fontId="5" fillId="0" borderId="0" xfId="0" applyFont="1" applyAlignment="1">
      <alignment horizontal="left" indent="1"/>
    </xf>
    <xf numFmtId="0" fontId="3" fillId="0" borderId="0" xfId="0" applyFont="1" applyAlignment="1">
      <alignment horizontal="left" indent="1"/>
    </xf>
    <xf numFmtId="0" fontId="4" fillId="0" borderId="0" xfId="0" applyFont="1" applyAlignment="1" applyProtection="1">
      <alignment horizontal="left" indent="1"/>
      <protection hidden="1"/>
    </xf>
    <xf numFmtId="165" fontId="3" fillId="0" borderId="0" xfId="6" applyNumberFormat="1" applyFont="1" applyProtection="1">
      <protection hidden="1"/>
    </xf>
    <xf numFmtId="165" fontId="3" fillId="0" borderId="0" xfId="6" applyNumberFormat="1" applyFont="1"/>
    <xf numFmtId="0" fontId="3" fillId="0" borderId="0" xfId="6" applyNumberFormat="1" applyFont="1" applyProtection="1">
      <protection hidden="1"/>
    </xf>
    <xf numFmtId="43" fontId="3" fillId="0" borderId="0" xfId="6" applyFont="1" applyProtection="1">
      <protection hidden="1"/>
    </xf>
    <xf numFmtId="0" fontId="3" fillId="0" borderId="0" xfId="0" applyFont="1" applyAlignment="1" applyProtection="1">
      <alignment horizontal="left" indent="1"/>
      <protection hidden="1"/>
    </xf>
    <xf numFmtId="0" fontId="3" fillId="0" borderId="0" xfId="0" applyFont="1" applyFill="1" applyBorder="1" applyAlignment="1">
      <alignment horizontal="left" indent="1"/>
    </xf>
    <xf numFmtId="0" fontId="15" fillId="0" borderId="0" xfId="10" applyFont="1" applyAlignment="1" applyProtection="1"/>
    <xf numFmtId="171" fontId="3" fillId="0" borderId="0" xfId="0" applyNumberFormat="1" applyFont="1" applyProtection="1">
      <protection hidden="1"/>
    </xf>
    <xf numFmtId="1" fontId="3" fillId="0" borderId="0" xfId="0" applyNumberFormat="1" applyFont="1" applyProtection="1">
      <protection hidden="1"/>
    </xf>
    <xf numFmtId="0" fontId="3" fillId="0" borderId="0" xfId="0" applyFont="1" applyFill="1" applyBorder="1" applyProtection="1">
      <protection locked="0"/>
    </xf>
    <xf numFmtId="171" fontId="3" fillId="0" borderId="0" xfId="6" applyNumberFormat="1" applyFont="1" applyProtection="1">
      <protection hidden="1"/>
    </xf>
    <xf numFmtId="9" fontId="3" fillId="0" borderId="0" xfId="0" applyNumberFormat="1" applyFont="1" applyAlignment="1">
      <alignment horizontal="right"/>
    </xf>
    <xf numFmtId="2" fontId="3" fillId="0" borderId="0" xfId="0" applyNumberFormat="1" applyFont="1" applyProtection="1">
      <protection hidden="1"/>
    </xf>
    <xf numFmtId="0" fontId="3" fillId="0" borderId="0" xfId="0" quotePrefix="1" applyFont="1" applyAlignment="1" applyProtection="1">
      <alignment horizontal="left" indent="1"/>
      <protection hidden="1"/>
    </xf>
    <xf numFmtId="0" fontId="3" fillId="0" borderId="0" xfId="0" applyFont="1" applyAlignment="1">
      <alignment horizontal="left" indent="2"/>
    </xf>
    <xf numFmtId="0" fontId="3" fillId="0" borderId="0" xfId="0" applyFont="1" applyAlignment="1" applyProtection="1">
      <alignment horizontal="left" indent="2"/>
      <protection hidden="1"/>
    </xf>
    <xf numFmtId="2" fontId="3" fillId="0" borderId="0" xfId="0" applyNumberFormat="1" applyFont="1"/>
    <xf numFmtId="43" fontId="3" fillId="0" borderId="0" xfId="6" applyNumberFormat="1" applyFont="1" applyProtection="1">
      <protection hidden="1"/>
    </xf>
    <xf numFmtId="41" fontId="3" fillId="0" borderId="0" xfId="6" applyNumberFormat="1" applyFont="1" applyProtection="1">
      <protection hidden="1"/>
    </xf>
    <xf numFmtId="165" fontId="3" fillId="0" borderId="0" xfId="6" applyNumberFormat="1" applyFont="1" applyFill="1" applyAlignment="1" applyProtection="1">
      <alignment horizontal="right"/>
      <protection hidden="1"/>
    </xf>
    <xf numFmtId="0" fontId="3" fillId="0" borderId="0" xfId="0" applyNumberFormat="1" applyFont="1"/>
    <xf numFmtId="164" fontId="3" fillId="0" borderId="0" xfId="6" applyNumberFormat="1" applyFont="1" applyFill="1" applyAlignment="1" applyProtection="1">
      <alignment horizontal="right"/>
      <protection hidden="1"/>
    </xf>
    <xf numFmtId="44" fontId="3" fillId="0" borderId="0" xfId="8" applyFont="1"/>
    <xf numFmtId="164" fontId="3" fillId="0" borderId="0" xfId="0" applyNumberFormat="1" applyFont="1" applyProtection="1">
      <protection hidden="1"/>
    </xf>
    <xf numFmtId="0" fontId="3" fillId="0" borderId="0" xfId="6" applyNumberFormat="1" applyFont="1"/>
    <xf numFmtId="169" fontId="3" fillId="0" borderId="0" xfId="8" applyNumberFormat="1" applyFont="1"/>
    <xf numFmtId="2" fontId="3" fillId="0" borderId="0" xfId="0" applyNumberFormat="1" applyFont="1" applyAlignment="1" applyProtection="1">
      <alignment horizontal="right"/>
      <protection hidden="1"/>
    </xf>
    <xf numFmtId="169" fontId="3" fillId="0" borderId="0" xfId="0" applyNumberFormat="1" applyFont="1"/>
    <xf numFmtId="169" fontId="3" fillId="0" borderId="0" xfId="8" applyNumberFormat="1" applyFont="1" applyProtection="1">
      <protection hidden="1"/>
    </xf>
    <xf numFmtId="43" fontId="3" fillId="0" borderId="0" xfId="6" applyFont="1"/>
    <xf numFmtId="171" fontId="3" fillId="0" borderId="0" xfId="0" applyNumberFormat="1" applyFont="1"/>
    <xf numFmtId="43" fontId="3" fillId="0" borderId="0" xfId="6" applyNumberFormat="1" applyFont="1" applyFill="1" applyProtection="1">
      <protection hidden="1"/>
    </xf>
    <xf numFmtId="165" fontId="3" fillId="0" borderId="0" xfId="0" applyNumberFormat="1" applyFont="1"/>
    <xf numFmtId="0" fontId="3" fillId="0" borderId="0" xfId="6" applyNumberFormat="1" applyFont="1" applyFill="1" applyProtection="1">
      <protection locked="0"/>
    </xf>
    <xf numFmtId="165" fontId="3" fillId="0" borderId="0" xfId="6" applyNumberFormat="1" applyFont="1" applyAlignment="1" applyProtection="1">
      <alignment horizontal="right"/>
      <protection hidden="1"/>
    </xf>
    <xf numFmtId="168" fontId="3" fillId="0" borderId="0" xfId="0" applyNumberFormat="1" applyFont="1" applyProtection="1">
      <protection hidden="1"/>
    </xf>
    <xf numFmtId="0" fontId="3" fillId="0" borderId="0" xfId="0" quotePrefix="1" applyFont="1" applyFill="1"/>
    <xf numFmtId="0" fontId="3" fillId="0" borderId="0" xfId="0" applyFont="1" applyFill="1" applyAlignment="1">
      <alignment horizontal="right"/>
    </xf>
    <xf numFmtId="0" fontId="8" fillId="0" borderId="0" xfId="0" applyFont="1" applyAlignment="1">
      <alignment horizontal="left" indent="1"/>
    </xf>
    <xf numFmtId="0" fontId="0" fillId="0" borderId="0" xfId="0" applyFill="1" applyAlignment="1">
      <alignment horizontal="left" indent="1"/>
    </xf>
    <xf numFmtId="0" fontId="0" fillId="0" borderId="0" xfId="0" applyAlignment="1">
      <alignment horizontal="left" wrapText="1" indent="1"/>
    </xf>
    <xf numFmtId="0" fontId="44" fillId="0" borderId="0" xfId="0" applyFont="1" applyAlignment="1">
      <alignment horizontal="left" indent="1"/>
    </xf>
    <xf numFmtId="0" fontId="4" fillId="0" borderId="0" xfId="0" applyFont="1" applyAlignment="1">
      <alignment horizontal="left" indent="1"/>
    </xf>
    <xf numFmtId="0" fontId="5" fillId="0" borderId="0" xfId="0" applyFont="1" applyFill="1" applyAlignment="1">
      <alignment horizontal="left" indent="1"/>
    </xf>
    <xf numFmtId="0" fontId="8" fillId="0" borderId="0" xfId="0" applyFont="1" applyFill="1" applyAlignment="1">
      <alignment horizontal="left" indent="2"/>
    </xf>
    <xf numFmtId="0" fontId="3" fillId="0" borderId="0" xfId="24" applyFont="1"/>
    <xf numFmtId="0" fontId="5" fillId="0" borderId="0" xfId="24" applyFont="1"/>
    <xf numFmtId="0" fontId="3" fillId="0" borderId="0" xfId="24" applyFont="1" applyFill="1"/>
    <xf numFmtId="3" fontId="3" fillId="0" borderId="0" xfId="24" applyNumberFormat="1" applyFont="1" applyFill="1"/>
    <xf numFmtId="165" fontId="3" fillId="0" borderId="0" xfId="7" applyNumberFormat="1" applyFont="1" applyFill="1" applyProtection="1">
      <protection hidden="1"/>
    </xf>
    <xf numFmtId="165" fontId="3" fillId="0" borderId="0" xfId="6" applyNumberFormat="1" applyFont="1" applyFill="1" applyProtection="1">
      <protection hidden="1"/>
    </xf>
    <xf numFmtId="171" fontId="3" fillId="0" borderId="0" xfId="24" applyNumberFormat="1" applyFont="1" applyFill="1"/>
    <xf numFmtId="164" fontId="3" fillId="0" borderId="0" xfId="7" applyNumberFormat="1" applyFont="1" applyFill="1" applyProtection="1">
      <protection hidden="1"/>
    </xf>
    <xf numFmtId="165" fontId="3" fillId="0" borderId="0" xfId="7" applyNumberFormat="1" applyFont="1" applyFill="1"/>
    <xf numFmtId="0" fontId="3" fillId="0" borderId="0" xfId="7" applyNumberFormat="1" applyFont="1" applyFill="1" applyProtection="1">
      <protection hidden="1"/>
    </xf>
    <xf numFmtId="3" fontId="3" fillId="0" borderId="0" xfId="7" applyNumberFormat="1" applyFont="1" applyFill="1" applyProtection="1">
      <protection hidden="1"/>
    </xf>
    <xf numFmtId="3" fontId="3" fillId="0" borderId="0" xfId="7" applyNumberFormat="1" applyFont="1" applyFill="1"/>
    <xf numFmtId="177" fontId="3" fillId="0" borderId="0" xfId="7" applyNumberFormat="1" applyFont="1" applyFill="1"/>
    <xf numFmtId="1" fontId="3" fillId="0" borderId="0" xfId="7" applyNumberFormat="1" applyFont="1" applyFill="1"/>
    <xf numFmtId="169" fontId="3" fillId="0" borderId="0" xfId="9" applyNumberFormat="1" applyFont="1" applyFill="1"/>
    <xf numFmtId="43" fontId="3" fillId="0" borderId="0" xfId="7" applyNumberFormat="1" applyFont="1" applyFill="1"/>
    <xf numFmtId="44" fontId="3" fillId="0" borderId="0" xfId="9" applyFont="1" applyFill="1" applyAlignment="1" applyProtection="1">
      <alignment horizontal="right"/>
      <protection hidden="1"/>
    </xf>
    <xf numFmtId="0" fontId="3" fillId="0" borderId="0" xfId="24" applyFont="1" applyFill="1" applyProtection="1">
      <protection hidden="1"/>
    </xf>
    <xf numFmtId="169" fontId="3" fillId="0" borderId="0" xfId="9" applyNumberFormat="1" applyFont="1" applyFill="1" applyProtection="1">
      <protection hidden="1"/>
    </xf>
    <xf numFmtId="169" fontId="3" fillId="0" borderId="0" xfId="24" applyNumberFormat="1" applyFont="1" applyFill="1"/>
    <xf numFmtId="3" fontId="3" fillId="0" borderId="0" xfId="24" applyNumberFormat="1" applyFont="1" applyFill="1" applyAlignment="1"/>
    <xf numFmtId="44" fontId="3" fillId="0" borderId="0" xfId="9" applyFont="1" applyFill="1" applyProtection="1">
      <protection hidden="1"/>
    </xf>
    <xf numFmtId="0" fontId="3" fillId="0" borderId="0" xfId="24" quotePrefix="1" applyFont="1" applyFill="1" applyProtection="1">
      <protection hidden="1"/>
    </xf>
    <xf numFmtId="177" fontId="3" fillId="0" borderId="0" xfId="24" applyNumberFormat="1" applyFont="1" applyFill="1"/>
    <xf numFmtId="0" fontId="58" fillId="0" borderId="0" xfId="0" applyFont="1"/>
    <xf numFmtId="0" fontId="3" fillId="4" borderId="22" xfId="0" applyFont="1" applyFill="1" applyBorder="1"/>
    <xf numFmtId="0" fontId="38" fillId="4" borderId="54" xfId="0" applyFont="1" applyFill="1" applyBorder="1"/>
    <xf numFmtId="0" fontId="8" fillId="4" borderId="55" xfId="0" applyFont="1" applyFill="1" applyBorder="1"/>
    <xf numFmtId="0" fontId="0" fillId="4" borderId="55" xfId="0" applyFill="1" applyBorder="1"/>
    <xf numFmtId="0" fontId="0" fillId="4" borderId="56" xfId="0" applyFill="1" applyBorder="1"/>
    <xf numFmtId="0" fontId="8" fillId="4" borderId="56" xfId="0" applyFont="1" applyFill="1" applyBorder="1"/>
    <xf numFmtId="0" fontId="0" fillId="10" borderId="0" xfId="0" applyFill="1" applyBorder="1"/>
    <xf numFmtId="0" fontId="25" fillId="10" borderId="0" xfId="0" applyFont="1" applyFill="1" applyBorder="1"/>
    <xf numFmtId="0" fontId="8" fillId="10" borderId="0" xfId="0" applyFont="1" applyFill="1" applyBorder="1"/>
    <xf numFmtId="0" fontId="13" fillId="10" borderId="0" xfId="0" applyFont="1" applyFill="1" applyBorder="1"/>
    <xf numFmtId="0" fontId="0" fillId="10" borderId="2" xfId="0" applyFill="1" applyBorder="1"/>
    <xf numFmtId="169" fontId="3" fillId="10" borderId="0" xfId="8" applyNumberFormat="1" applyFont="1" applyFill="1" applyBorder="1" applyProtection="1">
      <protection hidden="1"/>
    </xf>
    <xf numFmtId="0" fontId="15" fillId="10" borderId="0" xfId="10" applyFill="1" applyBorder="1" applyAlignment="1" applyProtection="1"/>
    <xf numFmtId="0" fontId="0" fillId="10" borderId="0" xfId="0" applyFill="1" applyBorder="1" applyAlignment="1">
      <alignment horizontal="right"/>
    </xf>
    <xf numFmtId="0" fontId="4" fillId="10" borderId="0" xfId="0" applyFont="1" applyFill="1" applyBorder="1"/>
    <xf numFmtId="169" fontId="8" fillId="10" borderId="0" xfId="8" applyNumberFormat="1" applyFont="1" applyFill="1" applyBorder="1" applyProtection="1">
      <protection hidden="1"/>
    </xf>
    <xf numFmtId="44" fontId="8" fillId="10" borderId="0" xfId="8" applyNumberFormat="1" applyFont="1" applyFill="1" applyBorder="1" applyProtection="1">
      <protection hidden="1"/>
    </xf>
    <xf numFmtId="0" fontId="8" fillId="10" borderId="15" xfId="0" applyFont="1" applyFill="1" applyBorder="1"/>
    <xf numFmtId="0" fontId="3" fillId="10" borderId="0" xfId="0" applyFont="1" applyFill="1" applyBorder="1"/>
    <xf numFmtId="0" fontId="0" fillId="10" borderId="0" xfId="0" applyFill="1"/>
    <xf numFmtId="169" fontId="3" fillId="10" borderId="15" xfId="8" applyNumberFormat="1" applyFont="1" applyFill="1" applyBorder="1" applyProtection="1">
      <protection hidden="1"/>
    </xf>
    <xf numFmtId="0" fontId="3" fillId="10" borderId="0" xfId="0" applyFont="1" applyFill="1" applyBorder="1" applyAlignment="1">
      <alignment horizontal="left"/>
    </xf>
    <xf numFmtId="0" fontId="3" fillId="10" borderId="15" xfId="0" applyFont="1" applyFill="1" applyBorder="1" applyAlignment="1">
      <alignment horizontal="left"/>
    </xf>
    <xf numFmtId="0" fontId="13" fillId="4" borderId="55" xfId="0" applyFont="1" applyFill="1" applyBorder="1"/>
    <xf numFmtId="0" fontId="0" fillId="4" borderId="57" xfId="0" applyFill="1" applyBorder="1"/>
    <xf numFmtId="0" fontId="8" fillId="10" borderId="2" xfId="0" applyFont="1" applyFill="1" applyBorder="1"/>
    <xf numFmtId="0" fontId="8" fillId="10" borderId="16" xfId="0" applyFont="1" applyFill="1" applyBorder="1"/>
    <xf numFmtId="0" fontId="36" fillId="4" borderId="56" xfId="0" applyFont="1" applyFill="1" applyBorder="1"/>
    <xf numFmtId="0" fontId="5" fillId="10" borderId="0" xfId="0" applyFont="1" applyFill="1"/>
    <xf numFmtId="0" fontId="3" fillId="10" borderId="0" xfId="0" applyFont="1" applyFill="1" applyAlignment="1" applyProtection="1">
      <alignment horizontal="center" vertical="center" wrapText="1"/>
    </xf>
    <xf numFmtId="0" fontId="3" fillId="0" borderId="0" xfId="0" applyFont="1" applyFill="1" applyAlignment="1" applyProtection="1">
      <alignment horizontal="center"/>
    </xf>
    <xf numFmtId="0" fontId="3" fillId="0" borderId="0" xfId="0" applyFont="1" applyFill="1" applyAlignment="1">
      <alignment horizontal="center"/>
    </xf>
    <xf numFmtId="0" fontId="3" fillId="0" borderId="0" xfId="0" applyFont="1" applyFill="1" applyProtection="1"/>
    <xf numFmtId="0" fontId="25" fillId="4" borderId="1" xfId="0" applyFont="1" applyFill="1" applyBorder="1" applyProtection="1">
      <protection hidden="1"/>
    </xf>
    <xf numFmtId="0" fontId="4" fillId="4" borderId="0" xfId="0" applyFont="1" applyFill="1" applyBorder="1" applyAlignment="1" applyProtection="1">
      <alignment horizontal="right"/>
      <protection hidden="1"/>
    </xf>
    <xf numFmtId="0" fontId="4" fillId="4" borderId="0" xfId="0" applyNumberFormat="1" applyFont="1" applyFill="1" applyBorder="1" applyAlignment="1">
      <alignment horizontal="right"/>
    </xf>
    <xf numFmtId="0" fontId="40" fillId="4" borderId="56" xfId="0" quotePrefix="1" applyFont="1" applyFill="1" applyBorder="1"/>
    <xf numFmtId="170" fontId="22" fillId="4" borderId="0" xfId="0" applyNumberFormat="1" applyFont="1" applyFill="1" applyBorder="1" applyProtection="1">
      <protection hidden="1"/>
    </xf>
    <xf numFmtId="0" fontId="3" fillId="5" borderId="0" xfId="0" applyFont="1" applyFill="1" applyBorder="1" applyProtection="1">
      <protection hidden="1"/>
    </xf>
    <xf numFmtId="0" fontId="3" fillId="5" borderId="0" xfId="0" applyFont="1" applyFill="1" applyBorder="1"/>
    <xf numFmtId="0" fontId="3" fillId="6" borderId="0" xfId="0" applyFont="1" applyFill="1" applyBorder="1"/>
    <xf numFmtId="0" fontId="4" fillId="0" borderId="0" xfId="0" applyFont="1" applyFill="1" applyBorder="1" applyAlignment="1" applyProtection="1">
      <alignment horizontal="left"/>
      <protection hidden="1"/>
    </xf>
    <xf numFmtId="0" fontId="3" fillId="5" borderId="0" xfId="0" applyFont="1" applyFill="1" applyBorder="1" applyAlignment="1">
      <alignment horizontal="left"/>
    </xf>
    <xf numFmtId="0" fontId="4" fillId="0" borderId="28" xfId="0" applyFont="1" applyBorder="1" applyProtection="1">
      <protection hidden="1"/>
    </xf>
    <xf numFmtId="0" fontId="3" fillId="5" borderId="0" xfId="0" applyFont="1" applyFill="1" applyAlignment="1">
      <alignment horizontal="left"/>
    </xf>
    <xf numFmtId="0" fontId="3" fillId="5" borderId="0" xfId="0" applyFont="1" applyFill="1" applyBorder="1" applyAlignment="1"/>
    <xf numFmtId="0" fontId="3" fillId="4" borderId="15" xfId="0" applyFont="1" applyFill="1" applyBorder="1"/>
    <xf numFmtId="0" fontId="3" fillId="4" borderId="0" xfId="0" applyFont="1" applyFill="1"/>
    <xf numFmtId="0" fontId="3" fillId="4" borderId="0" xfId="0" applyFont="1" applyFill="1" applyBorder="1" applyAlignment="1"/>
    <xf numFmtId="0" fontId="3" fillId="4" borderId="15" xfId="0" applyFont="1" applyFill="1" applyBorder="1" applyAlignment="1">
      <alignment wrapText="1"/>
    </xf>
    <xf numFmtId="0" fontId="4" fillId="4" borderId="0" xfId="0" applyFont="1" applyFill="1" applyBorder="1" applyAlignment="1">
      <alignment horizontal="right"/>
    </xf>
    <xf numFmtId="0" fontId="22" fillId="4" borderId="0" xfId="0" applyFont="1" applyFill="1" applyBorder="1" applyProtection="1"/>
    <xf numFmtId="0" fontId="22" fillId="4" borderId="0" xfId="0" applyFont="1" applyFill="1" applyBorder="1" applyAlignment="1"/>
    <xf numFmtId="170" fontId="4" fillId="4" borderId="0" xfId="0" applyNumberFormat="1" applyFont="1" applyFill="1" applyBorder="1" applyProtection="1">
      <protection hidden="1"/>
    </xf>
    <xf numFmtId="0" fontId="40" fillId="0" borderId="65" xfId="0" applyFont="1" applyBorder="1" applyProtection="1"/>
    <xf numFmtId="169" fontId="40" fillId="0" borderId="65" xfId="27" applyNumberFormat="1" applyFont="1" applyBorder="1" applyProtection="1">
      <protection locked="0"/>
    </xf>
    <xf numFmtId="0" fontId="22" fillId="4" borderId="0" xfId="0" applyFont="1" applyFill="1" applyBorder="1" applyProtection="1">
      <protection hidden="1"/>
    </xf>
    <xf numFmtId="0" fontId="4" fillId="4" borderId="0" xfId="0" applyFont="1" applyFill="1" applyBorder="1" applyProtection="1">
      <protection hidden="1"/>
    </xf>
    <xf numFmtId="0" fontId="42" fillId="4" borderId="56" xfId="0" applyFont="1" applyFill="1" applyBorder="1"/>
    <xf numFmtId="9" fontId="4" fillId="4" borderId="0" xfId="27" applyFont="1" applyFill="1" applyBorder="1" applyProtection="1">
      <protection locked="0"/>
    </xf>
    <xf numFmtId="169" fontId="0" fillId="10" borderId="22" xfId="8" applyNumberFormat="1" applyFont="1" applyFill="1" applyBorder="1"/>
    <xf numFmtId="171" fontId="4" fillId="4" borderId="0" xfId="0" applyNumberFormat="1" applyFont="1" applyFill="1" applyBorder="1" applyAlignment="1" applyProtection="1">
      <alignment horizontal="right"/>
      <protection locked="0"/>
    </xf>
    <xf numFmtId="0" fontId="4" fillId="10" borderId="0" xfId="8" applyNumberFormat="1" applyFont="1" applyFill="1" applyBorder="1" applyAlignment="1">
      <alignment horizontal="right"/>
    </xf>
    <xf numFmtId="171" fontId="0" fillId="10" borderId="0" xfId="0" applyNumberFormat="1" applyFill="1" applyBorder="1" applyProtection="1">
      <protection locked="0"/>
    </xf>
    <xf numFmtId="0" fontId="62" fillId="0" borderId="0" xfId="0" applyFont="1" applyBorder="1"/>
    <xf numFmtId="169" fontId="62" fillId="4" borderId="0" xfId="27" applyNumberFormat="1" applyFont="1" applyFill="1" applyBorder="1" applyProtection="1">
      <protection locked="0"/>
    </xf>
    <xf numFmtId="9" fontId="3" fillId="0" borderId="0" xfId="27" applyFont="1" applyProtection="1">
      <protection locked="0"/>
    </xf>
    <xf numFmtId="0" fontId="3" fillId="4" borderId="48" xfId="0" applyFont="1" applyFill="1" applyBorder="1"/>
    <xf numFmtId="169" fontId="3" fillId="4" borderId="0" xfId="0" applyNumberFormat="1" applyFont="1" applyFill="1"/>
    <xf numFmtId="169" fontId="43" fillId="4" borderId="41" xfId="0" applyNumberFormat="1" applyFont="1" applyFill="1" applyBorder="1" applyProtection="1">
      <protection locked="0"/>
    </xf>
    <xf numFmtId="0" fontId="13" fillId="10" borderId="15" xfId="0" applyFont="1" applyFill="1" applyBorder="1"/>
    <xf numFmtId="0" fontId="0" fillId="10" borderId="15" xfId="0" applyFill="1" applyBorder="1"/>
    <xf numFmtId="0" fontId="43" fillId="4" borderId="27" xfId="0" applyFont="1" applyFill="1" applyBorder="1" applyAlignment="1">
      <alignment horizontal="right"/>
    </xf>
    <xf numFmtId="0" fontId="4" fillId="6" borderId="15" xfId="0" applyFont="1" applyFill="1" applyBorder="1"/>
    <xf numFmtId="9" fontId="4" fillId="6" borderId="15" xfId="27" applyFont="1" applyFill="1" applyBorder="1"/>
    <xf numFmtId="0" fontId="4" fillId="6" borderId="15" xfId="0" applyFont="1" applyFill="1" applyBorder="1" applyAlignment="1">
      <alignment horizontal="right"/>
    </xf>
    <xf numFmtId="169" fontId="4" fillId="0" borderId="41" xfId="0" applyNumberFormat="1" applyFont="1" applyBorder="1" applyProtection="1">
      <protection hidden="1"/>
    </xf>
    <xf numFmtId="0" fontId="4" fillId="0" borderId="44" xfId="0" applyFont="1" applyBorder="1" applyProtection="1">
      <protection locked="0" hidden="1"/>
    </xf>
    <xf numFmtId="0" fontId="22" fillId="10" borderId="67" xfId="0" applyFont="1" applyFill="1" applyBorder="1"/>
    <xf numFmtId="0" fontId="3" fillId="4" borderId="0" xfId="0" quotePrefix="1" applyFont="1" applyFill="1" applyBorder="1"/>
    <xf numFmtId="0" fontId="3" fillId="4" borderId="15" xfId="0" quotePrefix="1" applyFont="1" applyFill="1" applyBorder="1"/>
    <xf numFmtId="0" fontId="4" fillId="10" borderId="28" xfId="27" applyNumberFormat="1" applyFont="1" applyFill="1" applyBorder="1" applyAlignment="1">
      <alignment horizontal="right"/>
    </xf>
    <xf numFmtId="0" fontId="4" fillId="4" borderId="28" xfId="0" applyFont="1" applyFill="1" applyBorder="1" applyAlignment="1">
      <alignment horizontal="left"/>
    </xf>
    <xf numFmtId="0" fontId="0" fillId="10" borderId="0" xfId="0" applyFill="1" applyProtection="1">
      <protection hidden="1"/>
    </xf>
    <xf numFmtId="0" fontId="20" fillId="10" borderId="0" xfId="0" applyFont="1" applyFill="1"/>
    <xf numFmtId="0" fontId="3" fillId="10" borderId="0" xfId="0" applyFont="1" applyFill="1"/>
    <xf numFmtId="0" fontId="0" fillId="10" borderId="0" xfId="0" applyFill="1" applyAlignment="1"/>
    <xf numFmtId="0" fontId="0" fillId="10" borderId="0" xfId="0" applyFill="1" applyAlignment="1">
      <alignment wrapText="1"/>
    </xf>
    <xf numFmtId="0" fontId="11" fillId="10" borderId="0" xfId="0" applyFont="1" applyFill="1"/>
    <xf numFmtId="169" fontId="0" fillId="10" borderId="0" xfId="0" applyNumberFormat="1" applyFill="1"/>
    <xf numFmtId="9" fontId="0" fillId="0" borderId="0" xfId="0" applyNumberFormat="1" applyFill="1"/>
    <xf numFmtId="169" fontId="0" fillId="0" borderId="0" xfId="8" applyNumberFormat="1" applyFont="1" applyFill="1" applyBorder="1" applyProtection="1">
      <protection locked="0"/>
    </xf>
    <xf numFmtId="169" fontId="3" fillId="0" borderId="0" xfId="0" applyNumberFormat="1" applyFont="1" applyFill="1"/>
    <xf numFmtId="0" fontId="11" fillId="0" borderId="0" xfId="0" applyFont="1" applyFill="1"/>
    <xf numFmtId="0" fontId="44" fillId="0" borderId="0" xfId="0" applyFont="1" applyFill="1"/>
    <xf numFmtId="0" fontId="5" fillId="0" borderId="0" xfId="0" applyFont="1" applyFill="1"/>
    <xf numFmtId="0" fontId="4" fillId="10" borderId="15" xfId="0" applyFont="1" applyFill="1" applyBorder="1"/>
    <xf numFmtId="0" fontId="4" fillId="10" borderId="15" xfId="0" applyFont="1" applyFill="1" applyBorder="1" applyAlignment="1">
      <alignment horizontal="right"/>
    </xf>
    <xf numFmtId="0" fontId="3" fillId="10" borderId="16" xfId="0" applyFont="1" applyFill="1" applyBorder="1"/>
    <xf numFmtId="0" fontId="63" fillId="4" borderId="17" xfId="0" applyFont="1" applyFill="1" applyBorder="1"/>
    <xf numFmtId="0" fontId="64" fillId="0" borderId="27" xfId="0" applyFont="1" applyBorder="1"/>
    <xf numFmtId="0" fontId="0" fillId="10" borderId="68" xfId="0" applyFill="1" applyBorder="1"/>
    <xf numFmtId="0" fontId="11" fillId="4" borderId="22" xfId="0" applyNumberFormat="1" applyFont="1" applyFill="1" applyBorder="1" applyAlignment="1">
      <alignment horizontal="left"/>
    </xf>
    <xf numFmtId="0" fontId="3" fillId="0" borderId="0" xfId="0" applyFont="1" applyFill="1" applyProtection="1">
      <protection hidden="1"/>
    </xf>
    <xf numFmtId="0" fontId="6" fillId="0" borderId="69" xfId="0" applyFont="1" applyBorder="1"/>
    <xf numFmtId="0" fontId="6" fillId="0" borderId="70" xfId="0" applyFont="1" applyBorder="1"/>
    <xf numFmtId="0" fontId="6" fillId="0" borderId="48" xfId="0" applyFont="1" applyBorder="1" applyProtection="1">
      <protection hidden="1"/>
    </xf>
    <xf numFmtId="0" fontId="6" fillId="0" borderId="70" xfId="0" applyFont="1" applyBorder="1" applyProtection="1">
      <protection hidden="1"/>
    </xf>
    <xf numFmtId="0" fontId="6" fillId="0" borderId="69" xfId="0" applyFont="1" applyBorder="1" applyProtection="1">
      <protection hidden="1"/>
    </xf>
    <xf numFmtId="0" fontId="6" fillId="0" borderId="48" xfId="0" applyFont="1" applyBorder="1" applyAlignment="1">
      <alignment horizontal="center"/>
    </xf>
    <xf numFmtId="0" fontId="65" fillId="4" borderId="0" xfId="0" applyFont="1" applyFill="1" applyAlignment="1">
      <alignment horizontal="left"/>
    </xf>
    <xf numFmtId="0" fontId="3" fillId="5" borderId="0" xfId="0" applyFont="1" applyFill="1"/>
    <xf numFmtId="0" fontId="3" fillId="5" borderId="1" xfId="0" quotePrefix="1" applyFont="1" applyFill="1" applyBorder="1" applyProtection="1">
      <protection hidden="1"/>
    </xf>
    <xf numFmtId="164" fontId="4" fillId="0" borderId="0" xfId="6" applyNumberFormat="1" applyFont="1" applyBorder="1" applyAlignment="1" applyProtection="1">
      <alignment horizontal="right"/>
      <protection hidden="1"/>
    </xf>
    <xf numFmtId="0" fontId="3" fillId="0" borderId="0" xfId="0" applyFont="1" applyAlignment="1">
      <alignment wrapText="1"/>
    </xf>
    <xf numFmtId="0" fontId="22" fillId="4" borderId="0" xfId="0" applyFont="1" applyFill="1" applyBorder="1" applyAlignment="1">
      <alignment wrapText="1"/>
    </xf>
    <xf numFmtId="0" fontId="4" fillId="0" borderId="31" xfId="0" applyFont="1" applyBorder="1" applyAlignment="1">
      <alignment horizontal="center"/>
    </xf>
    <xf numFmtId="0" fontId="3" fillId="0" borderId="0" xfId="0" applyFont="1" applyAlignment="1" applyProtection="1">
      <alignment horizontal="right"/>
      <protection hidden="1"/>
    </xf>
    <xf numFmtId="9" fontId="3" fillId="0" borderId="26" xfId="27" applyFont="1" applyBorder="1" applyProtection="1">
      <protection locked="0"/>
    </xf>
    <xf numFmtId="9" fontId="3" fillId="0" borderId="65" xfId="27" applyFont="1" applyBorder="1" applyProtection="1">
      <protection locked="0"/>
    </xf>
    <xf numFmtId="0" fontId="3" fillId="4" borderId="24" xfId="0" applyFont="1" applyFill="1" applyBorder="1"/>
    <xf numFmtId="0" fontId="3" fillId="5" borderId="25" xfId="0" applyFont="1" applyFill="1" applyBorder="1"/>
    <xf numFmtId="0" fontId="20" fillId="4" borderId="0" xfId="0" applyFont="1" applyFill="1" applyBorder="1"/>
    <xf numFmtId="169" fontId="3" fillId="4" borderId="0" xfId="0" applyNumberFormat="1" applyFont="1" applyFill="1" applyBorder="1"/>
    <xf numFmtId="0" fontId="6" fillId="5" borderId="25" xfId="0" applyFont="1" applyFill="1" applyBorder="1"/>
    <xf numFmtId="0" fontId="3" fillId="5" borderId="26" xfId="0" applyFont="1" applyFill="1" applyBorder="1"/>
    <xf numFmtId="0" fontId="3" fillId="5" borderId="25" xfId="0" applyFont="1" applyFill="1" applyBorder="1" applyProtection="1">
      <protection hidden="1"/>
    </xf>
    <xf numFmtId="0" fontId="10" fillId="4" borderId="23" xfId="0" applyFont="1" applyFill="1" applyBorder="1" applyAlignment="1">
      <alignment vertical="center"/>
    </xf>
    <xf numFmtId="0" fontId="10" fillId="4" borderId="2" xfId="0" applyFont="1" applyFill="1" applyBorder="1" applyAlignment="1">
      <alignment vertical="center"/>
    </xf>
    <xf numFmtId="0" fontId="10" fillId="4" borderId="16" xfId="0" applyFont="1" applyFill="1" applyBorder="1" applyAlignment="1">
      <alignment vertical="center"/>
    </xf>
    <xf numFmtId="0" fontId="10" fillId="4" borderId="67" xfId="0" applyFont="1" applyFill="1" applyBorder="1" applyAlignment="1" applyProtection="1">
      <alignment horizontal="right" vertical="center"/>
      <protection locked="0"/>
    </xf>
    <xf numFmtId="0" fontId="35" fillId="4" borderId="71" xfId="0" applyFont="1" applyFill="1" applyBorder="1" applyAlignment="1">
      <alignment vertical="center"/>
    </xf>
    <xf numFmtId="0" fontId="10" fillId="4" borderId="28" xfId="0" applyFont="1" applyFill="1" applyBorder="1" applyAlignment="1" applyProtection="1">
      <alignment horizontal="right" vertical="center"/>
      <protection locked="0"/>
    </xf>
    <xf numFmtId="0" fontId="35" fillId="4" borderId="37" xfId="0" applyFont="1" applyFill="1" applyBorder="1" applyAlignment="1">
      <alignment vertical="center"/>
    </xf>
    <xf numFmtId="0" fontId="10" fillId="4" borderId="72" xfId="0" applyFont="1" applyFill="1" applyBorder="1" applyAlignment="1">
      <alignment horizontal="right" vertical="center" wrapText="1"/>
    </xf>
    <xf numFmtId="0" fontId="22" fillId="4" borderId="49" xfId="0" applyFont="1" applyFill="1" applyBorder="1" applyAlignment="1">
      <alignment horizontal="right" vertical="center" wrapText="1"/>
    </xf>
    <xf numFmtId="0" fontId="5" fillId="0" borderId="0" xfId="0" applyFont="1" applyBorder="1"/>
    <xf numFmtId="0" fontId="3" fillId="0" borderId="0" xfId="0" applyFont="1" applyFill="1" applyBorder="1" applyAlignment="1">
      <alignment horizontal="right"/>
    </xf>
    <xf numFmtId="9" fontId="3" fillId="0" borderId="0" xfId="27" applyFont="1" applyFill="1"/>
    <xf numFmtId="0" fontId="3" fillId="0" borderId="25" xfId="0" applyFont="1" applyBorder="1"/>
    <xf numFmtId="9" fontId="3" fillId="0" borderId="0" xfId="27" applyFont="1"/>
    <xf numFmtId="171" fontId="3" fillId="2" borderId="0" xfId="0" applyNumberFormat="1" applyFont="1" applyFill="1"/>
    <xf numFmtId="9" fontId="3" fillId="2" borderId="26" xfId="27" applyFont="1" applyFill="1" applyBorder="1" applyProtection="1">
      <protection locked="0"/>
    </xf>
    <xf numFmtId="169" fontId="3" fillId="0" borderId="0" xfId="8" applyNumberFormat="1" applyFont="1" applyBorder="1"/>
    <xf numFmtId="0" fontId="10" fillId="0" borderId="0" xfId="0" applyFont="1" applyFill="1" applyBorder="1" applyAlignment="1"/>
    <xf numFmtId="9" fontId="3" fillId="2" borderId="0" xfId="27" applyFont="1" applyFill="1" applyBorder="1" applyProtection="1">
      <protection locked="0"/>
    </xf>
    <xf numFmtId="10" fontId="3" fillId="2" borderId="0" xfId="1" applyNumberFormat="1" applyFont="1" applyBorder="1">
      <alignment horizontal="right"/>
      <protection locked="0"/>
    </xf>
    <xf numFmtId="0" fontId="3" fillId="2" borderId="0" xfId="1" applyNumberFormat="1" applyFont="1" applyBorder="1">
      <alignment horizontal="right"/>
      <protection locked="0"/>
    </xf>
    <xf numFmtId="0" fontId="5" fillId="0" borderId="0" xfId="0" applyFont="1" applyBorder="1" applyAlignment="1">
      <alignment horizontal="center"/>
    </xf>
    <xf numFmtId="0" fontId="5" fillId="0" borderId="11" xfId="0" applyFont="1" applyBorder="1" applyAlignment="1">
      <alignment horizontal="center"/>
    </xf>
    <xf numFmtId="0" fontId="3" fillId="0" borderId="0" xfId="0" applyFont="1" applyFill="1" applyBorder="1" applyAlignment="1">
      <alignment wrapText="1"/>
    </xf>
    <xf numFmtId="0" fontId="5" fillId="0" borderId="11" xfId="0" applyFont="1" applyBorder="1"/>
    <xf numFmtId="0" fontId="3" fillId="0" borderId="7" xfId="0" applyFont="1" applyBorder="1" applyAlignment="1">
      <alignment vertical="top" wrapText="1"/>
    </xf>
    <xf numFmtId="0" fontId="3" fillId="0" borderId="0" xfId="0" applyFont="1" applyBorder="1" applyAlignment="1">
      <alignment wrapText="1"/>
    </xf>
    <xf numFmtId="0" fontId="3" fillId="0" borderId="11" xfId="0" applyFont="1" applyBorder="1" applyAlignment="1"/>
    <xf numFmtId="0" fontId="3" fillId="0" borderId="7" xfId="0" applyFont="1" applyBorder="1" applyAlignment="1">
      <alignment vertical="top"/>
    </xf>
    <xf numFmtId="0" fontId="3" fillId="2" borderId="0" xfId="0" applyFont="1" applyFill="1" applyBorder="1" applyAlignment="1"/>
    <xf numFmtId="0" fontId="3" fillId="2" borderId="11" xfId="0" applyFont="1" applyFill="1" applyBorder="1" applyAlignment="1"/>
    <xf numFmtId="0" fontId="3" fillId="0" borderId="12" xfId="0" applyFont="1" applyBorder="1" applyAlignment="1">
      <alignment vertical="top" wrapText="1"/>
    </xf>
    <xf numFmtId="0" fontId="3" fillId="0" borderId="13" xfId="0" applyFont="1" applyFill="1" applyBorder="1" applyAlignment="1">
      <alignment wrapText="1"/>
    </xf>
    <xf numFmtId="0" fontId="3" fillId="0" borderId="0" xfId="0" applyFont="1" applyAlignment="1">
      <alignment vertical="top" wrapText="1"/>
    </xf>
    <xf numFmtId="0" fontId="3" fillId="0" borderId="0" xfId="0" applyFont="1" applyFill="1" applyAlignment="1">
      <alignment wrapText="1"/>
    </xf>
    <xf numFmtId="0" fontId="3" fillId="0" borderId="0" xfId="0" applyFont="1" applyFill="1" applyBorder="1" applyAlignment="1">
      <alignment vertical="top" wrapText="1"/>
    </xf>
    <xf numFmtId="169" fontId="3" fillId="4" borderId="74" xfId="8" applyNumberFormat="1" applyFont="1" applyFill="1" applyBorder="1" applyProtection="1">
      <protection locked="0"/>
    </xf>
    <xf numFmtId="169" fontId="3" fillId="4" borderId="26" xfId="8" applyNumberFormat="1" applyFont="1" applyFill="1" applyBorder="1" applyProtection="1">
      <protection locked="0"/>
    </xf>
    <xf numFmtId="0" fontId="3" fillId="4" borderId="26" xfId="0" applyFont="1" applyFill="1" applyBorder="1"/>
    <xf numFmtId="0" fontId="3" fillId="4" borderId="29" xfId="0" applyFont="1" applyFill="1" applyBorder="1"/>
    <xf numFmtId="0" fontId="8" fillId="0" borderId="75" xfId="0" applyFont="1" applyBorder="1"/>
    <xf numFmtId="169" fontId="0" fillId="0" borderId="75" xfId="8" applyNumberFormat="1" applyFont="1" applyBorder="1"/>
    <xf numFmtId="169" fontId="3" fillId="0" borderId="75" xfId="0" applyNumberFormat="1" applyFont="1" applyBorder="1"/>
    <xf numFmtId="169" fontId="0" fillId="4" borderId="75" xfId="8" applyNumberFormat="1" applyFont="1" applyFill="1" applyBorder="1" applyProtection="1">
      <protection locked="0"/>
    </xf>
    <xf numFmtId="169" fontId="0" fillId="0" borderId="75" xfId="8" applyNumberFormat="1" applyFont="1" applyBorder="1" applyProtection="1">
      <protection locked="0"/>
    </xf>
    <xf numFmtId="0" fontId="8" fillId="0" borderId="75" xfId="0" applyFont="1" applyBorder="1" applyProtection="1">
      <protection hidden="1"/>
    </xf>
    <xf numFmtId="0" fontId="8" fillId="0" borderId="73" xfId="0" applyFont="1" applyBorder="1" applyProtection="1"/>
    <xf numFmtId="169" fontId="0" fillId="0" borderId="73" xfId="8" applyNumberFormat="1" applyFont="1" applyBorder="1" applyProtection="1"/>
    <xf numFmtId="9" fontId="3" fillId="0" borderId="76" xfId="27" applyFont="1" applyBorder="1" applyProtection="1">
      <protection locked="0"/>
    </xf>
    <xf numFmtId="175" fontId="3" fillId="0" borderId="77" xfId="27" applyNumberFormat="1" applyFont="1" applyBorder="1" applyProtection="1"/>
    <xf numFmtId="9" fontId="3" fillId="0" borderId="78" xfId="27" applyFont="1" applyBorder="1" applyProtection="1">
      <protection locked="0"/>
    </xf>
    <xf numFmtId="9" fontId="3" fillId="0" borderId="76" xfId="27" applyFont="1" applyBorder="1"/>
    <xf numFmtId="9" fontId="3" fillId="0" borderId="77" xfId="27" applyFont="1" applyBorder="1" applyProtection="1">
      <protection locked="0"/>
    </xf>
    <xf numFmtId="9" fontId="3" fillId="0" borderId="77" xfId="27" applyFont="1" applyFill="1" applyBorder="1" applyProtection="1">
      <protection locked="0"/>
    </xf>
    <xf numFmtId="0" fontId="8" fillId="0" borderId="80" xfId="0" applyFont="1" applyBorder="1"/>
    <xf numFmtId="169" fontId="0" fillId="0" borderId="80" xfId="8" applyNumberFormat="1" applyFont="1" applyBorder="1" applyProtection="1">
      <protection locked="0"/>
    </xf>
    <xf numFmtId="0" fontId="8" fillId="0" borderId="79" xfId="0" applyFont="1" applyBorder="1"/>
    <xf numFmtId="169" fontId="0" fillId="0" borderId="79" xfId="27" applyNumberFormat="1" applyFont="1" applyBorder="1" applyProtection="1">
      <protection locked="0"/>
    </xf>
    <xf numFmtId="0" fontId="3" fillId="4" borderId="80" xfId="0" applyFont="1" applyFill="1" applyBorder="1"/>
    <xf numFmtId="164" fontId="3" fillId="4" borderId="80" xfId="6" applyNumberFormat="1" applyFont="1" applyFill="1" applyBorder="1" applyAlignment="1">
      <alignment horizontal="right"/>
    </xf>
    <xf numFmtId="164" fontId="3" fillId="0" borderId="80" xfId="6" applyNumberFormat="1" applyFont="1" applyFill="1" applyBorder="1" applyAlignment="1">
      <alignment horizontal="right"/>
    </xf>
    <xf numFmtId="0" fontId="43" fillId="4" borderId="80" xfId="0" applyFont="1" applyFill="1" applyBorder="1"/>
    <xf numFmtId="6" fontId="51" fillId="4" borderId="80" xfId="0" applyNumberFormat="1" applyFont="1" applyFill="1" applyBorder="1"/>
    <xf numFmtId="0" fontId="8" fillId="4" borderId="80" xfId="0" applyFont="1" applyFill="1" applyBorder="1" applyAlignment="1">
      <alignment horizontal="left"/>
    </xf>
    <xf numFmtId="8" fontId="8" fillId="4" borderId="80" xfId="0" applyNumberFormat="1" applyFont="1" applyFill="1" applyBorder="1"/>
    <xf numFmtId="0" fontId="8" fillId="4" borderId="81" xfId="0" applyFont="1" applyFill="1" applyBorder="1" applyAlignment="1">
      <alignment horizontal="left"/>
    </xf>
    <xf numFmtId="6" fontId="8" fillId="4" borderId="81" xfId="0" applyNumberFormat="1" applyFont="1" applyFill="1" applyBorder="1"/>
    <xf numFmtId="0" fontId="3" fillId="0" borderId="0" xfId="0" applyFont="1" applyBorder="1" applyAlignment="1">
      <alignment horizontal="center"/>
    </xf>
    <xf numFmtId="168" fontId="3" fillId="0" borderId="0" xfId="0" applyNumberFormat="1" applyFont="1"/>
    <xf numFmtId="178" fontId="3" fillId="0" borderId="0" xfId="0" applyNumberFormat="1" applyFont="1"/>
    <xf numFmtId="4" fontId="3" fillId="0" borderId="0" xfId="0" applyNumberFormat="1" applyFont="1"/>
    <xf numFmtId="3" fontId="3" fillId="0" borderId="0" xfId="0" applyNumberFormat="1" applyFont="1"/>
    <xf numFmtId="2" fontId="3" fillId="0" borderId="0" xfId="0" applyNumberFormat="1" applyFont="1" applyAlignment="1">
      <alignment horizontal="right"/>
    </xf>
    <xf numFmtId="0" fontId="3" fillId="0" borderId="0" xfId="0" quotePrefix="1" applyFont="1" applyAlignment="1">
      <alignment horizontal="left"/>
    </xf>
    <xf numFmtId="165" fontId="3" fillId="0" borderId="0" xfId="6" applyNumberFormat="1" applyFont="1" applyAlignment="1">
      <alignment horizontal="right"/>
    </xf>
    <xf numFmtId="0" fontId="4" fillId="0" borderId="15" xfId="0" applyFont="1" applyBorder="1" applyAlignment="1">
      <alignment horizontal="center" wrapText="1"/>
    </xf>
    <xf numFmtId="0" fontId="0" fillId="10" borderId="0" xfId="0" applyNumberFormat="1" applyFill="1" applyBorder="1"/>
    <xf numFmtId="0" fontId="4" fillId="0" borderId="15" xfId="0" applyFont="1" applyBorder="1" applyAlignment="1">
      <alignment horizontal="left" wrapText="1"/>
    </xf>
    <xf numFmtId="0" fontId="4" fillId="0" borderId="15" xfId="0" applyFont="1" applyBorder="1" applyAlignment="1">
      <alignment horizontal="left"/>
    </xf>
    <xf numFmtId="0" fontId="0" fillId="11" borderId="0" xfId="0" applyFill="1"/>
    <xf numFmtId="165" fontId="0" fillId="11" borderId="0" xfId="6" applyNumberFormat="1" applyFont="1" applyFill="1"/>
    <xf numFmtId="0" fontId="3" fillId="11" borderId="0" xfId="25" applyFont="1" applyFill="1"/>
    <xf numFmtId="0" fontId="8" fillId="11" borderId="0" xfId="0" applyFont="1" applyFill="1"/>
    <xf numFmtId="0" fontId="54" fillId="0" borderId="0" xfId="30" applyFont="1" applyFill="1"/>
    <xf numFmtId="0" fontId="55" fillId="0" borderId="0" xfId="30" applyFont="1" applyFill="1"/>
    <xf numFmtId="0" fontId="10" fillId="0" borderId="0" xfId="30" applyFont="1" applyFill="1"/>
    <xf numFmtId="0" fontId="0" fillId="10" borderId="0" xfId="0" applyFill="1" applyAlignment="1">
      <alignment vertical="center"/>
    </xf>
    <xf numFmtId="0" fontId="3" fillId="0" borderId="0" xfId="0" applyNumberFormat="1" applyFont="1" applyAlignment="1">
      <alignment horizontal="left"/>
    </xf>
    <xf numFmtId="0" fontId="3" fillId="0" borderId="15" xfId="0" applyFont="1" applyBorder="1" applyAlignment="1">
      <alignment horizontal="center"/>
    </xf>
    <xf numFmtId="0" fontId="3" fillId="0" borderId="15" xfId="0" applyFont="1" applyBorder="1" applyAlignment="1"/>
    <xf numFmtId="0" fontId="3" fillId="0" borderId="55" xfId="0" applyFont="1" applyBorder="1" applyAlignment="1">
      <alignment horizontal="right"/>
    </xf>
    <xf numFmtId="0" fontId="3" fillId="0" borderId="54" xfId="0" applyFont="1" applyBorder="1" applyAlignment="1">
      <alignment horizontal="right"/>
    </xf>
    <xf numFmtId="0" fontId="3" fillId="0" borderId="56" xfId="0" applyFont="1" applyBorder="1" applyAlignment="1">
      <alignment horizontal="right"/>
    </xf>
    <xf numFmtId="0" fontId="3" fillId="0" borderId="68" xfId="0" applyFont="1" applyBorder="1" applyAlignment="1">
      <alignment horizontal="right"/>
    </xf>
    <xf numFmtId="0" fontId="0" fillId="10" borderId="82" xfId="0" applyFill="1" applyBorder="1"/>
    <xf numFmtId="0" fontId="0" fillId="10" borderId="17" xfId="0" applyFill="1" applyBorder="1"/>
    <xf numFmtId="0" fontId="8" fillId="10" borderId="22" xfId="0" applyFont="1" applyFill="1" applyBorder="1"/>
    <xf numFmtId="0" fontId="0" fillId="10" borderId="22" xfId="0" applyFill="1" applyBorder="1" applyAlignment="1">
      <alignment horizontal="left"/>
    </xf>
    <xf numFmtId="0" fontId="13" fillId="10" borderId="22" xfId="0" applyFont="1" applyFill="1" applyBorder="1"/>
    <xf numFmtId="0" fontId="0" fillId="10" borderId="23" xfId="0" applyFill="1" applyBorder="1"/>
    <xf numFmtId="0" fontId="0" fillId="10" borderId="83" xfId="0" applyFill="1" applyBorder="1"/>
    <xf numFmtId="0" fontId="68" fillId="0" borderId="0" xfId="0" applyFont="1" applyAlignment="1">
      <alignment horizontal="left" indent="1"/>
    </xf>
    <xf numFmtId="0" fontId="55" fillId="0" borderId="0" xfId="0" applyFont="1"/>
    <xf numFmtId="0" fontId="55" fillId="0" borderId="0" xfId="0" applyFont="1" applyAlignment="1">
      <alignment horizontal="left" indent="1"/>
    </xf>
    <xf numFmtId="165" fontId="55" fillId="0" borderId="0" xfId="6" applyNumberFormat="1" applyFont="1"/>
    <xf numFmtId="0" fontId="69" fillId="0" borderId="0" xfId="0" applyFont="1"/>
    <xf numFmtId="169" fontId="8" fillId="10" borderId="15" xfId="8" applyNumberFormat="1" applyFont="1" applyFill="1" applyBorder="1" applyProtection="1">
      <protection hidden="1"/>
    </xf>
    <xf numFmtId="0" fontId="0" fillId="0" borderId="15" xfId="0" applyFill="1" applyBorder="1"/>
    <xf numFmtId="0" fontId="4" fillId="0" borderId="55" xfId="0" applyFont="1" applyFill="1" applyBorder="1"/>
    <xf numFmtId="0" fontId="0" fillId="0" borderId="0" xfId="0" applyFill="1" applyBorder="1"/>
    <xf numFmtId="0" fontId="0" fillId="0" borderId="48" xfId="0" applyFill="1" applyBorder="1"/>
    <xf numFmtId="0" fontId="3" fillId="0" borderId="48" xfId="0" applyFont="1" applyFill="1" applyBorder="1"/>
    <xf numFmtId="0" fontId="0" fillId="0" borderId="55" xfId="0" applyFill="1" applyBorder="1"/>
    <xf numFmtId="0" fontId="3" fillId="0" borderId="55" xfId="0" applyFont="1" applyFill="1" applyBorder="1"/>
    <xf numFmtId="0" fontId="6" fillId="0" borderId="15" xfId="0" applyFont="1" applyFill="1" applyBorder="1"/>
    <xf numFmtId="0" fontId="70" fillId="0" borderId="0" xfId="0" applyFont="1" applyFill="1"/>
    <xf numFmtId="8" fontId="0" fillId="0" borderId="15" xfId="0" applyNumberFormat="1" applyFill="1" applyBorder="1"/>
    <xf numFmtId="2" fontId="0" fillId="0" borderId="0" xfId="0" applyNumberFormat="1" applyFill="1" applyBorder="1" applyAlignment="1">
      <alignment horizontal="center" vertical="center"/>
    </xf>
    <xf numFmtId="0" fontId="3" fillId="0" borderId="0" xfId="0" applyFont="1" applyFill="1" applyBorder="1" applyAlignment="1"/>
    <xf numFmtId="0" fontId="4" fillId="10" borderId="0" xfId="32" applyFont="1" applyFill="1" applyAlignment="1">
      <alignment horizontal="center" vertical="center"/>
    </xf>
    <xf numFmtId="0" fontId="3" fillId="10" borderId="0" xfId="32" applyFill="1"/>
    <xf numFmtId="49" fontId="3" fillId="10" borderId="15" xfId="32" applyNumberFormat="1" applyFont="1" applyFill="1" applyBorder="1" applyAlignment="1">
      <alignment horizontal="center" vertical="center"/>
    </xf>
    <xf numFmtId="0" fontId="76" fillId="10" borderId="0" xfId="32" applyFont="1" applyFill="1" applyAlignment="1">
      <alignment horizontal="left" vertical="center"/>
    </xf>
    <xf numFmtId="0" fontId="3" fillId="10" borderId="0" xfId="32" applyFont="1" applyFill="1" applyAlignment="1">
      <alignment vertical="center"/>
    </xf>
    <xf numFmtId="0" fontId="3" fillId="10" borderId="0" xfId="32" applyFont="1" applyFill="1" applyAlignment="1">
      <alignment horizontal="left" vertical="center" indent="2"/>
    </xf>
    <xf numFmtId="0" fontId="15" fillId="10" borderId="0" xfId="31" applyFill="1" applyAlignment="1" applyProtection="1">
      <alignment vertical="center"/>
    </xf>
    <xf numFmtId="0" fontId="3" fillId="10" borderId="0" xfId="32" applyFill="1" applyAlignment="1">
      <alignment vertical="center"/>
    </xf>
    <xf numFmtId="0" fontId="6" fillId="0" borderId="15" xfId="0" applyFont="1" applyFill="1" applyBorder="1" applyAlignment="1">
      <alignment horizontal="left"/>
    </xf>
    <xf numFmtId="3" fontId="0" fillId="0" borderId="0" xfId="0" applyNumberFormat="1" applyFill="1"/>
    <xf numFmtId="4" fontId="0" fillId="0" borderId="0" xfId="0" applyNumberFormat="1" applyFill="1"/>
    <xf numFmtId="4" fontId="0" fillId="0" borderId="0" xfId="0" applyNumberFormat="1" applyFill="1" applyBorder="1"/>
    <xf numFmtId="0" fontId="3" fillId="0" borderId="0" xfId="0" applyFont="1" applyFill="1" applyBorder="1" applyAlignment="1" applyProtection="1">
      <alignment horizontal="left"/>
    </xf>
    <xf numFmtId="0" fontId="6" fillId="0" borderId="55" xfId="0" applyFont="1" applyFill="1" applyBorder="1"/>
    <xf numFmtId="1" fontId="0" fillId="0" borderId="55" xfId="0" applyNumberFormat="1" applyFill="1" applyBorder="1"/>
    <xf numFmtId="4" fontId="0" fillId="0" borderId="48" xfId="0" applyNumberFormat="1" applyFill="1" applyBorder="1"/>
    <xf numFmtId="0" fontId="0" fillId="0" borderId="48" xfId="0" applyFill="1" applyBorder="1" applyAlignment="1">
      <alignment horizontal="right"/>
    </xf>
    <xf numFmtId="4" fontId="0" fillId="0" borderId="55" xfId="0" applyNumberFormat="1" applyFill="1" applyBorder="1"/>
    <xf numFmtId="0" fontId="0" fillId="0" borderId="55" xfId="0" applyFill="1" applyBorder="1" applyAlignment="1">
      <alignment horizontal="right"/>
    </xf>
    <xf numFmtId="4" fontId="0" fillId="0" borderId="15" xfId="0" applyNumberFormat="1" applyFill="1" applyBorder="1"/>
    <xf numFmtId="0" fontId="0" fillId="0" borderId="15" xfId="0" applyFill="1" applyBorder="1" applyAlignment="1">
      <alignment horizontal="right"/>
    </xf>
    <xf numFmtId="0" fontId="0" fillId="0" borderId="0" xfId="0" applyFill="1" applyBorder="1" applyAlignment="1">
      <alignment horizontal="right"/>
    </xf>
    <xf numFmtId="0" fontId="3" fillId="0" borderId="15" xfId="0" applyFont="1" applyFill="1" applyBorder="1" applyAlignment="1">
      <alignment horizontal="center"/>
    </xf>
    <xf numFmtId="0" fontId="4" fillId="0" borderId="69" xfId="0" applyFont="1" applyFill="1" applyBorder="1"/>
    <xf numFmtId="0" fontId="6" fillId="0" borderId="48" xfId="0" applyFont="1" applyFill="1" applyBorder="1"/>
    <xf numFmtId="0" fontId="0" fillId="0" borderId="70" xfId="0" applyFill="1" applyBorder="1"/>
    <xf numFmtId="1" fontId="3" fillId="0" borderId="15" xfId="0" applyNumberFormat="1" applyFont="1" applyFill="1" applyBorder="1"/>
    <xf numFmtId="0" fontId="6" fillId="0" borderId="0" xfId="0" applyFont="1" applyFill="1" applyAlignment="1">
      <alignment horizontal="left"/>
    </xf>
    <xf numFmtId="3" fontId="3" fillId="0" borderId="0" xfId="0" applyNumberFormat="1" applyFont="1" applyFill="1"/>
    <xf numFmtId="0" fontId="6" fillId="0" borderId="0" xfId="0" applyFont="1" applyFill="1" applyBorder="1" applyAlignment="1">
      <alignment horizontal="left"/>
    </xf>
    <xf numFmtId="4" fontId="3" fillId="0" borderId="0" xfId="0" applyNumberFormat="1" applyFont="1" applyFill="1"/>
    <xf numFmtId="4" fontId="3" fillId="0" borderId="0" xfId="8" applyNumberFormat="1" applyFont="1" applyFill="1"/>
    <xf numFmtId="44" fontId="0" fillId="0" borderId="0" xfId="0" applyNumberFormat="1" applyFill="1"/>
    <xf numFmtId="179" fontId="71" fillId="0" borderId="55" xfId="0" applyNumberFormat="1" applyFont="1" applyFill="1" applyBorder="1"/>
    <xf numFmtId="0" fontId="72" fillId="0" borderId="0" xfId="0" applyFont="1" applyFill="1"/>
    <xf numFmtId="0" fontId="73" fillId="0" borderId="0" xfId="0" applyFont="1" applyFill="1"/>
    <xf numFmtId="0" fontId="74" fillId="0" borderId="0" xfId="0" applyFont="1" applyFill="1"/>
    <xf numFmtId="0" fontId="6" fillId="0" borderId="55" xfId="0" applyFont="1" applyFill="1" applyBorder="1" applyAlignment="1">
      <alignment horizontal="left"/>
    </xf>
    <xf numFmtId="0" fontId="6" fillId="0" borderId="15" xfId="0" applyFont="1" applyFill="1" applyBorder="1" applyAlignment="1">
      <alignment horizontal="center"/>
    </xf>
    <xf numFmtId="0" fontId="9" fillId="0" borderId="48" xfId="0" applyFont="1" applyFill="1" applyBorder="1" applyAlignment="1">
      <alignment horizontal="left"/>
    </xf>
    <xf numFmtId="0" fontId="25" fillId="0" borderId="48" xfId="0" applyFont="1" applyFill="1" applyBorder="1"/>
    <xf numFmtId="0" fontId="10" fillId="0" borderId="48" xfId="0" applyFont="1" applyFill="1" applyBorder="1"/>
    <xf numFmtId="0" fontId="9" fillId="0" borderId="48" xfId="0" applyFont="1" applyFill="1" applyBorder="1"/>
    <xf numFmtId="169" fontId="3" fillId="0" borderId="0" xfId="8" applyNumberFormat="1" applyFill="1"/>
    <xf numFmtId="175" fontId="0" fillId="0" borderId="0" xfId="27" applyNumberFormat="1" applyFont="1" applyFill="1"/>
    <xf numFmtId="0" fontId="75" fillId="0" borderId="0" xfId="0" applyFont="1" applyFill="1"/>
    <xf numFmtId="10" fontId="0" fillId="0" borderId="0" xfId="0" applyNumberFormat="1" applyFill="1"/>
    <xf numFmtId="43" fontId="0" fillId="0" borderId="0" xfId="6" applyNumberFormat="1" applyFont="1" applyFill="1"/>
    <xf numFmtId="10" fontId="0" fillId="0" borderId="0" xfId="27" applyNumberFormat="1" applyFont="1" applyFill="1"/>
    <xf numFmtId="1" fontId="0" fillId="0" borderId="0" xfId="0" applyNumberFormat="1" applyFill="1"/>
    <xf numFmtId="0" fontId="0" fillId="0" borderId="0" xfId="0" applyFill="1" applyAlignment="1">
      <alignment horizontal="center" wrapText="1"/>
    </xf>
    <xf numFmtId="0" fontId="0" fillId="0" borderId="0" xfId="0" applyFill="1" applyAlignment="1">
      <alignment horizontal="center"/>
    </xf>
    <xf numFmtId="171" fontId="0" fillId="0" borderId="0" xfId="0" applyNumberFormat="1" applyFill="1" applyAlignment="1">
      <alignment horizontal="center"/>
    </xf>
    <xf numFmtId="1" fontId="0" fillId="0" borderId="0" xfId="0" applyNumberFormat="1" applyFill="1" applyAlignment="1">
      <alignment horizontal="center"/>
    </xf>
    <xf numFmtId="167" fontId="0" fillId="0" borderId="0" xfId="0" applyNumberFormat="1" applyFill="1"/>
    <xf numFmtId="10" fontId="4" fillId="0" borderId="0" xfId="0" applyNumberFormat="1" applyFont="1" applyFill="1"/>
    <xf numFmtId="10" fontId="5" fillId="0" borderId="0" xfId="0" applyNumberFormat="1" applyFont="1" applyFill="1"/>
    <xf numFmtId="167" fontId="5" fillId="0" borderId="0" xfId="0" applyNumberFormat="1" applyFont="1" applyFill="1"/>
    <xf numFmtId="1" fontId="0" fillId="0" borderId="0" xfId="6" applyNumberFormat="1" applyFont="1" applyFill="1"/>
    <xf numFmtId="1" fontId="3" fillId="0" borderId="0" xfId="0" applyNumberFormat="1" applyFont="1" applyFill="1"/>
    <xf numFmtId="10" fontId="3" fillId="0" borderId="0" xfId="0" applyNumberFormat="1" applyFont="1" applyFill="1"/>
    <xf numFmtId="167" fontId="3" fillId="0" borderId="0" xfId="0" applyNumberFormat="1" applyFont="1" applyFill="1"/>
    <xf numFmtId="22" fontId="0" fillId="0" borderId="0" xfId="0" applyNumberFormat="1" applyFill="1"/>
    <xf numFmtId="0" fontId="22" fillId="4" borderId="1" xfId="0" quotePrefix="1" applyFont="1" applyFill="1" applyBorder="1" applyAlignment="1" applyProtection="1">
      <alignment horizontal="left" vertical="center" wrapText="1"/>
      <protection hidden="1"/>
    </xf>
    <xf numFmtId="0" fontId="0" fillId="0" borderId="0" xfId="0" applyAlignment="1">
      <alignment wrapText="1"/>
    </xf>
    <xf numFmtId="0" fontId="6" fillId="0" borderId="49" xfId="0" applyFont="1" applyFill="1" applyBorder="1" applyAlignment="1">
      <alignment horizontal="left" wrapText="1"/>
    </xf>
    <xf numFmtId="0" fontId="8" fillId="0" borderId="28" xfId="0" applyFont="1" applyBorder="1" applyAlignment="1">
      <alignment wrapText="1"/>
    </xf>
    <xf numFmtId="0" fontId="8" fillId="0" borderId="37" xfId="0" applyFont="1" applyBorder="1" applyAlignment="1">
      <alignment wrapText="1"/>
    </xf>
    <xf numFmtId="0" fontId="11" fillId="4" borderId="17" xfId="0" applyFont="1" applyFill="1" applyBorder="1" applyAlignment="1">
      <alignment horizontal="center" vertical="center" wrapText="1"/>
    </xf>
    <xf numFmtId="0" fontId="11" fillId="4" borderId="23" xfId="0" applyFont="1" applyFill="1" applyBorder="1" applyAlignment="1">
      <alignment horizontal="center" vertical="center" wrapText="1"/>
    </xf>
    <xf numFmtId="0" fontId="11" fillId="4" borderId="18" xfId="0" applyFont="1" applyFill="1" applyBorder="1" applyAlignment="1">
      <alignment horizontal="center" vertical="center" wrapText="1"/>
    </xf>
    <xf numFmtId="0" fontId="11" fillId="4" borderId="16" xfId="0" applyFont="1" applyFill="1" applyBorder="1" applyAlignment="1">
      <alignment horizontal="center" vertical="center" wrapText="1"/>
    </xf>
    <xf numFmtId="0" fontId="39" fillId="4" borderId="1" xfId="0" applyFont="1" applyFill="1" applyBorder="1" applyAlignment="1">
      <alignment vertical="center"/>
    </xf>
    <xf numFmtId="0" fontId="22" fillId="0" borderId="1" xfId="0" applyFont="1" applyBorder="1" applyAlignment="1">
      <alignment wrapText="1"/>
    </xf>
    <xf numFmtId="0" fontId="22" fillId="4" borderId="1" xfId="0" applyFont="1" applyFill="1" applyBorder="1" applyAlignment="1" applyProtection="1">
      <alignment horizontal="left" vertical="center" wrapText="1"/>
      <protection hidden="1"/>
    </xf>
    <xf numFmtId="0" fontId="0" fillId="0" borderId="0" xfId="0" applyAlignment="1">
      <alignment horizontal="left" vertical="center" wrapText="1"/>
    </xf>
    <xf numFmtId="0" fontId="22" fillId="4" borderId="25" xfId="0" applyFont="1" applyFill="1" applyBorder="1" applyAlignment="1">
      <alignment horizontal="left" wrapText="1"/>
    </xf>
    <xf numFmtId="0" fontId="22" fillId="4" borderId="0" xfId="0" applyFont="1" applyFill="1" applyBorder="1" applyAlignment="1">
      <alignment horizontal="left" wrapText="1"/>
    </xf>
    <xf numFmtId="0" fontId="22" fillId="4" borderId="2" xfId="0" applyFont="1" applyFill="1" applyBorder="1" applyAlignment="1">
      <alignment horizontal="left" wrapText="1"/>
    </xf>
    <xf numFmtId="0" fontId="22" fillId="4" borderId="0" xfId="0" applyFont="1" applyFill="1" applyBorder="1" applyAlignment="1">
      <alignment wrapText="1"/>
    </xf>
    <xf numFmtId="0" fontId="3" fillId="4" borderId="0" xfId="0" applyFont="1" applyFill="1" applyBorder="1" applyAlignment="1">
      <alignment wrapText="1"/>
    </xf>
    <xf numFmtId="0" fontId="3" fillId="4" borderId="2" xfId="0" applyFont="1" applyFill="1" applyBorder="1" applyAlignment="1">
      <alignment wrapText="1"/>
    </xf>
    <xf numFmtId="0" fontId="3" fillId="0" borderId="0" xfId="0" applyFont="1" applyFill="1" applyAlignment="1" applyProtection="1">
      <alignment horizontal="center"/>
    </xf>
    <xf numFmtId="0" fontId="4" fillId="0" borderId="31" xfId="0" applyFont="1" applyBorder="1" applyAlignment="1">
      <alignment horizontal="center"/>
    </xf>
    <xf numFmtId="0" fontId="4" fillId="4" borderId="58" xfId="0" applyFont="1" applyFill="1" applyBorder="1" applyAlignment="1">
      <alignment horizontal="center"/>
    </xf>
    <xf numFmtId="0" fontId="4" fillId="4" borderId="61" xfId="0" applyFont="1" applyFill="1" applyBorder="1" applyAlignment="1">
      <alignment horizontal="center"/>
    </xf>
    <xf numFmtId="0" fontId="4" fillId="4" borderId="64" xfId="0" applyFont="1" applyFill="1" applyBorder="1" applyAlignment="1">
      <alignment horizontal="center"/>
    </xf>
    <xf numFmtId="0" fontId="4" fillId="4" borderId="59" xfId="0" applyFont="1" applyFill="1" applyBorder="1" applyAlignment="1">
      <alignment horizontal="center"/>
    </xf>
    <xf numFmtId="0" fontId="4" fillId="4" borderId="62" xfId="0" applyFont="1" applyFill="1" applyBorder="1" applyAlignment="1">
      <alignment horizontal="center"/>
    </xf>
    <xf numFmtId="0" fontId="4" fillId="4" borderId="65" xfId="0" applyFont="1" applyFill="1" applyBorder="1" applyAlignment="1">
      <alignment horizontal="center"/>
    </xf>
    <xf numFmtId="0" fontId="4" fillId="4" borderId="59" xfId="0" applyFont="1" applyFill="1" applyBorder="1" applyAlignment="1">
      <alignment horizontal="center" wrapText="1"/>
    </xf>
    <xf numFmtId="0" fontId="4" fillId="4" borderId="62" xfId="0" applyFont="1" applyFill="1" applyBorder="1" applyAlignment="1">
      <alignment horizontal="center" wrapText="1"/>
    </xf>
    <xf numFmtId="0" fontId="4" fillId="4" borderId="65" xfId="0" applyFont="1" applyFill="1" applyBorder="1" applyAlignment="1">
      <alignment horizontal="center" wrapText="1"/>
    </xf>
    <xf numFmtId="0" fontId="3" fillId="0" borderId="0" xfId="0" applyFont="1" applyFill="1" applyAlignment="1">
      <alignment horizontal="center"/>
    </xf>
    <xf numFmtId="0" fontId="4" fillId="0" borderId="67" xfId="0" applyFont="1" applyBorder="1" applyAlignment="1">
      <alignment horizontal="center"/>
    </xf>
    <xf numFmtId="0" fontId="3" fillId="0" borderId="0" xfId="0" applyFont="1" applyFill="1" applyAlignment="1" applyProtection="1">
      <alignment horizontal="center" vertical="center" wrapText="1"/>
    </xf>
    <xf numFmtId="0" fontId="4" fillId="4" borderId="60" xfId="0" applyFont="1" applyFill="1" applyBorder="1" applyAlignment="1">
      <alignment horizontal="center"/>
    </xf>
    <xf numFmtId="0" fontId="4" fillId="4" borderId="63" xfId="0" applyFont="1" applyFill="1" applyBorder="1" applyAlignment="1">
      <alignment horizontal="center"/>
    </xf>
    <xf numFmtId="0" fontId="4" fillId="4" borderId="66" xfId="0" applyFont="1" applyFill="1" applyBorder="1" applyAlignment="1">
      <alignment horizontal="center"/>
    </xf>
    <xf numFmtId="0" fontId="3" fillId="0" borderId="1" xfId="0" applyFont="1" applyFill="1" applyBorder="1" applyAlignment="1">
      <alignment horizontal="center"/>
    </xf>
    <xf numFmtId="0" fontId="0" fillId="0" borderId="1" xfId="0" applyFill="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5" fillId="0" borderId="8" xfId="0" applyFont="1" applyBorder="1" applyAlignment="1">
      <alignment wrapText="1"/>
    </xf>
    <xf numFmtId="0" fontId="5" fillId="0" borderId="7" xfId="0" applyFont="1" applyBorder="1" applyAlignment="1">
      <alignment wrapText="1"/>
    </xf>
    <xf numFmtId="0" fontId="5" fillId="0" borderId="9" xfId="0" applyFont="1" applyBorder="1"/>
    <xf numFmtId="0" fontId="5" fillId="0" borderId="0" xfId="0" applyFont="1" applyBorder="1"/>
    <xf numFmtId="3" fontId="3" fillId="0" borderId="0" xfId="24" applyNumberFormat="1" applyFont="1" applyFill="1" applyAlignment="1">
      <alignment horizontal="center"/>
    </xf>
    <xf numFmtId="0" fontId="4" fillId="0" borderId="0" xfId="0" applyFont="1" applyBorder="1" applyAlignment="1">
      <alignment horizontal="center" wrapText="1"/>
    </xf>
    <xf numFmtId="0" fontId="4" fillId="0" borderId="15" xfId="0" applyFont="1" applyBorder="1" applyAlignment="1">
      <alignment horizontal="center" wrapText="1"/>
    </xf>
    <xf numFmtId="0" fontId="4" fillId="0" borderId="0" xfId="0" applyFont="1" applyAlignment="1">
      <alignment horizontal="center"/>
    </xf>
    <xf numFmtId="0" fontId="3" fillId="0" borderId="0" xfId="0" applyFont="1" applyAlignment="1">
      <alignment horizontal="left" wrapText="1"/>
    </xf>
    <xf numFmtId="0" fontId="16" fillId="5" borderId="22" xfId="0" applyFont="1" applyFill="1" applyBorder="1" applyAlignment="1">
      <alignment horizontal="center"/>
    </xf>
    <xf numFmtId="0" fontId="16" fillId="5" borderId="23" xfId="0" applyFont="1" applyFill="1" applyBorder="1" applyAlignment="1">
      <alignment horizontal="center"/>
    </xf>
    <xf numFmtId="171" fontId="16" fillId="5" borderId="17" xfId="0" applyNumberFormat="1" applyFont="1" applyFill="1" applyBorder="1" applyAlignment="1">
      <alignment horizontal="center"/>
    </xf>
    <xf numFmtId="0" fontId="3" fillId="0" borderId="22" xfId="0" applyFont="1" applyBorder="1" applyAlignment="1">
      <alignment horizontal="center"/>
    </xf>
    <xf numFmtId="0" fontId="3" fillId="0" borderId="23" xfId="0" applyFont="1" applyBorder="1" applyAlignment="1">
      <alignment horizontal="center"/>
    </xf>
    <xf numFmtId="0" fontId="16" fillId="5" borderId="17" xfId="0" applyFont="1" applyFill="1" applyBorder="1" applyAlignment="1">
      <alignment horizontal="center"/>
    </xf>
  </cellXfs>
  <cellStyles count="33">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xfId="6" builtinId="3"/>
    <cellStyle name="Comma 2" xfId="7" xr:uid="{00000000-0005-0000-0000-000006000000}"/>
    <cellStyle name="Currency" xfId="8" builtinId="4"/>
    <cellStyle name="Currency 2" xfId="9" xr:uid="{00000000-0005-0000-0000-000008000000}"/>
    <cellStyle name="Hyperlink" xfId="10" builtinId="8"/>
    <cellStyle name="Hyperlink 2" xfId="31" xr:uid="{00000000-0005-0000-0000-00000A000000}"/>
    <cellStyle name="Input Design Information" xfId="11" xr:uid="{00000000-0005-0000-0000-00000B000000}"/>
    <cellStyle name="Input Design Information Units" xfId="12" xr:uid="{00000000-0005-0000-0000-00000C000000}"/>
    <cellStyle name="Input Guidance" xfId="13" xr:uid="{00000000-0005-0000-0000-00000D000000}"/>
    <cellStyle name="Input Guidance Hyperlink" xfId="14" xr:uid="{00000000-0005-0000-0000-00000E000000}"/>
    <cellStyle name="Input Guidance_CDA in progress" xfId="15" xr:uid="{00000000-0005-0000-0000-00000F000000}"/>
    <cellStyle name="Input Header" xfId="16" xr:uid="{00000000-0005-0000-0000-000010000000}"/>
    <cellStyle name="Input Instruction" xfId="17" xr:uid="{00000000-0005-0000-0000-000011000000}"/>
    <cellStyle name="Input Manual Name" xfId="18" xr:uid="{00000000-0005-0000-0000-000012000000}"/>
    <cellStyle name="Input Optional Entry" xfId="19" xr:uid="{00000000-0005-0000-0000-000013000000}"/>
    <cellStyle name="Input Required Entry" xfId="20" xr:uid="{00000000-0005-0000-0000-000014000000}"/>
    <cellStyle name="Input Units" xfId="21" xr:uid="{00000000-0005-0000-0000-000015000000}"/>
    <cellStyle name="Input Warning" xfId="22" xr:uid="{00000000-0005-0000-0000-000016000000}"/>
    <cellStyle name="Main CDA" xfId="23" xr:uid="{00000000-0005-0000-0000-000017000000}"/>
    <cellStyle name="Normal" xfId="0" builtinId="0"/>
    <cellStyle name="Normal 2" xfId="24" xr:uid="{00000000-0005-0000-0000-000019000000}"/>
    <cellStyle name="Normal 2 2" xfId="32" xr:uid="{00000000-0005-0000-0000-00001A000000}"/>
    <cellStyle name="Normal 3" xfId="29" xr:uid="{00000000-0005-0000-0000-00001B000000}"/>
    <cellStyle name="Normal 4" xfId="30" xr:uid="{00000000-0005-0000-0000-00001C000000}"/>
    <cellStyle name="Normal_henry" xfId="25" xr:uid="{00000000-0005-0000-0000-00001D000000}"/>
    <cellStyle name="Normal_Yard Piping" xfId="26" xr:uid="{00000000-0005-0000-0000-00001E000000}"/>
    <cellStyle name="Percent" xfId="27" builtinId="5"/>
    <cellStyle name="Range Name" xfId="28" xr:uid="{00000000-0005-0000-0000-000020000000}"/>
  </cellStyles>
  <dxfs count="12505">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val="0"/>
        <condense val="0"/>
        <extend val="0"/>
        <color indexed="17"/>
      </font>
    </dxf>
    <dxf>
      <font>
        <condense val="0"/>
        <extend val="0"/>
        <color indexed="17"/>
      </font>
    </dxf>
    <dxf>
      <font>
        <b/>
        <i/>
        <condense val="0"/>
        <extend val="0"/>
        <color indexed="23"/>
      </font>
    </dxf>
    <dxf>
      <font>
        <b/>
        <i/>
        <condense val="0"/>
        <extend val="0"/>
        <color indexed="55"/>
      </font>
      <fill>
        <patternFill>
          <bgColor indexed="22"/>
        </patternFill>
      </fill>
    </dxf>
    <dxf>
      <font>
        <b/>
        <i/>
        <condense val="0"/>
        <extend val="0"/>
        <color indexed="55"/>
      </font>
    </dxf>
    <dxf>
      <font>
        <condense val="0"/>
        <extend val="0"/>
        <color indexed="55"/>
      </font>
    </dxf>
    <dxf>
      <font>
        <condense val="0"/>
        <extend val="0"/>
        <color indexed="55"/>
      </font>
      <fill>
        <patternFill>
          <bgColor indexed="22"/>
        </patternFill>
      </fill>
    </dxf>
    <dxf>
      <font>
        <condense val="0"/>
        <extend val="0"/>
        <color indexed="55"/>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55"/>
      </font>
    </dxf>
    <dxf>
      <font>
        <b/>
        <i val="0"/>
        <condense val="0"/>
        <extend val="0"/>
        <color indexed="17"/>
      </font>
    </dxf>
    <dxf>
      <font>
        <b/>
        <i/>
        <condense val="0"/>
        <extend val="0"/>
        <color indexed="23"/>
      </font>
      <fill>
        <patternFill>
          <bgColor indexed="22"/>
        </patternFill>
      </fill>
    </dxf>
    <dxf>
      <font>
        <b/>
        <i/>
        <condense val="0"/>
        <extend val="0"/>
        <color indexed="23"/>
      </font>
      <fill>
        <patternFill patternType="none">
          <bgColor indexed="65"/>
        </patternFill>
      </fill>
    </dxf>
    <dxf>
      <font>
        <b/>
        <i/>
        <condense val="0"/>
        <extend val="0"/>
        <color indexed="23"/>
      </font>
      <fill>
        <patternFill>
          <bgColor indexed="22"/>
        </patternFill>
      </fill>
    </dxf>
    <dxf>
      <font>
        <b/>
        <i/>
        <condense val="0"/>
        <extend val="0"/>
        <color indexed="23"/>
      </font>
      <fill>
        <patternFill patternType="none">
          <bgColor indexed="65"/>
        </patternFill>
      </fill>
    </dxf>
    <dxf>
      <font>
        <condense val="0"/>
        <extend val="0"/>
        <color indexed="17"/>
      </font>
    </dxf>
    <dxf>
      <font>
        <b/>
        <i/>
        <condense val="0"/>
        <extend val="0"/>
        <color indexed="23"/>
      </font>
    </dxf>
    <dxf>
      <font>
        <b/>
        <i/>
        <condense val="0"/>
        <extend val="0"/>
        <color indexed="23"/>
      </font>
      <fill>
        <patternFill>
          <bgColor indexed="22"/>
        </patternFill>
      </fill>
    </dxf>
    <dxf>
      <font>
        <condense val="0"/>
        <extend val="0"/>
        <color indexed="17"/>
      </font>
    </dxf>
    <dxf>
      <font>
        <b/>
        <i/>
        <condense val="0"/>
        <extend val="0"/>
        <color indexed="23"/>
      </font>
      <fill>
        <patternFill>
          <bgColor indexed="22"/>
        </patternFill>
      </fill>
    </dxf>
    <dxf>
      <font>
        <b/>
        <i val="0"/>
        <condense val="0"/>
        <extend val="0"/>
        <color indexed="17"/>
      </font>
    </dxf>
    <dxf>
      <font>
        <b/>
        <i/>
        <condense val="0"/>
        <extend val="0"/>
        <color indexed="23"/>
      </font>
    </dxf>
    <dxf>
      <font>
        <b/>
        <i/>
        <color theme="0" tint="-0.34998626667073579"/>
        <name val="Cambria"/>
        <scheme val="none"/>
      </font>
      <fill>
        <patternFill>
          <bgColor theme="0" tint="-0.34998626667073579"/>
        </patternFill>
      </fill>
    </dxf>
    <dxf>
      <font>
        <b/>
        <i/>
        <condense val="0"/>
        <extend val="0"/>
        <color indexed="23"/>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b/>
        <i val="0"/>
        <condense val="0"/>
        <extend val="0"/>
        <color indexed="17"/>
      </font>
    </dxf>
    <dxf>
      <font>
        <condense val="0"/>
        <extend val="0"/>
        <color indexed="17"/>
      </font>
    </dxf>
    <dxf>
      <font>
        <b/>
        <i/>
        <condense val="0"/>
        <extend val="0"/>
        <color indexed="23"/>
      </font>
      <fill>
        <patternFill patternType="none">
          <bgColor indexed="65"/>
        </patternFill>
      </fill>
    </dxf>
    <dxf>
      <font>
        <condense val="0"/>
        <extend val="0"/>
        <color indexed="10"/>
      </font>
    </dxf>
  </dxfs>
  <tableStyles count="0" defaultTableStyle="TableStyleMedium9" defaultPivotStyle="PivotStyleLight16"/>
  <colors>
    <mruColors>
      <color rgb="FF008000"/>
      <color rgb="FF993366"/>
      <color rgb="FFC0C0C0"/>
      <color rgb="FFCC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2" dropStyle="combo" dx="16" fmlaLink="design_type" fmlaRange="'Lookup Tables'!$B$16:$B$17" noThreeD="1" sel="1" val="0"/>
</file>

<file path=xl/ctrlProps/ctrlProp2.xml><?xml version="1.0" encoding="utf-8"?>
<formControlPr xmlns="http://schemas.microsoft.com/office/spreadsheetml/2009/9/main" objectType="Drop" dropLines="18" dropStyle="combo" dx="16" fmlaLink="contam_type" fmlaRange="contam_list" noThreeD="1" sel="17"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6</xdr:row>
          <xdr:rowOff>12700</xdr:rowOff>
        </xdr:from>
        <xdr:to>
          <xdr:col>7</xdr:col>
          <xdr:colOff>0</xdr:colOff>
          <xdr:row>7</xdr:row>
          <xdr:rowOff>12700</xdr:rowOff>
        </xdr:to>
        <xdr:sp macro="" textlink="">
          <xdr:nvSpPr>
            <xdr:cNvPr id="7402" name="ddResinChoice" descr="Select Design Type" hidden="1">
              <a:extLst>
                <a:ext uri="{63B3BB69-23CF-44E3-9099-C40C66FF867C}">
                  <a14:compatExt spid="_x0000_s7402"/>
                </a:ext>
                <a:ext uri="{FF2B5EF4-FFF2-40B4-BE49-F238E27FC236}">
                  <a16:creationId xmlns:a16="http://schemas.microsoft.com/office/drawing/2014/main" id="{00000000-0008-0000-0200-0000E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38100</xdr:rowOff>
        </xdr:from>
        <xdr:to>
          <xdr:col>7</xdr:col>
          <xdr:colOff>0</xdr:colOff>
          <xdr:row>4</xdr:row>
          <xdr:rowOff>76200</xdr:rowOff>
        </xdr:to>
        <xdr:sp macro="" textlink="">
          <xdr:nvSpPr>
            <xdr:cNvPr id="7405" name="Drop Down 237" descr="Select Target Contaminant" hidden="1">
              <a:extLst>
                <a:ext uri="{63B3BB69-23CF-44E3-9099-C40C66FF867C}">
                  <a14:compatExt spid="_x0000_s7405"/>
                </a:ext>
                <a:ext uri="{FF2B5EF4-FFF2-40B4-BE49-F238E27FC236}">
                  <a16:creationId xmlns:a16="http://schemas.microsoft.com/office/drawing/2014/main" id="{00000000-0008-0000-0200-0000E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50800</xdr:colOff>
          <xdr:row>20</xdr:row>
          <xdr:rowOff>165100</xdr:rowOff>
        </xdr:from>
        <xdr:to>
          <xdr:col>8</xdr:col>
          <xdr:colOff>0</xdr:colOff>
          <xdr:row>25</xdr:row>
          <xdr:rowOff>12700</xdr:rowOff>
        </xdr:to>
        <xdr:sp macro="" textlink="">
          <xdr:nvSpPr>
            <xdr:cNvPr id="7450" name="cmdCompSelect" hidden="1">
              <a:extLst>
                <a:ext uri="{63B3BB69-23CF-44E3-9099-C40C66FF867C}">
                  <a14:compatExt spid="_x0000_s7450"/>
                </a:ext>
                <a:ext uri="{FF2B5EF4-FFF2-40B4-BE49-F238E27FC236}">
                  <a16:creationId xmlns:a16="http://schemas.microsoft.com/office/drawing/2014/main" id="{00000000-0008-0000-0200-00001A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50800</xdr:colOff>
          <xdr:row>56</xdr:row>
          <xdr:rowOff>38100</xdr:rowOff>
        </xdr:from>
        <xdr:to>
          <xdr:col>4</xdr:col>
          <xdr:colOff>1701800</xdr:colOff>
          <xdr:row>59</xdr:row>
          <xdr:rowOff>139700</xdr:rowOff>
        </xdr:to>
        <xdr:sp macro="" textlink="">
          <xdr:nvSpPr>
            <xdr:cNvPr id="7451" name="cmdAutosize" hidden="1">
              <a:extLst>
                <a:ext uri="{63B3BB69-23CF-44E3-9099-C40C66FF867C}">
                  <a14:compatExt spid="_x0000_s7451"/>
                </a:ext>
                <a:ext uri="{FF2B5EF4-FFF2-40B4-BE49-F238E27FC236}">
                  <a16:creationId xmlns:a16="http://schemas.microsoft.com/office/drawing/2014/main" id="{00000000-0008-0000-0200-00001B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12700</xdr:rowOff>
        </xdr:from>
        <xdr:to>
          <xdr:col>6</xdr:col>
          <xdr:colOff>2019300</xdr:colOff>
          <xdr:row>9</xdr:row>
          <xdr:rowOff>0</xdr:rowOff>
        </xdr:to>
        <xdr:sp macro="" textlink="">
          <xdr:nvSpPr>
            <xdr:cNvPr id="7452" name="CommandButton1" hidden="1">
              <a:extLst>
                <a:ext uri="{63B3BB69-23CF-44E3-9099-C40C66FF867C}">
                  <a14:compatExt spid="_x0000_s7452"/>
                </a:ext>
                <a:ext uri="{FF2B5EF4-FFF2-40B4-BE49-F238E27FC236}">
                  <a16:creationId xmlns:a16="http://schemas.microsoft.com/office/drawing/2014/main" id="{00000000-0008-0000-0200-00001C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0.030 mgd standard 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12700</xdr:rowOff>
        </xdr:from>
        <xdr:to>
          <xdr:col>6</xdr:col>
          <xdr:colOff>2019300</xdr:colOff>
          <xdr:row>10</xdr:row>
          <xdr:rowOff>0</xdr:rowOff>
        </xdr:to>
        <xdr:sp macro="" textlink="">
          <xdr:nvSpPr>
            <xdr:cNvPr id="7453" name="CommandButton2" hidden="1">
              <a:extLst>
                <a:ext uri="{63B3BB69-23CF-44E3-9099-C40C66FF867C}">
                  <a14:compatExt spid="_x0000_s7453"/>
                </a:ext>
                <a:ext uri="{FF2B5EF4-FFF2-40B4-BE49-F238E27FC236}">
                  <a16:creationId xmlns:a16="http://schemas.microsoft.com/office/drawing/2014/main" id="{00000000-0008-0000-0200-00001D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0.124 mgd standard 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10</xdr:row>
          <xdr:rowOff>12700</xdr:rowOff>
        </xdr:from>
        <xdr:to>
          <xdr:col>6</xdr:col>
          <xdr:colOff>2019300</xdr:colOff>
          <xdr:row>11</xdr:row>
          <xdr:rowOff>0</xdr:rowOff>
        </xdr:to>
        <xdr:sp macro="" textlink="">
          <xdr:nvSpPr>
            <xdr:cNvPr id="7454" name="CommandButton3" hidden="1">
              <a:extLst>
                <a:ext uri="{63B3BB69-23CF-44E3-9099-C40C66FF867C}">
                  <a14:compatExt spid="_x0000_s7454"/>
                </a:ext>
                <a:ext uri="{FF2B5EF4-FFF2-40B4-BE49-F238E27FC236}">
                  <a16:creationId xmlns:a16="http://schemas.microsoft.com/office/drawing/2014/main" id="{00000000-0008-0000-0200-00001E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0.305 mgd standard 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12700</xdr:rowOff>
        </xdr:from>
        <xdr:to>
          <xdr:col>6</xdr:col>
          <xdr:colOff>2019300</xdr:colOff>
          <xdr:row>12</xdr:row>
          <xdr:rowOff>0</xdr:rowOff>
        </xdr:to>
        <xdr:sp macro="" textlink="">
          <xdr:nvSpPr>
            <xdr:cNvPr id="7455" name="CommandButton4" hidden="1">
              <a:extLst>
                <a:ext uri="{63B3BB69-23CF-44E3-9099-C40C66FF867C}">
                  <a14:compatExt spid="_x0000_s7455"/>
                </a:ext>
                <a:ext uri="{FF2B5EF4-FFF2-40B4-BE49-F238E27FC236}">
                  <a16:creationId xmlns:a16="http://schemas.microsoft.com/office/drawing/2014/main" id="{00000000-0008-0000-0200-00001F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0.740 mgd standard 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12700</xdr:rowOff>
        </xdr:from>
        <xdr:to>
          <xdr:col>6</xdr:col>
          <xdr:colOff>2019300</xdr:colOff>
          <xdr:row>13</xdr:row>
          <xdr:rowOff>0</xdr:rowOff>
        </xdr:to>
        <xdr:sp macro="" textlink="">
          <xdr:nvSpPr>
            <xdr:cNvPr id="7456" name="CommandButton5" hidden="1">
              <a:extLst>
                <a:ext uri="{63B3BB69-23CF-44E3-9099-C40C66FF867C}">
                  <a14:compatExt spid="_x0000_s7456"/>
                </a:ext>
                <a:ext uri="{FF2B5EF4-FFF2-40B4-BE49-F238E27FC236}">
                  <a16:creationId xmlns:a16="http://schemas.microsoft.com/office/drawing/2014/main" id="{00000000-0008-0000-0200-000020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2.152 mgd standard 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12700</xdr:rowOff>
        </xdr:from>
        <xdr:to>
          <xdr:col>6</xdr:col>
          <xdr:colOff>2019300</xdr:colOff>
          <xdr:row>14</xdr:row>
          <xdr:rowOff>0</xdr:rowOff>
        </xdr:to>
        <xdr:sp macro="" textlink="">
          <xdr:nvSpPr>
            <xdr:cNvPr id="7457" name="CommandButton6" hidden="1">
              <a:extLst>
                <a:ext uri="{63B3BB69-23CF-44E3-9099-C40C66FF867C}">
                  <a14:compatExt spid="_x0000_s7457"/>
                </a:ext>
                <a:ext uri="{FF2B5EF4-FFF2-40B4-BE49-F238E27FC236}">
                  <a16:creationId xmlns:a16="http://schemas.microsoft.com/office/drawing/2014/main" id="{00000000-0008-0000-0200-000021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7.365 mgd standard 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12700</xdr:rowOff>
        </xdr:from>
        <xdr:to>
          <xdr:col>6</xdr:col>
          <xdr:colOff>2019300</xdr:colOff>
          <xdr:row>15</xdr:row>
          <xdr:rowOff>0</xdr:rowOff>
        </xdr:to>
        <xdr:sp macro="" textlink="">
          <xdr:nvSpPr>
            <xdr:cNvPr id="7458" name="CommandButton7" hidden="1">
              <a:extLst>
                <a:ext uri="{63B3BB69-23CF-44E3-9099-C40C66FF867C}">
                  <a14:compatExt spid="_x0000_s7458"/>
                </a:ext>
                <a:ext uri="{FF2B5EF4-FFF2-40B4-BE49-F238E27FC236}">
                  <a16:creationId xmlns:a16="http://schemas.microsoft.com/office/drawing/2014/main" id="{00000000-0008-0000-0200-000022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22.614 mgd standard 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12700</xdr:rowOff>
        </xdr:from>
        <xdr:to>
          <xdr:col>6</xdr:col>
          <xdr:colOff>2019300</xdr:colOff>
          <xdr:row>16</xdr:row>
          <xdr:rowOff>0</xdr:rowOff>
        </xdr:to>
        <xdr:sp macro="" textlink="">
          <xdr:nvSpPr>
            <xdr:cNvPr id="7459" name="CommandButton8" hidden="1">
              <a:extLst>
                <a:ext uri="{63B3BB69-23CF-44E3-9099-C40C66FF867C}">
                  <a14:compatExt spid="_x0000_s7459"/>
                </a:ext>
                <a:ext uri="{FF2B5EF4-FFF2-40B4-BE49-F238E27FC236}">
                  <a16:creationId xmlns:a16="http://schemas.microsoft.com/office/drawing/2014/main" id="{00000000-0008-0000-0200-000023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75.072 mgd standard design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38100</xdr:rowOff>
        </xdr:from>
        <xdr:to>
          <xdr:col>6</xdr:col>
          <xdr:colOff>2019300</xdr:colOff>
          <xdr:row>17</xdr:row>
          <xdr:rowOff>0</xdr:rowOff>
        </xdr:to>
        <xdr:sp macro="" textlink="">
          <xdr:nvSpPr>
            <xdr:cNvPr id="7460" name="cmdClearDesign" hidden="1">
              <a:extLst>
                <a:ext uri="{63B3BB69-23CF-44E3-9099-C40C66FF867C}">
                  <a14:compatExt spid="_x0000_s7460"/>
                </a:ext>
                <a:ext uri="{FF2B5EF4-FFF2-40B4-BE49-F238E27FC236}">
                  <a16:creationId xmlns:a16="http://schemas.microsoft.com/office/drawing/2014/main" id="{00000000-0008-0000-0200-000024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74</xdr:row>
          <xdr:rowOff>63500</xdr:rowOff>
        </xdr:from>
        <xdr:to>
          <xdr:col>4</xdr:col>
          <xdr:colOff>1727200</xdr:colOff>
          <xdr:row>77</xdr:row>
          <xdr:rowOff>165100</xdr:rowOff>
        </xdr:to>
        <xdr:sp macro="" textlink="">
          <xdr:nvSpPr>
            <xdr:cNvPr id="7461" name="cmdAutosizeA" hidden="1">
              <a:extLst>
                <a:ext uri="{63B3BB69-23CF-44E3-9099-C40C66FF867C}">
                  <a14:compatExt spid="_x0000_s7461"/>
                </a:ext>
                <a:ext uri="{FF2B5EF4-FFF2-40B4-BE49-F238E27FC236}">
                  <a16:creationId xmlns:a16="http://schemas.microsoft.com/office/drawing/2014/main" id="{00000000-0008-0000-0200-0000251D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Auto Size Gravity Contactors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0</xdr:row>
          <xdr:rowOff>139700</xdr:rowOff>
        </xdr:from>
        <xdr:to>
          <xdr:col>6</xdr:col>
          <xdr:colOff>1739900</xdr:colOff>
          <xdr:row>4</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5</xdr:row>
          <xdr:rowOff>101600</xdr:rowOff>
        </xdr:from>
        <xdr:to>
          <xdr:col>6</xdr:col>
          <xdr:colOff>1739900</xdr:colOff>
          <xdr:row>9</xdr:row>
          <xdr:rowOff>0</xdr:rowOff>
        </xdr:to>
        <xdr:sp macro="" textlink="">
          <xdr:nvSpPr>
            <xdr:cNvPr id="1426" name="cmdCompSelect" hidden="1">
              <a:extLst>
                <a:ext uri="{63B3BB69-23CF-44E3-9099-C40C66FF867C}">
                  <a14:compatExt spid="_x0000_s1426"/>
                </a:ext>
                <a:ext uri="{FF2B5EF4-FFF2-40B4-BE49-F238E27FC236}">
                  <a16:creationId xmlns:a16="http://schemas.microsoft.com/office/drawing/2014/main" id="{00000000-0008-0000-0300-000092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2</xdr:row>
          <xdr:rowOff>50800</xdr:rowOff>
        </xdr:from>
        <xdr:to>
          <xdr:col>1</xdr:col>
          <xdr:colOff>673100</xdr:colOff>
          <xdr:row>4</xdr:row>
          <xdr:rowOff>88900</xdr:rowOff>
        </xdr:to>
        <xdr:sp macro="" textlink="">
          <xdr:nvSpPr>
            <xdr:cNvPr id="94240" name="cmdFactoryDefaults" hidden="1">
              <a:extLst>
                <a:ext uri="{63B3BB69-23CF-44E3-9099-C40C66FF867C}">
                  <a14:compatExt spid="_x0000_s94240"/>
                </a:ext>
                <a:ext uri="{FF2B5EF4-FFF2-40B4-BE49-F238E27FC236}">
                  <a16:creationId xmlns:a16="http://schemas.microsoft.com/office/drawing/2014/main" id="{00000000-0008-0000-1100-0000207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A13"/>
  <sheetViews>
    <sheetView workbookViewId="0">
      <selection activeCell="A9" sqref="A9"/>
    </sheetView>
  </sheetViews>
  <sheetFormatPr baseColWidth="10" defaultColWidth="9.1640625" defaultRowHeight="13"/>
  <cols>
    <col min="1" max="1" width="114.6640625" style="1073" customWidth="1"/>
    <col min="2" max="16384" width="9.1640625" style="1073"/>
  </cols>
  <sheetData>
    <row r="1" spans="1:1" ht="16" customHeight="1">
      <c r="A1" s="1072" t="s">
        <v>4318</v>
      </c>
    </row>
    <row r="2" spans="1:1" ht="16" customHeight="1">
      <c r="A2" s="1072" t="s">
        <v>4303</v>
      </c>
    </row>
    <row r="3" spans="1:1" ht="16" customHeight="1">
      <c r="A3" s="1074" t="s">
        <v>4319</v>
      </c>
    </row>
    <row r="4" spans="1:1" ht="16" customHeight="1">
      <c r="A4" s="1075" t="s">
        <v>4304</v>
      </c>
    </row>
    <row r="5" spans="1:1" ht="16" customHeight="1">
      <c r="A5" s="1076" t="s">
        <v>4305</v>
      </c>
    </row>
    <row r="6" spans="1:1" ht="16" customHeight="1">
      <c r="A6" s="1076" t="s">
        <v>4306</v>
      </c>
    </row>
    <row r="7" spans="1:1" ht="16" customHeight="1">
      <c r="A7" s="1076" t="s">
        <v>4307</v>
      </c>
    </row>
    <row r="8" spans="1:1" ht="16" customHeight="1">
      <c r="A8" s="1076" t="s">
        <v>4308</v>
      </c>
    </row>
    <row r="9" spans="1:1" ht="16" customHeight="1">
      <c r="A9" s="1076" t="s">
        <v>4309</v>
      </c>
    </row>
    <row r="10" spans="1:1" ht="16" customHeight="1">
      <c r="A10" s="1076" t="s">
        <v>4310</v>
      </c>
    </row>
    <row r="11" spans="1:1" ht="16" customHeight="1">
      <c r="A11" s="1077" t="s">
        <v>4317</v>
      </c>
    </row>
    <row r="12" spans="1:1" ht="16" customHeight="1">
      <c r="A12" s="1078" t="s">
        <v>4311</v>
      </c>
    </row>
    <row r="13" spans="1:1" ht="16" customHeight="1">
      <c r="A13" s="1079"/>
    </row>
  </sheetData>
  <hyperlinks>
    <hyperlink ref="A12" location="INPUT!A1" display="· To begin using the model, go to the INPUT sheet." xr:uid="{00000000-0004-0000-0000-000000000000}"/>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B364"/>
  <sheetViews>
    <sheetView workbookViewId="0">
      <pane ySplit="4" topLeftCell="A5" activePane="bottomLeft" state="frozen"/>
      <selection pane="bottomLeft"/>
    </sheetView>
  </sheetViews>
  <sheetFormatPr baseColWidth="10" defaultColWidth="9.1640625" defaultRowHeight="13"/>
  <cols>
    <col min="1" max="1" width="80.6640625" style="1037" customWidth="1"/>
    <col min="2" max="2" width="23.6640625" style="1037" customWidth="1"/>
    <col min="3" max="16384" width="9.1640625" style="1037"/>
  </cols>
  <sheetData>
    <row r="1" spans="1:2">
      <c r="A1" s="1036" t="s">
        <v>3363</v>
      </c>
    </row>
    <row r="2" spans="1:2">
      <c r="A2" s="1038" t="s">
        <v>1346</v>
      </c>
    </row>
    <row r="4" spans="1:2">
      <c r="A4" s="1036" t="s">
        <v>3364</v>
      </c>
      <c r="B4" s="1036" t="s">
        <v>3365</v>
      </c>
    </row>
    <row r="5" spans="1:2">
      <c r="A5" s="1037" t="s">
        <v>3366</v>
      </c>
      <c r="B5" s="746" t="s">
        <v>335</v>
      </c>
    </row>
    <row r="6" spans="1:2">
      <c r="A6" s="1037" t="s">
        <v>968</v>
      </c>
      <c r="B6" s="746" t="s">
        <v>967</v>
      </c>
    </row>
    <row r="7" spans="1:2">
      <c r="A7" s="1037" t="s">
        <v>965</v>
      </c>
      <c r="B7" s="746" t="s">
        <v>964</v>
      </c>
    </row>
    <row r="8" spans="1:2">
      <c r="A8" s="1037" t="s">
        <v>3368</v>
      </c>
      <c r="B8" s="746" t="s">
        <v>2307</v>
      </c>
    </row>
    <row r="9" spans="1:2">
      <c r="A9" s="1037" t="s">
        <v>36</v>
      </c>
      <c r="B9" s="746" t="s">
        <v>37</v>
      </c>
    </row>
    <row r="10" spans="1:2">
      <c r="A10" s="1037" t="s">
        <v>758</v>
      </c>
      <c r="B10" s="746" t="s">
        <v>759</v>
      </c>
    </row>
    <row r="11" spans="1:2">
      <c r="A11" s="1037" t="s">
        <v>2667</v>
      </c>
      <c r="B11" s="746" t="s">
        <v>922</v>
      </c>
    </row>
    <row r="12" spans="1:2">
      <c r="A12" s="1037" t="s">
        <v>2539</v>
      </c>
      <c r="B12" s="746" t="s">
        <v>2540</v>
      </c>
    </row>
    <row r="13" spans="1:2">
      <c r="A13" s="1037" t="s">
        <v>3578</v>
      </c>
      <c r="B13" s="746" t="s">
        <v>2671</v>
      </c>
    </row>
    <row r="14" spans="1:2">
      <c r="A14" s="1037" t="s">
        <v>2531</v>
      </c>
      <c r="B14" s="746" t="s">
        <v>2532</v>
      </c>
    </row>
    <row r="15" spans="1:2">
      <c r="A15" s="1037" t="s">
        <v>496</v>
      </c>
      <c r="B15" s="746" t="s">
        <v>2670</v>
      </c>
    </row>
    <row r="16" spans="1:2">
      <c r="A16" s="1037" t="s">
        <v>3576</v>
      </c>
      <c r="B16" s="746" t="s">
        <v>984</v>
      </c>
    </row>
    <row r="17" spans="1:2">
      <c r="A17" s="1037" t="s">
        <v>3577</v>
      </c>
      <c r="B17" s="746" t="s">
        <v>988</v>
      </c>
    </row>
    <row r="18" spans="1:2">
      <c r="A18" s="1037" t="s">
        <v>2255</v>
      </c>
      <c r="B18" s="746" t="s">
        <v>2256</v>
      </c>
    </row>
    <row r="19" spans="1:2">
      <c r="A19" s="1037" t="s">
        <v>1902</v>
      </c>
      <c r="B19" s="746" t="s">
        <v>1903</v>
      </c>
    </row>
    <row r="20" spans="1:2">
      <c r="A20" s="1037" t="s">
        <v>2756</v>
      </c>
      <c r="B20" s="746" t="s">
        <v>2757</v>
      </c>
    </row>
    <row r="21" spans="1:2">
      <c r="A21" s="1037" t="s">
        <v>3269</v>
      </c>
      <c r="B21" s="746" t="s">
        <v>3268</v>
      </c>
    </row>
    <row r="22" spans="1:2">
      <c r="A22" s="1037" t="s">
        <v>2514</v>
      </c>
      <c r="B22" s="746" t="s">
        <v>2515</v>
      </c>
    </row>
    <row r="23" spans="1:2">
      <c r="A23" s="1037" t="s">
        <v>45</v>
      </c>
      <c r="B23" s="746" t="s">
        <v>46</v>
      </c>
    </row>
    <row r="24" spans="1:2">
      <c r="A24" s="1037" t="s">
        <v>939</v>
      </c>
      <c r="B24" s="746" t="s">
        <v>940</v>
      </c>
    </row>
    <row r="25" spans="1:2">
      <c r="A25" s="1037" t="s">
        <v>803</v>
      </c>
      <c r="B25" s="746" t="s">
        <v>804</v>
      </c>
    </row>
    <row r="26" spans="1:2">
      <c r="A26" s="1037" t="s">
        <v>942</v>
      </c>
      <c r="B26" s="746" t="s">
        <v>802</v>
      </c>
    </row>
    <row r="27" spans="1:2">
      <c r="A27" s="1037" t="s">
        <v>2450</v>
      </c>
      <c r="B27" s="746" t="s">
        <v>2451</v>
      </c>
    </row>
    <row r="28" spans="1:2">
      <c r="A28" s="1037" t="s">
        <v>2456</v>
      </c>
      <c r="B28" s="746" t="s">
        <v>2457</v>
      </c>
    </row>
    <row r="29" spans="1:2">
      <c r="A29" s="1037" t="s">
        <v>434</v>
      </c>
      <c r="B29" s="746" t="s">
        <v>231</v>
      </c>
    </row>
    <row r="30" spans="1:2">
      <c r="A30" s="1037" t="s">
        <v>1474</v>
      </c>
      <c r="B30" s="746" t="s">
        <v>1475</v>
      </c>
    </row>
    <row r="31" spans="1:2">
      <c r="A31" s="1037" t="s">
        <v>1476</v>
      </c>
      <c r="B31" s="746" t="s">
        <v>1477</v>
      </c>
    </row>
    <row r="32" spans="1:2">
      <c r="A32" s="1037" t="s">
        <v>2611</v>
      </c>
      <c r="B32" s="746" t="s">
        <v>2612</v>
      </c>
    </row>
    <row r="33" spans="1:2">
      <c r="A33" s="1037" t="s">
        <v>902</v>
      </c>
      <c r="B33" s="746" t="s">
        <v>2744</v>
      </c>
    </row>
    <row r="34" spans="1:2">
      <c r="A34" s="1037" t="s">
        <v>903</v>
      </c>
      <c r="B34" s="746" t="s">
        <v>904</v>
      </c>
    </row>
    <row r="35" spans="1:2">
      <c r="A35" s="1037" t="s">
        <v>1331</v>
      </c>
      <c r="B35" s="746" t="s">
        <v>1332</v>
      </c>
    </row>
    <row r="36" spans="1:2">
      <c r="A36" s="1037" t="s">
        <v>2544</v>
      </c>
      <c r="B36" s="746" t="s">
        <v>2546</v>
      </c>
    </row>
    <row r="37" spans="1:2">
      <c r="A37" s="1037" t="s">
        <v>506</v>
      </c>
      <c r="B37" s="746" t="s">
        <v>507</v>
      </c>
    </row>
    <row r="38" spans="1:2">
      <c r="A38" s="1037" t="s">
        <v>2171</v>
      </c>
      <c r="B38" s="746" t="s">
        <v>1942</v>
      </c>
    </row>
    <row r="39" spans="1:2">
      <c r="A39" s="1037" t="s">
        <v>148</v>
      </c>
      <c r="B39" s="746" t="s">
        <v>149</v>
      </c>
    </row>
    <row r="40" spans="1:2">
      <c r="A40" s="1037" t="s">
        <v>1402</v>
      </c>
      <c r="B40" s="746" t="s">
        <v>1403</v>
      </c>
    </row>
    <row r="41" spans="1:2">
      <c r="A41" s="1037" t="s">
        <v>2991</v>
      </c>
      <c r="B41" s="746" t="s">
        <v>2993</v>
      </c>
    </row>
    <row r="42" spans="1:2">
      <c r="A42" s="1037" t="s">
        <v>504</v>
      </c>
      <c r="B42" s="746" t="s">
        <v>505</v>
      </c>
    </row>
    <row r="43" spans="1:2">
      <c r="A43" s="1037" t="s">
        <v>502</v>
      </c>
      <c r="B43" s="746" t="s">
        <v>503</v>
      </c>
    </row>
    <row r="44" spans="1:2">
      <c r="A44" s="1037" t="s">
        <v>2955</v>
      </c>
      <c r="B44" s="746" t="s">
        <v>2956</v>
      </c>
    </row>
    <row r="45" spans="1:2">
      <c r="A45" s="1037" t="s">
        <v>2961</v>
      </c>
      <c r="B45" s="746" t="s">
        <v>2962</v>
      </c>
    </row>
    <row r="46" spans="1:2">
      <c r="A46" s="1037" t="s">
        <v>3274</v>
      </c>
      <c r="B46" s="746" t="s">
        <v>337</v>
      </c>
    </row>
    <row r="47" spans="1:2">
      <c r="A47" s="1037" t="s">
        <v>120</v>
      </c>
      <c r="B47" s="746" t="s">
        <v>121</v>
      </c>
    </row>
    <row r="48" spans="1:2">
      <c r="A48" s="1037" t="s">
        <v>2987</v>
      </c>
      <c r="B48" s="746" t="s">
        <v>2988</v>
      </c>
    </row>
    <row r="49" spans="1:2">
      <c r="A49" s="1037" t="s">
        <v>1683</v>
      </c>
      <c r="B49" s="746" t="s">
        <v>2308</v>
      </c>
    </row>
    <row r="50" spans="1:2">
      <c r="A50" s="1037" t="s">
        <v>3554</v>
      </c>
      <c r="B50" s="746" t="s">
        <v>334</v>
      </c>
    </row>
    <row r="51" spans="1:2">
      <c r="A51" s="1037" t="s">
        <v>3563</v>
      </c>
      <c r="B51" s="746" t="s">
        <v>1849</v>
      </c>
    </row>
    <row r="52" spans="1:2">
      <c r="A52" s="1037" t="s">
        <v>2556</v>
      </c>
      <c r="B52" s="746" t="s">
        <v>2557</v>
      </c>
    </row>
    <row r="53" spans="1:2">
      <c r="A53" s="1037" t="s">
        <v>2690</v>
      </c>
      <c r="B53" s="746" t="s">
        <v>2691</v>
      </c>
    </row>
    <row r="54" spans="1:2">
      <c r="A54" s="1037" t="s">
        <v>2057</v>
      </c>
      <c r="B54" s="746" t="s">
        <v>1621</v>
      </c>
    </row>
    <row r="55" spans="1:2">
      <c r="A55" s="1037" t="s">
        <v>786</v>
      </c>
      <c r="B55" s="746" t="s">
        <v>2933</v>
      </c>
    </row>
    <row r="56" spans="1:2">
      <c r="A56" s="1037" t="s">
        <v>3145</v>
      </c>
      <c r="B56" s="746" t="s">
        <v>3147</v>
      </c>
    </row>
    <row r="57" spans="1:2">
      <c r="A57" s="1037" t="s">
        <v>745</v>
      </c>
      <c r="B57" s="746" t="s">
        <v>2743</v>
      </c>
    </row>
    <row r="58" spans="1:2">
      <c r="A58" s="1037" t="s">
        <v>3369</v>
      </c>
      <c r="B58" s="746" t="s">
        <v>2124</v>
      </c>
    </row>
    <row r="59" spans="1:2">
      <c r="A59" s="1037" t="s">
        <v>1439</v>
      </c>
      <c r="B59" s="746" t="s">
        <v>1440</v>
      </c>
    </row>
    <row r="60" spans="1:2">
      <c r="A60" s="1037" t="s">
        <v>1129</v>
      </c>
      <c r="B60" s="746" t="s">
        <v>1130</v>
      </c>
    </row>
    <row r="61" spans="1:2">
      <c r="A61" s="1037" t="s">
        <v>3466</v>
      </c>
      <c r="B61" s="746" t="s">
        <v>468</v>
      </c>
    </row>
    <row r="62" spans="1:2">
      <c r="A62" s="1037" t="s">
        <v>2226</v>
      </c>
      <c r="B62" s="746" t="s">
        <v>2225</v>
      </c>
    </row>
    <row r="63" spans="1:2">
      <c r="A63" s="1037" t="s">
        <v>3378</v>
      </c>
      <c r="B63" s="746" t="s">
        <v>2885</v>
      </c>
    </row>
    <row r="64" spans="1:2">
      <c r="A64" s="1037" t="s">
        <v>3379</v>
      </c>
      <c r="B64" s="746" t="s">
        <v>2886</v>
      </c>
    </row>
    <row r="65" spans="1:2">
      <c r="A65" s="1037" t="s">
        <v>3035</v>
      </c>
      <c r="B65" s="746" t="s">
        <v>3037</v>
      </c>
    </row>
    <row r="66" spans="1:2">
      <c r="A66" s="1037" t="s">
        <v>1407</v>
      </c>
      <c r="B66" s="746" t="s">
        <v>2951</v>
      </c>
    </row>
    <row r="67" spans="1:2">
      <c r="A67" s="1037" t="s">
        <v>843</v>
      </c>
      <c r="B67" s="746" t="s">
        <v>1759</v>
      </c>
    </row>
    <row r="68" spans="1:2">
      <c r="A68" s="1037" t="s">
        <v>2799</v>
      </c>
      <c r="B68" s="746" t="s">
        <v>2800</v>
      </c>
    </row>
    <row r="69" spans="1:2">
      <c r="A69" s="1037" t="s">
        <v>2458</v>
      </c>
      <c r="B69" s="746" t="s">
        <v>2459</v>
      </c>
    </row>
    <row r="70" spans="1:2">
      <c r="A70" s="1037" t="s">
        <v>1472</v>
      </c>
      <c r="B70" s="746" t="s">
        <v>1473</v>
      </c>
    </row>
    <row r="71" spans="1:2">
      <c r="A71" s="1037" t="s">
        <v>2049</v>
      </c>
      <c r="B71" s="746" t="s">
        <v>2050</v>
      </c>
    </row>
    <row r="72" spans="1:2">
      <c r="A72" s="1037" t="s">
        <v>433</v>
      </c>
      <c r="B72" s="746" t="s">
        <v>227</v>
      </c>
    </row>
    <row r="73" spans="1:2">
      <c r="A73" s="1037" t="s">
        <v>2749</v>
      </c>
      <c r="B73" s="746" t="s">
        <v>2750</v>
      </c>
    </row>
    <row r="74" spans="1:2">
      <c r="A74" s="1037" t="s">
        <v>3367</v>
      </c>
      <c r="B74" s="746" t="s">
        <v>3063</v>
      </c>
    </row>
    <row r="75" spans="1:2">
      <c r="A75" s="1037" t="s">
        <v>2716</v>
      </c>
      <c r="B75" s="746" t="s">
        <v>1847</v>
      </c>
    </row>
    <row r="76" spans="1:2">
      <c r="A76" s="1037" t="s">
        <v>2865</v>
      </c>
      <c r="B76" s="746" t="s">
        <v>2866</v>
      </c>
    </row>
    <row r="77" spans="1:2">
      <c r="A77" s="1037" t="s">
        <v>840</v>
      </c>
      <c r="B77" s="746" t="s">
        <v>841</v>
      </c>
    </row>
    <row r="78" spans="1:2">
      <c r="A78" s="1037" t="s">
        <v>2607</v>
      </c>
      <c r="B78" s="746" t="s">
        <v>3338</v>
      </c>
    </row>
    <row r="79" spans="1:2">
      <c r="A79" s="1037" t="s">
        <v>2005</v>
      </c>
      <c r="B79" s="746" t="s">
        <v>2006</v>
      </c>
    </row>
    <row r="80" spans="1:2">
      <c r="A80" s="1037" t="s">
        <v>1147</v>
      </c>
      <c r="B80" s="746" t="s">
        <v>2954</v>
      </c>
    </row>
    <row r="81" spans="1:2">
      <c r="A81" s="1037" t="s">
        <v>1146</v>
      </c>
      <c r="B81" s="746" t="s">
        <v>2953</v>
      </c>
    </row>
    <row r="82" spans="1:2">
      <c r="A82" s="1037" t="s">
        <v>2634</v>
      </c>
      <c r="B82" s="746" t="s">
        <v>1287</v>
      </c>
    </row>
    <row r="83" spans="1:2">
      <c r="A83" s="1037" t="s">
        <v>2635</v>
      </c>
      <c r="B83" s="746" t="s">
        <v>1499</v>
      </c>
    </row>
    <row r="84" spans="1:2">
      <c r="A84" s="1037" t="s">
        <v>1148</v>
      </c>
      <c r="B84" s="746" t="s">
        <v>2336</v>
      </c>
    </row>
    <row r="85" spans="1:2">
      <c r="A85" s="1037" t="s">
        <v>2633</v>
      </c>
      <c r="B85" s="746" t="s">
        <v>1100</v>
      </c>
    </row>
    <row r="86" spans="1:2">
      <c r="A86" s="1037" t="s">
        <v>3133</v>
      </c>
      <c r="B86" s="746" t="s">
        <v>2337</v>
      </c>
    </row>
    <row r="87" spans="1:2">
      <c r="A87" s="1037" t="s">
        <v>1410</v>
      </c>
      <c r="B87" s="746" t="s">
        <v>1412</v>
      </c>
    </row>
    <row r="88" spans="1:2">
      <c r="A88" s="1037" t="s">
        <v>325</v>
      </c>
      <c r="B88" s="746" t="s">
        <v>326</v>
      </c>
    </row>
    <row r="89" spans="1:2">
      <c r="A89" s="1037" t="s">
        <v>3305</v>
      </c>
      <c r="B89" s="746" t="s">
        <v>3306</v>
      </c>
    </row>
    <row r="90" spans="1:2">
      <c r="A90" s="1037" t="s">
        <v>3303</v>
      </c>
      <c r="B90" s="746" t="s">
        <v>3304</v>
      </c>
    </row>
    <row r="91" spans="1:2">
      <c r="A91" s="1037" t="s">
        <v>330</v>
      </c>
      <c r="B91" s="746" t="s">
        <v>3302</v>
      </c>
    </row>
    <row r="92" spans="1:2">
      <c r="A92" s="1037" t="s">
        <v>975</v>
      </c>
      <c r="B92" s="746" t="s">
        <v>3122</v>
      </c>
    </row>
    <row r="93" spans="1:2">
      <c r="A93" s="1037" t="s">
        <v>3120</v>
      </c>
      <c r="B93" s="746" t="s">
        <v>3121</v>
      </c>
    </row>
    <row r="94" spans="1:2">
      <c r="A94" s="1037" t="s">
        <v>2479</v>
      </c>
      <c r="B94" s="746" t="s">
        <v>2480</v>
      </c>
    </row>
    <row r="95" spans="1:2">
      <c r="A95" s="1037" t="s">
        <v>2468</v>
      </c>
      <c r="B95" s="746" t="s">
        <v>2469</v>
      </c>
    </row>
    <row r="96" spans="1:2">
      <c r="A96" s="1037" t="s">
        <v>2461</v>
      </c>
      <c r="B96" s="746" t="s">
        <v>2462</v>
      </c>
    </row>
    <row r="97" spans="1:2">
      <c r="A97" s="1037" t="s">
        <v>2477</v>
      </c>
      <c r="B97" s="746" t="s">
        <v>2478</v>
      </c>
    </row>
    <row r="98" spans="1:2">
      <c r="A98" s="1037" t="s">
        <v>2474</v>
      </c>
      <c r="B98" s="746" t="s">
        <v>2475</v>
      </c>
    </row>
    <row r="99" spans="1:2">
      <c r="A99" s="1037" t="s">
        <v>2453</v>
      </c>
      <c r="B99" s="746" t="s">
        <v>2454</v>
      </c>
    </row>
    <row r="100" spans="1:2">
      <c r="A100" s="1037" t="s">
        <v>2081</v>
      </c>
      <c r="B100" s="746" t="s">
        <v>2616</v>
      </c>
    </row>
    <row r="101" spans="1:2">
      <c r="A101" s="1037" t="s">
        <v>2082</v>
      </c>
      <c r="B101" s="746" t="s">
        <v>2705</v>
      </c>
    </row>
    <row r="102" spans="1:2">
      <c r="A102" s="1037" t="s">
        <v>2870</v>
      </c>
      <c r="B102" s="746" t="s">
        <v>2618</v>
      </c>
    </row>
    <row r="103" spans="1:2">
      <c r="A103" s="1037" t="s">
        <v>2512</v>
      </c>
      <c r="B103" s="746" t="s">
        <v>2513</v>
      </c>
    </row>
    <row r="104" spans="1:2">
      <c r="A104" s="1037" t="s">
        <v>237</v>
      </c>
      <c r="B104" s="746" t="s">
        <v>239</v>
      </c>
    </row>
    <row r="105" spans="1:2">
      <c r="A105" s="1037" t="s">
        <v>909</v>
      </c>
      <c r="B105" s="746" t="s">
        <v>910</v>
      </c>
    </row>
    <row r="106" spans="1:2">
      <c r="A106" s="1037" t="s">
        <v>920</v>
      </c>
      <c r="B106" s="746" t="s">
        <v>2145</v>
      </c>
    </row>
    <row r="107" spans="1:2">
      <c r="A107" s="1037" t="s">
        <v>3460</v>
      </c>
      <c r="B107" s="746" t="s">
        <v>3113</v>
      </c>
    </row>
    <row r="108" spans="1:2">
      <c r="A108" s="1037" t="s">
        <v>3461</v>
      </c>
      <c r="B108" s="746" t="s">
        <v>3114</v>
      </c>
    </row>
    <row r="109" spans="1:2">
      <c r="A109" s="1037" t="s">
        <v>3105</v>
      </c>
      <c r="B109" s="746" t="s">
        <v>2109</v>
      </c>
    </row>
    <row r="110" spans="1:2">
      <c r="A110" s="1037" t="s">
        <v>1101</v>
      </c>
      <c r="B110" s="746" t="s">
        <v>1102</v>
      </c>
    </row>
    <row r="111" spans="1:2">
      <c r="A111" s="1037" t="s">
        <v>1068</v>
      </c>
      <c r="B111" s="746" t="s">
        <v>1069</v>
      </c>
    </row>
    <row r="112" spans="1:2">
      <c r="A112" s="1037" t="s">
        <v>2034</v>
      </c>
      <c r="B112" s="746" t="s">
        <v>2033</v>
      </c>
    </row>
    <row r="113" spans="1:2">
      <c r="A113" s="1037" t="s">
        <v>1416</v>
      </c>
      <c r="B113" s="746" t="s">
        <v>394</v>
      </c>
    </row>
    <row r="114" spans="1:2">
      <c r="A114" s="1037" t="s">
        <v>3561</v>
      </c>
      <c r="B114" s="746" t="s">
        <v>1935</v>
      </c>
    </row>
    <row r="115" spans="1:2">
      <c r="A115" s="1037" t="s">
        <v>3560</v>
      </c>
      <c r="B115" s="746" t="s">
        <v>997</v>
      </c>
    </row>
    <row r="116" spans="1:2">
      <c r="A116" s="1037" t="s">
        <v>3562</v>
      </c>
      <c r="B116" s="746" t="s">
        <v>1936</v>
      </c>
    </row>
    <row r="117" spans="1:2">
      <c r="A117" s="1037" t="s">
        <v>497</v>
      </c>
      <c r="B117" s="746" t="s">
        <v>2533</v>
      </c>
    </row>
    <row r="118" spans="1:2">
      <c r="A118" s="1037" t="s">
        <v>2932</v>
      </c>
      <c r="B118" s="746" t="s">
        <v>989</v>
      </c>
    </row>
    <row r="119" spans="1:2">
      <c r="A119" s="1037" t="s">
        <v>2828</v>
      </c>
      <c r="B119" s="746" t="s">
        <v>1594</v>
      </c>
    </row>
    <row r="120" spans="1:2">
      <c r="A120" s="1037" t="s">
        <v>1411</v>
      </c>
      <c r="B120" s="746" t="s">
        <v>1413</v>
      </c>
    </row>
    <row r="121" spans="1:2">
      <c r="A121" s="1037" t="s">
        <v>1360</v>
      </c>
      <c r="B121" s="746" t="s">
        <v>1022</v>
      </c>
    </row>
    <row r="122" spans="1:2">
      <c r="A122" s="1037" t="s">
        <v>3376</v>
      </c>
      <c r="B122" s="746" t="s">
        <v>2879</v>
      </c>
    </row>
    <row r="123" spans="1:2">
      <c r="A123" s="1037" t="s">
        <v>3377</v>
      </c>
      <c r="B123" s="746" t="s">
        <v>2883</v>
      </c>
    </row>
    <row r="124" spans="1:2">
      <c r="A124" s="1037" t="s">
        <v>3034</v>
      </c>
      <c r="B124" s="746" t="s">
        <v>3036</v>
      </c>
    </row>
    <row r="125" spans="1:2">
      <c r="A125" s="1037" t="s">
        <v>2522</v>
      </c>
      <c r="B125" s="746" t="s">
        <v>1908</v>
      </c>
    </row>
    <row r="126" spans="1:2">
      <c r="A126" s="1037" t="s">
        <v>1568</v>
      </c>
      <c r="B126" s="746" t="s">
        <v>1103</v>
      </c>
    </row>
    <row r="127" spans="1:2">
      <c r="A127" s="1037" t="s">
        <v>2051</v>
      </c>
      <c r="B127" s="746" t="s">
        <v>2052</v>
      </c>
    </row>
    <row r="128" spans="1:2">
      <c r="A128" s="1037" t="s">
        <v>2053</v>
      </c>
      <c r="B128" s="746" t="s">
        <v>2054</v>
      </c>
    </row>
    <row r="129" spans="1:2">
      <c r="A129" s="1037" t="s">
        <v>378</v>
      </c>
      <c r="B129" s="746" t="s">
        <v>1848</v>
      </c>
    </row>
    <row r="130" spans="1:2">
      <c r="A130" s="1037" t="s">
        <v>2058</v>
      </c>
      <c r="B130" s="746" t="s">
        <v>3331</v>
      </c>
    </row>
    <row r="131" spans="1:2">
      <c r="A131" s="1037" t="s">
        <v>1566</v>
      </c>
      <c r="B131" s="746" t="s">
        <v>2636</v>
      </c>
    </row>
    <row r="132" spans="1:2">
      <c r="A132" s="1037" t="s">
        <v>1571</v>
      </c>
      <c r="B132" s="746" t="s">
        <v>1618</v>
      </c>
    </row>
    <row r="133" spans="1:2">
      <c r="A133" s="1037" t="s">
        <v>1567</v>
      </c>
      <c r="B133" s="746" t="s">
        <v>727</v>
      </c>
    </row>
    <row r="134" spans="1:2">
      <c r="A134" s="1037" t="s">
        <v>2056</v>
      </c>
      <c r="B134" s="746" t="s">
        <v>1620</v>
      </c>
    </row>
    <row r="135" spans="1:2">
      <c r="A135" s="1037" t="s">
        <v>2055</v>
      </c>
      <c r="B135" s="746" t="s">
        <v>1619</v>
      </c>
    </row>
    <row r="136" spans="1:2">
      <c r="A136" s="1037" t="s">
        <v>3375</v>
      </c>
      <c r="B136" s="746" t="s">
        <v>3276</v>
      </c>
    </row>
    <row r="137" spans="1:2">
      <c r="A137" s="1037" t="s">
        <v>235</v>
      </c>
      <c r="B137" s="746" t="s">
        <v>236</v>
      </c>
    </row>
    <row r="138" spans="1:2">
      <c r="A138" s="1037" t="s">
        <v>116</v>
      </c>
      <c r="B138" s="746" t="s">
        <v>117</v>
      </c>
    </row>
    <row r="139" spans="1:2">
      <c r="A139" s="1037" t="s">
        <v>295</v>
      </c>
      <c r="B139" s="746" t="s">
        <v>296</v>
      </c>
    </row>
    <row r="140" spans="1:2">
      <c r="A140" s="1037" t="s">
        <v>274</v>
      </c>
      <c r="B140" s="746" t="s">
        <v>275</v>
      </c>
    </row>
    <row r="141" spans="1:2">
      <c r="A141" s="1037" t="s">
        <v>864</v>
      </c>
      <c r="B141" s="746" t="s">
        <v>865</v>
      </c>
    </row>
    <row r="142" spans="1:2">
      <c r="A142" s="1037" t="s">
        <v>529</v>
      </c>
      <c r="B142" s="746" t="s">
        <v>530</v>
      </c>
    </row>
    <row r="143" spans="1:2">
      <c r="A143" s="1037" t="s">
        <v>862</v>
      </c>
      <c r="B143" s="746" t="s">
        <v>863</v>
      </c>
    </row>
    <row r="144" spans="1:2">
      <c r="A144" s="1037" t="s">
        <v>972</v>
      </c>
      <c r="B144" s="746" t="s">
        <v>973</v>
      </c>
    </row>
    <row r="145" spans="1:2">
      <c r="A145" s="1037" t="s">
        <v>974</v>
      </c>
      <c r="B145" s="746" t="s">
        <v>861</v>
      </c>
    </row>
    <row r="146" spans="1:2">
      <c r="A146" s="1037" t="s">
        <v>2812</v>
      </c>
      <c r="B146" s="746" t="s">
        <v>343</v>
      </c>
    </row>
    <row r="147" spans="1:2">
      <c r="A147" s="1037" t="s">
        <v>933</v>
      </c>
      <c r="B147" s="746" t="s">
        <v>936</v>
      </c>
    </row>
    <row r="148" spans="1:2">
      <c r="A148" s="1037" t="s">
        <v>930</v>
      </c>
      <c r="B148" s="746" t="s">
        <v>322</v>
      </c>
    </row>
    <row r="149" spans="1:2">
      <c r="A149" s="1037" t="s">
        <v>931</v>
      </c>
      <c r="B149" s="746" t="s">
        <v>934</v>
      </c>
    </row>
    <row r="150" spans="1:2">
      <c r="A150" s="1037" t="s">
        <v>928</v>
      </c>
      <c r="B150" s="746" t="s">
        <v>319</v>
      </c>
    </row>
    <row r="151" spans="1:2">
      <c r="A151" s="1037" t="s">
        <v>932</v>
      </c>
      <c r="B151" s="746" t="s">
        <v>935</v>
      </c>
    </row>
    <row r="152" spans="1:2">
      <c r="A152" s="1037" t="s">
        <v>929</v>
      </c>
      <c r="B152" s="746" t="s">
        <v>321</v>
      </c>
    </row>
    <row r="153" spans="1:2">
      <c r="A153" s="1037" t="s">
        <v>2811</v>
      </c>
      <c r="B153" s="746" t="s">
        <v>2813</v>
      </c>
    </row>
    <row r="154" spans="1:2">
      <c r="A154" s="1037" t="s">
        <v>302</v>
      </c>
      <c r="B154" s="746" t="s">
        <v>303</v>
      </c>
    </row>
    <row r="155" spans="1:2">
      <c r="A155" s="1037" t="s">
        <v>123</v>
      </c>
      <c r="B155" s="746" t="s">
        <v>528</v>
      </c>
    </row>
    <row r="156" spans="1:2">
      <c r="A156" s="1037" t="s">
        <v>297</v>
      </c>
      <c r="B156" s="746" t="s">
        <v>298</v>
      </c>
    </row>
    <row r="157" spans="1:2">
      <c r="A157" s="1037" t="s">
        <v>3115</v>
      </c>
      <c r="B157" s="746" t="s">
        <v>3116</v>
      </c>
    </row>
    <row r="158" spans="1:2">
      <c r="A158" s="1037" t="s">
        <v>299</v>
      </c>
      <c r="B158" s="746" t="s">
        <v>300</v>
      </c>
    </row>
    <row r="159" spans="1:2">
      <c r="A159" s="1037" t="s">
        <v>315</v>
      </c>
      <c r="B159" s="746" t="s">
        <v>316</v>
      </c>
    </row>
    <row r="160" spans="1:2">
      <c r="A160" s="1037" t="s">
        <v>233</v>
      </c>
      <c r="B160" s="746" t="s">
        <v>234</v>
      </c>
    </row>
    <row r="161" spans="1:2">
      <c r="A161" s="1037" t="s">
        <v>323</v>
      </c>
      <c r="B161" s="746" t="s">
        <v>324</v>
      </c>
    </row>
    <row r="162" spans="1:2">
      <c r="A162" s="1037" t="s">
        <v>317</v>
      </c>
      <c r="B162" s="746" t="s">
        <v>318</v>
      </c>
    </row>
    <row r="163" spans="1:2">
      <c r="A163" s="1037" t="s">
        <v>3278</v>
      </c>
      <c r="B163" s="746" t="s">
        <v>336</v>
      </c>
    </row>
    <row r="164" spans="1:2">
      <c r="A164" s="1037" t="s">
        <v>311</v>
      </c>
      <c r="B164" s="746" t="s">
        <v>312</v>
      </c>
    </row>
    <row r="165" spans="1:2">
      <c r="A165" s="1037" t="s">
        <v>328</v>
      </c>
      <c r="B165" s="746" t="s">
        <v>329</v>
      </c>
    </row>
    <row r="166" spans="1:2">
      <c r="A166" s="1037" t="s">
        <v>1356</v>
      </c>
      <c r="B166" s="746" t="s">
        <v>1357</v>
      </c>
    </row>
    <row r="167" spans="1:2">
      <c r="A167" s="1037" t="s">
        <v>499</v>
      </c>
      <c r="B167" s="746" t="s">
        <v>500</v>
      </c>
    </row>
    <row r="168" spans="1:2">
      <c r="A168" s="1037" t="s">
        <v>2654</v>
      </c>
      <c r="B168" s="746" t="s">
        <v>2655</v>
      </c>
    </row>
    <row r="169" spans="1:2">
      <c r="A169" s="1037" t="s">
        <v>2663</v>
      </c>
      <c r="B169" s="746" t="s">
        <v>2665</v>
      </c>
    </row>
    <row r="170" spans="1:2">
      <c r="A170" s="1037" t="s">
        <v>3380</v>
      </c>
      <c r="B170" s="746" t="s">
        <v>2666</v>
      </c>
    </row>
    <row r="171" spans="1:2">
      <c r="A171" s="1037" t="s">
        <v>2662</v>
      </c>
      <c r="B171" s="746" t="s">
        <v>1345</v>
      </c>
    </row>
    <row r="172" spans="1:2">
      <c r="A172" s="1037" t="s">
        <v>3575</v>
      </c>
      <c r="B172" s="746" t="s">
        <v>983</v>
      </c>
    </row>
    <row r="173" spans="1:2">
      <c r="A173" s="1037" t="s">
        <v>1984</v>
      </c>
      <c r="B173" s="746" t="s">
        <v>1985</v>
      </c>
    </row>
    <row r="174" spans="1:2">
      <c r="A174" s="1037" t="s">
        <v>1979</v>
      </c>
      <c r="B174" s="746" t="s">
        <v>1980</v>
      </c>
    </row>
    <row r="175" spans="1:2">
      <c r="A175" s="1037" t="s">
        <v>1982</v>
      </c>
      <c r="B175" s="746" t="s">
        <v>1983</v>
      </c>
    </row>
    <row r="176" spans="1:2">
      <c r="A176" s="1037" t="s">
        <v>3154</v>
      </c>
      <c r="B176" s="746" t="s">
        <v>3151</v>
      </c>
    </row>
    <row r="177" spans="1:2">
      <c r="A177" s="1037" t="s">
        <v>284</v>
      </c>
      <c r="B177" s="746" t="s">
        <v>3237</v>
      </c>
    </row>
    <row r="178" spans="1:2">
      <c r="A178" s="1037" t="s">
        <v>283</v>
      </c>
      <c r="B178" s="746" t="s">
        <v>3236</v>
      </c>
    </row>
    <row r="179" spans="1:2">
      <c r="A179" s="1037" t="s">
        <v>3220</v>
      </c>
      <c r="B179" s="746" t="s">
        <v>3221</v>
      </c>
    </row>
    <row r="180" spans="1:2">
      <c r="A180" s="1037" t="s">
        <v>3584</v>
      </c>
      <c r="B180" s="746" t="s">
        <v>958</v>
      </c>
    </row>
    <row r="181" spans="1:2">
      <c r="A181" s="1037" t="s">
        <v>3585</v>
      </c>
      <c r="B181" s="746" t="s">
        <v>948</v>
      </c>
    </row>
    <row r="182" spans="1:2">
      <c r="A182" s="1037" t="s">
        <v>3586</v>
      </c>
      <c r="B182" s="746" t="s">
        <v>951</v>
      </c>
    </row>
    <row r="183" spans="1:2">
      <c r="A183" s="1037" t="s">
        <v>3587</v>
      </c>
      <c r="B183" s="746" t="s">
        <v>954</v>
      </c>
    </row>
    <row r="184" spans="1:2">
      <c r="A184" s="1037" t="s">
        <v>3183</v>
      </c>
      <c r="B184" s="746" t="s">
        <v>3184</v>
      </c>
    </row>
    <row r="185" spans="1:2">
      <c r="A185" s="1037" t="s">
        <v>2929</v>
      </c>
      <c r="B185" s="746" t="s">
        <v>2930</v>
      </c>
    </row>
    <row r="186" spans="1:2">
      <c r="A186" s="1037" t="s">
        <v>2542</v>
      </c>
      <c r="B186" s="746" t="s">
        <v>1288</v>
      </c>
    </row>
    <row r="187" spans="1:2">
      <c r="A187" s="1037" t="s">
        <v>781</v>
      </c>
      <c r="B187" s="746" t="s">
        <v>782</v>
      </c>
    </row>
    <row r="188" spans="1:2">
      <c r="A188" s="1037" t="s">
        <v>3549</v>
      </c>
      <c r="B188" s="746" t="s">
        <v>3550</v>
      </c>
    </row>
    <row r="189" spans="1:2">
      <c r="A189" s="1037" t="s">
        <v>3551</v>
      </c>
      <c r="B189" s="746" t="s">
        <v>3552</v>
      </c>
    </row>
    <row r="190" spans="1:2">
      <c r="A190" s="1037" t="s">
        <v>2159</v>
      </c>
      <c r="B190" s="746" t="s">
        <v>2157</v>
      </c>
    </row>
    <row r="191" spans="1:2">
      <c r="A191" s="1037" t="s">
        <v>2161</v>
      </c>
      <c r="B191" s="746" t="s">
        <v>1945</v>
      </c>
    </row>
    <row r="192" spans="1:2">
      <c r="A192" s="1037" t="s">
        <v>2154</v>
      </c>
      <c r="B192" s="746" t="s">
        <v>1943</v>
      </c>
    </row>
    <row r="193" spans="1:2">
      <c r="A193" s="1037" t="s">
        <v>2156</v>
      </c>
      <c r="B193" s="746" t="s">
        <v>3322</v>
      </c>
    </row>
    <row r="194" spans="1:2">
      <c r="A194" s="1037" t="s">
        <v>2017</v>
      </c>
      <c r="B194" s="746" t="s">
        <v>2018</v>
      </c>
    </row>
    <row r="195" spans="1:2">
      <c r="A195" s="1037" t="s">
        <v>2464</v>
      </c>
      <c r="B195" s="746" t="s">
        <v>2465</v>
      </c>
    </row>
    <row r="196" spans="1:2">
      <c r="A196" s="1037" t="s">
        <v>1496</v>
      </c>
      <c r="B196" s="746" t="s">
        <v>3613</v>
      </c>
    </row>
    <row r="197" spans="1:2">
      <c r="A197" s="1037" t="s">
        <v>838</v>
      </c>
      <c r="B197" s="746" t="s">
        <v>839</v>
      </c>
    </row>
    <row r="198" spans="1:2">
      <c r="A198" s="1037" t="s">
        <v>3032</v>
      </c>
      <c r="B198" s="746" t="s">
        <v>2647</v>
      </c>
    </row>
    <row r="199" spans="1:2">
      <c r="A199" s="1037" t="s">
        <v>2892</v>
      </c>
      <c r="B199" s="746" t="s">
        <v>1821</v>
      </c>
    </row>
    <row r="200" spans="1:2">
      <c r="A200" s="1037" t="s">
        <v>3230</v>
      </c>
      <c r="B200" s="746" t="s">
        <v>1890</v>
      </c>
    </row>
    <row r="201" spans="1:2">
      <c r="A201" s="1037" t="s">
        <v>1292</v>
      </c>
      <c r="B201" s="746" t="s">
        <v>1598</v>
      </c>
    </row>
    <row r="202" spans="1:2">
      <c r="A202" s="1037" t="s">
        <v>1497</v>
      </c>
      <c r="B202" s="746" t="s">
        <v>1498</v>
      </c>
    </row>
    <row r="203" spans="1:2">
      <c r="A203" s="1037" t="s">
        <v>2971</v>
      </c>
      <c r="B203" s="746" t="s">
        <v>2972</v>
      </c>
    </row>
    <row r="204" spans="1:2">
      <c r="A204" s="1037" t="s">
        <v>2506</v>
      </c>
      <c r="B204" s="746" t="s">
        <v>2507</v>
      </c>
    </row>
    <row r="205" spans="1:2">
      <c r="A205" s="1037" t="s">
        <v>2508</v>
      </c>
      <c r="B205" s="746" t="s">
        <v>2509</v>
      </c>
    </row>
    <row r="206" spans="1:2">
      <c r="A206" s="1037" t="s">
        <v>3103</v>
      </c>
      <c r="B206" s="746" t="s">
        <v>3104</v>
      </c>
    </row>
    <row r="207" spans="1:2">
      <c r="A207" s="1037" t="s">
        <v>2160</v>
      </c>
      <c r="B207" s="746" t="s">
        <v>2158</v>
      </c>
    </row>
    <row r="208" spans="1:2">
      <c r="A208" s="1037" t="s">
        <v>2162</v>
      </c>
      <c r="B208" s="746" t="s">
        <v>1946</v>
      </c>
    </row>
    <row r="209" spans="1:2">
      <c r="A209" s="1037" t="s">
        <v>2153</v>
      </c>
      <c r="B209" s="746" t="s">
        <v>1944</v>
      </c>
    </row>
    <row r="210" spans="1:2">
      <c r="A210" s="1037" t="s">
        <v>2155</v>
      </c>
      <c r="B210" s="746" t="s">
        <v>3321</v>
      </c>
    </row>
    <row r="211" spans="1:2">
      <c r="A211" s="1037" t="s">
        <v>2586</v>
      </c>
      <c r="B211" s="746" t="s">
        <v>2587</v>
      </c>
    </row>
    <row r="212" spans="1:2">
      <c r="A212" s="1037" t="s">
        <v>1295</v>
      </c>
      <c r="B212" s="746" t="s">
        <v>3320</v>
      </c>
    </row>
    <row r="213" spans="1:2">
      <c r="A213" s="1037" t="s">
        <v>2466</v>
      </c>
      <c r="B213" s="746" t="s">
        <v>2467</v>
      </c>
    </row>
    <row r="214" spans="1:2">
      <c r="A214" s="1037" t="s">
        <v>836</v>
      </c>
      <c r="B214" s="746" t="s">
        <v>837</v>
      </c>
    </row>
    <row r="215" spans="1:2">
      <c r="A215" s="1037" t="s">
        <v>2030</v>
      </c>
      <c r="B215" s="746" t="s">
        <v>2031</v>
      </c>
    </row>
    <row r="216" spans="1:2">
      <c r="A216" s="1037" t="s">
        <v>3208</v>
      </c>
      <c r="B216" s="746" t="s">
        <v>3209</v>
      </c>
    </row>
    <row r="217" spans="1:2">
      <c r="A217" s="1037" t="s">
        <v>3211</v>
      </c>
      <c r="B217" s="746" t="s">
        <v>3212</v>
      </c>
    </row>
    <row r="218" spans="1:2">
      <c r="A218" s="1037" t="s">
        <v>2423</v>
      </c>
      <c r="B218" s="746" t="s">
        <v>2424</v>
      </c>
    </row>
    <row r="219" spans="1:2">
      <c r="A219" s="1037" t="s">
        <v>272</v>
      </c>
      <c r="B219" s="746" t="s">
        <v>273</v>
      </c>
    </row>
    <row r="220" spans="1:2">
      <c r="A220" s="1037" t="s">
        <v>1070</v>
      </c>
      <c r="B220" s="746" t="s">
        <v>1690</v>
      </c>
    </row>
    <row r="221" spans="1:2">
      <c r="A221" s="1037" t="s">
        <v>3307</v>
      </c>
      <c r="B221" s="746" t="s">
        <v>3308</v>
      </c>
    </row>
    <row r="222" spans="1:2">
      <c r="A222" s="1037" t="s">
        <v>309</v>
      </c>
      <c r="B222" s="746" t="s">
        <v>310</v>
      </c>
    </row>
    <row r="223" spans="1:2">
      <c r="A223" s="1037" t="s">
        <v>307</v>
      </c>
      <c r="B223" s="746" t="s">
        <v>308</v>
      </c>
    </row>
    <row r="224" spans="1:2">
      <c r="A224" s="1037" t="s">
        <v>969</v>
      </c>
      <c r="B224" s="746" t="s">
        <v>970</v>
      </c>
    </row>
    <row r="225" spans="1:2">
      <c r="A225" s="1037" t="s">
        <v>304</v>
      </c>
      <c r="B225" s="746" t="s">
        <v>305</v>
      </c>
    </row>
    <row r="226" spans="1:2">
      <c r="A226" s="1037" t="s">
        <v>1593</v>
      </c>
      <c r="B226" s="746" t="s">
        <v>1596</v>
      </c>
    </row>
    <row r="227" spans="1:2">
      <c r="A227" s="1037" t="s">
        <v>1592</v>
      </c>
      <c r="B227" s="746" t="s">
        <v>1595</v>
      </c>
    </row>
    <row r="228" spans="1:2">
      <c r="A228" s="1037" t="s">
        <v>907</v>
      </c>
      <c r="B228" s="746" t="s">
        <v>908</v>
      </c>
    </row>
    <row r="229" spans="1:2">
      <c r="A229" s="1037" t="s">
        <v>1891</v>
      </c>
      <c r="B229" s="746" t="s">
        <v>441</v>
      </c>
    </row>
    <row r="230" spans="1:2">
      <c r="A230" s="1037" t="s">
        <v>6</v>
      </c>
      <c r="B230" s="746" t="s">
        <v>7</v>
      </c>
    </row>
    <row r="231" spans="1:2">
      <c r="A231" s="1037" t="s">
        <v>2731</v>
      </c>
      <c r="B231" s="746" t="s">
        <v>2732</v>
      </c>
    </row>
    <row r="232" spans="1:2">
      <c r="A232" s="1037" t="s">
        <v>1730</v>
      </c>
      <c r="B232" s="746" t="s">
        <v>796</v>
      </c>
    </row>
    <row r="233" spans="1:2">
      <c r="A233" s="1037" t="s">
        <v>1519</v>
      </c>
      <c r="B233" s="746" t="s">
        <v>3110</v>
      </c>
    </row>
    <row r="234" spans="1:2">
      <c r="A234" s="1037" t="s">
        <v>3109</v>
      </c>
      <c r="B234" s="746" t="s">
        <v>3111</v>
      </c>
    </row>
    <row r="235" spans="1:2">
      <c r="A235" s="1037" t="s">
        <v>1857</v>
      </c>
      <c r="B235" s="746" t="s">
        <v>1858</v>
      </c>
    </row>
    <row r="236" spans="1:2">
      <c r="A236" s="1037" t="s">
        <v>1098</v>
      </c>
      <c r="B236" s="746" t="s">
        <v>1099</v>
      </c>
    </row>
    <row r="237" spans="1:2">
      <c r="A237" s="1037" t="s">
        <v>1096</v>
      </c>
      <c r="B237" s="746" t="s">
        <v>1097</v>
      </c>
    </row>
    <row r="238" spans="1:2">
      <c r="A238" s="1037" t="s">
        <v>3011</v>
      </c>
      <c r="B238" s="746" t="s">
        <v>3117</v>
      </c>
    </row>
    <row r="239" spans="1:2">
      <c r="A239" s="1037" t="s">
        <v>3118</v>
      </c>
      <c r="B239" s="746" t="s">
        <v>3119</v>
      </c>
    </row>
    <row r="240" spans="1:2">
      <c r="A240" s="1037" t="s">
        <v>898</v>
      </c>
      <c r="B240" s="746" t="s">
        <v>899</v>
      </c>
    </row>
    <row r="241" spans="1:2">
      <c r="A241" s="1037" t="s">
        <v>3458</v>
      </c>
      <c r="B241" s="746" t="s">
        <v>166</v>
      </c>
    </row>
    <row r="242" spans="1:2">
      <c r="A242" s="1037" t="s">
        <v>3459</v>
      </c>
      <c r="B242" s="746" t="s">
        <v>167</v>
      </c>
    </row>
    <row r="243" spans="1:2">
      <c r="A243" s="1037" t="s">
        <v>3091</v>
      </c>
      <c r="B243" s="746" t="s">
        <v>2978</v>
      </c>
    </row>
    <row r="244" spans="1:2">
      <c r="A244" s="1037" t="s">
        <v>1587</v>
      </c>
      <c r="B244" s="746" t="s">
        <v>1588</v>
      </c>
    </row>
    <row r="245" spans="1:2">
      <c r="A245" s="1037" t="s">
        <v>1719</v>
      </c>
      <c r="B245" s="746" t="s">
        <v>1720</v>
      </c>
    </row>
    <row r="246" spans="1:2">
      <c r="A246" s="1037" t="s">
        <v>3047</v>
      </c>
      <c r="B246" s="746" t="s">
        <v>3048</v>
      </c>
    </row>
    <row r="247" spans="1:2">
      <c r="A247" s="1037" t="s">
        <v>1584</v>
      </c>
      <c r="B247" s="746" t="s">
        <v>1585</v>
      </c>
    </row>
    <row r="248" spans="1:2">
      <c r="A248" s="1037" t="s">
        <v>1716</v>
      </c>
      <c r="B248" s="746" t="s">
        <v>1717</v>
      </c>
    </row>
    <row r="249" spans="1:2">
      <c r="A249" s="1037" t="s">
        <v>1675</v>
      </c>
      <c r="B249" s="746" t="s">
        <v>1676</v>
      </c>
    </row>
    <row r="250" spans="1:2">
      <c r="A250" s="1037" t="s">
        <v>2693</v>
      </c>
      <c r="B250" s="746" t="s">
        <v>2694</v>
      </c>
    </row>
    <row r="251" spans="1:2">
      <c r="A251" s="1037" t="s">
        <v>1940</v>
      </c>
      <c r="B251" s="746" t="s">
        <v>1941</v>
      </c>
    </row>
    <row r="252" spans="1:2">
      <c r="A252" s="1037" t="s">
        <v>1938</v>
      </c>
      <c r="B252" s="746" t="s">
        <v>1939</v>
      </c>
    </row>
    <row r="253" spans="1:2">
      <c r="A253" s="1037" t="s">
        <v>2201</v>
      </c>
      <c r="B253" s="746" t="s">
        <v>2309</v>
      </c>
    </row>
    <row r="254" spans="1:2">
      <c r="A254" s="1037" t="s">
        <v>53</v>
      </c>
      <c r="B254" s="746" t="s">
        <v>54</v>
      </c>
    </row>
    <row r="255" spans="1:2">
      <c r="A255" s="1037" t="s">
        <v>2739</v>
      </c>
      <c r="B255" s="746" t="s">
        <v>2740</v>
      </c>
    </row>
    <row r="256" spans="1:2">
      <c r="A256" s="1037" t="s">
        <v>2736</v>
      </c>
      <c r="B256" s="746" t="s">
        <v>2737</v>
      </c>
    </row>
    <row r="257" spans="1:2">
      <c r="A257" s="1037" t="s">
        <v>630</v>
      </c>
      <c r="B257" s="746" t="s">
        <v>631</v>
      </c>
    </row>
    <row r="258" spans="1:2">
      <c r="A258" s="1037" t="s">
        <v>3464</v>
      </c>
      <c r="B258" s="746" t="s">
        <v>466</v>
      </c>
    </row>
    <row r="259" spans="1:2">
      <c r="A259" s="1037" t="s">
        <v>1898</v>
      </c>
      <c r="B259" s="746" t="s">
        <v>1796</v>
      </c>
    </row>
    <row r="260" spans="1:2">
      <c r="A260" s="1037" t="s">
        <v>1745</v>
      </c>
      <c r="B260" s="746" t="s">
        <v>1746</v>
      </c>
    </row>
    <row r="261" spans="1:2">
      <c r="A261" s="1037" t="s">
        <v>855</v>
      </c>
      <c r="B261" s="746" t="s">
        <v>991</v>
      </c>
    </row>
    <row r="262" spans="1:2">
      <c r="A262" s="1037" t="s">
        <v>3568</v>
      </c>
      <c r="B262" s="746" t="s">
        <v>2270</v>
      </c>
    </row>
    <row r="263" spans="1:2">
      <c r="A263" s="1037" t="s">
        <v>3574</v>
      </c>
      <c r="B263" s="746" t="s">
        <v>260</v>
      </c>
    </row>
    <row r="264" spans="1:2">
      <c r="A264" s="1037" t="s">
        <v>3572</v>
      </c>
      <c r="B264" s="746" t="s">
        <v>2280</v>
      </c>
    </row>
    <row r="265" spans="1:2">
      <c r="A265" s="1037" t="s">
        <v>3573</v>
      </c>
      <c r="B265" s="746" t="s">
        <v>1733</v>
      </c>
    </row>
    <row r="266" spans="1:2">
      <c r="A266" s="1037" t="s">
        <v>3570</v>
      </c>
      <c r="B266" s="746" t="s">
        <v>2274</v>
      </c>
    </row>
    <row r="267" spans="1:2">
      <c r="A267" s="1037" t="s">
        <v>3571</v>
      </c>
      <c r="B267" s="746" t="s">
        <v>2277</v>
      </c>
    </row>
    <row r="268" spans="1:2">
      <c r="A268" s="1037" t="s">
        <v>3569</v>
      </c>
      <c r="B268" s="746" t="s">
        <v>944</v>
      </c>
    </row>
    <row r="269" spans="1:2">
      <c r="A269" s="1037" t="s">
        <v>915</v>
      </c>
      <c r="B269" s="746" t="s">
        <v>3123</v>
      </c>
    </row>
    <row r="270" spans="1:2">
      <c r="A270" s="1037" t="s">
        <v>3579</v>
      </c>
      <c r="B270" s="746" t="s">
        <v>3124</v>
      </c>
    </row>
    <row r="271" spans="1:2">
      <c r="A271" s="1037" t="s">
        <v>3465</v>
      </c>
      <c r="B271" s="746" t="s">
        <v>467</v>
      </c>
    </row>
    <row r="272" spans="1:2">
      <c r="A272" s="1037" t="s">
        <v>2471</v>
      </c>
      <c r="B272" s="746" t="s">
        <v>2472</v>
      </c>
    </row>
    <row r="273" spans="1:2">
      <c r="A273" s="1037" t="s">
        <v>2292</v>
      </c>
      <c r="B273" s="746" t="s">
        <v>2293</v>
      </c>
    </row>
    <row r="274" spans="1:2">
      <c r="A274" s="1037" t="s">
        <v>3555</v>
      </c>
      <c r="B274" s="746" t="s">
        <v>3062</v>
      </c>
    </row>
    <row r="275" spans="1:2">
      <c r="A275" s="1037" t="s">
        <v>2668</v>
      </c>
      <c r="B275" s="746" t="s">
        <v>477</v>
      </c>
    </row>
    <row r="276" spans="1:2">
      <c r="A276" s="1037" t="s">
        <v>2931</v>
      </c>
      <c r="B276" s="746" t="s">
        <v>478</v>
      </c>
    </row>
    <row r="277" spans="1:2">
      <c r="A277" s="1037" t="s">
        <v>1392</v>
      </c>
      <c r="B277" s="746" t="s">
        <v>1393</v>
      </c>
    </row>
    <row r="278" spans="1:2">
      <c r="A278" s="1037" t="s">
        <v>2854</v>
      </c>
      <c r="B278" s="746" t="s">
        <v>1394</v>
      </c>
    </row>
    <row r="279" spans="1:2">
      <c r="A279" s="1037" t="s">
        <v>2083</v>
      </c>
      <c r="B279" s="746" t="s">
        <v>2085</v>
      </c>
    </row>
    <row r="280" spans="1:2">
      <c r="A280" s="1037" t="s">
        <v>2871</v>
      </c>
      <c r="B280" s="746" t="s">
        <v>2872</v>
      </c>
    </row>
    <row r="281" spans="1:2">
      <c r="A281" s="1037" t="s">
        <v>1855</v>
      </c>
      <c r="B281" s="746" t="s">
        <v>2086</v>
      </c>
    </row>
    <row r="282" spans="1:2">
      <c r="A282" s="1037" t="s">
        <v>1105</v>
      </c>
      <c r="B282" s="746" t="s">
        <v>1106</v>
      </c>
    </row>
    <row r="283" spans="1:2">
      <c r="A283" s="1037" t="s">
        <v>2969</v>
      </c>
      <c r="B283" s="746" t="s">
        <v>2970</v>
      </c>
    </row>
    <row r="284" spans="1:2">
      <c r="A284" s="1037" t="s">
        <v>1657</v>
      </c>
      <c r="B284" s="746" t="s">
        <v>1659</v>
      </c>
    </row>
    <row r="285" spans="1:2">
      <c r="A285" s="1037" t="s">
        <v>3556</v>
      </c>
      <c r="B285" s="746" t="s">
        <v>2306</v>
      </c>
    </row>
    <row r="286" spans="1:2">
      <c r="A286" s="1037" t="s">
        <v>3558</v>
      </c>
      <c r="B286" s="746" t="s">
        <v>3031</v>
      </c>
    </row>
    <row r="287" spans="1:2">
      <c r="A287" s="1037" t="s">
        <v>2165</v>
      </c>
      <c r="B287" s="746" t="s">
        <v>776</v>
      </c>
    </row>
    <row r="288" spans="1:2">
      <c r="A288" s="1037" t="s">
        <v>3557</v>
      </c>
      <c r="B288" s="746" t="s">
        <v>3285</v>
      </c>
    </row>
    <row r="289" spans="1:2">
      <c r="A289" s="1037" t="s">
        <v>3559</v>
      </c>
      <c r="B289" s="746" t="s">
        <v>3030</v>
      </c>
    </row>
    <row r="290" spans="1:2">
      <c r="A290" s="1037" t="s">
        <v>3370</v>
      </c>
      <c r="B290" s="746" t="s">
        <v>2125</v>
      </c>
    </row>
    <row r="291" spans="1:2">
      <c r="A291" s="1037" t="s">
        <v>2608</v>
      </c>
      <c r="B291" s="746" t="s">
        <v>52</v>
      </c>
    </row>
    <row r="292" spans="1:2">
      <c r="A292" s="1037" t="s">
        <v>2526</v>
      </c>
      <c r="B292" s="746" t="s">
        <v>51</v>
      </c>
    </row>
    <row r="293" spans="1:2">
      <c r="A293" s="1037" t="s">
        <v>2805</v>
      </c>
      <c r="B293" s="746" t="s">
        <v>555</v>
      </c>
    </row>
    <row r="294" spans="1:2">
      <c r="A294" s="1037" t="s">
        <v>3146</v>
      </c>
      <c r="B294" s="746" t="s">
        <v>3148</v>
      </c>
    </row>
    <row r="295" spans="1:2">
      <c r="A295" s="1037" t="s">
        <v>2720</v>
      </c>
      <c r="B295" s="746" t="s">
        <v>2721</v>
      </c>
    </row>
    <row r="296" spans="1:2">
      <c r="A296" s="1037" t="s">
        <v>2764</v>
      </c>
      <c r="B296" s="746" t="s">
        <v>2765</v>
      </c>
    </row>
    <row r="297" spans="1:2">
      <c r="A297" s="1037" t="s">
        <v>3335</v>
      </c>
      <c r="B297" s="746" t="s">
        <v>3336</v>
      </c>
    </row>
    <row r="298" spans="1:2">
      <c r="A298" s="1037" t="s">
        <v>49</v>
      </c>
      <c r="B298" s="746" t="s">
        <v>50</v>
      </c>
    </row>
    <row r="299" spans="1:2">
      <c r="A299" s="1037" t="s">
        <v>806</v>
      </c>
      <c r="B299" s="746" t="s">
        <v>807</v>
      </c>
    </row>
    <row r="300" spans="1:2">
      <c r="A300" s="1037" t="s">
        <v>2037</v>
      </c>
      <c r="B300" s="746" t="s">
        <v>2038</v>
      </c>
    </row>
    <row r="301" spans="1:2">
      <c r="A301" s="1037" t="s">
        <v>3057</v>
      </c>
      <c r="B301" s="746" t="s">
        <v>3058</v>
      </c>
    </row>
    <row r="302" spans="1:2">
      <c r="A302" s="1037" t="s">
        <v>2609</v>
      </c>
      <c r="B302" s="746" t="s">
        <v>2610</v>
      </c>
    </row>
    <row r="303" spans="1:2">
      <c r="A303" s="1037" t="s">
        <v>3565</v>
      </c>
      <c r="B303" s="746" t="s">
        <v>1088</v>
      </c>
    </row>
    <row r="304" spans="1:2">
      <c r="A304" s="1037" t="s">
        <v>3567</v>
      </c>
      <c r="B304" s="746" t="s">
        <v>1090</v>
      </c>
    </row>
    <row r="305" spans="1:2">
      <c r="A305" s="1037" t="s">
        <v>3564</v>
      </c>
      <c r="B305" s="746" t="s">
        <v>1087</v>
      </c>
    </row>
    <row r="306" spans="1:2">
      <c r="A306" s="1037" t="s">
        <v>3566</v>
      </c>
      <c r="B306" s="746" t="s">
        <v>1089</v>
      </c>
    </row>
    <row r="307" spans="1:2">
      <c r="A307" s="1037" t="s">
        <v>1083</v>
      </c>
      <c r="B307" s="746" t="s">
        <v>1080</v>
      </c>
    </row>
    <row r="308" spans="1:2">
      <c r="A308" s="1037" t="s">
        <v>1930</v>
      </c>
      <c r="B308" s="746" t="s">
        <v>1932</v>
      </c>
    </row>
    <row r="309" spans="1:2">
      <c r="A309" s="1037" t="s">
        <v>1929</v>
      </c>
      <c r="B309" s="746" t="s">
        <v>1931</v>
      </c>
    </row>
    <row r="310" spans="1:2">
      <c r="A310" s="1037" t="s">
        <v>1896</v>
      </c>
      <c r="B310" s="746" t="s">
        <v>1897</v>
      </c>
    </row>
    <row r="311" spans="1:2">
      <c r="A311" s="1037" t="s">
        <v>2510</v>
      </c>
      <c r="B311" s="746" t="s">
        <v>2511</v>
      </c>
    </row>
    <row r="312" spans="1:2">
      <c r="A312" s="1037" t="s">
        <v>3456</v>
      </c>
      <c r="B312" s="746" t="s">
        <v>246</v>
      </c>
    </row>
    <row r="313" spans="1:2">
      <c r="A313" s="1037" t="s">
        <v>498</v>
      </c>
      <c r="B313" s="746" t="s">
        <v>2538</v>
      </c>
    </row>
    <row r="314" spans="1:2">
      <c r="A314" s="1037" t="s">
        <v>3312</v>
      </c>
      <c r="B314" s="746" t="s">
        <v>3313</v>
      </c>
    </row>
    <row r="315" spans="1:2">
      <c r="A315" s="1037" t="s">
        <v>1093</v>
      </c>
      <c r="B315" s="746" t="s">
        <v>1086</v>
      </c>
    </row>
    <row r="316" spans="1:2">
      <c r="A316" s="1037" t="s">
        <v>2011</v>
      </c>
      <c r="B316" s="746" t="s">
        <v>2012</v>
      </c>
    </row>
    <row r="317" spans="1:2">
      <c r="A317" s="1037" t="s">
        <v>3019</v>
      </c>
      <c r="B317" s="746" t="s">
        <v>917</v>
      </c>
    </row>
    <row r="318" spans="1:2">
      <c r="A318" s="1037" t="s">
        <v>918</v>
      </c>
      <c r="B318" s="746" t="s">
        <v>919</v>
      </c>
    </row>
    <row r="319" spans="1:2">
      <c r="A319" s="1037" t="s">
        <v>1515</v>
      </c>
      <c r="B319" s="746" t="s">
        <v>1516</v>
      </c>
    </row>
    <row r="320" spans="1:2">
      <c r="A320" s="1037" t="s">
        <v>3224</v>
      </c>
      <c r="B320" s="746" t="s">
        <v>3225</v>
      </c>
    </row>
    <row r="321" spans="1:2">
      <c r="A321" s="1037" t="s">
        <v>2020</v>
      </c>
      <c r="B321" s="746" t="s">
        <v>2973</v>
      </c>
    </row>
    <row r="322" spans="1:2">
      <c r="A322" s="1037" t="s">
        <v>2014</v>
      </c>
      <c r="B322" s="746" t="s">
        <v>2015</v>
      </c>
    </row>
    <row r="323" spans="1:2">
      <c r="A323" s="1037" t="s">
        <v>3217</v>
      </c>
      <c r="B323" s="746" t="s">
        <v>3218</v>
      </c>
    </row>
    <row r="324" spans="1:2">
      <c r="A324" s="1037" t="s">
        <v>2656</v>
      </c>
      <c r="B324" s="746" t="s">
        <v>2657</v>
      </c>
    </row>
    <row r="325" spans="1:2">
      <c r="A325" s="1037" t="s">
        <v>47</v>
      </c>
      <c r="B325" s="746" t="s">
        <v>48</v>
      </c>
    </row>
    <row r="326" spans="1:2">
      <c r="A326" s="1037" t="s">
        <v>1291</v>
      </c>
      <c r="B326" s="746" t="s">
        <v>1597</v>
      </c>
    </row>
    <row r="327" spans="1:2">
      <c r="A327" s="1037" t="s">
        <v>3273</v>
      </c>
      <c r="B327" s="746" t="s">
        <v>3064</v>
      </c>
    </row>
    <row r="328" spans="1:2">
      <c r="A328" s="1037" t="s">
        <v>2549</v>
      </c>
      <c r="B328" s="746" t="s">
        <v>2551</v>
      </c>
    </row>
    <row r="329" spans="1:2">
      <c r="A329" s="1037" t="s">
        <v>2550</v>
      </c>
      <c r="B329" s="746" t="s">
        <v>2552</v>
      </c>
    </row>
    <row r="330" spans="1:2">
      <c r="A330" s="1037" t="s">
        <v>1406</v>
      </c>
      <c r="B330" s="746" t="s">
        <v>746</v>
      </c>
    </row>
    <row r="331" spans="1:2">
      <c r="A331" s="1037" t="s">
        <v>2164</v>
      </c>
      <c r="B331" s="746" t="s">
        <v>2169</v>
      </c>
    </row>
    <row r="332" spans="1:2">
      <c r="A332" s="1037" t="s">
        <v>207</v>
      </c>
      <c r="B332" s="746" t="s">
        <v>1877</v>
      </c>
    </row>
    <row r="333" spans="1:2">
      <c r="A333" s="1037" t="s">
        <v>2163</v>
      </c>
      <c r="B333" s="746" t="s">
        <v>2170</v>
      </c>
    </row>
    <row r="334" spans="1:2">
      <c r="A334" s="1037" t="s">
        <v>208</v>
      </c>
      <c r="B334" s="746" t="s">
        <v>1876</v>
      </c>
    </row>
    <row r="335" spans="1:2">
      <c r="A335" s="1037" t="s">
        <v>2166</v>
      </c>
      <c r="B335" s="746" t="s">
        <v>351</v>
      </c>
    </row>
    <row r="336" spans="1:2">
      <c r="A336" s="1037" t="s">
        <v>2168</v>
      </c>
      <c r="B336" s="746" t="s">
        <v>1553</v>
      </c>
    </row>
    <row r="337" spans="1:2">
      <c r="A337" s="1037" t="s">
        <v>2167</v>
      </c>
      <c r="B337" s="746" t="s">
        <v>1552</v>
      </c>
    </row>
    <row r="338" spans="1:2">
      <c r="A338" s="1037" t="s">
        <v>1824</v>
      </c>
      <c r="B338" s="746" t="s">
        <v>1825</v>
      </c>
    </row>
    <row r="339" spans="1:2">
      <c r="A339" s="1037" t="s">
        <v>3132</v>
      </c>
      <c r="B339" s="746" t="s">
        <v>3131</v>
      </c>
    </row>
    <row r="340" spans="1:2">
      <c r="A340" s="1037" t="s">
        <v>2527</v>
      </c>
      <c r="B340" s="746" t="s">
        <v>2528</v>
      </c>
    </row>
    <row r="341" spans="1:2">
      <c r="A341" s="1037" t="s">
        <v>3277</v>
      </c>
      <c r="B341" s="746" t="s">
        <v>985</v>
      </c>
    </row>
    <row r="342" spans="1:2">
      <c r="A342" s="1037" t="s">
        <v>1004</v>
      </c>
      <c r="B342" s="746" t="s">
        <v>3129</v>
      </c>
    </row>
    <row r="343" spans="1:2">
      <c r="A343" s="1037" t="s">
        <v>1002</v>
      </c>
      <c r="B343" s="746" t="s">
        <v>3127</v>
      </c>
    </row>
    <row r="344" spans="1:2">
      <c r="A344" s="1037" t="s">
        <v>1003</v>
      </c>
      <c r="B344" s="746" t="s">
        <v>3128</v>
      </c>
    </row>
    <row r="345" spans="1:2">
      <c r="A345" s="1037" t="s">
        <v>2114</v>
      </c>
      <c r="B345" s="746" t="s">
        <v>132</v>
      </c>
    </row>
    <row r="346" spans="1:2">
      <c r="A346" s="1037" t="s">
        <v>2035</v>
      </c>
      <c r="B346" s="746" t="s">
        <v>830</v>
      </c>
    </row>
    <row r="347" spans="1:2">
      <c r="A347" s="1037" t="s">
        <v>1569</v>
      </c>
      <c r="B347" s="746" t="s">
        <v>2869</v>
      </c>
    </row>
    <row r="348" spans="1:2">
      <c r="A348" s="1037" t="s">
        <v>777</v>
      </c>
      <c r="B348" s="746" t="s">
        <v>3487</v>
      </c>
    </row>
    <row r="349" spans="1:2">
      <c r="A349" s="1037" t="s">
        <v>150</v>
      </c>
      <c r="B349" s="746" t="s">
        <v>1797</v>
      </c>
    </row>
    <row r="350" spans="1:2">
      <c r="A350" s="1037" t="s">
        <v>1431</v>
      </c>
      <c r="B350" s="746" t="s">
        <v>1104</v>
      </c>
    </row>
    <row r="351" spans="1:2">
      <c r="A351" s="1037" t="s">
        <v>2717</v>
      </c>
      <c r="B351" s="746" t="s">
        <v>2718</v>
      </c>
    </row>
    <row r="352" spans="1:2">
      <c r="A352" s="1037" t="s">
        <v>2669</v>
      </c>
      <c r="B352" s="746" t="s">
        <v>867</v>
      </c>
    </row>
    <row r="353" spans="1:2">
      <c r="A353" s="1037" t="s">
        <v>866</v>
      </c>
      <c r="B353" s="746" t="s">
        <v>2530</v>
      </c>
    </row>
    <row r="354" spans="1:2">
      <c r="A354" s="1037" t="s">
        <v>2078</v>
      </c>
      <c r="B354" s="746" t="s">
        <v>2079</v>
      </c>
    </row>
    <row r="355" spans="1:2">
      <c r="A355" s="1037" t="s">
        <v>458</v>
      </c>
      <c r="B355" s="746" t="s">
        <v>459</v>
      </c>
    </row>
    <row r="356" spans="1:2">
      <c r="A356" s="1037" t="s">
        <v>916</v>
      </c>
      <c r="B356" s="746" t="s">
        <v>3125</v>
      </c>
    </row>
    <row r="357" spans="1:2">
      <c r="A357" s="1037" t="s">
        <v>1869</v>
      </c>
      <c r="B357" s="746" t="s">
        <v>3126</v>
      </c>
    </row>
    <row r="358" spans="1:2">
      <c r="A358" s="1037" t="s">
        <v>3374</v>
      </c>
      <c r="B358" s="746" t="s">
        <v>3275</v>
      </c>
    </row>
    <row r="359" spans="1:2">
      <c r="A359" s="1037" t="s">
        <v>2236</v>
      </c>
      <c r="B359" s="746" t="s">
        <v>1652</v>
      </c>
    </row>
    <row r="360" spans="1:2">
      <c r="A360" s="1037" t="s">
        <v>2312</v>
      </c>
      <c r="B360" s="746" t="s">
        <v>1650</v>
      </c>
    </row>
    <row r="361" spans="1:2">
      <c r="A361" s="1037" t="s">
        <v>2237</v>
      </c>
      <c r="B361" s="746" t="s">
        <v>1653</v>
      </c>
    </row>
    <row r="362" spans="1:2">
      <c r="A362" s="1037" t="s">
        <v>2331</v>
      </c>
      <c r="B362" s="746" t="s">
        <v>1651</v>
      </c>
    </row>
    <row r="363" spans="1:2">
      <c r="A363" s="1037" t="s">
        <v>2131</v>
      </c>
      <c r="B363" s="746" t="s">
        <v>2132</v>
      </c>
    </row>
    <row r="364" spans="1:2">
      <c r="A364" s="1037" t="s">
        <v>2543</v>
      </c>
      <c r="B364" s="746" t="s">
        <v>2545</v>
      </c>
    </row>
  </sheetData>
  <sortState xmlns:xlrd2="http://schemas.microsoft.com/office/spreadsheetml/2017/richdata2" ref="A5:B366">
    <sortCondition ref="A5:A366"/>
  </sortState>
  <hyperlinks>
    <hyperlink ref="B5" location="freund_2" display="freund_2" xr:uid="{00000000-0004-0000-0100-000000000000}"/>
    <hyperlink ref="B6" location="space_pumps_cust" display="space_pumps_cust" xr:uid="{00000000-0004-0000-0100-000001000000}"/>
    <hyperlink ref="B7" location="space_pumps_pre" display="space_pumps_pre" xr:uid="{00000000-0004-0000-0100-000002000000}"/>
    <hyperlink ref="B8" location="redund_freq" display="redund_freq" xr:uid="{00000000-0004-0000-0100-000003000000}"/>
    <hyperlink ref="B9" location="coag_res" display="coag_res" xr:uid="{00000000-0004-0000-0100-000004000000}"/>
    <hyperlink ref="B10" location="add_2nd_building" display="add_2nd_building" xr:uid="{00000000-0004-0000-0100-000005000000}"/>
    <hyperlink ref="B11" location="add_pH_controls" display="add_pH_controls" xr:uid="{00000000-0004-0000-0100-000006000000}"/>
    <hyperlink ref="B12" location="add_ports" display="add_ports" xr:uid="{00000000-0004-0000-0100-000007000000}"/>
    <hyperlink ref="B13" location="add_turb_small_p" display="add_turb_small_p" xr:uid="{00000000-0004-0000-0100-000008000000}"/>
    <hyperlink ref="B14" location="add_turb" display="add_turb" xr:uid="{00000000-0004-0000-0100-000009000000}"/>
    <hyperlink ref="B15" location="add_turb_p" display="add_turb_p" xr:uid="{00000000-0004-0000-0100-00000A000000}"/>
    <hyperlink ref="B16" location="add_pH_controls_small" display="add_pH_controls_small" xr:uid="{00000000-0004-0000-0100-00000B000000}"/>
    <hyperlink ref="B17" location="add_turb_small" display="add_turb_small" xr:uid="{00000000-0004-0000-0100-00000C000000}"/>
    <hyperlink ref="B18" location="addon_I" display="addon_I" xr:uid="{00000000-0004-0000-0100-00000D000000}"/>
    <hyperlink ref="B19" location="EER" display="EER" xr:uid="{00000000-0004-0000-0100-00000E000000}"/>
    <hyperlink ref="B20" location="include_NEPA" display="include_NEPA" xr:uid="{00000000-0004-0000-0100-00000F000000}"/>
    <hyperlink ref="B21" location="Materials_pct" display="Materials_pct" xr:uid="{00000000-0004-0000-0100-000010000000}"/>
    <hyperlink ref="B22" location="cool_DD" display="cool_DD" xr:uid="{00000000-0004-0000-0100-000011000000}"/>
    <hyperlink ref="B23" location="heat_DD" display="heat_DD" xr:uid="{00000000-0004-0000-0100-000012000000}"/>
    <hyperlink ref="B24" location="POTW_base_fee" display="POTW_base_fee" xr:uid="{00000000-0004-0000-0100-000013000000}"/>
    <hyperlink ref="B25" location="POTW_TSS_fee" display="POTW_TSS_fee" xr:uid="{00000000-0004-0000-0100-000014000000}"/>
    <hyperlink ref="B26" location="POTW_volume_fee" display="POTW_volume_fee" xr:uid="{00000000-0004-0000-0100-000015000000}"/>
    <hyperlink ref="B27" location="pan_evap" display="pan_evap" xr:uid="{00000000-0004-0000-0100-000016000000}"/>
    <hyperlink ref="B28" location="precip" display="precip" xr:uid="{00000000-0004-0000-0100-000017000000}"/>
    <hyperlink ref="B29" location="average_flow_I" display="average_flow_I" xr:uid="{00000000-0004-0000-0100-000018000000}"/>
    <hyperlink ref="B30" location="back_ratio" display="back_ratio" xr:uid="{00000000-0004-0000-0100-000019000000}"/>
    <hyperlink ref="B31" location="back_freeboard" display="back_freeboard" xr:uid="{00000000-0004-0000-0100-00001A000000}"/>
    <hyperlink ref="B32" location="back_pump_head" display="back_pump_head" xr:uid="{00000000-0004-0000-0100-00001B000000}"/>
    <hyperlink ref="B33" location="no_backwash_I" display="no_backwash_I" xr:uid="{00000000-0004-0000-0100-00001C000000}"/>
    <hyperlink ref="B34" location="no_back_tank_I" display="no_back_tank_I" xr:uid="{00000000-0004-0000-0100-00001D000000}"/>
    <hyperlink ref="B35" location="back_multiplier" display="back_multiplier" xr:uid="{00000000-0004-0000-0100-00001E000000}"/>
    <hyperlink ref="B36" location="backwash_time" display="backwash_time" xr:uid="{00000000-0004-0000-0100-00001F000000}"/>
    <hyperlink ref="B37" location="deep_bore_need" display="deep_bore_need" xr:uid="{00000000-0004-0000-0100-000020000000}"/>
    <hyperlink ref="B38" location="basin_freeboard" display="basin_freeboard" xr:uid="{00000000-0004-0000-0100-000021000000}"/>
    <hyperlink ref="B39" location="bedding_depth" display="bedding_depth" xr:uid="{00000000-0004-0000-0100-000022000000}"/>
    <hyperlink ref="B40" location="bedding_pct" display="bedding_pct" xr:uid="{00000000-0004-0000-0100-000023000000}"/>
    <hyperlink ref="B41" location="bore_depth_p" display="bore_depth_p" xr:uid="{00000000-0004-0000-0100-000024000000}"/>
    <hyperlink ref="B42" location="bore_depth_max" display="bore_depth_max" xr:uid="{00000000-0004-0000-0100-000025000000}"/>
    <hyperlink ref="B43" location="bore_depth_min" display="bore_depth_min" xr:uid="{00000000-0004-0000-0100-000026000000}"/>
    <hyperlink ref="B44" location="hole_per_sf" display="hole_per_sf" xr:uid="{00000000-0004-0000-0100-000027000000}"/>
    <hyperlink ref="B45" location="hole_per_job" display="hole_per_job" xr:uid="{00000000-0004-0000-0100-000028000000}"/>
    <hyperlink ref="B46" location="C_b" display="C_b" xr:uid="{00000000-0004-0000-0100-000029000000}"/>
    <hyperlink ref="B47" location="br_ins_pct" display="br_ins_pct" xr:uid="{00000000-0004-0000-0100-00002A000000}"/>
    <hyperlink ref="B48" location="Building_height_g" display="Building_height_g" xr:uid="{00000000-0004-0000-0100-00002B000000}"/>
    <hyperlink ref="B49" location="bed_expansion" display="bed_expansion" xr:uid="{00000000-0004-0000-0100-00002C000000}"/>
    <hyperlink ref="B50" location="freund_1" display="freund_1" xr:uid="{00000000-0004-0000-0100-00002D000000}"/>
    <hyperlink ref="B51" location="solids_haz_I" display="solids_haz_I" xr:uid="{00000000-0004-0000-0100-00002E000000}"/>
    <hyperlink ref="B52" location="storage_height" display="storage_height" xr:uid="{00000000-0004-0000-0100-00002F000000}"/>
    <hyperlink ref="B53" location="cmix_hp_per" display="cmix_hp_per" xr:uid="{00000000-0004-0000-0100-000030000000}"/>
    <hyperlink ref="B54" location="htank_clean_pct" display="htank_clean_pct" xr:uid="{00000000-0004-0000-0100-000031000000}"/>
    <hyperlink ref="B55" location="Clerical_percent" display="Clerical_percent" xr:uid="{00000000-0004-0000-0100-000032000000}"/>
    <hyperlink ref="B56" location="Coeff_Kp" display="Coeff_Kp" xr:uid="{00000000-0004-0000-0100-000033000000}"/>
    <hyperlink ref="B57" location="component_level_I" display="component_level_I" xr:uid="{00000000-0004-0000-0100-000034000000}"/>
    <hyperlink ref="B58" location="workstation_ratio" display="workstation_ratio" xr:uid="{00000000-0004-0000-0100-000035000000}"/>
    <hyperlink ref="B59" location="pad_thick" display="pad_thick" xr:uid="{00000000-0004-0000-0100-000036000000}"/>
    <hyperlink ref="B60" location="pad_thick_small" display="pad_thick_small" xr:uid="{00000000-0004-0000-0100-000037000000}"/>
    <hyperlink ref="B61" location="conc_thick" display="conc_thick" xr:uid="{00000000-0004-0000-0100-000038000000}"/>
    <hyperlink ref="B62" location="EBCT_type_I" display="EBCT_type_I" xr:uid="{00000000-0004-0000-0100-000039000000}"/>
    <hyperlink ref="B63" location="cooling_table" display="cooling_table" xr:uid="{00000000-0004-0000-0100-00003A000000}"/>
    <hyperlink ref="B64" location="cooling_table_shed" display="cooling_table_shed" xr:uid="{00000000-0004-0000-0100-00003B000000}"/>
    <hyperlink ref="B65" location="cool_viload" display="cool_viload" xr:uid="{00000000-0004-0000-0100-00003C000000}"/>
    <hyperlink ref="B66" location="curve" display="curve" xr:uid="{00000000-0004-0000-0100-00003D000000}"/>
    <hyperlink ref="B67" location="booster_pump_maintenance" display="booster_pump_maintenance" xr:uid="{00000000-0004-0000-0100-00003E000000}"/>
    <hyperlink ref="B68" location="cstore_days" display="cstore_days" xr:uid="{00000000-0004-0000-0100-00003F000000}"/>
    <hyperlink ref="B69" location="winter_days" display="winter_days" xr:uid="{00000000-0004-0000-0100-000040000000}"/>
    <hyperlink ref="B70" location="back_basins_default" display="back_basins_default" xr:uid="{00000000-0004-0000-0100-000041000000}"/>
    <hyperlink ref="B71" location="hbasins_default" display="hbasins_default" xr:uid="{00000000-0004-0000-0100-000042000000}"/>
    <hyperlink ref="B72" location="design_flow_I" display="design_flow_I" xr:uid="{00000000-0004-0000-0100-000043000000}"/>
    <hyperlink ref="B73" location="std_safety_factor" display="std_safety_factor" xr:uid="{00000000-0004-0000-0100-000044000000}"/>
    <hyperlink ref="B74" location="EBCT_O" display="EBCT_O" xr:uid="{00000000-0004-0000-0100-000045000000}"/>
    <hyperlink ref="B75" location="res_s2_opt_I" display="res_s2_opt_I" xr:uid="{00000000-0004-0000-0100-000046000000}"/>
    <hyperlink ref="B76" location="solids_method" display="solids_method" xr:uid="{00000000-0004-0000-0100-000047000000}"/>
    <hyperlink ref="B77" location="sept_trench_dist" display="sept_trench_dist" xr:uid="{00000000-0004-0000-0100-000048000000}"/>
    <hyperlink ref="B78" location="add_res_pipe_length" display="add_res_pipe_length" xr:uid="{00000000-0004-0000-0100-000049000000}"/>
    <hyperlink ref="B79" location="add_res_pipe_length_TCE" display="add_res_pipe_length_TCE" xr:uid="{00000000-0004-0000-0100-00004A000000}"/>
    <hyperlink ref="B80" location="S_back_pump" display="S_back_pump" xr:uid="{00000000-0004-0000-0100-00004B000000}"/>
    <hyperlink ref="B81" location="S_booster_pump" display="S_booster_pump" xr:uid="{00000000-0004-0000-0100-00004C000000}"/>
    <hyperlink ref="B82" location="S_feeder" display="S_feeder" xr:uid="{00000000-0004-0000-0100-00004D000000}"/>
    <hyperlink ref="B83" location="S_mixer" display="S_mixer" xr:uid="{00000000-0004-0000-0100-00004E000000}"/>
    <hyperlink ref="B84" location="S_eductor" display="S_eductor" xr:uid="{00000000-0004-0000-0100-00004F000000}"/>
    <hyperlink ref="B85" location="S_res_pump" display="S_res_pump" xr:uid="{00000000-0004-0000-0100-000050000000}"/>
    <hyperlink ref="B86" location="S_slurry" display="S_slurry" xr:uid="{00000000-0004-0000-0100-000051000000}"/>
    <hyperlink ref="B87" location="resist_eff" display="resist_eff" xr:uid="{00000000-0004-0000-0100-000052000000}"/>
    <hyperlink ref="B88" location="elect_pct" display="elect_pct" xr:uid="{00000000-0004-0000-0100-000053000000}"/>
    <hyperlink ref="B89" location="eng_pct_large" display="eng_pct_large" xr:uid="{00000000-0004-0000-0100-000054000000}"/>
    <hyperlink ref="B90" location="eng_pct_medium" display="eng_pct_medium" xr:uid="{00000000-0004-0000-0100-000055000000}"/>
    <hyperlink ref="B91" location="eng_pct_small" display="eng_pct_small" xr:uid="{00000000-0004-0000-0100-000056000000}"/>
    <hyperlink ref="B92" location="plc_ethernet_standalone" display="plc_ethernet_standalone" xr:uid="{00000000-0004-0000-0100-000057000000}"/>
    <hyperlink ref="B93" location="plc_ethernet_addon" display="plc_ethernet_addon" xr:uid="{00000000-0004-0000-0100-000058000000}"/>
    <hyperlink ref="B94" location="dike_xsection" display="dike_xsection" xr:uid="{00000000-0004-0000-0100-000059000000}"/>
    <hyperlink ref="B95" location="ep_freeboard" display="ep_freeboard" xr:uid="{00000000-0004-0000-0100-00005A000000}"/>
    <hyperlink ref="B96" location="ep_safety_factor" display="ep_safety_factor" xr:uid="{00000000-0004-0000-0100-00005B000000}"/>
    <hyperlink ref="B97" location="ep_solids_density" display="ep_solids_density" xr:uid="{00000000-0004-0000-0100-00005C000000}"/>
    <hyperlink ref="B98" location="dredging_freq" display="dredging_freq" xr:uid="{00000000-0004-0000-0100-00005D000000}"/>
    <hyperlink ref="B99" location="evap_ratio" display="evap_ratio" xr:uid="{00000000-0004-0000-0100-00005E000000}"/>
    <hyperlink ref="B100" location="coag_density" display="coag_density" xr:uid="{00000000-0004-0000-0100-00005F000000}"/>
    <hyperlink ref="B101" location="coag_dose" display="coag_dose" xr:uid="{00000000-0004-0000-0100-000060000000}"/>
    <hyperlink ref="B102" location="coag_spf" display="coag_spf" xr:uid="{00000000-0004-0000-0100-000061000000}"/>
    <hyperlink ref="B103" location="finance_pct" display="finance_pct" xr:uid="{00000000-0004-0000-0100-000062000000}"/>
    <hyperlink ref="B104" location="finance_pct_small" display="finance_pct_small" xr:uid="{00000000-0004-0000-0100-000063000000}"/>
    <hyperlink ref="B105" location="fire_buffer" display="fire_buffer" xr:uid="{00000000-0004-0000-0100-000064000000}"/>
    <hyperlink ref="B106" location="tot_fm_back" display="tot_fm_back" xr:uid="{00000000-0004-0000-0100-000065000000}"/>
    <hyperlink ref="B107" location="fm_in" display="fm_in" xr:uid="{00000000-0004-0000-0100-000066000000}"/>
    <hyperlink ref="B108" location="fm_in_addon" display="fm_in_addon" xr:uid="{00000000-0004-0000-0100-000067000000}"/>
    <hyperlink ref="B109" location="fm_proc" display="fm_proc" xr:uid="{00000000-0004-0000-0100-000068000000}"/>
    <hyperlink ref="B110" location="tot_fm_res" display="tot_fm_res" xr:uid="{00000000-0004-0000-0100-000069000000}"/>
    <hyperlink ref="B111" location="frost" display="frost" xr:uid="{00000000-0004-0000-0100-00006A000000}"/>
    <hyperlink ref="B112" location="GAC_density" display="GAC_density" xr:uid="{00000000-0004-0000-0100-00006B000000}"/>
    <hyperlink ref="B113" location="transfer_method_I" display="transfer_method_I" xr:uid="{00000000-0004-0000-0100-00006C000000}"/>
    <hyperlink ref="B114" location="basin_length" display="basin_length" xr:uid="{00000000-0004-0000-0100-00006D000000}"/>
    <hyperlink ref="B115" location="basin_width" display="basin_width" xr:uid="{00000000-0004-0000-0100-00006E000000}"/>
    <hyperlink ref="B116" location="basin_op_depth" display="basin_op_depth" xr:uid="{00000000-0004-0000-0100-00006F000000}"/>
    <hyperlink ref="B117" location="head_tank" display="head_tank" xr:uid="{00000000-0004-0000-0100-000070000000}"/>
    <hyperlink ref="B118" location="head_tank_small" display="head_tank_small" xr:uid="{00000000-0004-0000-0100-000071000000}"/>
    <hyperlink ref="B119" location="hp_EER" display="hp_EER" xr:uid="{00000000-0004-0000-0100-000072000000}"/>
    <hyperlink ref="B120" location="COP" display="COP" xr:uid="{00000000-0004-0000-0100-000073000000}"/>
    <hyperlink ref="B121" location="diesel_heat_content" display="diesel_heat_content" xr:uid="{00000000-0004-0000-0100-000074000000}"/>
    <hyperlink ref="B122" location="heating_table" display="heating_table" xr:uid="{00000000-0004-0000-0100-000075000000}"/>
    <hyperlink ref="B123" location="heating_table_shed" display="heating_table_shed" xr:uid="{00000000-0004-0000-0100-000076000000}"/>
    <hyperlink ref="B124" location="heat_viload" display="heat_viload" xr:uid="{00000000-0004-0000-0100-000077000000}"/>
    <hyperlink ref="B125" location="alarm_back" display="alarm_back" xr:uid="{00000000-0004-0000-0100-000078000000}"/>
    <hyperlink ref="B126" location="alarm_res" display="alarm_res" xr:uid="{00000000-0004-0000-0100-000079000000}"/>
    <hyperlink ref="B127" location="holding_ratio" display="holding_ratio" xr:uid="{00000000-0004-0000-0100-00007A000000}"/>
    <hyperlink ref="B128" location="holding_freeboard" display="holding_freeboard" xr:uid="{00000000-0004-0000-0100-00007B000000}"/>
    <hyperlink ref="B129" location="res_s1_opt_I" display="res_s1_opt_I" xr:uid="{00000000-0004-0000-0100-00007C000000}"/>
    <hyperlink ref="B130" location="res_cap_factor" display="res_cap_factor" xr:uid="{00000000-0004-0000-0100-00007D000000}"/>
    <hyperlink ref="B131" location="hmix_hp_per" display="hmix_hp_per" xr:uid="{00000000-0004-0000-0100-00007E000000}"/>
    <hyperlink ref="B132" location="ht_solids_density" display="ht_solids_density" xr:uid="{00000000-0004-0000-0100-00007F000000}"/>
    <hyperlink ref="B133" location="res_transfer_method" display="res_transfer_method" xr:uid="{00000000-0004-0000-0100-000080000000}"/>
    <hyperlink ref="B134" location="coag_TSSrem" display="coag_TSSrem" xr:uid="{00000000-0004-0000-0100-000081000000}"/>
    <hyperlink ref="B135" location="htank_TSSrem" display="htank_TSSrem" xr:uid="{00000000-0004-0000-0100-000082000000}"/>
    <hyperlink ref="B136" location="port_table" display="port_table" xr:uid="{00000000-0004-0000-0100-000083000000}"/>
    <hyperlink ref="B137" location="include_arch_small" display="include_arch_small" xr:uid="{00000000-0004-0000-0100-000084000000}"/>
    <hyperlink ref="B138" location="include_arch" display="include_arch" xr:uid="{00000000-0004-0000-0100-000085000000}"/>
    <hyperlink ref="B139" location="include_buildings" display="include_buildings" xr:uid="{00000000-0004-0000-0100-000086000000}"/>
    <hyperlink ref="B140" location="include_pad" display="include_pad" xr:uid="{00000000-0004-0000-0100-000087000000}"/>
    <hyperlink ref="B141" location="include_cm_pre" display="include_cm_pre" xr:uid="{00000000-0004-0000-0100-000088000000}"/>
    <hyperlink ref="B142" location="include_cm" display="include_cm" xr:uid="{00000000-0004-0000-0100-000089000000}"/>
    <hyperlink ref="B143" location="include_conting_high" display="include_conting_high" xr:uid="{00000000-0004-0000-0100-00008A000000}"/>
    <hyperlink ref="B144" location="include_conting_low" display="include_conting_low" xr:uid="{00000000-0004-0000-0100-00008B000000}"/>
    <hyperlink ref="B145" location="include_conting_medium" display="include_conting_medium" xr:uid="{00000000-0004-0000-0100-00008C000000}"/>
    <hyperlink ref="B146" location="need_cool" display="need_cool" xr:uid="{00000000-0004-0000-0100-00008D000000}"/>
    <hyperlink ref="B147" location="include_geo_high_g" display="include_geo_high_g" xr:uid="{00000000-0004-0000-0100-00008E000000}"/>
    <hyperlink ref="B148" location="include_geo_high" display="include_geo_high" xr:uid="{00000000-0004-0000-0100-00008F000000}"/>
    <hyperlink ref="B149" location="include_geo_low_g" display="include_geo_low_g" xr:uid="{00000000-0004-0000-0100-000090000000}"/>
    <hyperlink ref="B150" location="include_geo_low" display="include_geo_low" xr:uid="{00000000-0004-0000-0100-000091000000}"/>
    <hyperlink ref="B151" location="include_geo_medium_g" display="include_geo_medium_g" xr:uid="{00000000-0004-0000-0100-000092000000}"/>
    <hyperlink ref="B152" location="include_geo_medium" display="include_geo_medium" xr:uid="{00000000-0004-0000-0100-000093000000}"/>
    <hyperlink ref="B153" location="need_heat" display="need_heat" xr:uid="{00000000-0004-0000-0100-000094000000}"/>
    <hyperlink ref="B154" location="include_land" display="include_land" xr:uid="{00000000-0004-0000-0100-000095000000}"/>
    <hyperlink ref="B155" location="include_bond" display="include_bond" xr:uid="{00000000-0004-0000-0100-000096000000}"/>
    <hyperlink ref="B156" location="include_permits" display="include_permits" xr:uid="{00000000-0004-0000-0100-000097000000}"/>
    <hyperlink ref="B157" location="include_pilot_addon" display="include_pilot_addon" xr:uid="{00000000-0004-0000-0100-000098000000}"/>
    <hyperlink ref="B158" location="include_pilot" display="include_pilot" xr:uid="{00000000-0004-0000-0100-000099000000}"/>
    <hyperlink ref="B159" location="include_sitework" display="include_sitework" xr:uid="{00000000-0004-0000-0100-00009A000000}"/>
    <hyperlink ref="B160" location="include_standby_small" display="include_standby_small" xr:uid="{00000000-0004-0000-0100-00009B000000}"/>
    <hyperlink ref="B161" location="include_standby" display="include_standby" xr:uid="{00000000-0004-0000-0100-00009C000000}"/>
    <hyperlink ref="B162" location="include_yardpipe" display="include_yardpipe" xr:uid="{00000000-0004-0000-0100-00009D000000}"/>
    <hyperlink ref="B163" location="C_0" display="C_0" xr:uid="{00000000-0004-0000-0100-00009E000000}"/>
    <hyperlink ref="B164" location="inst_pct" display="inst_pct" xr:uid="{00000000-0004-0000-0100-00009F000000}"/>
    <hyperlink ref="B165" location="i_c_pct" display="i_c_pct" xr:uid="{00000000-0004-0000-0100-0000A0000000}"/>
    <hyperlink ref="B166" location="back_interval_I" display="back_interval_I" xr:uid="{00000000-0004-0000-0100-0000A1000000}"/>
    <hyperlink ref="B167" location="Weekly_labor" display="Weekly_labor" xr:uid="{00000000-0004-0000-0100-0000A2000000}"/>
    <hyperlink ref="B168" location="legal_pct" display="legal_pct" xr:uid="{00000000-0004-0000-0100-0000A3000000}"/>
    <hyperlink ref="B169" location="level_switch_g" display="level_switch_g" xr:uid="{00000000-0004-0000-0100-0000A4000000}"/>
    <hyperlink ref="B170" location="level_switch_small_g" display="level_switch_small_g" xr:uid="{00000000-0004-0000-0100-0000A5000000}"/>
    <hyperlink ref="B171" location="level_switch" display="level_switch" xr:uid="{00000000-0004-0000-0100-0000A6000000}"/>
    <hyperlink ref="B172" location="level_switch_small" display="level_switch_small" xr:uid="{00000000-0004-0000-0100-0000A7000000}"/>
    <hyperlink ref="B173" location="lighting_power_high" display="lighting_power_high" xr:uid="{00000000-0004-0000-0100-0000A8000000}"/>
    <hyperlink ref="B174" location="lighting_power_low" display="lighting_power_low" xr:uid="{00000000-0004-0000-0100-0000A9000000}"/>
    <hyperlink ref="B175" location="lighting_power_mid" display="lighting_power_mid" xr:uid="{00000000-0004-0000-0100-0000AA000000}"/>
    <hyperlink ref="B176" location="hole_per_day" display="hole_per_day" xr:uid="{00000000-0004-0000-0100-0000AB000000}"/>
    <hyperlink ref="B177" location="load_max" display="load_max" xr:uid="{00000000-0004-0000-0100-0000AC000000}"/>
    <hyperlink ref="B178" location="load_min" display="load_min" xr:uid="{00000000-0004-0000-0100-0000AD000000}"/>
    <hyperlink ref="B179" location="sept_LTAR" display="sept_LTAR" xr:uid="{00000000-0004-0000-0100-0000AE000000}"/>
    <hyperlink ref="B180" location="uloe_chem_maint" display="uloe_chem_maint" xr:uid="{00000000-0004-0000-0100-0000AF000000}"/>
    <hyperlink ref="B181" location="uloe_inst_maint" display="uloe_inst_maint" xr:uid="{00000000-0004-0000-0100-0000B0000000}"/>
    <hyperlink ref="B182" location="uloe_pump_maint" display="uloe_pump_maint" xr:uid="{00000000-0004-0000-0100-0000B1000000}"/>
    <hyperlink ref="B183" location="uloe_valve_maint" display="uloe_valve_maint" xr:uid="{00000000-0004-0000-0100-0000B2000000}"/>
    <hyperlink ref="B184" location="makeup_rate_off" display="makeup_rate_off" xr:uid="{00000000-0004-0000-0100-0000B3000000}"/>
    <hyperlink ref="B185" location="makeup_rate" display="makeup_rate" xr:uid="{00000000-0004-0000-0100-0000B4000000}"/>
    <hyperlink ref="B186" location="regen_type_I" display="regen_type_I" xr:uid="{00000000-0004-0000-0100-0000B5000000}"/>
    <hyperlink ref="B187" location="Manager_percent" display="Manager_percent" xr:uid="{00000000-0004-0000-0100-0000B6000000}"/>
    <hyperlink ref="B188" location="max_space_vessels_cust" display="max_space_vessels_cust" xr:uid="{00000000-0004-0000-0100-0000B7000000}"/>
    <hyperlink ref="B189" location="max_space_vessels_pre" display="max_space_vessels_pre" xr:uid="{00000000-0004-0000-0100-0000B8000000}"/>
    <hyperlink ref="B190" location="max_length_g" display="max_length_g" xr:uid="{00000000-0004-0000-0100-0000B9000000}"/>
    <hyperlink ref="B191" location="max_width" display="max_width" xr:uid="{00000000-0004-0000-0100-0000BA000000}"/>
    <hyperlink ref="B192" location="max_depth" display="max_depth" xr:uid="{00000000-0004-0000-0100-0000BB000000}"/>
    <hyperlink ref="B193" location="max_bed_depth" display="max_bed_depth" xr:uid="{00000000-0004-0000-0100-0000BC000000}"/>
    <hyperlink ref="B194" location="sept_dist_connections" display="sept_dist_connections" xr:uid="{00000000-0004-0000-0100-0000BD000000}"/>
    <hyperlink ref="B195" location="max_ep_cell_area" display="max_ep_cell_area" xr:uid="{00000000-0004-0000-0100-0000BE000000}"/>
    <hyperlink ref="B196" location="max_waste_ship" display="max_waste_ship" xr:uid="{00000000-0004-0000-0100-0000BF000000}"/>
    <hyperlink ref="B197" location="sept_max_trench_l" display="sept_max_trench_l" xr:uid="{00000000-0004-0000-0100-0000C0000000}"/>
    <hyperlink ref="B198" location="max_diam_override" display="max_diam_override" xr:uid="{00000000-0004-0000-0100-0000C1000000}"/>
    <hyperlink ref="B199" location="max_height" display="max_height" xr:uid="{00000000-0004-0000-0100-0000C2000000}"/>
    <hyperlink ref="B200" location="max_length" display="max_length" xr:uid="{00000000-0004-0000-0100-0000C3000000}"/>
    <hyperlink ref="B201" location="diesel_eff" display="diesel_eff" xr:uid="{00000000-0004-0000-0100-0000C4000000}"/>
    <hyperlink ref="B202" location="haz_miles" display="haz_miles" xr:uid="{00000000-0004-0000-0100-0000C5000000}"/>
    <hyperlink ref="B203" location="non_haz_miles" display="non_haz_miles" xr:uid="{00000000-0004-0000-0100-0000C6000000}"/>
    <hyperlink ref="B204" location="rad_miles" display="rad_miles" xr:uid="{00000000-0004-0000-0100-0000C7000000}"/>
    <hyperlink ref="B205" location="hazrad_miles" display="hazrad_miles" xr:uid="{00000000-0004-0000-0100-0000C8000000}"/>
    <hyperlink ref="B206" location="min_avg_flow" display="min_avg_flow" xr:uid="{00000000-0004-0000-0100-0000C9000000}"/>
    <hyperlink ref="B207" location="min_length_g" display="min_length_g" xr:uid="{00000000-0004-0000-0100-0000CA000000}"/>
    <hyperlink ref="B208" location="min_width" display="min_width" xr:uid="{00000000-0004-0000-0100-0000CB000000}"/>
    <hyperlink ref="B209" location="min_depth" display="min_depth" xr:uid="{00000000-0004-0000-0100-0000CC000000}"/>
    <hyperlink ref="B210" location="min_bed_depth" display="min_bed_depth" xr:uid="{00000000-0004-0000-0100-0000CD000000}"/>
    <hyperlink ref="B211" location="min_holes" display="min_holes" xr:uid="{00000000-0004-0000-0100-0000CE000000}"/>
    <hyperlink ref="B212" location="Num_tanks_I" display="Num_tanks_I" xr:uid="{00000000-0004-0000-0100-0000CF000000}"/>
    <hyperlink ref="B213" location="min_ep_cells" display="min_ep_cells" xr:uid="{00000000-0004-0000-0100-0000D0000000}"/>
    <hyperlink ref="B214" location="sept_min_trenches" display="sept_min_trenches" xr:uid="{00000000-0004-0000-0100-0000D1000000}"/>
    <hyperlink ref="B215" location="min_res_pipe_size" display="min_res_pipe_size" xr:uid="{00000000-0004-0000-0100-0000D2000000}"/>
    <hyperlink ref="B216" location="min_sept_disch_time" display="min_sept_disch_time" xr:uid="{00000000-0004-0000-0100-0000D3000000}"/>
    <hyperlink ref="B217" location="min_sept_tank_vol" display="min_sept_tank_vol" xr:uid="{00000000-0004-0000-0100-0000D4000000}"/>
    <hyperlink ref="B218" location="res_coag_settle_time" display="res_coag_settle_time" xr:uid="{00000000-0004-0000-0100-0000D5000000}"/>
    <hyperlink ref="B219" location="min_standby" display="min_standby" xr:uid="{00000000-0004-0000-0100-0000D6000000}"/>
    <hyperlink ref="B220" location="min_trench_depth" display="min_trench_depth" xr:uid="{00000000-0004-0000-0100-0000D7000000}"/>
    <hyperlink ref="B221" location="misc_pct" display="misc_pct" xr:uid="{00000000-0004-0000-0100-0000D8000000}"/>
    <hyperlink ref="B222" location="mob_pct_large" display="mob_pct_large" xr:uid="{00000000-0004-0000-0100-0000D9000000}"/>
    <hyperlink ref="B223" location="mob_pct_medium" display="mob_pct_medium" xr:uid="{00000000-0004-0000-0100-0000DA000000}"/>
    <hyperlink ref="B224" location="mob_pct_pre" display="mob_pct_pre" xr:uid="{00000000-0004-0000-0100-0000DB000000}"/>
    <hyperlink ref="B225" location="mob_pct_small" display="mob_pct_small" xr:uid="{00000000-0004-0000-0100-0000DC000000}"/>
    <hyperlink ref="B226" location="gas_eff" display="gas_eff" xr:uid="{00000000-0004-0000-0100-0000DD000000}"/>
    <hyperlink ref="B227" location="gas_non_eff" display="gas_non_eff" xr:uid="{00000000-0004-0000-0100-0000DE000000}"/>
    <hyperlink ref="B228" location="non_fire_buffer" display="non_fire_buffer" xr:uid="{00000000-0004-0000-0100-0000DF000000}"/>
    <hyperlink ref="B229" location="lines_pump_I" display="lines_pump_I" xr:uid="{00000000-0004-0000-0100-0000E0000000}"/>
    <hyperlink ref="B230" location="back_chv_no_back" display="back_chv_no_back" xr:uid="{00000000-0004-0000-0100-0000E1000000}"/>
    <hyperlink ref="B231" location="back_chv_pump" display="back_chv_pump" xr:uid="{00000000-0004-0000-0100-0000E2000000}"/>
    <hyperlink ref="B232" location="tot_bp_chv" display="tot_bp_chv" xr:uid="{00000000-0004-0000-0100-0000E3000000}"/>
    <hyperlink ref="B233" location="in_chv" display="in_chv" xr:uid="{00000000-0004-0000-0100-0000E4000000}"/>
    <hyperlink ref="B234" location="in_chv_addon" display="in_chv_addon" xr:uid="{00000000-0004-0000-0100-0000E5000000}"/>
    <hyperlink ref="B235" location="polymer_chv_pump" display="polymer_chv_pump" xr:uid="{00000000-0004-0000-0100-0000E6000000}"/>
    <hyperlink ref="B236" location="res_chv_no_pump" display="res_chv_no_pump" xr:uid="{00000000-0004-0000-0100-0000E7000000}"/>
    <hyperlink ref="B237" location="res_chv_pump" display="res_chv_pump" xr:uid="{00000000-0004-0000-0100-0000E8000000}"/>
    <hyperlink ref="B238" location="plc_cpu_standalone" display="plc_cpu_standalone" xr:uid="{00000000-0004-0000-0100-0000E9000000}"/>
    <hyperlink ref="B239" location="plc_cpu_addon" display="plc_cpu_addon" xr:uid="{00000000-0004-0000-0100-0000EA000000}"/>
    <hyperlink ref="B240" location="elec_encl" display="elec_encl" xr:uid="{00000000-0004-0000-0100-0000EB000000}"/>
    <hyperlink ref="B241" location="in_man" display="in_man" xr:uid="{00000000-0004-0000-0100-0000EC000000}"/>
    <hyperlink ref="B242" location="in_man_addon" display="in_man_addon" xr:uid="{00000000-0004-0000-0100-0000ED000000}"/>
    <hyperlink ref="B243" location="proc_man_vessel" display="proc_man_vessel" xr:uid="{00000000-0004-0000-0100-0000EE000000}"/>
    <hyperlink ref="B244" location="fan_days_build2_large" display="fan_days_build2_large" xr:uid="{00000000-0004-0000-0100-0000EF000000}"/>
    <hyperlink ref="B245" location="fan_days_build2_medium" display="fan_days_build2_medium" xr:uid="{00000000-0004-0000-0100-0000F0000000}"/>
    <hyperlink ref="B246" location="fan_days_build2_small" display="fan_days_build2_small" xr:uid="{00000000-0004-0000-0100-0000F1000000}"/>
    <hyperlink ref="B247" location="fan_days_build1_large" display="fan_days_build1_large" xr:uid="{00000000-0004-0000-0100-0000F2000000}"/>
    <hyperlink ref="B248" location="fan_days_build1_medium" display="fan_days_build1_medium" xr:uid="{00000000-0004-0000-0100-0000F3000000}"/>
    <hyperlink ref="B249" location="fan_days_build1_small" display="fan_days_build1_small" xr:uid="{00000000-0004-0000-0100-0000F4000000}"/>
    <hyperlink ref="B250" location="NRD_cm_pump" display="NRD_cm_pump" xr:uid="{00000000-0004-0000-0100-0000F5000000}"/>
    <hyperlink ref="B251" location="NRD_basins_large" display="NRD_basins_large" xr:uid="{00000000-0004-0000-0100-0000F6000000}"/>
    <hyperlink ref="B252" location="NRD_basins_medium" display="NRD_basins_medium" xr:uid="{00000000-0004-0000-0100-0000F7000000}"/>
    <hyperlink ref="B253" location="NRD_I" display="NRD_I" xr:uid="{00000000-0004-0000-0100-0000F8000000}"/>
    <hyperlink ref="B254" location="NRD_eductors" display="NRD_eductors" xr:uid="{00000000-0004-0000-0100-0000F9000000}"/>
    <hyperlink ref="B255" location="NRD_small" display="NRD_small" xr:uid="{00000000-0004-0000-0100-0000FA000000}"/>
    <hyperlink ref="B256" location="NRD_small_1" display="NRD_small_1" xr:uid="{00000000-0004-0000-0100-0000FB000000}"/>
    <hyperlink ref="B257" location="shifts_day" display="shifts_day" xr:uid="{00000000-0004-0000-0100-0000FC000000}"/>
    <hyperlink ref="B258" location="risers" display="risers" xr:uid="{00000000-0004-0000-0100-0000FD000000}"/>
    <hyperlink ref="B259" location="storage_basins" display="storage_basins" xr:uid="{00000000-0004-0000-0100-0000FE000000}"/>
    <hyperlink ref="B260" location="space_office" display="space_office" xr:uid="{00000000-0004-0000-0100-0000FF000000}"/>
    <hyperlink ref="B261" location="space_office_small" display="space_office_small" xr:uid="{00000000-0004-0000-0100-000000010000}"/>
    <hyperlink ref="B262" location="uloe_inst" display="uloe_inst" xr:uid="{00000000-0004-0000-0100-000001010000}"/>
    <hyperlink ref="B263" location="uloe_throwaway" display="uloe_throwaway" xr:uid="{00000000-0004-0000-0100-000002010000}"/>
    <hyperlink ref="B264" location="uloe_fp" display="uloe_fp" xr:uid="{00000000-0004-0000-0100-000003010000}"/>
    <hyperlink ref="B265" location="uloe_autoback" display="uloe_autoback" xr:uid="{00000000-0004-0000-0100-000004010000}"/>
    <hyperlink ref="B266" location="uloe_pump" display="uloe_pump" xr:uid="{00000000-0004-0000-0100-000005010000}"/>
    <hyperlink ref="B267" location="uloe_valve" display="uloe_valve" xr:uid="{00000000-0004-0000-0100-000006010000}"/>
    <hyperlink ref="B268" location="uloe_inst_auto" display="uloe_inst_auto" xr:uid="{00000000-0004-0000-0100-000007010000}"/>
    <hyperlink ref="B269" location="plc_interface_standalone" display="plc_interface_standalone" xr:uid="{00000000-0004-0000-0100-000008010000}"/>
    <hyperlink ref="B270" location="plc_interface_addon" display="plc_interface_addon" xr:uid="{00000000-0004-0000-0100-000009010000}"/>
    <hyperlink ref="B271" location="overexcavate" display="overexcavate" xr:uid="{00000000-0004-0000-0100-00000A010000}"/>
    <hyperlink ref="B272" location="ep_overexcavate" display="ep_overexcavate" xr:uid="{00000000-0004-0000-0100-00000B010000}"/>
    <hyperlink ref="B273" location="bp_pct" display="bp_pct" xr:uid="{00000000-0004-0000-0100-00000C010000}"/>
    <hyperlink ref="B274" location="EBCT_I" display="EBCT_I" xr:uid="{00000000-0004-0000-0100-00000D010000}"/>
    <hyperlink ref="B275" location="pH_controls_g" display="pH_controls_g" xr:uid="{00000000-0004-0000-0100-00000E010000}"/>
    <hyperlink ref="B276" location="pH_controls_small_g" display="pH_controls_small_g" xr:uid="{00000000-0004-0000-0100-00000F010000}"/>
    <hyperlink ref="B277" location="yard_in" display="yard_in" xr:uid="{00000000-0004-0000-0100-000010010000}"/>
    <hyperlink ref="B278" location="yard_out" display="yard_out" xr:uid="{00000000-0004-0000-0100-000011010000}"/>
    <hyperlink ref="B279" location="polymer_dose" display="polymer_dose" xr:uid="{00000000-0004-0000-0100-000012010000}"/>
    <hyperlink ref="B280" location="polymer_spf" display="polymer_spf" xr:uid="{00000000-0004-0000-0100-000013010000}"/>
    <hyperlink ref="B281" location="polymer_density" display="polymer_density" xr:uid="{00000000-0004-0000-0100-000014010000}"/>
    <hyperlink ref="B282" location="POTW_rate_type" display="POTW_rate_type" xr:uid="{00000000-0004-0000-0100-000015010000}"/>
    <hyperlink ref="B283" location="POTW_TSS_limit" display="POTW_TSS_limit" xr:uid="{00000000-0004-0000-0100-000016010000}"/>
    <hyperlink ref="B284" location="Fan_pressure_drop" display="Fan_pressure_drop" xr:uid="{00000000-0004-0000-0100-000017010000}"/>
    <hyperlink ref="B285" location="bed_depth" display="bed_depth" xr:uid="{00000000-0004-0000-0100-000018010000}"/>
    <hyperlink ref="B286" location="comm_diam" display="comm_diam" xr:uid="{00000000-0004-0000-0100-000019010000}"/>
    <hyperlink ref="B287" location="free_board" display="free_board" xr:uid="{00000000-0004-0000-0100-00001A010000}"/>
    <hyperlink ref="B288" location="tank_geom_I" display="tank_geom_I" xr:uid="{00000000-0004-0000-0100-00001B010000}"/>
    <hyperlink ref="B289" location="comm_height_length" display="comm_height_length" xr:uid="{00000000-0004-0000-0100-00001C010000}"/>
    <hyperlink ref="B290" location="printer_ratio" display="printer_ratio" xr:uid="{00000000-0004-0000-0100-00001D010000}"/>
    <hyperlink ref="B291" location="pump_efficiency" display="pump_efficiency" xr:uid="{00000000-0004-0000-0100-00001E010000}"/>
    <hyperlink ref="B292" location="pump_head" display="pump_head" xr:uid="{00000000-0004-0000-0100-00001F010000}"/>
    <hyperlink ref="B293" location="length_diam_ratio" display="length_diam_ratio" xr:uid="{00000000-0004-0000-0100-000020010000}"/>
    <hyperlink ref="B294" location="Reduction" display="Reduction" xr:uid="{00000000-0004-0000-0100-000021010000}"/>
    <hyperlink ref="B295" location="NRD_back_pumps" display="NRD_back_pumps" xr:uid="{00000000-0004-0000-0100-000022010000}"/>
    <hyperlink ref="B296" location="NRD_pumps" display="NRD_pumps" xr:uid="{00000000-0004-0000-0100-000023010000}"/>
    <hyperlink ref="B297" location="NRD_res_pump" display="NRD_res_pump" xr:uid="{00000000-0004-0000-0100-000024010000}"/>
    <hyperlink ref="B298" location="regen_storage_bv" display="regen_storage_bv" xr:uid="{00000000-0004-0000-0100-000025010000}"/>
    <hyperlink ref="B299" location="regen_redund" display="regen_redund" xr:uid="{00000000-0004-0000-0100-000026010000}"/>
    <hyperlink ref="B300" location="regen_runtime" display="regen_runtime" xr:uid="{00000000-0004-0000-0100-000027010000}"/>
    <hyperlink ref="B301" location="solids_storage_height" display="solids_storage_height" xr:uid="{00000000-0004-0000-0100-000028010000}"/>
    <hyperlink ref="B302" location="res_pump_psi" display="res_pump_psi" xr:uid="{00000000-0004-0000-0100-000029010000}"/>
    <hyperlink ref="B303" location="r_freund_2" display="r_freund_2" xr:uid="{00000000-0004-0000-0100-00002A010000}"/>
    <hyperlink ref="B304" location="r_C_b" display="r_C_b" xr:uid="{00000000-0004-0000-0100-00002B010000}"/>
    <hyperlink ref="B305" location="r_freund_1" display="r_freund_1" xr:uid="{00000000-0004-0000-0100-00002C010000}"/>
    <hyperlink ref="B306" location="r_C_0" display="r_C_0" xr:uid="{00000000-0004-0000-0100-00002D010000}"/>
    <hyperlink ref="B307" location="retrofit_I" display="retrofit_I" xr:uid="{00000000-0004-0000-0100-00002E010000}"/>
    <hyperlink ref="B308" location="R_ceiling" display="R_ceiling" xr:uid="{00000000-0004-0000-0100-00002F010000}"/>
    <hyperlink ref="B309" location="R_wall" display="R_wall" xr:uid="{00000000-0004-0000-0100-000030010000}"/>
    <hyperlink ref="B310" location="pump_safety_factor" display="pump_safety_factor" xr:uid="{00000000-0004-0000-0100-000031010000}"/>
    <hyperlink ref="B311" location="tax_pct" display="tax_pct" xr:uid="{00000000-0004-0000-0100-000032010000}"/>
    <hyperlink ref="B312" location="ports_bp" display="ports_bp" xr:uid="{00000000-0004-0000-0100-000033010000}"/>
    <hyperlink ref="B313" location="ports_tank" display="ports_tank" xr:uid="{00000000-0004-0000-0100-000034010000}"/>
    <hyperlink ref="B314" location="freund_type_I" display="freund_type_I" xr:uid="{00000000-0004-0000-0100-000035010000}"/>
    <hyperlink ref="B315" location="r_freund_type_I" display="r_freund_type_I" xr:uid="{00000000-0004-0000-0100-000036010000}"/>
    <hyperlink ref="B316" location="sept_buffer" display="sept_buffer" xr:uid="{00000000-0004-0000-0100-000037010000}"/>
    <hyperlink ref="B317" location="sept_trench_d" display="sept_trench_d" xr:uid="{00000000-0004-0000-0100-000038010000}"/>
    <hyperlink ref="B318" location="sept_gravel_d_below" display="sept_gravel_d_below" xr:uid="{00000000-0004-0000-0100-000039010000}"/>
    <hyperlink ref="B319" location="sept_gravel_d" display="sept_gravel_d" xr:uid="{00000000-0004-0000-0100-00003A010000}"/>
    <hyperlink ref="B320" location="sept_trench_w" display="sept_trench_w" xr:uid="{00000000-0004-0000-0100-00003B010000}"/>
    <hyperlink ref="B321" location="sept_pipe_diam" display="sept_pipe_diam" xr:uid="{00000000-0004-0000-0100-00003C010000}"/>
    <hyperlink ref="B322" location="sept_overexcav" display="sept_overexcav" xr:uid="{00000000-0004-0000-0100-00003D010000}"/>
    <hyperlink ref="B323" location="sept_tank_sf" display="sept_tank_sf" xr:uid="{00000000-0004-0000-0100-00003E010000}"/>
    <hyperlink ref="B324" location="soil_dens" display="soil_dens" xr:uid="{00000000-0004-0000-0100-00003F010000}"/>
    <hyperlink ref="B325" location="spent_storage_bv" display="spent_storage_bv" xr:uid="{00000000-0004-0000-0100-000040010000}"/>
    <hyperlink ref="B326" location="diesel_non_eff" display="diesel_non_eff" xr:uid="{00000000-0004-0000-0100-000041010000}"/>
    <hyperlink ref="B327" location="Kss" display="Kss" xr:uid="{00000000-0004-0000-0100-000042010000}"/>
    <hyperlink ref="B328" location="storage_ratio" display="storage_ratio" xr:uid="{00000000-0004-0000-0100-000043010000}"/>
    <hyperlink ref="B329" location="storage_freeboard" display="storage_freeboard" xr:uid="{00000000-0004-0000-0100-000044010000}"/>
    <hyperlink ref="B330" location="manual_I" display="manual_I" xr:uid="{00000000-0004-0000-0100-000045010000}"/>
    <hyperlink ref="B331" location="target_bed_depth_under_g" display="target_bed_depth_under_g" xr:uid="{00000000-0004-0000-0100-000046010000}"/>
    <hyperlink ref="B332" location="target_bed_depth_under_g_UVAOP" display="target_bed_depth_under_g_UVAOP" xr:uid="{00000000-0004-0000-0100-000047010000}"/>
    <hyperlink ref="B333" location="target_bed_depth_over_g" display="target_bed_depth_over_g" xr:uid="{00000000-0004-0000-0100-000048010000}"/>
    <hyperlink ref="B334" location="target_bed_depth_over_g_UVAOP" display="target_bed_depth_over_g_UVAOP" xr:uid="{00000000-0004-0000-0100-000049010000}"/>
    <hyperlink ref="B335" location="target_bed_depth_under" display="target_bed_depth_under" xr:uid="{00000000-0004-0000-0100-00004A010000}"/>
    <hyperlink ref="B336" location="target_bed_depth_horiz" display="target_bed_depth_horiz" xr:uid="{00000000-0004-0000-0100-00004B010000}"/>
    <hyperlink ref="B337" location="target_bed_depth_over" display="target_bed_depth_over" xr:uid="{00000000-0004-0000-0100-00004C010000}"/>
    <hyperlink ref="B338" location="complexity" display="complexity" xr:uid="{00000000-0004-0000-0100-00004D010000}"/>
    <hyperlink ref="B339" location="bore_need" display="bore_need" xr:uid="{00000000-0004-0000-0100-00004E010000}"/>
    <hyperlink ref="B340" location="temp_meters" display="temp_meters" xr:uid="{00000000-0004-0000-0100-00004F010000}"/>
    <hyperlink ref="B341" location="temp_meters_small" display="temp_meters_small" xr:uid="{00000000-0004-0000-0100-000050010000}"/>
    <hyperlink ref="B342" location="pit_depth" display="pit_depth" xr:uid="{00000000-0004-0000-0100-000051010000}"/>
    <hyperlink ref="B343" location="pit_length" display="pit_length" xr:uid="{00000000-0004-0000-0100-000052010000}"/>
    <hyperlink ref="B344" location="pit_width" display="pit_width" xr:uid="{00000000-0004-0000-0100-000053010000}"/>
    <hyperlink ref="B345" location="Vessel_thickness" display="Vessel_thickness" xr:uid="{00000000-0004-0000-0100-000054010000}"/>
    <hyperlink ref="B346" location="transfer_time" display="transfer_time" xr:uid="{00000000-0004-0000-0100-000055010000}"/>
    <hyperlink ref="B347" location="htransfer_time" display="htransfer_time" xr:uid="{00000000-0004-0000-0100-000056010000}"/>
    <hyperlink ref="B348" location="Top_bottom_Vessel_space" display="Top_bottom_Vessel_space" xr:uid="{00000000-0004-0000-0100-000057010000}"/>
    <hyperlink ref="B349" location="trench_angle" display="trench_angle" xr:uid="{00000000-0004-0000-0100-000058010000}"/>
    <hyperlink ref="B350" location="influent_TSS" display="influent_TSS" xr:uid="{00000000-0004-0000-0100-000059010000}"/>
    <hyperlink ref="B351" location="effluent_TSS" display="effluent_TSS" xr:uid="{00000000-0004-0000-0100-00005A010000}"/>
    <hyperlink ref="B352" location="turb_tank_g" display="turb_tank_g" xr:uid="{00000000-0004-0000-0100-00005B010000}"/>
    <hyperlink ref="B353" location="turb_tank" display="turb_tank" xr:uid="{00000000-0004-0000-0100-00005C010000}"/>
    <hyperlink ref="B354" location="coag_type" display="coag_type" xr:uid="{00000000-0004-0000-0100-00005D010000}"/>
    <hyperlink ref="B355" location="horiz_underdrain" display="horiz_underdrain" xr:uid="{00000000-0004-0000-0100-00005E010000}"/>
    <hyperlink ref="B356" location="ups_standalone" display="ups_standalone" xr:uid="{00000000-0004-0000-0100-00005F010000}"/>
    <hyperlink ref="B357" location="ups_addon" display="ups_addon" xr:uid="{00000000-0004-0000-0100-000060010000}"/>
    <hyperlink ref="B358" location="valve_table" display="valve_table" xr:uid="{00000000-0004-0000-0100-000061010000}"/>
    <hyperlink ref="B359" location="Air_changes_chem_storage" display="Air_changes_chem_storage" xr:uid="{00000000-0004-0000-0100-000062010000}"/>
    <hyperlink ref="B360" location="Air_changes_contactor" display="Air_changes_contactor" xr:uid="{00000000-0004-0000-0100-000063010000}"/>
    <hyperlink ref="B361" location="Air_changes_office" display="Air_changes_office" xr:uid="{00000000-0004-0000-0100-000064010000}"/>
    <hyperlink ref="B362" location="Air_changes_pump" display="Air_changes_pump" xr:uid="{00000000-0004-0000-0100-000065010000}"/>
    <hyperlink ref="B363" location="virgin_storage_bv" display="virgin_storage_bv" xr:uid="{00000000-0004-0000-0100-000066010000}"/>
    <hyperlink ref="B364" location="h2oflush_backwash_rate" display="h2oflush_backwash_rate" xr:uid="{00000000-0004-0000-0100-00006701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119"/>
  <sheetViews>
    <sheetView zoomScale="85" zoomScaleNormal="80" workbookViewId="0"/>
  </sheetViews>
  <sheetFormatPr baseColWidth="10" defaultColWidth="9.1640625" defaultRowHeight="13"/>
  <cols>
    <col min="1" max="1" width="1.6640625" style="845" customWidth="1"/>
    <col min="2" max="2" width="8" style="845" hidden="1" customWidth="1"/>
    <col min="3" max="4" width="12.1640625" style="845" hidden="1" customWidth="1"/>
    <col min="5" max="5" width="53.6640625" style="845" customWidth="1"/>
    <col min="6" max="6" width="17.83203125" style="845" hidden="1" customWidth="1"/>
    <col min="7" max="7" width="30.33203125" style="845" customWidth="1"/>
    <col min="8" max="8" width="30.6640625" style="845" customWidth="1"/>
    <col min="9" max="9" width="75.5" style="845" customWidth="1"/>
    <col min="10" max="11" width="9.1640625" style="845"/>
    <col min="12" max="12" width="15.6640625" style="845" bestFit="1" customWidth="1"/>
    <col min="13" max="13" width="12.33203125" style="845" bestFit="1" customWidth="1"/>
    <col min="14" max="16384" width="9.1640625" style="845"/>
  </cols>
  <sheetData>
    <row r="1" spans="1:33">
      <c r="A1" s="105" t="s">
        <v>3418</v>
      </c>
      <c r="B1" s="24"/>
      <c r="C1" s="24"/>
      <c r="D1" s="24"/>
      <c r="E1" s="105"/>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row>
    <row r="2" spans="1:33">
      <c r="A2" s="24"/>
      <c r="B2" s="24"/>
      <c r="C2" s="24"/>
      <c r="D2" s="24"/>
      <c r="E2" s="105"/>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row>
    <row r="3" spans="1:33" ht="13.5" customHeight="1">
      <c r="A3" s="24"/>
      <c r="B3" s="24"/>
      <c r="C3" s="24"/>
      <c r="D3" s="24"/>
      <c r="E3" s="104" t="s">
        <v>1026</v>
      </c>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row>
    <row r="4" spans="1:33" ht="13.5" customHeight="1">
      <c r="A4" s="24"/>
      <c r="B4" s="24"/>
      <c r="C4" s="24"/>
      <c r="D4" s="24"/>
      <c r="E4" s="122" t="s">
        <v>1033</v>
      </c>
      <c r="F4" s="24"/>
      <c r="G4" s="107"/>
      <c r="H4" s="391" t="str">
        <f>IF(OR(contam_type=1,contam_type=6,contam_type=18),"To estimate costs for other contaminants, enter input parameters manually",IF(contam_type=2,"Standard designs for atrazine assume treatment of unfiltered surface water",IF(contam_type=18,"","Standard designs for this contaminant assume treatment of groundwater")))</f>
        <v>Standard designs for this contaminant assume treatment of groundwater</v>
      </c>
      <c r="I4" s="24"/>
      <c r="J4" s="24"/>
      <c r="K4" s="24"/>
      <c r="L4" s="24"/>
      <c r="M4" s="24"/>
      <c r="N4" s="24"/>
      <c r="O4" s="24"/>
      <c r="P4" s="24"/>
      <c r="Q4" s="24"/>
      <c r="R4" s="24"/>
      <c r="S4" s="24"/>
      <c r="T4" s="24"/>
      <c r="U4" s="24"/>
      <c r="V4" s="24"/>
      <c r="W4" s="24"/>
      <c r="X4" s="24"/>
      <c r="Y4" s="24"/>
      <c r="Z4" s="24"/>
      <c r="AA4" s="24"/>
      <c r="AB4" s="24"/>
      <c r="AC4" s="24"/>
      <c r="AD4" s="24"/>
      <c r="AE4" s="24"/>
      <c r="AF4" s="24"/>
      <c r="AG4" s="24"/>
    </row>
    <row r="5" spans="1:33" ht="13.5" customHeight="1">
      <c r="A5" s="24"/>
      <c r="B5" s="24"/>
      <c r="C5" s="24"/>
      <c r="D5" s="24"/>
      <c r="E5" s="106"/>
      <c r="F5" s="107"/>
      <c r="G5" s="106"/>
      <c r="H5" s="391" t="str">
        <f>IF(OR(contam_type=1,contam_type=6,contam_type=18),"","Users wishing to simulate the cost impact of different water quality should adjust the appropriate inputs manually (e.g., bed volumes before breakthrough and backwash frequency)")</f>
        <v>Users wishing to simulate the cost impact of different water quality should adjust the appropriate inputs manually (e.g., bed volumes before breakthrough and backwash frequency)</v>
      </c>
      <c r="I5" s="106"/>
      <c r="J5" s="106"/>
      <c r="K5" s="106"/>
      <c r="L5" s="24"/>
      <c r="M5" s="24"/>
      <c r="N5" s="24"/>
      <c r="O5" s="24"/>
      <c r="P5" s="24"/>
      <c r="Q5" s="24"/>
      <c r="R5" s="24"/>
      <c r="S5" s="24"/>
      <c r="T5" s="24"/>
      <c r="U5" s="24"/>
      <c r="V5" s="24"/>
      <c r="W5" s="24"/>
      <c r="X5" s="24"/>
      <c r="Y5" s="24"/>
      <c r="Z5" s="24"/>
      <c r="AA5" s="24"/>
      <c r="AB5" s="24"/>
      <c r="AC5" s="24"/>
      <c r="AD5" s="24"/>
      <c r="AE5" s="24"/>
      <c r="AF5" s="24"/>
      <c r="AG5" s="24"/>
    </row>
    <row r="6" spans="1:33" ht="13.5" customHeight="1">
      <c r="A6" s="24"/>
      <c r="B6" s="24"/>
      <c r="C6" s="24"/>
      <c r="D6" s="24"/>
      <c r="E6" s="104" t="s">
        <v>1032</v>
      </c>
      <c r="F6" s="107"/>
      <c r="G6" s="106"/>
      <c r="H6" s="391"/>
      <c r="I6" s="106"/>
      <c r="J6" s="106"/>
      <c r="K6" s="106"/>
      <c r="L6" s="24"/>
      <c r="M6" s="24"/>
      <c r="N6" s="24"/>
      <c r="O6" s="24"/>
      <c r="P6" s="24"/>
      <c r="Q6" s="24"/>
      <c r="R6" s="24"/>
      <c r="S6" s="24"/>
      <c r="T6" s="24"/>
      <c r="U6" s="24"/>
      <c r="V6" s="24"/>
      <c r="W6" s="24"/>
      <c r="X6" s="24"/>
      <c r="Y6" s="24"/>
      <c r="Z6" s="24"/>
      <c r="AA6" s="24"/>
      <c r="AB6" s="24"/>
      <c r="AC6" s="24"/>
      <c r="AD6" s="24"/>
      <c r="AE6" s="24"/>
      <c r="AF6" s="24"/>
      <c r="AG6" s="24"/>
    </row>
    <row r="7" spans="1:33" ht="13.5" customHeight="1">
      <c r="A7" s="24"/>
      <c r="B7" s="24"/>
      <c r="C7" s="24"/>
      <c r="D7" s="24"/>
      <c r="E7" s="122" t="s">
        <v>580</v>
      </c>
      <c r="F7" s="107"/>
      <c r="G7" s="106"/>
      <c r="H7" s="391"/>
      <c r="I7" s="106"/>
      <c r="J7" s="106"/>
      <c r="K7" s="106"/>
      <c r="L7" s="24"/>
      <c r="M7" s="24"/>
      <c r="N7" s="24"/>
      <c r="O7" s="24"/>
      <c r="P7" s="24"/>
      <c r="Q7" s="24"/>
      <c r="R7" s="24"/>
      <c r="S7" s="24"/>
      <c r="T7" s="24"/>
      <c r="U7" s="24"/>
      <c r="V7" s="24"/>
      <c r="W7" s="24"/>
      <c r="X7" s="24"/>
      <c r="Y7" s="24"/>
      <c r="Z7" s="24"/>
      <c r="AA7" s="24"/>
      <c r="AB7" s="24"/>
      <c r="AC7" s="24"/>
      <c r="AD7" s="24"/>
      <c r="AE7" s="24"/>
      <c r="AF7" s="24"/>
      <c r="AG7" s="24"/>
    </row>
    <row r="8" spans="1:33" ht="13.5" customHeight="1">
      <c r="A8" s="24"/>
      <c r="B8" s="24"/>
      <c r="C8" s="24"/>
      <c r="D8" s="24"/>
      <c r="E8" s="106"/>
      <c r="F8" s="107"/>
      <c r="G8" s="106"/>
      <c r="H8" s="391"/>
      <c r="I8" s="106"/>
      <c r="J8" s="106"/>
      <c r="K8" s="106"/>
      <c r="L8" s="24"/>
      <c r="M8" s="24"/>
      <c r="N8" s="24"/>
      <c r="O8" s="24"/>
      <c r="P8" s="24"/>
      <c r="Q8" s="24"/>
      <c r="R8" s="24"/>
      <c r="S8" s="24"/>
      <c r="T8" s="24"/>
      <c r="U8" s="24"/>
      <c r="V8" s="24"/>
      <c r="W8" s="24"/>
      <c r="X8" s="24"/>
      <c r="Y8" s="24"/>
      <c r="Z8" s="24"/>
      <c r="AA8" s="24"/>
      <c r="AB8" s="24"/>
      <c r="AC8" s="24"/>
      <c r="AD8" s="24"/>
      <c r="AE8" s="24"/>
      <c r="AF8" s="24"/>
      <c r="AG8" s="24"/>
    </row>
    <row r="9" spans="1:33" ht="25.5" customHeight="1">
      <c r="A9" s="24"/>
      <c r="B9" s="24"/>
      <c r="C9" s="50" t="b">
        <f>CHOOSE(contam_type,'Standard Inputs'!AV9,'Standard Inputs'!AV25,'Standard Inputs'!AV41,'Standard Inputs'!AV57,'Standard Inputs'!AV73,'Standard Inputs'!AV89,'Standard Inputs'!AV105,'Standard Inputs'!AV121,'Standard Inputs'!AV137,'Standard Inputs'!AV153,'Standard Inputs'!AV169,'Standard Inputs'!AV185,'Standard Inputs'!AV201,'Standard Inputs'!AV217,'Standard Inputs'!AV233,'Standard Inputs'!AV249,'Standard Inputs'!AV265,'Standard Inputs'!AV281)</f>
        <v>0</v>
      </c>
      <c r="D9" s="50" t="b">
        <f>CHOOSE(contam_type,'Standard Inputs'!AW9,'Standard Inputs'!AW25,'Standard Inputs'!AW41,'Standard Inputs'!AW57,'Standard Inputs'!AW73,'Standard Inputs'!AW89,'Standard Inputs'!AW105,'Standard Inputs'!AW121,'Standard Inputs'!AW137,'Standard Inputs'!AW153,'Standard Inputs'!AW169,'Standard Inputs'!AW185,'Standard Inputs'!AW201,'Standard Inputs'!AW217,'Standard Inputs'!AW233,'Standard Inputs'!AW249,'Standard Inputs'!AW265,'Standard Inputs'!AW281)</f>
        <v>0</v>
      </c>
      <c r="E9" s="112" t="s">
        <v>581</v>
      </c>
      <c r="F9" s="107"/>
      <c r="G9" s="108"/>
      <c r="H9" s="953" t="str">
        <f>IF(C9,"&lt;- Using this design",IF(D9,"&lt;- You modified this design",""))</f>
        <v/>
      </c>
      <c r="I9" s="106"/>
      <c r="J9" s="106"/>
      <c r="K9" s="106"/>
      <c r="L9" s="24"/>
      <c r="M9" s="24"/>
      <c r="N9" s="24"/>
      <c r="O9" s="24"/>
      <c r="P9" s="24"/>
      <c r="Q9" s="24"/>
      <c r="R9" s="24"/>
      <c r="S9" s="24"/>
      <c r="T9" s="24"/>
      <c r="U9" s="24"/>
      <c r="V9" s="24"/>
      <c r="W9" s="24"/>
      <c r="X9" s="24"/>
      <c r="Y9" s="24"/>
      <c r="Z9" s="24"/>
      <c r="AA9" s="24"/>
      <c r="AB9" s="24"/>
      <c r="AC9" s="24"/>
      <c r="AD9" s="24"/>
      <c r="AE9" s="24"/>
      <c r="AF9" s="24"/>
      <c r="AG9" s="24"/>
    </row>
    <row r="10" spans="1:33" ht="25.5" customHeight="1">
      <c r="A10" s="24"/>
      <c r="B10" s="24"/>
      <c r="C10" s="50" t="b">
        <f>CHOOSE(contam_type,'Standard Inputs'!AV10,'Standard Inputs'!AV26,'Standard Inputs'!AV42,'Standard Inputs'!AV58,'Standard Inputs'!AV74,'Standard Inputs'!AV90,'Standard Inputs'!AV106,'Standard Inputs'!AV122,'Standard Inputs'!AV138,'Standard Inputs'!AV154,'Standard Inputs'!AV170,'Standard Inputs'!AV186,'Standard Inputs'!AV202,'Standard Inputs'!AV218,'Standard Inputs'!AV234,'Standard Inputs'!AV250,'Standard Inputs'!AV266,'Standard Inputs'!AV282)</f>
        <v>0</v>
      </c>
      <c r="D10" s="50" t="b">
        <f>CHOOSE(contam_type,'Standard Inputs'!AW10,'Standard Inputs'!AW26,'Standard Inputs'!AW42,'Standard Inputs'!AW58,'Standard Inputs'!AW74,'Standard Inputs'!AW90,'Standard Inputs'!AW106,'Standard Inputs'!AW122,'Standard Inputs'!AW138,'Standard Inputs'!AW154,'Standard Inputs'!AW170,'Standard Inputs'!AW186,'Standard Inputs'!AW202,'Standard Inputs'!AW218,'Standard Inputs'!AW234,'Standard Inputs'!AW250,'Standard Inputs'!AW266,'Standard Inputs'!AW282)</f>
        <v>0</v>
      </c>
      <c r="E10" s="301" t="s">
        <v>1023</v>
      </c>
      <c r="F10" s="107"/>
      <c r="G10" s="109"/>
      <c r="H10" s="954" t="str">
        <f t="shared" ref="H10:H16" si="0">IF(C10,"&lt;- Using this design",IF(D10,"&lt;- You modified this design",""))</f>
        <v/>
      </c>
      <c r="I10" s="106"/>
      <c r="J10" s="106"/>
      <c r="K10" s="106"/>
      <c r="L10" s="24"/>
      <c r="M10" s="24"/>
      <c r="N10" s="24"/>
      <c r="O10" s="24"/>
      <c r="P10" s="24"/>
      <c r="Q10" s="24"/>
      <c r="R10" s="24"/>
      <c r="S10" s="24"/>
      <c r="T10" s="24"/>
      <c r="U10" s="24"/>
      <c r="V10" s="24"/>
      <c r="W10" s="24"/>
      <c r="X10" s="24"/>
      <c r="Y10" s="24"/>
      <c r="Z10" s="24"/>
      <c r="AA10" s="24"/>
      <c r="AB10" s="24"/>
      <c r="AC10" s="24"/>
      <c r="AD10" s="24"/>
      <c r="AE10" s="24"/>
      <c r="AF10" s="24"/>
      <c r="AG10" s="24"/>
    </row>
    <row r="11" spans="1:33" ht="25.5" customHeight="1">
      <c r="A11" s="24"/>
      <c r="B11" s="24"/>
      <c r="C11" s="50" t="b">
        <f>CHOOSE(contam_type,'Standard Inputs'!AV11,'Standard Inputs'!AV27,'Standard Inputs'!AV43,'Standard Inputs'!AV59,'Standard Inputs'!AV75,'Standard Inputs'!AV91,'Standard Inputs'!AV107,'Standard Inputs'!AV123,'Standard Inputs'!AV139,'Standard Inputs'!AV155,'Standard Inputs'!AV171,'Standard Inputs'!AV187,'Standard Inputs'!AV203,'Standard Inputs'!AV219,'Standard Inputs'!AV235,'Standard Inputs'!AV251,'Standard Inputs'!AV267,'Standard Inputs'!AV283)</f>
        <v>0</v>
      </c>
      <c r="D11" s="50" t="b">
        <f>CHOOSE(contam_type,'Standard Inputs'!AW11,'Standard Inputs'!AW27,'Standard Inputs'!AW43,'Standard Inputs'!AW59,'Standard Inputs'!AW75,'Standard Inputs'!AW91,'Standard Inputs'!AW107,'Standard Inputs'!AW123,'Standard Inputs'!AW139,'Standard Inputs'!AW155,'Standard Inputs'!AW171,'Standard Inputs'!AW187,'Standard Inputs'!AW203,'Standard Inputs'!AW219,'Standard Inputs'!AW235,'Standard Inputs'!AW251,'Standard Inputs'!AW267,'Standard Inputs'!AW283)</f>
        <v>0</v>
      </c>
      <c r="E11" s="302"/>
      <c r="F11" s="107"/>
      <c r="G11" s="109"/>
      <c r="H11" s="954" t="str">
        <f t="shared" si="0"/>
        <v/>
      </c>
      <c r="I11" s="106"/>
      <c r="J11" s="106"/>
      <c r="K11" s="106"/>
      <c r="L11" s="24"/>
      <c r="M11" s="24"/>
      <c r="N11" s="24"/>
      <c r="O11" s="24"/>
      <c r="P11" s="24"/>
      <c r="Q11" s="24"/>
      <c r="R11" s="24"/>
      <c r="S11" s="24"/>
      <c r="T11" s="24"/>
      <c r="U11" s="24"/>
      <c r="V11" s="24"/>
      <c r="W11" s="24"/>
      <c r="X11" s="24"/>
      <c r="Y11" s="24"/>
      <c r="Z11" s="24"/>
      <c r="AA11" s="24"/>
      <c r="AB11" s="24"/>
      <c r="AC11" s="24"/>
      <c r="AD11" s="24"/>
      <c r="AE11" s="24"/>
      <c r="AF11" s="24"/>
      <c r="AG11" s="24"/>
    </row>
    <row r="12" spans="1:33" ht="25.5" customHeight="1">
      <c r="A12" s="24"/>
      <c r="B12" s="24"/>
      <c r="C12" s="50" t="b">
        <f>CHOOSE(contam_type,'Standard Inputs'!AV12,'Standard Inputs'!AV28,'Standard Inputs'!AV44,'Standard Inputs'!AV60,'Standard Inputs'!AV76,'Standard Inputs'!AV92,'Standard Inputs'!AV108,'Standard Inputs'!AV124,'Standard Inputs'!AV140,'Standard Inputs'!AV156,'Standard Inputs'!AV172,'Standard Inputs'!AV188,'Standard Inputs'!AV204,'Standard Inputs'!AV220,'Standard Inputs'!AV236,'Standard Inputs'!AV252,'Standard Inputs'!AV268,'Standard Inputs'!AV284)</f>
        <v>1</v>
      </c>
      <c r="D12" s="50" t="b">
        <f>CHOOSE(contam_type,'Standard Inputs'!AW12,'Standard Inputs'!AW28,'Standard Inputs'!AW44,'Standard Inputs'!AW60,'Standard Inputs'!AW76,'Standard Inputs'!AW92,'Standard Inputs'!AW108,'Standard Inputs'!AW124,'Standard Inputs'!AW140,'Standard Inputs'!AW156,'Standard Inputs'!AW172,'Standard Inputs'!AW188,'Standard Inputs'!AW204,'Standard Inputs'!AW220,'Standard Inputs'!AW236,'Standard Inputs'!AW252,'Standard Inputs'!AW268,'Standard Inputs'!AW284)</f>
        <v>1</v>
      </c>
      <c r="E12" s="303" t="s">
        <v>1024</v>
      </c>
      <c r="F12" s="107"/>
      <c r="G12" s="109"/>
      <c r="H12" s="954" t="str">
        <f t="shared" si="0"/>
        <v>&lt;- Using this design</v>
      </c>
      <c r="I12" s="106"/>
      <c r="J12" s="106"/>
      <c r="K12" s="106"/>
      <c r="L12" s="24"/>
      <c r="M12" s="24"/>
      <c r="N12" s="24"/>
      <c r="O12" s="24"/>
      <c r="P12" s="24"/>
      <c r="Q12" s="24"/>
      <c r="R12" s="24"/>
      <c r="S12" s="24"/>
      <c r="T12" s="24"/>
      <c r="U12" s="24"/>
      <c r="V12" s="24"/>
      <c r="W12" s="24"/>
      <c r="X12" s="24"/>
      <c r="Y12" s="24"/>
      <c r="Z12" s="24"/>
      <c r="AA12" s="24"/>
      <c r="AB12" s="24"/>
      <c r="AC12" s="24"/>
      <c r="AD12" s="24"/>
      <c r="AE12" s="24"/>
      <c r="AF12" s="24"/>
      <c r="AG12" s="24"/>
    </row>
    <row r="13" spans="1:33" ht="25.5" customHeight="1">
      <c r="A13" s="24"/>
      <c r="B13" s="24"/>
      <c r="C13" s="50" t="b">
        <f>CHOOSE(contam_type,'Standard Inputs'!AV13,'Standard Inputs'!AV29,'Standard Inputs'!AV45,'Standard Inputs'!AV61,'Standard Inputs'!AV77,'Standard Inputs'!AV93,'Standard Inputs'!AV109,'Standard Inputs'!AV125,'Standard Inputs'!AV141,'Standard Inputs'!AV157,'Standard Inputs'!AV173,'Standard Inputs'!AV189,'Standard Inputs'!AV205,'Standard Inputs'!AV221,'Standard Inputs'!AV237,'Standard Inputs'!AV253,'Standard Inputs'!AV269,'Standard Inputs'!AV285)</f>
        <v>0</v>
      </c>
      <c r="D13" s="50" t="b">
        <f>CHOOSE(contam_type,'Standard Inputs'!AW13,'Standard Inputs'!AW29,'Standard Inputs'!AW45,'Standard Inputs'!AW61,'Standard Inputs'!AW77,'Standard Inputs'!AW93,'Standard Inputs'!AW109,'Standard Inputs'!AW125,'Standard Inputs'!AW141,'Standard Inputs'!AW157,'Standard Inputs'!AW173,'Standard Inputs'!AW189,'Standard Inputs'!AW205,'Standard Inputs'!AW221,'Standard Inputs'!AW237,'Standard Inputs'!AW253,'Standard Inputs'!AW269,'Standard Inputs'!AW285)</f>
        <v>0</v>
      </c>
      <c r="E13" s="302"/>
      <c r="F13" s="107"/>
      <c r="G13" s="109"/>
      <c r="H13" s="954" t="str">
        <f t="shared" si="0"/>
        <v/>
      </c>
      <c r="I13" s="106"/>
      <c r="J13" s="106"/>
      <c r="K13" s="106"/>
      <c r="L13" s="24"/>
      <c r="M13" s="24"/>
      <c r="N13" s="24"/>
      <c r="O13" s="24"/>
      <c r="P13" s="24"/>
      <c r="Q13" s="24"/>
      <c r="R13" s="24"/>
      <c r="S13" s="24"/>
      <c r="T13" s="24"/>
      <c r="U13" s="24"/>
      <c r="V13" s="24"/>
      <c r="W13" s="24"/>
      <c r="X13" s="24"/>
      <c r="Y13" s="24"/>
      <c r="Z13" s="24"/>
      <c r="AA13" s="24"/>
      <c r="AB13" s="24"/>
      <c r="AC13" s="24"/>
      <c r="AD13" s="24"/>
      <c r="AE13" s="24"/>
      <c r="AF13" s="24"/>
      <c r="AG13" s="24"/>
    </row>
    <row r="14" spans="1:33" ht="25.5" customHeight="1">
      <c r="A14" s="24"/>
      <c r="B14" s="24"/>
      <c r="C14" s="50" t="b">
        <f>CHOOSE(contam_type,'Standard Inputs'!AV14,'Standard Inputs'!AV30,'Standard Inputs'!AV46,'Standard Inputs'!AV62,'Standard Inputs'!AV78,'Standard Inputs'!AV94,'Standard Inputs'!AV110,'Standard Inputs'!AV126,'Standard Inputs'!AV142,'Standard Inputs'!AV158,'Standard Inputs'!AV174,'Standard Inputs'!AV190,'Standard Inputs'!AV206,'Standard Inputs'!AV222,'Standard Inputs'!AV238,'Standard Inputs'!AV254,'Standard Inputs'!AV270,'Standard Inputs'!AV286)</f>
        <v>0</v>
      </c>
      <c r="D14" s="50" t="b">
        <f>CHOOSE(contam_type,'Standard Inputs'!AW14,'Standard Inputs'!AW30,'Standard Inputs'!AW46,'Standard Inputs'!AW62,'Standard Inputs'!AW78,'Standard Inputs'!AW94,'Standard Inputs'!AW110,'Standard Inputs'!AW126,'Standard Inputs'!AW142,'Standard Inputs'!AW158,'Standard Inputs'!AW174,'Standard Inputs'!AW190,'Standard Inputs'!AW206,'Standard Inputs'!AW222,'Standard Inputs'!AW238,'Standard Inputs'!AW254,'Standard Inputs'!AW270,'Standard Inputs'!AW286)</f>
        <v>0</v>
      </c>
      <c r="E14" s="304" t="s">
        <v>1025</v>
      </c>
      <c r="F14" s="107"/>
      <c r="G14" s="109"/>
      <c r="H14" s="954" t="str">
        <f t="shared" si="0"/>
        <v/>
      </c>
      <c r="I14" s="106"/>
      <c r="J14" s="106"/>
      <c r="K14" s="106"/>
      <c r="L14" s="24"/>
      <c r="M14" s="24"/>
      <c r="N14" s="24"/>
      <c r="O14" s="24"/>
      <c r="P14" s="24"/>
      <c r="Q14" s="24"/>
      <c r="R14" s="24"/>
      <c r="S14" s="24"/>
      <c r="T14" s="24"/>
      <c r="U14" s="24"/>
      <c r="V14" s="24"/>
      <c r="W14" s="24"/>
      <c r="X14" s="24"/>
      <c r="Y14" s="24"/>
      <c r="Z14" s="24"/>
      <c r="AA14" s="24"/>
      <c r="AB14" s="24"/>
      <c r="AC14" s="24"/>
      <c r="AD14" s="24"/>
      <c r="AE14" s="24"/>
      <c r="AF14" s="24"/>
      <c r="AG14" s="24"/>
    </row>
    <row r="15" spans="1:33" ht="25.5" customHeight="1">
      <c r="A15" s="24"/>
      <c r="B15" s="24"/>
      <c r="C15" s="50" t="b">
        <f>CHOOSE(contam_type,'Standard Inputs'!AV15,'Standard Inputs'!AV31,'Standard Inputs'!AV47,'Standard Inputs'!AV63,'Standard Inputs'!AV79,'Standard Inputs'!AV95,'Standard Inputs'!AV111,'Standard Inputs'!AV127,'Standard Inputs'!AV143,'Standard Inputs'!AV159,'Standard Inputs'!AV175,'Standard Inputs'!AV191,'Standard Inputs'!AV207,'Standard Inputs'!AV223,'Standard Inputs'!AV239,'Standard Inputs'!AV255,'Standard Inputs'!AV271,'Standard Inputs'!AV287)</f>
        <v>0</v>
      </c>
      <c r="D15" s="50" t="b">
        <f>CHOOSE(contam_type,'Standard Inputs'!AW15,'Standard Inputs'!AW31,'Standard Inputs'!AW47,'Standard Inputs'!AW63,'Standard Inputs'!AW79,'Standard Inputs'!AW95,'Standard Inputs'!AW111,'Standard Inputs'!AW127,'Standard Inputs'!AW143,'Standard Inputs'!AW159,'Standard Inputs'!AW175,'Standard Inputs'!AW191,'Standard Inputs'!AW207,'Standard Inputs'!AW223,'Standard Inputs'!AW239,'Standard Inputs'!AW255,'Standard Inputs'!AW271,'Standard Inputs'!AW287)</f>
        <v>0</v>
      </c>
      <c r="E15" s="106"/>
      <c r="F15" s="107"/>
      <c r="G15" s="109"/>
      <c r="H15" s="954" t="str">
        <f t="shared" si="0"/>
        <v/>
      </c>
      <c r="I15" s="106"/>
      <c r="J15" s="106"/>
      <c r="K15" s="106"/>
      <c r="L15" s="24"/>
      <c r="M15" s="24"/>
      <c r="N15" s="24"/>
      <c r="O15" s="24"/>
      <c r="P15" s="24"/>
      <c r="Q15" s="24"/>
      <c r="R15" s="24"/>
      <c r="S15" s="24"/>
      <c r="T15" s="24"/>
      <c r="U15" s="24"/>
      <c r="V15" s="24"/>
      <c r="W15" s="24"/>
      <c r="X15" s="24"/>
      <c r="Y15" s="24"/>
      <c r="Z15" s="24"/>
      <c r="AA15" s="24"/>
      <c r="AB15" s="24"/>
      <c r="AC15" s="24"/>
      <c r="AD15" s="24"/>
      <c r="AE15" s="24"/>
      <c r="AF15" s="24"/>
      <c r="AG15" s="24"/>
    </row>
    <row r="16" spans="1:33" ht="25.5" customHeight="1">
      <c r="A16" s="24"/>
      <c r="B16" s="24"/>
      <c r="C16" s="50" t="b">
        <f>CHOOSE(contam_type,'Standard Inputs'!AV16,'Standard Inputs'!AV32,'Standard Inputs'!AV48,'Standard Inputs'!AV64,'Standard Inputs'!AV80,'Standard Inputs'!AV96,'Standard Inputs'!AV112,'Standard Inputs'!AV128,'Standard Inputs'!AV144,'Standard Inputs'!AV160,'Standard Inputs'!AV176,'Standard Inputs'!AV192,'Standard Inputs'!AV208,'Standard Inputs'!AV224,'Standard Inputs'!AV240,'Standard Inputs'!AV256,'Standard Inputs'!AV272,'Standard Inputs'!AV288)</f>
        <v>0</v>
      </c>
      <c r="D16" s="50" t="b">
        <f>CHOOSE(contam_type,'Standard Inputs'!AW16,'Standard Inputs'!AW32,'Standard Inputs'!AW48,'Standard Inputs'!AW64,'Standard Inputs'!AW80,'Standard Inputs'!AW96,'Standard Inputs'!AW112,'Standard Inputs'!AW128,'Standard Inputs'!AW144,'Standard Inputs'!AW160,'Standard Inputs'!AW176,'Standard Inputs'!AW192,'Standard Inputs'!AW208,'Standard Inputs'!AW224,'Standard Inputs'!AW240,'Standard Inputs'!AW256,'Standard Inputs'!AW272,'Standard Inputs'!AW288)</f>
        <v>0</v>
      </c>
      <c r="E16" s="106"/>
      <c r="F16" s="107"/>
      <c r="G16" s="109"/>
      <c r="H16" s="954" t="str">
        <f t="shared" si="0"/>
        <v/>
      </c>
      <c r="I16" s="106"/>
      <c r="J16" s="106"/>
      <c r="K16" s="106"/>
      <c r="L16" s="24"/>
      <c r="M16" s="24"/>
      <c r="N16" s="24"/>
      <c r="O16" s="24"/>
      <c r="P16" s="24"/>
      <c r="Q16" s="24"/>
      <c r="R16" s="24"/>
      <c r="S16" s="24"/>
      <c r="T16" s="24"/>
      <c r="U16" s="24"/>
      <c r="V16" s="24"/>
      <c r="W16" s="24"/>
      <c r="X16" s="24"/>
      <c r="Y16" s="24"/>
      <c r="Z16" s="24"/>
      <c r="AA16" s="24"/>
      <c r="AB16" s="24"/>
      <c r="AC16" s="24"/>
      <c r="AD16" s="24"/>
      <c r="AE16" s="24"/>
      <c r="AF16" s="24"/>
      <c r="AG16" s="24"/>
    </row>
    <row r="17" spans="1:33" ht="25.5" customHeight="1">
      <c r="A17" s="24"/>
      <c r="B17" s="24"/>
      <c r="C17" s="24"/>
      <c r="D17" s="24"/>
      <c r="E17" s="106"/>
      <c r="F17" s="107"/>
      <c r="G17" s="111"/>
      <c r="H17" s="955" t="str">
        <f>IF(COUNTIF(H9:H16,"")=8,"Using a manual design","")</f>
        <v/>
      </c>
      <c r="I17" s="456" t="str">
        <f>IF(COUNTIF(H9:H16,"")=8,"Fill in all gold cells below, then consider using AutoSize button","")</f>
        <v/>
      </c>
      <c r="J17" s="106"/>
      <c r="K17" s="106"/>
      <c r="L17" s="24"/>
      <c r="M17" s="24"/>
      <c r="N17" s="24"/>
      <c r="O17" s="24"/>
      <c r="P17" s="24"/>
      <c r="Q17" s="24"/>
      <c r="R17" s="24"/>
      <c r="S17" s="24"/>
      <c r="T17" s="24"/>
      <c r="U17" s="24"/>
      <c r="V17" s="24"/>
      <c r="W17" s="24"/>
      <c r="X17" s="24"/>
      <c r="Y17" s="24"/>
      <c r="Z17" s="24"/>
      <c r="AA17" s="24"/>
      <c r="AB17" s="24"/>
      <c r="AC17" s="24"/>
      <c r="AD17" s="24"/>
      <c r="AE17" s="24"/>
      <c r="AF17" s="24"/>
      <c r="AG17" s="24"/>
    </row>
    <row r="18" spans="1:33">
      <c r="A18" s="24"/>
      <c r="B18" s="24"/>
      <c r="C18" s="24"/>
      <c r="D18" s="24"/>
      <c r="E18" s="112" t="s">
        <v>582</v>
      </c>
      <c r="F18" s="107"/>
      <c r="G18" s="106"/>
      <c r="H18" s="106"/>
      <c r="I18" s="106"/>
      <c r="J18" s="106"/>
      <c r="K18" s="106"/>
      <c r="L18" s="24"/>
      <c r="M18" s="24"/>
      <c r="N18" s="24"/>
      <c r="O18" s="24"/>
      <c r="P18" s="24"/>
      <c r="Q18" s="24"/>
      <c r="R18" s="24"/>
      <c r="S18" s="24"/>
      <c r="T18" s="24"/>
      <c r="U18" s="24"/>
      <c r="V18" s="24"/>
      <c r="W18" s="24"/>
      <c r="X18" s="24"/>
      <c r="Y18" s="24"/>
      <c r="Z18" s="24"/>
      <c r="AA18" s="24"/>
      <c r="AB18" s="24"/>
      <c r="AC18" s="24"/>
      <c r="AD18" s="24"/>
      <c r="AE18" s="24"/>
      <c r="AF18" s="24"/>
      <c r="AG18" s="24"/>
    </row>
    <row r="19" spans="1:33" ht="12.75" customHeight="1">
      <c r="A19" s="24"/>
      <c r="B19" s="24"/>
      <c r="C19" s="24"/>
      <c r="D19" s="24"/>
      <c r="E19" s="113" t="s">
        <v>1027</v>
      </c>
      <c r="F19" s="107"/>
      <c r="G19" s="1140" t="str">
        <f>IF(C20,IF('Standard Inputs'!AS299,"Input Complete -- Results Ready","Input Complete -- Press 'Generate Results'"),"Input Incomplete -- Check for Error Messages Below")</f>
        <v>Input Complete -- Results Ready</v>
      </c>
      <c r="H19" s="1141"/>
      <c r="I19" s="1144" t="str">
        <f>IF(C20,"","Fill in all gold cells below. If errors persist, consider using AutoSize button.")</f>
        <v/>
      </c>
      <c r="J19" s="106"/>
      <c r="K19" s="106"/>
      <c r="L19" s="24"/>
      <c r="M19" s="24"/>
      <c r="N19" s="24"/>
      <c r="O19" s="24"/>
      <c r="P19" s="24"/>
      <c r="Q19" s="24"/>
      <c r="R19" s="24"/>
      <c r="S19" s="24"/>
      <c r="T19" s="24"/>
      <c r="U19" s="24"/>
      <c r="V19" s="24"/>
      <c r="W19" s="24"/>
      <c r="X19" s="24"/>
      <c r="Y19" s="24"/>
      <c r="Z19" s="24"/>
      <c r="AA19" s="24"/>
      <c r="AB19" s="24"/>
      <c r="AC19" s="24"/>
      <c r="AD19" s="24"/>
      <c r="AE19" s="24"/>
      <c r="AF19" s="24"/>
      <c r="AG19" s="24"/>
    </row>
    <row r="20" spans="1:33" ht="32.25" customHeight="1">
      <c r="A20" s="24"/>
      <c r="B20" s="24"/>
      <c r="C20" s="24" t="b">
        <f>AND(C34,C43,C53,C65:C70,C78:C81,C89,C104,C114)</f>
        <v>1</v>
      </c>
      <c r="D20" s="24"/>
      <c r="E20" s="114" t="s">
        <v>1028</v>
      </c>
      <c r="F20" s="107"/>
      <c r="G20" s="1142"/>
      <c r="H20" s="1143"/>
      <c r="I20" s="1144"/>
      <c r="J20" s="106"/>
      <c r="K20" s="106"/>
      <c r="L20" s="24"/>
      <c r="M20" s="24"/>
      <c r="N20" s="24"/>
      <c r="O20" s="24"/>
      <c r="P20" s="24"/>
      <c r="Q20" s="24"/>
      <c r="R20" s="24"/>
      <c r="S20" s="24"/>
      <c r="T20" s="24"/>
      <c r="U20" s="24"/>
      <c r="V20" s="24"/>
      <c r="W20" s="24"/>
      <c r="X20" s="24"/>
      <c r="Y20" s="24"/>
      <c r="Z20" s="24"/>
      <c r="AA20" s="24"/>
      <c r="AB20" s="24"/>
      <c r="AC20" s="24"/>
      <c r="AD20" s="24"/>
      <c r="AE20" s="24"/>
      <c r="AF20" s="24"/>
      <c r="AG20" s="24"/>
    </row>
    <row r="21" spans="1:33">
      <c r="A21" s="24"/>
      <c r="B21" s="24"/>
      <c r="C21" s="24"/>
      <c r="D21" s="24"/>
      <c r="E21" s="106"/>
      <c r="F21" s="107"/>
      <c r="G21" s="106"/>
      <c r="H21" s="106"/>
      <c r="I21" s="106"/>
      <c r="J21" s="106"/>
      <c r="K21" s="106"/>
      <c r="L21" s="24"/>
      <c r="M21" s="24"/>
      <c r="N21" s="24"/>
      <c r="O21" s="24"/>
      <c r="P21" s="24"/>
      <c r="Q21" s="24"/>
      <c r="R21" s="24"/>
      <c r="S21" s="24"/>
      <c r="T21" s="24"/>
      <c r="U21" s="24"/>
      <c r="V21" s="24"/>
      <c r="W21" s="24"/>
      <c r="X21" s="24"/>
      <c r="Y21" s="24"/>
      <c r="Z21" s="24"/>
      <c r="AA21" s="24"/>
      <c r="AB21" s="24"/>
      <c r="AC21" s="24"/>
      <c r="AD21" s="24"/>
      <c r="AE21" s="24"/>
      <c r="AF21" s="24"/>
      <c r="AG21" s="24"/>
    </row>
    <row r="22" spans="1:33" ht="12.75" customHeight="1">
      <c r="A22" s="24"/>
      <c r="B22" s="24"/>
      <c r="C22" s="24"/>
      <c r="D22" s="24"/>
      <c r="E22" s="115" t="s">
        <v>583</v>
      </c>
      <c r="F22"/>
      <c r="G22" s="106"/>
      <c r="H22" s="24"/>
      <c r="I22" s="381" t="s">
        <v>2136</v>
      </c>
      <c r="J22" s="106"/>
      <c r="K22" s="106"/>
      <c r="L22" s="24"/>
      <c r="M22" s="24"/>
      <c r="N22" s="24"/>
      <c r="O22" s="24"/>
      <c r="P22" s="24"/>
      <c r="Q22" s="24"/>
      <c r="R22" s="24"/>
      <c r="S22" s="24"/>
      <c r="T22" s="24"/>
      <c r="U22" s="24"/>
      <c r="V22" s="24"/>
      <c r="W22" s="24"/>
      <c r="X22" s="24"/>
      <c r="Y22" s="24"/>
      <c r="Z22" s="24"/>
      <c r="AA22" s="24"/>
      <c r="AB22" s="24"/>
      <c r="AC22" s="24"/>
      <c r="AD22" s="24"/>
      <c r="AE22" s="24"/>
      <c r="AF22" s="24"/>
      <c r="AG22" s="24"/>
    </row>
    <row r="23" spans="1:33" ht="12.75" customHeight="1">
      <c r="A23" s="24"/>
      <c r="B23" s="24"/>
      <c r="C23" s="24"/>
      <c r="D23" s="24"/>
      <c r="E23" s="578" t="str">
        <f>IF(G19="input complete -- results ready","Results are ready (no need to click button)","Click here to generate results --&gt;")</f>
        <v>Results are ready (no need to click button)</v>
      </c>
      <c r="F23" s="289"/>
      <c r="G23" s="106"/>
      <c r="H23" s="24"/>
      <c r="I23" s="382" t="str">
        <f>"Direct Capital Cost: " &amp; IF(input_status&lt;&gt;"input complete -- results ready","Input incomplete",IF(Missing_Cost,"Missing cost!",IF(cost_buildup_error,"Cost buildup error!",IF(ISERROR(direct_cost),"Calculation error!",TEXT(direct_cost,"$0,0")))))</f>
        <v>Direct Capital Cost: $68,799</v>
      </c>
      <c r="J23" s="106"/>
      <c r="K23" s="106"/>
      <c r="L23" s="24"/>
      <c r="M23" s="24"/>
      <c r="N23" s="24"/>
      <c r="O23" s="24"/>
      <c r="P23" s="24"/>
      <c r="Q23" s="24"/>
      <c r="R23" s="24"/>
      <c r="S23" s="24"/>
      <c r="T23" s="24"/>
      <c r="U23" s="24"/>
      <c r="V23" s="24"/>
      <c r="W23" s="24"/>
      <c r="X23" s="24"/>
      <c r="Y23" s="24"/>
      <c r="Z23" s="24"/>
      <c r="AA23" s="24"/>
      <c r="AB23" s="24"/>
      <c r="AC23" s="24"/>
      <c r="AD23" s="24"/>
      <c r="AE23" s="24"/>
      <c r="AF23" s="24"/>
      <c r="AG23" s="24"/>
    </row>
    <row r="24" spans="1:33">
      <c r="A24" s="24"/>
      <c r="B24" s="24"/>
      <c r="C24" s="24"/>
      <c r="D24" s="24"/>
      <c r="E24" s="106"/>
      <c r="F24" s="107"/>
      <c r="G24" s="106"/>
      <c r="H24" s="24"/>
      <c r="I24" s="383" t="str">
        <f ca="1">"Total Capital Cost: " &amp; IF(input_status&lt;&gt;"input complete -- results ready","Input incomplete",IF(Missing_Cost,"Missing cost!",IF(cost_buildup_error,"Cost buildup error!",IF(ISERROR(system_cost),"Calculation error!",TEXT(system_cost,"$0,0")))))</f>
        <v>Total Capital Cost: Calculation error!</v>
      </c>
      <c r="J24" s="106"/>
      <c r="K24" s="106"/>
      <c r="L24" s="24"/>
      <c r="M24" s="24"/>
      <c r="N24" s="24"/>
      <c r="O24" s="24"/>
      <c r="P24" s="24"/>
      <c r="Q24" s="24"/>
      <c r="R24" s="24"/>
      <c r="S24" s="24"/>
      <c r="T24" s="24"/>
      <c r="U24" s="24"/>
      <c r="V24" s="24"/>
      <c r="W24" s="24"/>
      <c r="X24" s="24"/>
      <c r="Y24" s="24"/>
      <c r="Z24" s="24"/>
      <c r="AA24" s="24"/>
      <c r="AB24" s="24"/>
      <c r="AC24" s="24"/>
      <c r="AD24" s="24"/>
      <c r="AE24" s="24"/>
      <c r="AF24" s="24"/>
      <c r="AG24" s="24"/>
    </row>
    <row r="25" spans="1:33">
      <c r="A25" s="24"/>
      <c r="B25" s="24"/>
      <c r="C25" s="24"/>
      <c r="D25" s="24"/>
      <c r="E25" s="106"/>
      <c r="F25" s="107"/>
      <c r="G25" s="106"/>
      <c r="H25" s="24"/>
      <c r="I25" s="382" t="str">
        <f>"Annual O&amp;M Cost: "&amp;IF(G19="input complete -- results ready",IF(ISERROR(OM_cost),"Calculation error!",TEXT(OM_cost,"$0,0")),"Input incomplete")</f>
        <v>Annual O&amp;M Cost: $18,053</v>
      </c>
      <c r="J25" s="106"/>
      <c r="K25" s="106"/>
      <c r="L25" s="24"/>
      <c r="M25" s="24"/>
      <c r="N25" s="24"/>
      <c r="O25" s="24"/>
      <c r="P25" s="24"/>
      <c r="Q25" s="24"/>
      <c r="R25" s="24"/>
      <c r="S25" s="24"/>
      <c r="T25" s="24"/>
      <c r="U25" s="24"/>
      <c r="V25" s="24"/>
      <c r="W25" s="24"/>
      <c r="X25" s="24"/>
      <c r="Y25" s="24"/>
      <c r="Z25" s="24"/>
      <c r="AA25" s="24"/>
      <c r="AB25" s="24"/>
      <c r="AC25" s="24"/>
      <c r="AD25" s="24"/>
      <c r="AE25" s="24"/>
      <c r="AF25" s="24"/>
      <c r="AG25" s="24"/>
    </row>
    <row r="26" spans="1:33">
      <c r="A26" s="24"/>
      <c r="B26" s="24"/>
      <c r="C26" s="24"/>
      <c r="D26" s="24"/>
      <c r="E26" s="116" t="s">
        <v>1029</v>
      </c>
      <c r="F26" s="107"/>
      <c r="G26" s="106"/>
      <c r="H26" s="106"/>
      <c r="I26" s="547" t="str">
        <f ca="1">"Annualized Cost: "&amp;IF(input_status&lt;&gt;"input complete -- results ready","Input incomplete",IF(Missing_Cost,"Missing Price!",IF(cost_buildup_error,"Cost buildup error!",IF(ISERROR(Annualized_Cost),"Calculation error!",TEXT(Annualized_Cost,"$0,0")&amp;" ("&amp;useful_life&amp;" years at "&amp;Discount_rate*100&amp;"%)"))))</f>
        <v>Annualized Cost: Calculation error!</v>
      </c>
      <c r="J26" s="548"/>
      <c r="K26" s="548"/>
      <c r="L26" s="548"/>
      <c r="M26" s="24"/>
      <c r="N26" s="24"/>
      <c r="O26" s="24"/>
      <c r="P26" s="24"/>
      <c r="Q26" s="24"/>
      <c r="R26" s="24"/>
      <c r="S26" s="24"/>
      <c r="T26" s="24"/>
      <c r="U26" s="24"/>
      <c r="V26" s="24"/>
      <c r="W26" s="24"/>
      <c r="X26" s="24"/>
      <c r="Y26" s="24"/>
      <c r="Z26" s="24"/>
      <c r="AA26" s="24"/>
      <c r="AB26" s="24"/>
      <c r="AC26" s="24"/>
      <c r="AD26" s="24"/>
      <c r="AE26" s="24"/>
      <c r="AF26" s="24"/>
      <c r="AG26" s="24"/>
    </row>
    <row r="27" spans="1:33">
      <c r="A27" s="24"/>
      <c r="B27" s="24"/>
      <c r="C27" s="24"/>
      <c r="D27" s="24"/>
      <c r="E27" s="117" t="s">
        <v>1030</v>
      </c>
      <c r="F27" s="107"/>
      <c r="G27" s="106"/>
      <c r="H27" s="106"/>
      <c r="I27" s="928"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J27" s="549"/>
      <c r="K27" s="549"/>
      <c r="L27" s="549"/>
      <c r="M27" s="24"/>
      <c r="N27" s="24"/>
      <c r="O27" s="24"/>
      <c r="P27" s="24"/>
      <c r="Q27" s="24"/>
      <c r="R27" s="24"/>
      <c r="S27" s="24"/>
      <c r="T27" s="24"/>
      <c r="U27" s="24"/>
      <c r="V27" s="24"/>
      <c r="W27" s="24"/>
      <c r="X27" s="24"/>
      <c r="Y27" s="24"/>
      <c r="Z27" s="24"/>
      <c r="AA27" s="24"/>
      <c r="AB27" s="24"/>
      <c r="AC27" s="24"/>
      <c r="AD27" s="24"/>
      <c r="AE27" s="24"/>
      <c r="AF27" s="24"/>
      <c r="AG27" s="24"/>
    </row>
    <row r="28" spans="1:33">
      <c r="A28" s="24"/>
      <c r="B28" s="458" t="s">
        <v>993</v>
      </c>
      <c r="C28" s="458" t="s">
        <v>994</v>
      </c>
      <c r="D28" s="458" t="s">
        <v>995</v>
      </c>
      <c r="E28" s="132"/>
      <c r="F28" s="133"/>
      <c r="G28" s="134"/>
      <c r="H28" s="118" t="s">
        <v>1031</v>
      </c>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row>
    <row r="29" spans="1:33">
      <c r="A29" s="24"/>
      <c r="B29" s="6"/>
      <c r="C29" s="6"/>
      <c r="D29" s="6"/>
      <c r="E29" s="305" t="s">
        <v>433</v>
      </c>
      <c r="F29" s="306" t="s">
        <v>227</v>
      </c>
      <c r="G29" s="307">
        <v>0.74</v>
      </c>
      <c r="H29" s="311" t="s">
        <v>226</v>
      </c>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row>
    <row r="30" spans="1:33">
      <c r="A30" s="24"/>
      <c r="B30" s="6"/>
      <c r="C30" s="6"/>
      <c r="D30" s="6"/>
      <c r="E30" s="308" t="s">
        <v>434</v>
      </c>
      <c r="F30" s="309" t="s">
        <v>231</v>
      </c>
      <c r="G30" s="310">
        <v>0.251</v>
      </c>
      <c r="H30" s="129" t="s">
        <v>226</v>
      </c>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row>
    <row r="31" spans="1:33">
      <c r="A31" s="24"/>
      <c r="B31" s="6"/>
      <c r="C31" s="6"/>
      <c r="D31" s="6"/>
      <c r="E31" s="136" t="s">
        <v>1034</v>
      </c>
      <c r="F31" s="57"/>
      <c r="G31" s="119"/>
      <c r="H31" s="120"/>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row>
    <row r="32" spans="1:33">
      <c r="A32" s="24"/>
      <c r="B32" s="6"/>
      <c r="C32" s="6"/>
      <c r="D32" s="6"/>
      <c r="E32" s="124" t="s">
        <v>1035</v>
      </c>
      <c r="F32" s="131"/>
      <c r="G32" s="125">
        <f>IF(ISERROR(design_flow),"",IF(df_units="gpm",design_flow_rate, design_flow))</f>
        <v>0.74</v>
      </c>
      <c r="H32" s="126" t="str">
        <f>df_units</f>
        <v>MGD</v>
      </c>
      <c r="I32"/>
      <c r="J32" s="24"/>
      <c r="K32" s="24"/>
      <c r="L32" s="24"/>
      <c r="M32" s="24"/>
      <c r="N32" s="24"/>
      <c r="O32" s="24"/>
      <c r="P32" s="24"/>
      <c r="Q32" s="24"/>
      <c r="R32" s="24"/>
      <c r="S32" s="24"/>
      <c r="T32" s="24"/>
      <c r="U32" s="24"/>
      <c r="V32" s="24"/>
      <c r="W32" s="24"/>
      <c r="X32" s="24"/>
      <c r="Y32" s="24"/>
      <c r="Z32" s="24"/>
      <c r="AA32" s="24"/>
      <c r="AB32" s="24"/>
      <c r="AC32" s="24"/>
      <c r="AD32" s="24"/>
      <c r="AE32" s="24"/>
      <c r="AF32" s="24"/>
      <c r="AG32" s="24"/>
    </row>
    <row r="33" spans="1:33">
      <c r="A33" s="24"/>
      <c r="B33" s="6"/>
      <c r="C33" s="6"/>
      <c r="D33" s="6"/>
      <c r="E33" s="124" t="s">
        <v>2296</v>
      </c>
      <c r="F33" s="131"/>
      <c r="G33" s="125">
        <f>IF(ISERROR(design_flow),"",IF(df_units="gpm",bp_flow_rate, bp_flow_rate*60*24/10^6))</f>
        <v>0</v>
      </c>
      <c r="H33" s="126" t="str">
        <f>df_units</f>
        <v>MGD</v>
      </c>
      <c r="I33" s="221" t="str">
        <f>"Current bypass percentage is "&amp;TEXT(bp_pct,"0%")&amp;".  Go to Critical Design Assumptions (link below) to change this value."</f>
        <v>Current bypass percentage is 0%.  Go to Critical Design Assumptions (link below) to change this value.</v>
      </c>
      <c r="J33" s="24"/>
      <c r="K33" s="24"/>
      <c r="L33" s="24"/>
      <c r="M33" s="24"/>
      <c r="N33" s="24"/>
      <c r="O33" s="24"/>
      <c r="P33" s="24"/>
      <c r="Q33" s="24"/>
      <c r="R33" s="24"/>
      <c r="S33" s="24"/>
      <c r="T33" s="24"/>
      <c r="U33" s="24"/>
      <c r="V33" s="24"/>
      <c r="W33" s="24"/>
      <c r="X33" s="24"/>
      <c r="Y33" s="24"/>
      <c r="Z33" s="24"/>
      <c r="AA33" s="24"/>
      <c r="AB33" s="24"/>
      <c r="AC33" s="24"/>
      <c r="AD33" s="24"/>
      <c r="AE33" s="24"/>
      <c r="AF33" s="24"/>
      <c r="AG33" s="24"/>
    </row>
    <row r="34" spans="1:33">
      <c r="A34" s="24"/>
      <c r="B34" s="6"/>
      <c r="C34" t="b">
        <f>IF(OR(df_units="",af_units=""),FALSE,IF(average_flow&gt;design_flow,FALSE,IF(OR(design_flow_I=0,average_flow_I=0),FALSE,IF(average_flow_I&lt;design_flow_I*min_avg_flow,FALSE,TRUE))))</f>
        <v>1</v>
      </c>
      <c r="D34" t="str">
        <f>IF(OR(df_units="",af_units=""),"Choose units for design and average flow",IF(average_flow&gt;design_flow,"The average flow should not be greater than the design flow",IF(OR(design_flow_I=0,average_flow_I=0),"Input incomplete",IF(average_flow_I&lt;design_flow_I*min_avg_flow,"The averageflow must be at least "&amp;min_avg_flow&amp;"times design flow","OK"))))</f>
        <v>OK</v>
      </c>
      <c r="E34" s="127"/>
      <c r="F34" s="87"/>
      <c r="G34" s="121"/>
      <c r="H34" s="460" t="str">
        <f>IF(C34,"System size inputs OK",D34)</f>
        <v>System size inputs OK</v>
      </c>
      <c r="I34" s="296" t="s">
        <v>2889</v>
      </c>
      <c r="J34" s="24"/>
      <c r="K34" s="24"/>
      <c r="L34" s="24"/>
      <c r="M34" s="24"/>
      <c r="N34" s="24"/>
      <c r="O34" s="24"/>
      <c r="P34" s="24"/>
      <c r="Q34" s="24"/>
      <c r="R34" s="24"/>
      <c r="S34" s="24"/>
      <c r="T34" s="24"/>
      <c r="U34" s="24"/>
      <c r="V34" s="24"/>
      <c r="W34" s="24"/>
      <c r="X34" s="24"/>
      <c r="Y34" s="24"/>
      <c r="Z34" s="24"/>
      <c r="AA34" s="24"/>
      <c r="AB34" s="24"/>
      <c r="AC34" s="24"/>
      <c r="AD34" s="24"/>
      <c r="AE34" s="24"/>
      <c r="AF34" s="24"/>
      <c r="AG34" s="24"/>
    </row>
    <row r="35" spans="1:33">
      <c r="A35" s="24"/>
      <c r="B35" s="6"/>
      <c r="C35" s="6"/>
      <c r="D35" s="6"/>
      <c r="E35" s="324"/>
      <c r="F35" s="57"/>
      <c r="G35" s="119"/>
      <c r="H35" s="325"/>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row>
    <row r="36" spans="1:33" ht="25.5" customHeight="1">
      <c r="A36" s="24"/>
      <c r="B36"/>
      <c r="C36" t="b">
        <f>NOT(freund_type_I="")</f>
        <v>1</v>
      </c>
      <c r="D36"/>
      <c r="E36" s="312" t="s">
        <v>3312</v>
      </c>
      <c r="F36" s="313" t="s">
        <v>3313</v>
      </c>
      <c r="G36" s="323" t="s">
        <v>440</v>
      </c>
      <c r="H36" s="314" t="s">
        <v>2224</v>
      </c>
      <c r="I36" s="1135" t="s">
        <v>2806</v>
      </c>
      <c r="J36" s="1147"/>
      <c r="K36" s="1147"/>
      <c r="L36" s="1147"/>
      <c r="M36" s="1147"/>
      <c r="N36" s="1136"/>
      <c r="O36" s="1136"/>
      <c r="P36" s="144"/>
      <c r="Q36" s="144"/>
      <c r="R36" s="24"/>
      <c r="S36" s="24"/>
      <c r="T36" s="24"/>
      <c r="U36" s="24"/>
      <c r="V36" s="24"/>
      <c r="W36" s="24"/>
      <c r="X36" s="24"/>
      <c r="Y36" s="24"/>
      <c r="Z36" s="24"/>
      <c r="AA36" s="24"/>
      <c r="AB36" s="24"/>
      <c r="AC36" s="24"/>
      <c r="AD36" s="24"/>
      <c r="AE36" s="24"/>
      <c r="AF36" s="24"/>
      <c r="AG36" s="24"/>
    </row>
    <row r="37" spans="1:33">
      <c r="A37" s="24"/>
      <c r="B37"/>
      <c r="C37" t="b">
        <f>NOT(freund_1="")</f>
        <v>1</v>
      </c>
      <c r="D37"/>
      <c r="E37" s="315" t="str">
        <f>CHOOSE(freund_type,"   Carbon life","   1st Freundlich constant (Kf)","   Sorption capacity","   Carbon life")</f>
        <v xml:space="preserve">   Carbon life</v>
      </c>
      <c r="F37" s="316" t="s">
        <v>334</v>
      </c>
      <c r="G37" s="345">
        <v>12</v>
      </c>
      <c r="H37" s="318" t="str">
        <f>CHOOSE(freund_type,"months","(ug/g)(L/ug)^(1/n)","mg/g","bed volumes")</f>
        <v>months</v>
      </c>
      <c r="I37" s="1135"/>
      <c r="J37" s="1147"/>
      <c r="K37" s="1147"/>
      <c r="L37" s="1147"/>
      <c r="M37" s="1147"/>
      <c r="N37" s="1136"/>
      <c r="O37" s="1136"/>
      <c r="P37" s="24"/>
      <c r="Q37" s="24"/>
      <c r="R37" s="24"/>
      <c r="S37" s="24"/>
      <c r="T37" s="24"/>
      <c r="U37" s="24"/>
      <c r="V37" s="24"/>
      <c r="W37" s="24"/>
      <c r="X37" s="24"/>
      <c r="Y37" s="24"/>
      <c r="Z37" s="24"/>
      <c r="AA37" s="24"/>
      <c r="AB37" s="24"/>
      <c r="AC37" s="24"/>
      <c r="AD37" s="24"/>
      <c r="AE37" s="24"/>
      <c r="AF37" s="24"/>
      <c r="AG37" s="24"/>
    </row>
    <row r="38" spans="1:33">
      <c r="A38" s="24"/>
      <c r="B38" t="b">
        <f>OR(freund_type=2,freund_type=3)</f>
        <v>0</v>
      </c>
      <c r="C38" t="b">
        <f>IF(B38,NOT(freund_2=""),TRUE)</f>
        <v>1</v>
      </c>
      <c r="D38"/>
      <c r="E38" s="315" t="str">
        <f>CHOOSE(freund_type,"   no additonal input required","   2nd Freundlich constant (1/n)","   Bohart and Adams quasi-chemical rate constant (k)","   no additonal input required")</f>
        <v xml:space="preserve">   no additonal input required</v>
      </c>
      <c r="F38" s="316" t="s">
        <v>335</v>
      </c>
      <c r="G38" s="345"/>
      <c r="H38" s="318" t="str">
        <f>CHOOSE(freund_type,"not required","dimensionless","L/mg-sec","not required")</f>
        <v>not required</v>
      </c>
      <c r="I38" s="1135"/>
      <c r="J38" s="1147"/>
      <c r="K38" s="1147"/>
      <c r="L38" s="1147"/>
      <c r="M38" s="1147"/>
      <c r="N38" s="1136"/>
      <c r="O38" s="1136"/>
      <c r="P38" s="24"/>
      <c r="Q38" s="24"/>
      <c r="R38" s="24"/>
      <c r="S38" s="24"/>
      <c r="T38" s="24"/>
      <c r="U38" s="24"/>
      <c r="V38" s="24"/>
      <c r="W38" s="24"/>
      <c r="X38" s="24"/>
      <c r="Y38" s="24"/>
      <c r="Z38" s="24"/>
      <c r="AA38" s="24"/>
      <c r="AB38" s="24"/>
      <c r="AC38" s="24"/>
      <c r="AD38" s="24"/>
      <c r="AE38" s="24"/>
      <c r="AF38" s="24"/>
      <c r="AG38" s="24"/>
    </row>
    <row r="39" spans="1:33">
      <c r="A39" s="24"/>
      <c r="B39" t="b">
        <f>OR(freund_type=2,freund_type=3)</f>
        <v>0</v>
      </c>
      <c r="C39" t="b">
        <f>IF(B39,NOT(C_0=""),TRUE)</f>
        <v>1</v>
      </c>
      <c r="D39"/>
      <c r="E39" s="315" t="str">
        <f>CHOOSE(freund_type,"   no additonal input required","   Influent concentration","   Influent concentration","   no additonal input required")</f>
        <v xml:space="preserve">   no additonal input required</v>
      </c>
      <c r="F39" s="316" t="s">
        <v>336</v>
      </c>
      <c r="G39" s="345"/>
      <c r="H39" s="318" t="str">
        <f>CHOOSE(freund_type,"not required","mg/L","mg/L","not required")</f>
        <v>not required</v>
      </c>
      <c r="I39" s="1135"/>
      <c r="J39" s="1147"/>
      <c r="K39" s="1147"/>
      <c r="L39" s="1147"/>
      <c r="M39" s="1147"/>
      <c r="N39" s="1136"/>
      <c r="O39" s="1136"/>
      <c r="P39" s="24"/>
      <c r="Q39" s="24"/>
      <c r="R39" s="24"/>
      <c r="S39" s="24"/>
      <c r="T39" s="24"/>
      <c r="U39" s="24"/>
      <c r="V39" s="24"/>
      <c r="W39" s="24"/>
      <c r="X39" s="24"/>
      <c r="Y39" s="24"/>
      <c r="Z39" s="24"/>
      <c r="AA39" s="24"/>
      <c r="AB39" s="24"/>
      <c r="AC39" s="24"/>
      <c r="AD39" s="24"/>
      <c r="AE39" s="24"/>
      <c r="AF39" s="24"/>
      <c r="AG39" s="24"/>
    </row>
    <row r="40" spans="1:33">
      <c r="A40" s="24"/>
      <c r="B40" t="b">
        <f>OR(freund_type=2,freund_type=3)</f>
        <v>0</v>
      </c>
      <c r="C40" t="b">
        <f>IF(B40,NOT(C_b=""),TRUE)</f>
        <v>1</v>
      </c>
      <c r="D40"/>
      <c r="E40" s="315" t="str">
        <f>CHOOSE(freund_type,"   no additonal input required","   Breakthrough concentration","   Breakthrough concentration","   no additonal input required")</f>
        <v xml:space="preserve">   no additonal input required</v>
      </c>
      <c r="F40" s="316" t="s">
        <v>337</v>
      </c>
      <c r="G40" s="345"/>
      <c r="H40" s="318" t="str">
        <f>CHOOSE(freund_type,"not required","mg/L","mg/L","not required")</f>
        <v>not required</v>
      </c>
      <c r="I40" s="1135"/>
      <c r="J40" s="1147"/>
      <c r="K40" s="1147"/>
      <c r="L40" s="1147"/>
      <c r="M40" s="1147"/>
      <c r="N40" s="1136"/>
      <c r="O40" s="1136"/>
      <c r="P40" s="24"/>
      <c r="Q40" s="24"/>
      <c r="R40" s="24"/>
      <c r="S40" s="24"/>
      <c r="T40" s="24"/>
      <c r="U40" s="24"/>
      <c r="V40" s="24"/>
      <c r="W40" s="24"/>
      <c r="X40" s="24"/>
      <c r="Y40" s="24"/>
      <c r="Z40" s="24"/>
      <c r="AA40" s="24"/>
      <c r="AB40" s="24"/>
      <c r="AC40" s="24"/>
      <c r="AD40" s="24"/>
      <c r="AE40" s="24"/>
      <c r="AF40" s="24"/>
      <c r="AG40" s="24"/>
    </row>
    <row r="41" spans="1:33" ht="15.75" customHeight="1">
      <c r="A41" s="24"/>
      <c r="B41"/>
      <c r="C41"/>
      <c r="D41"/>
      <c r="E41" s="123" t="s">
        <v>1034</v>
      </c>
      <c r="F41" s="320"/>
      <c r="G41" s="346"/>
      <c r="H41" s="347"/>
      <c r="I41" s="200"/>
      <c r="J41" s="199"/>
      <c r="K41" s="199"/>
      <c r="L41" s="201"/>
      <c r="M41" s="199"/>
      <c r="N41" s="199"/>
      <c r="O41" s="24"/>
      <c r="P41" s="24"/>
      <c r="Q41" s="24"/>
      <c r="R41" s="24"/>
      <c r="S41" s="24"/>
      <c r="T41" s="24"/>
      <c r="U41" s="24"/>
      <c r="V41" s="24"/>
      <c r="W41" s="24"/>
      <c r="X41" s="24"/>
      <c r="Y41" s="24"/>
      <c r="Z41" s="24"/>
      <c r="AA41" s="24"/>
      <c r="AB41" s="24"/>
      <c r="AC41" s="24"/>
      <c r="AD41" s="24"/>
      <c r="AE41" s="24"/>
      <c r="AF41" s="24"/>
      <c r="AG41" s="24"/>
    </row>
    <row r="42" spans="1:33">
      <c r="A42" s="24"/>
      <c r="B42"/>
      <c r="C42"/>
      <c r="D42"/>
      <c r="E42" s="124" t="s">
        <v>3316</v>
      </c>
      <c r="F42" s="137"/>
      <c r="G42" s="139">
        <f>IF(AND(C43,NOT(ISERROR(bed_life))),bed_life,"")</f>
        <v>12</v>
      </c>
      <c r="H42" s="322" t="s">
        <v>2597</v>
      </c>
      <c r="I42" s="200"/>
      <c r="J42" s="199"/>
      <c r="K42" s="199"/>
      <c r="L42" s="201"/>
      <c r="M42" s="199"/>
      <c r="N42" s="199"/>
      <c r="O42" s="24"/>
      <c r="P42" s="24"/>
      <c r="Q42" s="24"/>
      <c r="R42" s="24"/>
      <c r="S42" s="24"/>
      <c r="T42" s="24"/>
      <c r="U42" s="24"/>
      <c r="V42" s="24"/>
      <c r="W42" s="24"/>
      <c r="X42" s="24"/>
      <c r="Y42" s="24"/>
      <c r="Z42" s="24"/>
      <c r="AA42" s="24"/>
      <c r="AB42" s="24"/>
      <c r="AC42" s="24"/>
      <c r="AD42" s="24"/>
      <c r="AE42" s="24"/>
      <c r="AF42" s="24"/>
      <c r="AG42" s="24"/>
    </row>
    <row r="43" spans="1:33" ht="15.75" customHeight="1">
      <c r="A43" s="24"/>
      <c r="B43"/>
      <c r="C43" t="b">
        <f>IF(NOT(AND(C36,C37,C38,C39,C40)),FALSE,IF(AND(EBCT_type=2,OR(freund_type=2,freund_type=3)),IF(C_0&lt;&gt;EBCT_I,FALSE,TRUE),TRUE))</f>
        <v>1</v>
      </c>
      <c r="D43" s="200" t="str">
        <f>IF(NOT(AND(C36,C37,C38,C39,C40)),"Carbon life input incomplete",IF(AND(EBCT_type=2,OR(freund_type=2,freund_type=3)),IF(C_0&lt;&gt;EBCT_I,"Warning: Influent concentration should be the same as entered for EBCT calculation","Carbon life input OK"),"OK"))</f>
        <v>OK</v>
      </c>
      <c r="E43" s="173"/>
      <c r="F43" s="159"/>
      <c r="G43" s="86"/>
      <c r="H43" s="165" t="str">
        <f>IF(C43,"Carbon input OK",D43)</f>
        <v>Carbon input OK</v>
      </c>
      <c r="I43" s="198" t="str">
        <f>IF(OR(freund_type=1,freund_type=4),"",IF(OR(freund_type=2,freund_type=3),"Guidance: Low calculated value may indicate unsuitability of GAC as a treatment technique.",""))</f>
        <v/>
      </c>
      <c r="J43" s="199"/>
      <c r="K43" s="199"/>
      <c r="L43" s="199"/>
      <c r="M43" s="199"/>
      <c r="N43" s="199"/>
      <c r="O43" s="24"/>
      <c r="P43" s="24"/>
      <c r="Q43" s="24"/>
      <c r="R43" s="24"/>
      <c r="S43" s="24"/>
      <c r="T43" s="24"/>
      <c r="U43" s="24"/>
      <c r="V43" s="24"/>
      <c r="W43" s="24"/>
      <c r="X43" s="24"/>
      <c r="Y43" s="24"/>
      <c r="Z43" s="24"/>
      <c r="AA43" s="24"/>
      <c r="AB43" s="24"/>
      <c r="AC43" s="24"/>
      <c r="AD43" s="24"/>
      <c r="AE43" s="24"/>
      <c r="AF43" s="24"/>
      <c r="AG43" s="24"/>
    </row>
    <row r="44" spans="1:33">
      <c r="A44" s="24"/>
      <c r="B44" s="6"/>
      <c r="C44" s="6"/>
      <c r="D44" s="6"/>
      <c r="E44" s="24"/>
      <c r="F44" s="117"/>
      <c r="G44" s="133"/>
      <c r="H44" s="24"/>
      <c r="I44" s="199"/>
      <c r="J44" s="199"/>
      <c r="K44" s="199"/>
      <c r="L44" s="199"/>
      <c r="M44" s="199"/>
      <c r="N44" s="199"/>
      <c r="O44" s="24"/>
      <c r="P44" s="24"/>
      <c r="Q44" s="24"/>
      <c r="R44" s="24"/>
      <c r="S44" s="24"/>
      <c r="T44" s="24"/>
      <c r="U44" s="24"/>
      <c r="V44" s="24"/>
      <c r="W44" s="24"/>
      <c r="X44" s="24"/>
      <c r="Y44" s="24"/>
      <c r="Z44" s="24"/>
      <c r="AA44" s="24"/>
      <c r="AB44" s="24"/>
      <c r="AC44" s="24"/>
      <c r="AD44" s="24"/>
      <c r="AE44" s="24"/>
      <c r="AF44" s="24"/>
      <c r="AG44" s="24"/>
    </row>
    <row r="45" spans="1:33" ht="24.75" customHeight="1">
      <c r="A45" s="24"/>
      <c r="B45"/>
      <c r="C45" t="b">
        <f>NOT(EBCT_type_I="")</f>
        <v>1</v>
      </c>
      <c r="D45"/>
      <c r="E45" s="312" t="s">
        <v>2226</v>
      </c>
      <c r="F45" s="313" t="s">
        <v>2225</v>
      </c>
      <c r="G45" s="323" t="s">
        <v>232</v>
      </c>
      <c r="H45" s="314" t="s">
        <v>2224</v>
      </c>
      <c r="I45" s="299" t="str">
        <f>IF(EBCT_type&lt;&gt;3,"Warning: use this method for radon only","")</f>
        <v/>
      </c>
      <c r="J45" s="199"/>
      <c r="K45" s="199"/>
      <c r="L45" s="199"/>
      <c r="M45" s="199"/>
      <c r="N45" s="199"/>
      <c r="O45" s="24"/>
      <c r="P45" s="24"/>
      <c r="Q45" s="24"/>
      <c r="R45" s="24"/>
      <c r="S45" s="24"/>
      <c r="T45" s="24"/>
      <c r="U45" s="24"/>
      <c r="V45" s="24"/>
      <c r="W45" s="24"/>
      <c r="X45" s="24"/>
      <c r="Y45" s="24"/>
      <c r="Z45" s="24"/>
      <c r="AA45" s="24"/>
      <c r="AB45" s="24"/>
      <c r="AC45" s="24"/>
      <c r="AD45" s="24"/>
      <c r="AE45" s="24"/>
      <c r="AF45" s="24"/>
      <c r="AG45" s="24"/>
    </row>
    <row r="46" spans="1:33" ht="14">
      <c r="A46" s="24"/>
      <c r="B46"/>
      <c r="C46" t="b">
        <f>NOT(EBCT_I="")</f>
        <v>1</v>
      </c>
      <c r="D46"/>
      <c r="E46" s="332" t="str">
        <f>IF(EBCT_type=1,"   Percent removal",IF(EBCT_type=2,"   Influent concentration",IF(EBCT_type=3,"   Total Theoretical Empty Bed Contact Time (EBCT)","")))</f>
        <v xml:space="preserve">   Total Theoretical Empty Bed Contact Time (EBCT)</v>
      </c>
      <c r="F46" s="316" t="s">
        <v>3062</v>
      </c>
      <c r="G46" s="333">
        <v>4</v>
      </c>
      <c r="H46" s="334" t="str">
        <f>IF(EBCT_type=1,"enter percentage as fraction",IF(EBCT_type=2,"mg/l",IF(EBCT_type=3,"minutes","")))</f>
        <v>minutes</v>
      </c>
      <c r="I46" s="1146" t="s">
        <v>2888</v>
      </c>
      <c r="J46" s="1147"/>
      <c r="K46" s="1147"/>
      <c r="L46" s="1147"/>
      <c r="M46" s="1147"/>
      <c r="N46" s="1136"/>
      <c r="O46" s="1136"/>
      <c r="P46" s="24"/>
      <c r="Q46" s="24"/>
      <c r="R46" s="24"/>
      <c r="S46" s="24"/>
      <c r="T46" s="24"/>
      <c r="U46" s="24"/>
      <c r="V46" s="24"/>
      <c r="W46" s="24"/>
      <c r="X46" s="24"/>
      <c r="Y46" s="24"/>
      <c r="Z46" s="24"/>
      <c r="AA46" s="24"/>
      <c r="AB46" s="24"/>
      <c r="AC46" s="24"/>
      <c r="AD46" s="24"/>
      <c r="AE46" s="24"/>
      <c r="AF46" s="24"/>
      <c r="AG46" s="24"/>
    </row>
    <row r="47" spans="1:33">
      <c r="A47" s="24"/>
      <c r="B47" t="b">
        <f>EBCT_type=2</f>
        <v>0</v>
      </c>
      <c r="C47" t="b">
        <f>IF(B47,NOT(EBCT_O=""),TRUE)</f>
        <v>1</v>
      </c>
      <c r="D47"/>
      <c r="E47" s="315" t="str">
        <f>IF(EBCT_type=1,"   no additonal input required",IF(EBCT_type=2,"   Desired effluent concentration",IF(EBCT_type=3,"   no additonal input required","   no additonal input required")))</f>
        <v xml:space="preserve">   no additonal input required</v>
      </c>
      <c r="F47" s="316" t="s">
        <v>3063</v>
      </c>
      <c r="G47" s="317"/>
      <c r="H47" s="318" t="str">
        <f>IF(EBCT_type&lt;&gt;2,"not required","mg/l")</f>
        <v>not required</v>
      </c>
      <c r="I47" s="1146"/>
      <c r="J47" s="1147"/>
      <c r="K47" s="1147"/>
      <c r="L47" s="1147"/>
      <c r="M47" s="1147"/>
      <c r="N47" s="1136"/>
      <c r="O47" s="1136"/>
      <c r="P47" s="24"/>
      <c r="Q47" s="24"/>
      <c r="R47" s="24"/>
      <c r="S47" s="24"/>
      <c r="T47" s="24"/>
      <c r="U47" s="24"/>
      <c r="V47" s="24"/>
      <c r="W47" s="24"/>
      <c r="X47" s="24"/>
      <c r="Y47" s="24"/>
      <c r="Z47" s="24"/>
      <c r="AA47" s="24"/>
      <c r="AB47" s="24"/>
      <c r="AC47" s="24"/>
      <c r="AD47" s="24"/>
      <c r="AE47" s="24"/>
      <c r="AF47" s="24"/>
      <c r="AG47" s="24"/>
    </row>
    <row r="48" spans="1:33">
      <c r="A48" s="24"/>
      <c r="B48" t="b">
        <f>EBCT_type&lt;&gt;3</f>
        <v>0</v>
      </c>
      <c r="C48" t="b">
        <f>IF(B48,NOT(Kss=""),TRUE)</f>
        <v>1</v>
      </c>
      <c r="D48"/>
      <c r="E48" s="319" t="str">
        <f>IF(OR(EBCT_type=1,EBCT_type=2),"   Steady state system constant (Kss)",IF(EBCT_type=3,"   no additonal input required","   no additonal input required"))</f>
        <v xml:space="preserve">   no additonal input required</v>
      </c>
      <c r="F48" s="316" t="s">
        <v>3064</v>
      </c>
      <c r="G48" s="317"/>
      <c r="H48" s="318" t="str">
        <f>IF(EBCT_type=3,"not required","1/hrs")</f>
        <v>not required</v>
      </c>
      <c r="I48" s="1146"/>
      <c r="J48" s="1147"/>
      <c r="K48" s="1147"/>
      <c r="L48" s="1147"/>
      <c r="M48" s="1147"/>
      <c r="N48" s="1136"/>
      <c r="O48" s="1136"/>
      <c r="P48" s="24"/>
      <c r="Q48" s="24"/>
      <c r="R48" s="24"/>
      <c r="S48" s="24"/>
      <c r="T48" s="24"/>
      <c r="U48" s="24"/>
      <c r="V48" s="24"/>
      <c r="W48" s="24"/>
      <c r="X48" s="24"/>
      <c r="Y48" s="24"/>
      <c r="Z48" s="24"/>
      <c r="AA48" s="24"/>
      <c r="AB48" s="24"/>
      <c r="AC48" s="24"/>
      <c r="AD48" s="24"/>
      <c r="AE48" s="24"/>
      <c r="AF48" s="24"/>
      <c r="AG48" s="24"/>
    </row>
    <row r="49" spans="1:33" ht="25.5" customHeight="1">
      <c r="A49" s="24"/>
      <c r="B49" t="b">
        <f>IF(design_type=1,TRUE,FALSE)</f>
        <v>1</v>
      </c>
      <c r="C49" t="b">
        <f>IF(B49,NOT(Num_tanks_I=""),TRUE)</f>
        <v>1</v>
      </c>
      <c r="D49"/>
      <c r="E49" s="328" t="s">
        <v>1295</v>
      </c>
      <c r="F49" s="329" t="s">
        <v>3320</v>
      </c>
      <c r="G49" s="330">
        <v>1</v>
      </c>
      <c r="H49" s="327" t="s">
        <v>3317</v>
      </c>
      <c r="I49" s="331" t="str">
        <f>IF(design_type=1,"Consider multiple vessels in series for long EBCTs (&gt;10 minutes)","Parallel operation only for gravity systems")</f>
        <v>Consider multiple vessels in series for long EBCTs (&gt;10 minutes)</v>
      </c>
      <c r="J49" s="199"/>
      <c r="K49" s="203"/>
      <c r="L49" s="204"/>
      <c r="M49" s="205"/>
      <c r="N49" s="199"/>
      <c r="O49" s="144"/>
      <c r="P49" s="144"/>
      <c r="Q49" s="144"/>
      <c r="R49" s="24"/>
      <c r="S49" s="24"/>
      <c r="T49" s="24"/>
      <c r="U49" s="24"/>
      <c r="V49" s="24"/>
      <c r="W49" s="24"/>
      <c r="X49" s="24"/>
      <c r="Y49" s="24"/>
      <c r="Z49" s="24"/>
      <c r="AA49" s="24"/>
      <c r="AB49" s="24"/>
      <c r="AC49" s="24"/>
      <c r="AD49" s="24"/>
      <c r="AE49" s="24"/>
      <c r="AF49" s="24"/>
      <c r="AG49" s="24"/>
    </row>
    <row r="50" spans="1:33">
      <c r="A50" s="24"/>
      <c r="B50"/>
      <c r="C50"/>
      <c r="D50"/>
      <c r="E50" s="123" t="s">
        <v>1034</v>
      </c>
      <c r="F50" s="320"/>
      <c r="G50" s="297"/>
      <c r="H50" s="321"/>
      <c r="I50" s="298"/>
      <c r="J50" s="299"/>
      <c r="K50" s="299"/>
      <c r="L50" s="299"/>
      <c r="M50" s="299"/>
      <c r="N50" s="299"/>
      <c r="O50" s="24"/>
      <c r="P50" s="24"/>
      <c r="Q50" s="24"/>
      <c r="R50" s="24"/>
      <c r="S50" s="24"/>
      <c r="T50" s="24"/>
      <c r="U50" s="24"/>
      <c r="V50" s="24"/>
      <c r="W50" s="24"/>
      <c r="X50" s="24"/>
      <c r="Y50" s="24"/>
      <c r="Z50" s="24"/>
      <c r="AA50" s="24"/>
      <c r="AB50" s="24"/>
      <c r="AC50" s="24"/>
      <c r="AD50" s="24"/>
      <c r="AE50" s="24"/>
      <c r="AF50" s="24"/>
      <c r="AG50" s="24"/>
    </row>
    <row r="51" spans="1:33">
      <c r="A51" s="24"/>
      <c r="B51"/>
      <c r="C51"/>
      <c r="D51"/>
      <c r="E51" s="124" t="s">
        <v>232</v>
      </c>
      <c r="F51" s="137"/>
      <c r="G51" s="130">
        <f>IF(C53,EBCT,"")</f>
        <v>4</v>
      </c>
      <c r="H51" s="322" t="s">
        <v>2301</v>
      </c>
      <c r="I51" s="199"/>
      <c r="J51" s="199"/>
      <c r="K51" s="199"/>
      <c r="L51" s="199"/>
      <c r="M51" s="199"/>
      <c r="N51" s="199"/>
      <c r="O51" s="24"/>
      <c r="P51" s="24"/>
      <c r="Q51" s="24"/>
      <c r="R51" s="24"/>
      <c r="S51" s="24"/>
      <c r="T51" s="24"/>
      <c r="U51" s="24"/>
      <c r="V51" s="24"/>
      <c r="W51" s="24"/>
      <c r="X51" s="24"/>
      <c r="Y51" s="24"/>
      <c r="Z51" s="24"/>
      <c r="AA51" s="24"/>
      <c r="AB51" s="24"/>
      <c r="AC51" s="24"/>
      <c r="AD51" s="24"/>
      <c r="AE51" s="24"/>
      <c r="AF51" s="24"/>
      <c r="AG51" s="24"/>
    </row>
    <row r="52" spans="1:33">
      <c r="A52" s="24"/>
      <c r="B52"/>
      <c r="C52"/>
      <c r="D52"/>
      <c r="E52" s="124" t="s">
        <v>3315</v>
      </c>
      <c r="F52" s="137"/>
      <c r="G52" s="130">
        <f>IF(C53,IF(design_type=1,EBCT_tank,EBCT),"")</f>
        <v>4</v>
      </c>
      <c r="H52" s="322" t="s">
        <v>2301</v>
      </c>
      <c r="I52" s="199"/>
      <c r="J52" s="199"/>
      <c r="K52" s="199"/>
      <c r="L52" s="199"/>
      <c r="M52" s="199"/>
      <c r="N52" s="199"/>
      <c r="O52" s="24"/>
      <c r="P52" s="24"/>
      <c r="Q52" s="24"/>
      <c r="R52" s="24"/>
      <c r="S52" s="24"/>
      <c r="T52" s="24"/>
      <c r="U52" s="24"/>
      <c r="V52" s="24"/>
      <c r="W52" s="24"/>
      <c r="X52" s="24"/>
      <c r="Y52" s="24"/>
      <c r="Z52" s="24"/>
      <c r="AA52" s="24"/>
      <c r="AB52" s="24"/>
      <c r="AC52" s="24"/>
      <c r="AD52" s="24"/>
      <c r="AE52" s="24"/>
      <c r="AF52" s="24"/>
      <c r="AG52" s="24"/>
    </row>
    <row r="53" spans="1:33">
      <c r="A53" s="24"/>
      <c r="B53"/>
      <c r="C53" t="b">
        <f>IF(NOT(AND(C45,C46,C47,C48,C49)),FALSE,IF(EBCT_type=1,IF(EBCT_I&gt;=1,FALSE,TRUE),IF(EBCT_type=2,IF(EBCT_O&gt;EBCT_I,FALSE,TRUE),TRUE)))</f>
        <v>1</v>
      </c>
      <c r="D53" t="str">
        <f>IF(NOT(AND(C45,C46,C47,C48,C49)),"Contaminant removal inputs incomplete",IF(EBCT_type=1,IF(EBCT_I&gt;=1,"Removal fraction cannot be greater than or equal to 1","OK"),IF(EBCT_type=2,IF(EBCT_O&gt;EBCT_I,"Effluent concentration cannot be greater than influent concentration","OK"),"OK")))</f>
        <v>OK</v>
      </c>
      <c r="E53" s="124"/>
      <c r="F53" s="137"/>
      <c r="G53" s="130"/>
      <c r="H53" s="326" t="str">
        <f>IF(C53,"Contaminant removal inputs OK",D53)</f>
        <v>Contaminant removal inputs OK</v>
      </c>
      <c r="I53" s="199"/>
      <c r="J53" s="199"/>
      <c r="K53" s="199"/>
      <c r="L53" s="199"/>
      <c r="M53" s="199"/>
      <c r="N53" s="199"/>
      <c r="O53" s="24"/>
      <c r="P53" s="24"/>
      <c r="Q53" s="24"/>
      <c r="R53" s="24"/>
      <c r="S53" s="24"/>
      <c r="T53" s="24"/>
      <c r="U53" s="24"/>
      <c r="V53" s="24"/>
      <c r="W53" s="24"/>
      <c r="X53" s="24"/>
      <c r="Y53" s="24"/>
      <c r="Z53" s="24"/>
      <c r="AA53" s="24"/>
      <c r="AB53" s="24"/>
      <c r="AC53" s="24"/>
      <c r="AD53" s="24"/>
      <c r="AE53" s="24"/>
      <c r="AF53" s="24"/>
      <c r="AG53" s="24"/>
    </row>
    <row r="54" spans="1:33">
      <c r="A54" s="24"/>
      <c r="B54"/>
      <c r="C54"/>
      <c r="D54"/>
      <c r="E54" s="461"/>
      <c r="F54" s="462"/>
      <c r="G54" s="463"/>
      <c r="H54" s="464"/>
      <c r="I54" s="199"/>
      <c r="J54" s="199"/>
      <c r="K54" s="199"/>
      <c r="L54" s="199"/>
      <c r="M54" s="199"/>
      <c r="N54" s="199"/>
      <c r="O54" s="24"/>
      <c r="P54" s="24"/>
      <c r="Q54" s="24"/>
      <c r="R54" s="24"/>
      <c r="S54" s="24"/>
      <c r="T54" s="24"/>
      <c r="U54" s="24"/>
      <c r="V54" s="24"/>
      <c r="W54" s="24"/>
      <c r="X54" s="24"/>
      <c r="Y54" s="24"/>
      <c r="Z54" s="24"/>
      <c r="AA54" s="24"/>
      <c r="AB54" s="24"/>
      <c r="AC54" s="24"/>
      <c r="AD54" s="24"/>
      <c r="AE54" s="24"/>
      <c r="AF54" s="24"/>
      <c r="AG54" s="24"/>
    </row>
    <row r="55" spans="1:33">
      <c r="A55" s="24"/>
      <c r="B55" s="6" t="b">
        <f>IF(design_type=1,TRUE,FALSE)</f>
        <v>1</v>
      </c>
      <c r="C55"/>
      <c r="D55"/>
      <c r="E55" s="468" t="s">
        <v>17</v>
      </c>
      <c r="F55" s="465"/>
      <c r="G55" s="466"/>
      <c r="H55" s="467"/>
      <c r="I55" s="199"/>
      <c r="J55" s="199"/>
      <c r="K55" s="199"/>
      <c r="L55" s="199"/>
      <c r="M55" s="199"/>
      <c r="N55" s="199"/>
      <c r="O55" s="24"/>
      <c r="P55" s="24"/>
      <c r="Q55" s="24"/>
      <c r="R55" s="24"/>
      <c r="S55" s="24"/>
      <c r="T55" s="24"/>
      <c r="U55" s="24"/>
      <c r="V55" s="24"/>
      <c r="W55" s="24"/>
      <c r="X55" s="24"/>
      <c r="Y55" s="24"/>
      <c r="Z55" s="24"/>
      <c r="AA55" s="24"/>
      <c r="AB55" s="24"/>
      <c r="AC55" s="24"/>
      <c r="AD55" s="24"/>
      <c r="AE55" s="24"/>
      <c r="AF55" s="24"/>
      <c r="AG55" s="24"/>
    </row>
    <row r="56" spans="1:33" ht="13.5" customHeight="1">
      <c r="A56" s="24"/>
      <c r="B56" s="6"/>
      <c r="C56" s="6"/>
      <c r="D56" s="6"/>
      <c r="E56" s="457" t="s">
        <v>242</v>
      </c>
      <c r="F56" s="131"/>
      <c r="G56" s="140"/>
      <c r="H56" s="141"/>
      <c r="I56" s="199"/>
      <c r="J56" s="199"/>
      <c r="K56" s="199"/>
      <c r="L56" s="199"/>
      <c r="M56" s="199"/>
      <c r="N56" s="199"/>
      <c r="O56" s="24"/>
      <c r="P56" s="24"/>
      <c r="Q56" s="24"/>
      <c r="R56" s="24"/>
      <c r="S56" s="24"/>
      <c r="T56" s="24"/>
      <c r="U56" s="24"/>
      <c r="V56" s="24"/>
      <c r="W56" s="24"/>
      <c r="X56" s="24"/>
      <c r="Y56" s="24"/>
      <c r="Z56" s="24"/>
      <c r="AA56" s="24"/>
      <c r="AB56" s="24"/>
      <c r="AC56" s="24"/>
      <c r="AD56" s="24"/>
      <c r="AE56" s="24"/>
      <c r="AF56" s="24"/>
      <c r="AG56" s="24"/>
    </row>
    <row r="57" spans="1:33">
      <c r="A57" s="24"/>
      <c r="B57" s="6"/>
      <c r="C57" s="6" t="b">
        <f>IF(NOT(B55),TRUE,NOT(bed_depth=""))</f>
        <v>1</v>
      </c>
      <c r="D57" s="6"/>
      <c r="E57" s="338" t="s">
        <v>2300</v>
      </c>
      <c r="F57" s="309" t="s">
        <v>2306</v>
      </c>
      <c r="G57" s="343">
        <v>4.9000000000000004</v>
      </c>
      <c r="H57" s="163" t="s">
        <v>2302</v>
      </c>
      <c r="I57" s="202" t="s">
        <v>1415</v>
      </c>
      <c r="J57" s="199"/>
      <c r="K57" s="199"/>
      <c r="L57" s="199"/>
      <c r="M57" s="199"/>
      <c r="N57" s="199"/>
      <c r="O57" s="24"/>
      <c r="P57" s="24"/>
      <c r="Q57" s="24"/>
      <c r="R57" s="24"/>
      <c r="S57" s="24"/>
      <c r="T57" s="24"/>
      <c r="U57" s="24"/>
      <c r="V57" s="24"/>
      <c r="W57" s="24"/>
      <c r="X57" s="24"/>
      <c r="Y57" s="24"/>
      <c r="Z57" s="24"/>
      <c r="AA57" s="24"/>
      <c r="AB57" s="24"/>
      <c r="AC57" s="24"/>
      <c r="AD57" s="24"/>
      <c r="AE57" s="24"/>
      <c r="AF57" s="24"/>
      <c r="AG57" s="24"/>
    </row>
    <row r="58" spans="1:33">
      <c r="A58" s="24"/>
      <c r="B58" s="6"/>
      <c r="C58" s="6" t="b">
        <f>IF(NOT(B55),TRUE,NOT(tank_geom_I=""))</f>
        <v>1</v>
      </c>
      <c r="D58" s="6"/>
      <c r="E58" s="339" t="s">
        <v>3318</v>
      </c>
      <c r="F58" s="340" t="s">
        <v>3285</v>
      </c>
      <c r="G58" s="341" t="s">
        <v>2139</v>
      </c>
      <c r="H58" s="150" t="s">
        <v>2224</v>
      </c>
      <c r="I58" s="936" t="s">
        <v>3440</v>
      </c>
      <c r="J58" s="199"/>
      <c r="K58" s="199"/>
      <c r="L58" s="199"/>
      <c r="M58" s="199"/>
      <c r="N58" s="199"/>
      <c r="O58" s="24"/>
      <c r="P58" s="24"/>
      <c r="Q58" s="24"/>
      <c r="R58" s="24"/>
      <c r="S58" s="24"/>
      <c r="T58" s="24"/>
      <c r="U58" s="24"/>
      <c r="V58" s="24"/>
      <c r="W58" s="24"/>
      <c r="X58" s="24"/>
      <c r="Y58" s="24"/>
      <c r="Z58" s="24"/>
      <c r="AA58" s="24"/>
      <c r="AB58" s="24"/>
      <c r="AC58" s="24"/>
      <c r="AD58" s="24"/>
      <c r="AE58" s="24"/>
      <c r="AF58" s="24"/>
      <c r="AG58" s="24"/>
    </row>
    <row r="59" spans="1:33">
      <c r="A59" s="24"/>
      <c r="B59" s="6"/>
      <c r="C59" s="6" t="b">
        <f>IF(NOT(B55),TRUE,NOT(comm_height_length=""))</f>
        <v>1</v>
      </c>
      <c r="D59" s="6"/>
      <c r="E59" s="342" t="str">
        <f>IF(tank_geom=1,"Height (straight)",IF(tank_geom=2,"Length (straight)",""))</f>
        <v>Height (straight)</v>
      </c>
      <c r="F59" s="340" t="s">
        <v>3030</v>
      </c>
      <c r="G59" s="343">
        <v>8</v>
      </c>
      <c r="H59" s="143" t="str">
        <f>IF(tank_geom&lt;&gt;"","feet","")</f>
        <v>feet</v>
      </c>
      <c r="I59" s="202" t="s">
        <v>3441</v>
      </c>
      <c r="J59" s="199"/>
      <c r="K59" s="199"/>
      <c r="L59" s="199"/>
      <c r="M59" s="199"/>
      <c r="N59" s="199"/>
      <c r="O59" s="24"/>
      <c r="P59" s="24"/>
      <c r="Q59" s="24"/>
      <c r="R59" s="24"/>
      <c r="S59" s="24"/>
      <c r="T59" s="24"/>
      <c r="U59" s="24"/>
      <c r="V59" s="24"/>
      <c r="W59" s="24"/>
      <c r="X59" s="24"/>
      <c r="Y59" s="24"/>
      <c r="Z59" s="24"/>
      <c r="AA59" s="24"/>
      <c r="AB59" s="24"/>
      <c r="AC59" s="24"/>
      <c r="AD59" s="24"/>
      <c r="AE59" s="24"/>
      <c r="AF59" s="24"/>
      <c r="AG59" s="24"/>
    </row>
    <row r="60" spans="1:33">
      <c r="A60" s="24"/>
      <c r="B60" s="6"/>
      <c r="C60" s="6" t="b">
        <f>IF(NOT(B55),TRUE,NOT(comm_diam=""))</f>
        <v>1</v>
      </c>
      <c r="D60" s="6"/>
      <c r="E60" s="342" t="str">
        <f>IF(tank_geom&lt;&gt;"","   Diameter","")</f>
        <v xml:space="preserve">   Diameter</v>
      </c>
      <c r="F60" s="340" t="s">
        <v>3031</v>
      </c>
      <c r="G60" s="344">
        <v>8.5</v>
      </c>
      <c r="H60" s="143" t="str">
        <f>IF(tank_geom&lt;&gt;"","feet","")</f>
        <v>feet</v>
      </c>
      <c r="I60" s="206" t="s">
        <v>3442</v>
      </c>
      <c r="J60" s="207"/>
      <c r="K60" s="207"/>
      <c r="L60" s="207"/>
      <c r="M60" s="199"/>
      <c r="N60" s="199"/>
      <c r="O60" s="24"/>
      <c r="P60" s="24"/>
      <c r="Q60" s="24"/>
      <c r="R60" s="24"/>
      <c r="S60" s="24"/>
      <c r="T60" s="24"/>
      <c r="U60" s="24"/>
      <c r="V60" s="24"/>
      <c r="W60" s="24"/>
      <c r="X60" s="24"/>
      <c r="Y60" s="24"/>
      <c r="Z60" s="24"/>
      <c r="AA60" s="24"/>
      <c r="AB60" s="24"/>
      <c r="AC60" s="24"/>
      <c r="AD60" s="24"/>
      <c r="AE60" s="24"/>
      <c r="AF60" s="24"/>
      <c r="AG60" s="24"/>
    </row>
    <row r="61" spans="1:33" ht="14">
      <c r="A61" s="24"/>
      <c r="B61" s="6"/>
      <c r="C61" s="6"/>
      <c r="D61" s="6"/>
      <c r="E61" s="147" t="s">
        <v>3286</v>
      </c>
      <c r="F61" s="131"/>
      <c r="G61" s="160"/>
      <c r="H61" s="162"/>
      <c r="I61" s="207"/>
      <c r="J61" s="207"/>
      <c r="K61" s="207"/>
      <c r="L61" s="207"/>
      <c r="M61" s="199"/>
      <c r="N61" s="199"/>
      <c r="O61" s="24"/>
      <c r="P61" s="24"/>
      <c r="Q61" s="24"/>
      <c r="R61" s="24"/>
      <c r="S61" s="24"/>
      <c r="T61" s="24"/>
      <c r="U61" s="24"/>
      <c r="V61" s="24"/>
      <c r="W61" s="24"/>
      <c r="X61" s="24"/>
      <c r="Y61" s="24"/>
      <c r="Z61" s="24"/>
      <c r="AA61" s="24"/>
      <c r="AB61" s="24"/>
      <c r="AC61" s="24"/>
      <c r="AD61" s="24"/>
      <c r="AE61" s="24"/>
      <c r="AF61" s="24"/>
      <c r="AG61" s="24"/>
    </row>
    <row r="62" spans="1:33" ht="14">
      <c r="A62" s="24"/>
      <c r="B62" s="6"/>
      <c r="C62" s="6"/>
      <c r="D62" s="6"/>
      <c r="E62" s="148" t="s">
        <v>3287</v>
      </c>
      <c r="F62" s="131"/>
      <c r="G62" s="161">
        <f>IF(OR(NOT(B55),ISERROR(num_treat_lines)),"",num_treat_lines)</f>
        <v>1</v>
      </c>
      <c r="H62" s="385" t="s">
        <v>3328</v>
      </c>
      <c r="I62" s="207"/>
      <c r="J62" s="207"/>
      <c r="K62" s="207"/>
      <c r="L62" s="207"/>
      <c r="M62" s="199"/>
      <c r="N62" s="199"/>
      <c r="O62" s="24"/>
      <c r="P62" s="24"/>
      <c r="Q62" s="24"/>
      <c r="R62" s="24"/>
      <c r="S62" s="24"/>
      <c r="T62" s="24"/>
      <c r="U62" s="24"/>
      <c r="V62" s="24"/>
      <c r="W62" s="24"/>
      <c r="X62" s="24"/>
      <c r="Y62" s="24"/>
      <c r="Z62" s="24"/>
      <c r="AA62" s="24"/>
      <c r="AB62" s="24"/>
      <c r="AC62" s="24"/>
      <c r="AD62" s="24"/>
      <c r="AE62" s="24"/>
      <c r="AF62" s="24"/>
      <c r="AG62" s="24"/>
    </row>
    <row r="63" spans="1:33" ht="14">
      <c r="A63" s="24"/>
      <c r="B63" s="6"/>
      <c r="C63" s="6"/>
      <c r="D63" s="6"/>
      <c r="E63" s="148" t="s">
        <v>2541</v>
      </c>
      <c r="F63" s="131"/>
      <c r="G63" s="160">
        <f>IF(OR(NOT(B55),ISERROR(op_num_tanks)),"",op_num_tanks)</f>
        <v>1</v>
      </c>
      <c r="H63" s="385" t="s">
        <v>2305</v>
      </c>
      <c r="I63" s="207"/>
      <c r="J63" s="207"/>
      <c r="K63" s="207"/>
      <c r="L63" s="207"/>
      <c r="M63" s="199"/>
      <c r="N63" s="199"/>
      <c r="O63" s="24"/>
      <c r="P63" s="24"/>
      <c r="Q63" s="24"/>
      <c r="R63" s="24"/>
      <c r="S63" s="24"/>
      <c r="T63" s="24"/>
      <c r="U63" s="24"/>
      <c r="V63" s="24"/>
      <c r="W63" s="24"/>
      <c r="X63" s="24"/>
      <c r="Y63" s="24"/>
      <c r="Z63" s="24"/>
      <c r="AA63" s="24"/>
      <c r="AB63" s="24"/>
      <c r="AC63" s="24"/>
      <c r="AD63" s="24"/>
      <c r="AE63" s="24"/>
      <c r="AF63" s="24"/>
      <c r="AG63" s="24"/>
    </row>
    <row r="64" spans="1:33">
      <c r="A64" s="24"/>
      <c r="B64" s="6"/>
      <c r="C64" s="6"/>
      <c r="D64" s="6"/>
      <c r="E64" s="149" t="s">
        <v>3319</v>
      </c>
      <c r="F64" s="131"/>
      <c r="G64" s="160">
        <f>IF(OR(NOT(B55),ISERROR(final_num_tanks)),"",final_num_tanks)</f>
        <v>1</v>
      </c>
      <c r="H64" s="385" t="s">
        <v>2305</v>
      </c>
      <c r="I64" s="169"/>
      <c r="J64" s="168"/>
      <c r="K64" s="168"/>
      <c r="L64" s="168"/>
      <c r="M64" s="24"/>
      <c r="N64" s="24"/>
      <c r="O64" s="24"/>
      <c r="P64" s="24"/>
      <c r="Q64" s="24"/>
      <c r="R64" s="24"/>
      <c r="S64" s="24"/>
      <c r="T64" s="24"/>
      <c r="U64" s="24"/>
      <c r="V64" s="24"/>
      <c r="W64" s="24"/>
      <c r="X64" s="24"/>
      <c r="Y64" s="24"/>
      <c r="Z64" s="24"/>
      <c r="AA64" s="24"/>
      <c r="AB64" s="24"/>
      <c r="AC64" s="24"/>
      <c r="AD64" s="24"/>
      <c r="AE64" s="24"/>
      <c r="AF64" s="24"/>
      <c r="AG64" s="24"/>
    </row>
    <row r="65" spans="1:33">
      <c r="A65" s="24"/>
      <c r="B65" s="6"/>
      <c r="C65" s="6" t="b">
        <f>IF(NOT(B55),TRUE,IF(NOT(AND(C57:C60)),FALSE,IF(bed_depth&gt;max_bed_depth,FALSE,IF(bed_depth&gt;2*comm_diam,FALSE,IF(bed_depth&lt;min_bed_depth,FALSE,TRUE)))))</f>
        <v>1</v>
      </c>
      <c r="D65" s="6" t="str">
        <f>IF(NOT(B55),"OK",IF(NOT(AND(C57:C60)),"Input incomplete",IF(bed_depth&gt;max_bed_depth,"Warning: bed depth too great",IF(bed_depth&gt;2*comm_diam,"Warning: bed depth should be less than twice the vessel diameter",IF(bed_depth&lt;min_bed_depth,"Warning: bed depth too shallow","OK")))))</f>
        <v>OK</v>
      </c>
      <c r="E65" s="157"/>
      <c r="F65" s="131"/>
      <c r="G65" s="140"/>
      <c r="H65" s="153" t="str">
        <f>IF(NOT(B55),"",IF(C65,"Bed Depth OK",D65))</f>
        <v>Bed Depth OK</v>
      </c>
      <c r="I65" s="388" t="s">
        <v>154</v>
      </c>
      <c r="J65" s="168"/>
      <c r="K65" s="168"/>
      <c r="L65" s="168"/>
      <c r="M65" s="24"/>
      <c r="N65" s="24"/>
      <c r="O65" s="24"/>
      <c r="P65" s="24"/>
      <c r="Q65" s="24"/>
      <c r="R65" s="24"/>
      <c r="S65" s="24"/>
      <c r="T65" s="24"/>
      <c r="U65" s="24"/>
      <c r="V65" s="24"/>
      <c r="W65" s="24"/>
      <c r="X65" s="24"/>
      <c r="Y65" s="24"/>
      <c r="Z65" s="24"/>
      <c r="AA65" s="24"/>
      <c r="AB65" s="24"/>
      <c r="AC65" s="24"/>
      <c r="AD65" s="24"/>
      <c r="AE65" s="24"/>
      <c r="AF65" s="24"/>
      <c r="AG65" s="24"/>
    </row>
    <row r="66" spans="1:33">
      <c r="A66" s="24"/>
      <c r="B66" s="6"/>
      <c r="C66" s="6" t="b">
        <f>IF(NOT(B55),TRUE,IF(NOT(AND(C57:C60)),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6" s="6" t="str">
        <f>IF(NOT(B55),"OK",IF(NOT(AND(C57:C60)),"",IF(tank_geom=1,IF(IF(AND(comm_diam&gt;=min_diam,comm_diam&lt;=max_diam_std_size),(OR(comm_height_length&gt;=max_comm_height,comm_height_length&gt;max_height)),comm_height_length&gt;max_height),"Warning: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high",IF(IF(AND(comm_diam&gt;=min_diam,comm_diam&lt;=max_diam_std_size),(AND(comm_height_length&gt;=min_comm_height,comm_height_length&gt;=height)),comm_height_length&gt;=height),"Height OK","Warning: vessel not high enough")),IF(tank_geom=2,IF(comm_height_length&gt;max_length,"Warning: vessel too long","Length OK"),"Invalid tank geometry input"))))</f>
        <v>Height OK</v>
      </c>
      <c r="E66" s="157"/>
      <c r="F66" s="131"/>
      <c r="G66" s="107"/>
      <c r="H66" s="153" t="str">
        <f>IF(NOT(B55),"",D66)</f>
        <v>Height OK</v>
      </c>
      <c r="I66" s="388" t="s">
        <v>2890</v>
      </c>
      <c r="J66" s="168"/>
      <c r="K66" s="168"/>
      <c r="L66" s="168"/>
      <c r="M66" s="24"/>
      <c r="N66" s="24"/>
      <c r="O66" s="24"/>
      <c r="P66" s="24"/>
      <c r="Q66" s="24"/>
      <c r="R66" s="24"/>
      <c r="S66" s="24"/>
      <c r="T66" s="24"/>
      <c r="U66" s="24"/>
      <c r="V66" s="24"/>
      <c r="W66" s="24"/>
      <c r="X66" s="24"/>
      <c r="Y66" s="24"/>
      <c r="Z66" s="24"/>
      <c r="AA66" s="24"/>
      <c r="AB66" s="24"/>
      <c r="AC66" s="24"/>
      <c r="AD66" s="24"/>
      <c r="AE66" s="24"/>
      <c r="AF66" s="24"/>
      <c r="AG66" s="24"/>
    </row>
    <row r="67" spans="1:33">
      <c r="A67" s="24"/>
      <c r="B67" s="6"/>
      <c r="C67" s="6" t="b">
        <f>IF(NOT(B55),TRUE,IF(ISERROR(final_num_tanks),FALSE,IF(tank_geom=1,IF(comm_diam&gt;max_diam,FALSE,IF(comm_diam&lt;diameter,FALSE,TRUE)),IF(tank_geom=2,IF(comm_diam&gt;max_diam,FALSE,IF(comm_diam&gt;max_height,FALSE,IF(comm_SA&lt;SA,FALSE,IF(comm_diam&lt;height,FALSE,TRUE)))),FALSE))))</f>
        <v>1</v>
      </c>
      <c r="D67" s="6" t="str">
        <f>IF(NOT(B55),"OK",IF(ISERROR(final_num_tanks),"",IF(tank_geom=1,IF(comm_diam&gt;max_diam,"Warning: vessel diameter too great",IF(comm_diam&lt;diameter,"Warning: vessel diameter too small","Diameter OK")),IF(tank_geom=2,IF(comm_diam&gt;max_diam,"Warning: vessel diameter too great",IF(comm_diam&gt;max_height,"Warning: vessel diameter too great",IF(comm_SA&lt;SA,"Warning: vessel surface area too small",IF(comm_diam&lt;height,"Warning: vessel diameter too small","OK")))),""))))</f>
        <v>Diameter OK</v>
      </c>
      <c r="E67" s="157"/>
      <c r="F67" s="131"/>
      <c r="G67" s="107"/>
      <c r="H67" s="153" t="str">
        <f>IF(NOT(B55),"",IF(C67,"Diameter OK",D67))</f>
        <v>Diameter OK</v>
      </c>
      <c r="I67" s="168"/>
      <c r="J67" s="168"/>
      <c r="K67" s="168"/>
      <c r="L67" s="168"/>
      <c r="M67" s="24"/>
      <c r="N67" s="24"/>
      <c r="O67" s="24"/>
      <c r="P67" s="24"/>
      <c r="Q67" s="24"/>
      <c r="R67" s="24"/>
      <c r="S67" s="24"/>
      <c r="T67" s="24"/>
      <c r="U67" s="24"/>
      <c r="V67" s="24"/>
      <c r="W67" s="24"/>
      <c r="X67" s="24"/>
      <c r="Y67" s="24"/>
      <c r="Z67" s="24"/>
      <c r="AA67" s="24"/>
      <c r="AB67" s="24"/>
      <c r="AC67" s="24"/>
      <c r="AD67" s="24"/>
      <c r="AE67" s="24"/>
      <c r="AF67" s="24"/>
      <c r="AG67" s="24"/>
    </row>
    <row r="68" spans="1:33">
      <c r="A68" s="24"/>
      <c r="B68" s="6"/>
      <c r="C68" s="6" t="b">
        <f>IF(NOT(B55),TRUE,IF(NOT(AND(C57:C60)),FALSE,IF(input_vol_vess&lt;media_volume_expanded,FALSE,TRUE)))</f>
        <v>1</v>
      </c>
      <c r="D68" s="6" t="str">
        <f>IF(NOT(B55),"OK",IF(D65="Input incomplete","",IF(input_vol_vess&lt;media_volume_expanded,"Warning: vessel too small for this bed depth","OK")))</f>
        <v>OK</v>
      </c>
      <c r="E68" s="157"/>
      <c r="F68" s="131"/>
      <c r="G68" s="107"/>
      <c r="H68" s="153" t="str">
        <f>IF(NOT(B55),"",IF(C68,"Volume OK",D68))</f>
        <v>Volume OK</v>
      </c>
      <c r="I68" s="168"/>
      <c r="J68" s="168"/>
      <c r="K68" s="168"/>
      <c r="L68" s="168"/>
      <c r="M68" s="24"/>
      <c r="N68" s="24"/>
      <c r="O68" s="24"/>
      <c r="P68" s="24"/>
      <c r="Q68" s="24"/>
      <c r="R68" s="24"/>
      <c r="S68" s="24"/>
      <c r="T68" s="24"/>
      <c r="U68" s="24"/>
      <c r="V68" s="24"/>
      <c r="W68" s="24"/>
      <c r="X68" s="24"/>
      <c r="Y68" s="24"/>
      <c r="Z68" s="24"/>
      <c r="AA68" s="24"/>
      <c r="AB68" s="24"/>
      <c r="AC68" s="24"/>
      <c r="AD68" s="24"/>
      <c r="AE68" s="24"/>
      <c r="AF68" s="24"/>
      <c r="AG68" s="24"/>
    </row>
    <row r="69" spans="1:33">
      <c r="A69" s="24"/>
      <c r="B69" s="6"/>
      <c r="C69" s="6"/>
      <c r="D69" s="6"/>
      <c r="E69" s="157"/>
      <c r="F69" s="131"/>
      <c r="G69" s="140"/>
      <c r="H69" s="153" t="str">
        <f>IF(H65="Input incomplete","",IF(input_vol_vess&lt;media_volume_expanded,CHOOSE(tank_geom,"Hint: reduce bed depth or increase diameter or height","Hint: reduce bed depth or increase diameter"),""))</f>
        <v/>
      </c>
      <c r="I69" s="168"/>
      <c r="J69" s="168"/>
      <c r="K69" s="168"/>
      <c r="L69" s="168"/>
      <c r="M69" s="24"/>
      <c r="N69" s="24"/>
      <c r="O69" s="24"/>
      <c r="P69" s="24"/>
      <c r="Q69" s="24"/>
      <c r="R69" s="24"/>
      <c r="S69" s="24"/>
      <c r="T69" s="24"/>
      <c r="U69" s="24"/>
      <c r="V69" s="24"/>
      <c r="W69" s="24"/>
      <c r="X69" s="24"/>
      <c r="Y69" s="24"/>
      <c r="Z69" s="24"/>
      <c r="AA69" s="24"/>
      <c r="AB69" s="24"/>
      <c r="AC69" s="24"/>
      <c r="AD69" s="24"/>
      <c r="AE69" s="24"/>
      <c r="AF69" s="24"/>
      <c r="AG69" s="24"/>
    </row>
    <row r="70" spans="1:33">
      <c r="A70" s="24"/>
      <c r="B70" s="6"/>
      <c r="C70" s="6" t="b">
        <f>IF(NOT(B55),TRUE,IF(ISERROR(final_num_tanks),FALSE,IF(tank_geom=1,IF(comm_load_rate&gt;load_max,FALSE,IF(comm_load_rate&lt;load_min,FALSE,TRUE)),IF(comm_load_rate&gt;load_max,FALSE,IF(comm_load_rate&lt;load_min,FALSE,TRUE)))))</f>
        <v>1</v>
      </c>
      <c r="D70" s="6" t="str">
        <f>IF(NOT(B55),"OK",IF(ISERROR(final_num_tanks),"",IF(tank_geom=1,IF(comm_load_rate&gt;load_max,"Warning: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0" s="157"/>
      <c r="F70" s="131"/>
      <c r="G70" s="140"/>
      <c r="H70" s="153" t="str">
        <f>IF(NOT(B55),"",IF(C70,"Loading OK",D70))</f>
        <v>Loading OK</v>
      </c>
      <c r="I70" s="388" t="s">
        <v>2891</v>
      </c>
      <c r="J70" s="168"/>
      <c r="K70" s="168"/>
      <c r="L70" s="168"/>
      <c r="M70" s="24"/>
      <c r="N70" s="24"/>
      <c r="O70" s="24"/>
      <c r="P70" s="24"/>
      <c r="Q70" s="24"/>
      <c r="R70" s="24"/>
      <c r="S70" s="24"/>
      <c r="T70" s="24"/>
      <c r="U70" s="24"/>
      <c r="V70" s="24"/>
      <c r="W70" s="24"/>
      <c r="X70" s="24"/>
      <c r="Y70" s="24"/>
      <c r="Z70" s="24"/>
      <c r="AA70" s="24"/>
      <c r="AB70" s="24"/>
      <c r="AC70" s="24"/>
      <c r="AD70" s="24"/>
      <c r="AE70" s="24"/>
      <c r="AF70" s="24"/>
      <c r="AG70" s="24"/>
    </row>
    <row r="71" spans="1:33">
      <c r="A71" s="24"/>
      <c r="B71" s="6"/>
      <c r="C71" s="6"/>
      <c r="D71" s="6"/>
      <c r="E71" s="158"/>
      <c r="F71" s="159"/>
      <c r="G71" s="133"/>
      <c r="H71" s="128" t="str">
        <f>IF(OR(NOT(B55),ISERROR(final_num_tanks)),"",IF(tank_geom=1,IF(comm_load_rate&gt;load_max,"Hint: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1" s="166"/>
      <c r="J71" s="24"/>
      <c r="K71" s="24"/>
      <c r="L71" s="24"/>
      <c r="M71" s="24"/>
      <c r="N71" s="24"/>
      <c r="O71" s="24"/>
      <c r="P71" s="24"/>
      <c r="Q71" s="24"/>
      <c r="R71" s="24"/>
      <c r="S71" s="24"/>
      <c r="T71" s="24"/>
      <c r="U71" s="24"/>
      <c r="V71" s="24"/>
      <c r="W71" s="24"/>
      <c r="X71" s="24"/>
      <c r="Y71" s="24"/>
      <c r="Z71" s="24"/>
      <c r="AA71" s="24"/>
      <c r="AB71" s="24"/>
      <c r="AC71" s="24"/>
      <c r="AD71" s="24"/>
      <c r="AE71" s="24"/>
      <c r="AF71" s="24"/>
      <c r="AG71" s="24"/>
    </row>
    <row r="72" spans="1:33">
      <c r="A72" s="24"/>
      <c r="B72" s="6"/>
      <c r="C72" s="6"/>
      <c r="D72" s="6"/>
      <c r="E72" s="335"/>
      <c r="F72" s="117"/>
      <c r="G72" s="336"/>
      <c r="H72" s="135"/>
      <c r="I72" s="166"/>
      <c r="J72" s="24"/>
      <c r="K72" s="24"/>
      <c r="L72" s="24"/>
      <c r="M72" s="24"/>
      <c r="N72" s="24"/>
      <c r="O72" s="24"/>
      <c r="P72" s="24"/>
      <c r="Q72" s="24"/>
      <c r="R72" s="24"/>
      <c r="S72" s="24"/>
      <c r="T72" s="24"/>
      <c r="U72" s="24"/>
      <c r="V72" s="24"/>
      <c r="W72" s="24"/>
      <c r="X72" s="24"/>
      <c r="Y72" s="24"/>
      <c r="Z72" s="24"/>
      <c r="AA72" s="24"/>
      <c r="AB72" s="24"/>
      <c r="AC72" s="24"/>
      <c r="AD72" s="24"/>
      <c r="AE72" s="24"/>
      <c r="AF72" s="24"/>
      <c r="AG72" s="24"/>
    </row>
    <row r="73" spans="1:33">
      <c r="A73" s="24"/>
      <c r="B73" s="6" t="b">
        <f>IF(design_type=2,TRUE,FALSE)</f>
        <v>0</v>
      </c>
      <c r="C73" s="6"/>
      <c r="D73" s="6"/>
      <c r="E73" s="478" t="s">
        <v>2177</v>
      </c>
      <c r="F73" s="479"/>
      <c r="G73" s="480"/>
      <c r="H73" s="481"/>
      <c r="I73" s="166"/>
      <c r="J73" s="24"/>
      <c r="K73" s="24"/>
      <c r="L73" s="24"/>
      <c r="M73" s="24"/>
      <c r="N73" s="24"/>
      <c r="O73" s="24"/>
      <c r="P73" s="24"/>
      <c r="Q73" s="24"/>
      <c r="R73" s="24"/>
      <c r="S73" s="24"/>
      <c r="T73" s="24"/>
      <c r="U73" s="24"/>
      <c r="V73" s="24"/>
      <c r="W73" s="24"/>
      <c r="X73" s="24"/>
      <c r="Y73" s="24"/>
      <c r="Z73" s="24"/>
      <c r="AA73" s="24"/>
      <c r="AB73" s="24"/>
      <c r="AC73" s="24"/>
      <c r="AD73" s="24"/>
      <c r="AE73" s="24"/>
      <c r="AF73" s="24"/>
      <c r="AG73" s="24"/>
    </row>
    <row r="74" spans="1:33">
      <c r="A74" s="24"/>
      <c r="B74" s="6"/>
      <c r="C74"/>
      <c r="D74" s="6"/>
      <c r="E74" s="1137" t="s">
        <v>241</v>
      </c>
      <c r="F74" s="1138"/>
      <c r="G74" s="1138"/>
      <c r="H74" s="1139"/>
      <c r="I74" s="166"/>
      <c r="J74" s="24"/>
      <c r="K74" s="24"/>
      <c r="L74" s="24"/>
      <c r="M74" s="24"/>
      <c r="N74" s="24"/>
      <c r="O74" s="24"/>
      <c r="P74" s="24"/>
      <c r="Q74" s="24"/>
      <c r="R74" s="24"/>
      <c r="S74" s="24"/>
      <c r="T74" s="24"/>
      <c r="U74" s="24"/>
      <c r="V74" s="24"/>
      <c r="W74" s="24"/>
      <c r="X74" s="24"/>
      <c r="Y74" s="24"/>
      <c r="Z74" s="24"/>
      <c r="AA74" s="24"/>
      <c r="AB74" s="24"/>
      <c r="AC74" s="24"/>
      <c r="AD74" s="24"/>
      <c r="AE74" s="24"/>
      <c r="AF74" s="24"/>
      <c r="AG74" s="24"/>
    </row>
    <row r="75" spans="1:33">
      <c r="A75" s="24"/>
      <c r="B75" s="6"/>
      <c r="C75" t="b">
        <f>IF(NOT(B73),TRUE,NOT(basin_width=""))</f>
        <v>1</v>
      </c>
      <c r="D75" s="6"/>
      <c r="E75" s="339" t="s">
        <v>996</v>
      </c>
      <c r="F75" s="340" t="s">
        <v>997</v>
      </c>
      <c r="G75" s="469"/>
      <c r="H75" s="470" t="s">
        <v>2302</v>
      </c>
      <c r="I75" s="483" t="s">
        <v>2208</v>
      </c>
      <c r="J75" s="24"/>
      <c r="K75" s="24"/>
      <c r="L75" s="24"/>
      <c r="M75" s="24"/>
      <c r="N75" s="24"/>
      <c r="O75" s="24"/>
      <c r="P75" s="24"/>
      <c r="Q75" s="24"/>
      <c r="R75" s="24"/>
      <c r="S75" s="24"/>
      <c r="T75" s="24"/>
      <c r="U75" s="24"/>
      <c r="V75" s="24"/>
      <c r="W75" s="24"/>
      <c r="X75" s="24"/>
      <c r="Y75" s="24"/>
      <c r="Z75" s="24"/>
      <c r="AA75" s="24"/>
      <c r="AB75" s="24"/>
      <c r="AC75" s="24"/>
      <c r="AD75" s="24"/>
      <c r="AE75" s="24"/>
      <c r="AF75" s="24"/>
      <c r="AG75" s="24"/>
    </row>
    <row r="76" spans="1:33">
      <c r="A76" s="24"/>
      <c r="B76" s="6"/>
      <c r="C76" t="b">
        <f>IF(NOT(B73),TRUE,NOT(basin_length=""))</f>
        <v>1</v>
      </c>
      <c r="D76" s="6"/>
      <c r="E76" s="471" t="s">
        <v>1934</v>
      </c>
      <c r="F76" s="340" t="s">
        <v>1935</v>
      </c>
      <c r="G76" s="469"/>
      <c r="H76" s="470" t="s">
        <v>2302</v>
      </c>
      <c r="I76" s="179"/>
      <c r="J76" s="24"/>
      <c r="K76" s="24"/>
      <c r="L76" s="24"/>
      <c r="M76" s="24"/>
      <c r="N76" s="24"/>
      <c r="O76" s="24"/>
      <c r="P76" s="24"/>
      <c r="Q76" s="24"/>
      <c r="R76" s="24"/>
      <c r="S76" s="24"/>
      <c r="T76" s="24"/>
      <c r="U76" s="24"/>
      <c r="V76" s="24"/>
      <c r="W76" s="24"/>
      <c r="X76" s="24"/>
      <c r="Y76" s="24"/>
      <c r="Z76" s="24"/>
      <c r="AA76" s="24"/>
      <c r="AB76" s="24"/>
      <c r="AC76" s="24"/>
      <c r="AD76" s="24"/>
      <c r="AE76" s="24"/>
      <c r="AF76" s="24"/>
      <c r="AG76" s="24"/>
    </row>
    <row r="77" spans="1:33">
      <c r="A77" s="24"/>
      <c r="B77" s="6"/>
      <c r="C77" t="b">
        <f>IF(NOT(B73),TRUE,NOT(basin_op_depth=""))</f>
        <v>1</v>
      </c>
      <c r="D77" s="6"/>
      <c r="E77" s="471" t="s">
        <v>2300</v>
      </c>
      <c r="F77" s="340" t="s">
        <v>1936</v>
      </c>
      <c r="G77" s="472"/>
      <c r="H77" s="470" t="s">
        <v>2302</v>
      </c>
      <c r="I77" s="484" t="s">
        <v>1947</v>
      </c>
      <c r="J77" s="24"/>
      <c r="K77" s="24"/>
      <c r="L77" s="24"/>
      <c r="M77" s="24"/>
      <c r="N77" s="24"/>
      <c r="O77" s="24"/>
      <c r="P77" s="24"/>
      <c r="Q77" s="24"/>
      <c r="R77" s="24"/>
      <c r="S77" s="24"/>
      <c r="T77" s="24"/>
      <c r="U77" s="24"/>
      <c r="V77" s="24"/>
      <c r="W77" s="24"/>
      <c r="X77" s="24"/>
      <c r="Y77" s="24"/>
      <c r="Z77" s="24"/>
      <c r="AA77" s="24"/>
      <c r="AB77" s="24"/>
      <c r="AC77" s="24"/>
      <c r="AD77" s="24"/>
      <c r="AE77" s="24"/>
      <c r="AF77" s="24"/>
      <c r="AG77" s="24"/>
    </row>
    <row r="78" spans="1:33" ht="14">
      <c r="A78" s="24"/>
      <c r="B78" s="6"/>
      <c r="C78" t="b">
        <f>IF(NOT(B73),TRUE,IF(NOT(AND(C75,C76,C77)),FALSE,IF(basin_op_depth&gt;max_depth,FALSE,IF(basin_op_depth&lt;min_depth,FALSE,TRUE))))</f>
        <v>1</v>
      </c>
      <c r="D78" t="str">
        <f>IF(NOT(B73),"OK",IF(NOT(AND(C75,C76,C77)),"Input incomplete",IF(basin_op_depth&gt;max_depth,"Warning: basin too deep",IF(basin_op_depth&lt;min_depth,"Warning: basin too shallow","OK"))))</f>
        <v>OK</v>
      </c>
      <c r="E78" s="147" t="s">
        <v>3286</v>
      </c>
      <c r="F78" s="131"/>
      <c r="G78" s="474"/>
      <c r="H78" s="153" t="str">
        <f>IF(NOT(B73),"",IF(C78,"Bed Depth OK",D78))</f>
        <v/>
      </c>
      <c r="I78" s="485" t="s">
        <v>154</v>
      </c>
      <c r="J78" s="24"/>
      <c r="K78" s="24"/>
      <c r="L78" s="24"/>
      <c r="M78" s="24"/>
      <c r="N78" s="24"/>
      <c r="O78" s="24"/>
      <c r="P78" s="24"/>
      <c r="Q78" s="24"/>
      <c r="R78" s="24"/>
      <c r="S78" s="24"/>
      <c r="T78" s="24"/>
      <c r="U78" s="24"/>
      <c r="V78" s="24"/>
      <c r="W78" s="24"/>
      <c r="X78" s="24"/>
      <c r="Y78" s="24"/>
      <c r="Z78" s="24"/>
      <c r="AA78" s="24"/>
      <c r="AB78" s="24"/>
      <c r="AC78" s="24"/>
      <c r="AD78" s="24"/>
      <c r="AE78" s="24"/>
      <c r="AF78" s="24"/>
      <c r="AG78" s="24"/>
    </row>
    <row r="79" spans="1:33">
      <c r="A79" s="24"/>
      <c r="B79" s="6"/>
      <c r="C79" t="b">
        <f>IF(NOT(B73),TRUE,IF(basin_width&gt;max_width,FALSE,IF(basin_width&lt;min_width,FALSE,TRUE)))</f>
        <v>1</v>
      </c>
      <c r="D79" t="str">
        <f>IF(NOT(B73),"OK",IF(NOT(AND(C75,C76,C77)),"",IF(basin_width&gt;max_width,"Warning: basin too wide",IF(basin_width&lt;min_width,"Warning: basin too narrow","OK"))))</f>
        <v>OK</v>
      </c>
      <c r="E79" s="149" t="s">
        <v>2172</v>
      </c>
      <c r="F79" s="117"/>
      <c r="G79" s="160" t="str">
        <f>IF(OR(NOT(B73),ISERROR(total_num_basins)),"",total_num_basins)</f>
        <v/>
      </c>
      <c r="H79" s="153" t="str">
        <f>IF(NOT(B73),"",IF(C79,"Width OK",D79))</f>
        <v/>
      </c>
      <c r="I79" s="485" t="s">
        <v>2209</v>
      </c>
      <c r="J79" s="24"/>
      <c r="K79" s="24"/>
      <c r="L79" s="24"/>
      <c r="M79" s="24"/>
      <c r="N79" s="24"/>
      <c r="O79" s="24"/>
      <c r="P79" s="24"/>
      <c r="Q79" s="24"/>
      <c r="R79" s="24"/>
      <c r="S79" s="24"/>
      <c r="T79" s="24"/>
      <c r="U79" s="24"/>
      <c r="V79" s="24"/>
      <c r="W79" s="24"/>
      <c r="X79" s="24"/>
      <c r="Y79" s="24"/>
      <c r="Z79" s="24"/>
      <c r="AA79" s="24"/>
      <c r="AB79" s="24"/>
      <c r="AC79" s="24"/>
      <c r="AD79" s="24"/>
      <c r="AE79" s="24"/>
      <c r="AF79" s="24"/>
      <c r="AG79" s="24"/>
    </row>
    <row r="80" spans="1:33">
      <c r="A80" s="24"/>
      <c r="B80" s="6"/>
      <c r="C80" s="6" t="b">
        <f>IF(NOT(B73),TRUE,IF(basin_length&gt;max_length_g,FALSE,IF(basin_length&lt;min_length_g,FALSE,TRUE)))</f>
        <v>1</v>
      </c>
      <c r="D80" s="6" t="str">
        <f>IF(NOT(B73),"OK",IF(ISERROR(total_num_basins),"",IF(H59="input incomplete","",IF(basin_length&gt;max_length_g,"Warning: basin too long",IF(OR(basin_length&lt;min_length_g,basin_length&lt;(min_basin_vol/op_num_basins/basin_op_depth/basin_width)),"Warning: basin too short","OK")))))</f>
        <v>OK</v>
      </c>
      <c r="E80" s="261"/>
      <c r="F80" s="131"/>
      <c r="G80" s="475"/>
      <c r="H80" s="153" t="str">
        <f>IF(NOT(B73),"",IF(C80,"Length OK",D80))</f>
        <v/>
      </c>
      <c r="I80" s="485" t="s">
        <v>579</v>
      </c>
      <c r="J80" s="24"/>
      <c r="K80" s="24"/>
      <c r="L80" s="24"/>
      <c r="M80" s="24"/>
      <c r="N80" s="24"/>
      <c r="O80" s="24"/>
      <c r="P80" s="24"/>
      <c r="Q80" s="24"/>
      <c r="R80" s="24"/>
      <c r="S80" s="24"/>
      <c r="T80" s="24"/>
      <c r="U80" s="24"/>
      <c r="V80" s="24"/>
      <c r="W80" s="24"/>
      <c r="X80" s="24"/>
      <c r="Y80" s="24"/>
      <c r="Z80" s="24"/>
      <c r="AA80" s="24"/>
      <c r="AB80" s="24"/>
      <c r="AC80" s="24"/>
      <c r="AD80" s="24"/>
      <c r="AE80" s="24"/>
      <c r="AF80" s="24"/>
      <c r="AG80" s="24"/>
    </row>
    <row r="81" spans="1:33">
      <c r="A81" s="24"/>
      <c r="B81" s="6"/>
      <c r="C81" t="b">
        <f>IF(NOT(B73),TRUE,IF(ISERROR(total_num_basins),"",IF(H78="input incomplete",FALSE,IF(surface_loading_rate_g&gt;load_max,FALSE,IF(surface_loading_rate_g&lt;load_min,FALSE,TRUE)))))</f>
        <v>1</v>
      </c>
      <c r="D81" t="str">
        <f>IF(NOT(B73),"OK",IF(ISERROR(total_num_basins),"",IF(H78="input incomplete","",IF(surface_loading_rate_g&gt;load_max,"Warning: design exceeds maximum loading",IF(surface_loading_rate_g&lt;load_min,"Warning: design below minimum loading","OK")))))</f>
        <v>OK</v>
      </c>
      <c r="E81" s="158"/>
      <c r="F81" s="159"/>
      <c r="G81" s="482"/>
      <c r="H81" s="128" t="str">
        <f>IF(NOT(B73),"",IF(ISERROR(total_num_basins),"",IF(C81,"Loading OK",D81)))</f>
        <v/>
      </c>
      <c r="I81" s="388" t="s">
        <v>2891</v>
      </c>
      <c r="J81" s="24"/>
      <c r="K81" s="24"/>
      <c r="L81" s="24"/>
      <c r="M81" s="24"/>
      <c r="N81" s="24"/>
      <c r="O81" s="24"/>
      <c r="P81" s="24"/>
      <c r="Q81" s="24"/>
      <c r="R81" s="24"/>
      <c r="S81" s="24"/>
      <c r="T81" s="24"/>
      <c r="U81" s="24"/>
      <c r="V81" s="24"/>
      <c r="W81" s="24"/>
      <c r="X81" s="24"/>
      <c r="Y81" s="24"/>
      <c r="Z81" s="24"/>
      <c r="AA81" s="24"/>
      <c r="AB81" s="24"/>
      <c r="AC81" s="24"/>
      <c r="AD81" s="24"/>
      <c r="AE81" s="24"/>
      <c r="AF81" s="24"/>
      <c r="AG81" s="24"/>
    </row>
    <row r="82" spans="1:33">
      <c r="A82" s="24"/>
      <c r="B82" s="6"/>
      <c r="C82" s="6"/>
      <c r="D82" s="6"/>
      <c r="E82" s="335"/>
      <c r="F82" s="117"/>
      <c r="G82" s="336"/>
      <c r="H82" s="135"/>
      <c r="I82" s="166"/>
      <c r="J82" s="24"/>
      <c r="K82" s="24"/>
      <c r="L82" s="24"/>
      <c r="M82" s="24"/>
      <c r="N82" s="24"/>
      <c r="O82" s="24"/>
      <c r="P82" s="24"/>
      <c r="Q82" s="24"/>
      <c r="R82" s="24"/>
      <c r="S82" s="24"/>
      <c r="T82" s="24"/>
      <c r="U82" s="24"/>
      <c r="V82" s="24"/>
      <c r="W82" s="24"/>
      <c r="X82" s="24"/>
      <c r="Y82" s="24"/>
      <c r="Z82" s="24"/>
      <c r="AA82" s="24"/>
      <c r="AB82" s="24"/>
      <c r="AC82" s="24"/>
      <c r="AD82" s="24"/>
      <c r="AE82" s="24"/>
      <c r="AF82" s="24"/>
      <c r="AG82" s="24"/>
    </row>
    <row r="83" spans="1:33" ht="38.25" customHeight="1">
      <c r="A83" s="24"/>
      <c r="B83"/>
      <c r="C83" t="b">
        <f>NOT(back_interval_I="")</f>
        <v>1</v>
      </c>
      <c r="D83"/>
      <c r="E83" s="351" t="s">
        <v>1356</v>
      </c>
      <c r="F83" s="352" t="s">
        <v>1357</v>
      </c>
      <c r="G83" s="353">
        <v>168</v>
      </c>
      <c r="H83" s="354" t="s">
        <v>2937</v>
      </c>
      <c r="I83" s="1145" t="s">
        <v>2039</v>
      </c>
      <c r="J83" s="1136"/>
      <c r="K83" s="1136"/>
      <c r="L83" s="1136"/>
      <c r="M83" s="1136"/>
      <c r="N83" s="1136"/>
      <c r="O83" s="1136"/>
      <c r="P83" s="24"/>
      <c r="Q83" s="24"/>
      <c r="R83" s="24"/>
      <c r="S83" s="24"/>
      <c r="T83" s="24"/>
      <c r="U83" s="24"/>
      <c r="V83" s="24"/>
      <c r="W83" s="24"/>
      <c r="X83" s="24"/>
      <c r="Y83" s="24"/>
      <c r="Z83" s="24"/>
      <c r="AA83" s="24"/>
      <c r="AB83" s="24"/>
      <c r="AC83" s="24"/>
      <c r="AD83" s="24"/>
      <c r="AE83" s="24"/>
      <c r="AF83" s="24"/>
      <c r="AG83" s="24"/>
    </row>
    <row r="84" spans="1:33">
      <c r="A84" s="24"/>
      <c r="B84"/>
      <c r="C84" t="b">
        <f>NOT(res_s2_opt_I="")</f>
        <v>1</v>
      </c>
      <c r="D84"/>
      <c r="E84" s="308" t="s">
        <v>2716</v>
      </c>
      <c r="F84" s="309" t="s">
        <v>1847</v>
      </c>
      <c r="G84" s="348" t="s">
        <v>2140</v>
      </c>
      <c r="H84" s="349" t="s">
        <v>2224</v>
      </c>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row>
    <row r="85" spans="1:33">
      <c r="A85" s="24"/>
      <c r="B85" t="b">
        <f>OR(res_s2_opt=1,res_s2_opt=2)</f>
        <v>1</v>
      </c>
      <c r="C85" t="b">
        <f>IF(B85,NOT(res_s1_opt_I=""),TRUE)</f>
        <v>1</v>
      </c>
      <c r="D85"/>
      <c r="E85" s="308" t="s">
        <v>378</v>
      </c>
      <c r="F85" s="309" t="s">
        <v>1848</v>
      </c>
      <c r="G85" s="348" t="s">
        <v>1441</v>
      </c>
      <c r="H85" s="349" t="str">
        <f>IF(res_s2_opt=3,"always included",IF(OR(res_s2_opt=4,res_s2_opt=5),"not required","&lt;-- pick one"))</f>
        <v>&lt;-- pick one</v>
      </c>
      <c r="I85" s="196" t="str">
        <f>IF(OR(res_s2_opt=4,res_s2_opt=5),"",IF(res_s1_opt_I="Holding tank","Model selects between holding tank or basin based upon priority lookups on the Output sheet",""))</f>
        <v/>
      </c>
      <c r="J85" s="24"/>
      <c r="K85" s="24"/>
      <c r="L85" s="24"/>
      <c r="M85" s="24"/>
      <c r="N85" s="24"/>
      <c r="O85" s="24"/>
      <c r="P85" s="24"/>
      <c r="Q85" s="24"/>
      <c r="R85" s="24"/>
      <c r="S85" s="24"/>
      <c r="T85" s="24"/>
      <c r="U85" s="24"/>
      <c r="V85" s="24"/>
      <c r="W85" s="24"/>
      <c r="X85" s="24"/>
      <c r="Y85" s="24"/>
      <c r="Z85" s="24"/>
      <c r="AA85" s="24"/>
      <c r="AB85" s="24"/>
      <c r="AC85" s="24"/>
      <c r="AD85" s="24"/>
      <c r="AE85" s="24"/>
      <c r="AF85" s="24"/>
      <c r="AG85" s="24"/>
    </row>
    <row r="86" spans="1:33" ht="28">
      <c r="A86" s="24"/>
      <c r="B86"/>
      <c r="C86" t="b">
        <f>NOT(regen_type_I="")</f>
        <v>1</v>
      </c>
      <c r="D86"/>
      <c r="E86" s="308" t="s">
        <v>2542</v>
      </c>
      <c r="F86" s="309" t="s">
        <v>1288</v>
      </c>
      <c r="G86" s="389" t="s">
        <v>3263</v>
      </c>
      <c r="H86" s="349" t="s">
        <v>2224</v>
      </c>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row>
    <row r="87" spans="1:33">
      <c r="A87" s="24"/>
      <c r="B87"/>
      <c r="C87" t="b">
        <f>NOT(transfer_method_I="")</f>
        <v>1</v>
      </c>
      <c r="D87"/>
      <c r="E87" s="308" t="s">
        <v>1416</v>
      </c>
      <c r="F87" s="309" t="s">
        <v>394</v>
      </c>
      <c r="G87" s="350" t="s">
        <v>541</v>
      </c>
      <c r="H87" s="349" t="s">
        <v>2224</v>
      </c>
      <c r="I87" s="384"/>
      <c r="J87" s="24"/>
      <c r="K87" s="24"/>
      <c r="L87" s="24"/>
      <c r="M87" s="28"/>
      <c r="N87" s="24"/>
      <c r="O87" s="24"/>
      <c r="P87" s="24"/>
      <c r="Q87" s="24"/>
      <c r="R87" s="24"/>
      <c r="S87" s="24"/>
      <c r="T87" s="24"/>
      <c r="U87" s="24"/>
      <c r="V87" s="24"/>
      <c r="W87" s="24"/>
      <c r="X87" s="24"/>
      <c r="Y87" s="24"/>
      <c r="Z87" s="24"/>
      <c r="AA87" s="24"/>
      <c r="AB87" s="24"/>
      <c r="AC87" s="24"/>
      <c r="AD87" s="24"/>
      <c r="AE87" s="24"/>
      <c r="AF87" s="24"/>
      <c r="AG87" s="24"/>
    </row>
    <row r="88" spans="1:33">
      <c r="A88" s="24"/>
      <c r="B88" t="b">
        <f>OR(res_s2_opt=5,res_s1_opt=1)</f>
        <v>0</v>
      </c>
      <c r="C88" t="b">
        <f>IF(B88,NOT(solids_haz_I=""),TRUE)</f>
        <v>1</v>
      </c>
      <c r="D88"/>
      <c r="E88" s="308" t="str">
        <f>IF(res_s2_opt=5,"Characteristics of evaporation pond solids","Characteristics of holding tank solids")</f>
        <v>Characteristics of holding tank solids</v>
      </c>
      <c r="F88" s="309" t="s">
        <v>1849</v>
      </c>
      <c r="G88" s="350"/>
      <c r="H88" s="349" t="str">
        <f>IF(OR(res_s1_opt=1,res_s2_opt=5),"&lt;-- pick one","not required")</f>
        <v>not required</v>
      </c>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row>
    <row r="89" spans="1:33">
      <c r="A89" s="24"/>
      <c r="B89"/>
      <c r="C89" t="b">
        <f>IF(NOT(AND(C83:C88)),FALSE,TRUE)</f>
        <v>1</v>
      </c>
      <c r="D89" t="str">
        <f>IF(NOT(AND(C83:C88)),"Input incomplete","OK")</f>
        <v>OK</v>
      </c>
      <c r="E89" s="171"/>
      <c r="F89" s="133"/>
      <c r="G89" s="172"/>
      <c r="H89" s="486" t="str">
        <f>IF(C89,"Residuals Input OK",D89)</f>
        <v>Residuals Input OK</v>
      </c>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row>
    <row r="90" spans="1:33">
      <c r="A90" s="24"/>
      <c r="B90" s="6"/>
      <c r="C90" s="6"/>
      <c r="D90" s="6"/>
      <c r="E90" s="24"/>
      <c r="F90" s="24"/>
      <c r="G90" s="337"/>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row>
    <row r="91" spans="1:33" s="1039" customFormat="1">
      <c r="A91" s="361"/>
      <c r="B91" s="459"/>
      <c r="C91" s="459"/>
      <c r="D91" s="459"/>
      <c r="E91" s="362" t="s">
        <v>1891</v>
      </c>
      <c r="F91" s="352" t="s">
        <v>441</v>
      </c>
      <c r="G91" s="363">
        <v>0</v>
      </c>
      <c r="H91" s="364" t="s">
        <v>2808</v>
      </c>
      <c r="I91" s="196" t="s">
        <v>801</v>
      </c>
      <c r="J91" s="361"/>
      <c r="K91" s="361"/>
      <c r="L91" s="361"/>
      <c r="M91" s="361"/>
      <c r="N91" s="361"/>
      <c r="O91" s="361"/>
      <c r="P91" s="361"/>
      <c r="Q91" s="361"/>
      <c r="R91" s="361"/>
      <c r="S91" s="361"/>
      <c r="T91" s="361"/>
      <c r="U91" s="361"/>
      <c r="V91" s="361"/>
      <c r="W91" s="361"/>
      <c r="X91" s="361"/>
      <c r="Y91" s="361"/>
      <c r="Z91" s="361"/>
      <c r="AA91" s="361"/>
      <c r="AB91" s="361"/>
      <c r="AC91" s="361"/>
      <c r="AD91" s="361"/>
      <c r="AE91" s="361"/>
      <c r="AF91" s="361"/>
      <c r="AG91" s="361"/>
    </row>
    <row r="92" spans="1:33" ht="18" customHeight="1">
      <c r="A92" s="24"/>
      <c r="B92" s="6"/>
      <c r="C92" s="6"/>
      <c r="D92" s="6"/>
      <c r="E92" s="174" t="s">
        <v>2735</v>
      </c>
      <c r="F92" s="57"/>
      <c r="G92" s="175">
        <f>IF(ISERROR(booster_pumps),"",booster_pumps)</f>
        <v>0</v>
      </c>
      <c r="H92" s="176" t="s">
        <v>2808</v>
      </c>
      <c r="I92" s="167"/>
      <c r="J92" s="144"/>
      <c r="K92" s="144"/>
      <c r="L92" s="144"/>
      <c r="M92" s="24"/>
      <c r="N92" s="24"/>
      <c r="O92" s="24"/>
      <c r="P92" s="24"/>
      <c r="Q92" s="24"/>
      <c r="R92" s="24"/>
      <c r="S92" s="24"/>
      <c r="T92" s="24"/>
      <c r="U92" s="24"/>
      <c r="V92" s="24"/>
      <c r="W92" s="24"/>
      <c r="X92" s="24"/>
      <c r="Y92" s="24"/>
      <c r="Z92" s="24"/>
      <c r="AA92" s="24"/>
      <c r="AB92" s="24"/>
      <c r="AC92" s="24"/>
      <c r="AD92" s="24"/>
      <c r="AE92" s="24"/>
      <c r="AF92" s="24"/>
      <c r="AG92" s="24"/>
    </row>
    <row r="93" spans="1:33">
      <c r="A93" s="24"/>
      <c r="B93" s="6"/>
      <c r="C93" s="6"/>
      <c r="D93" s="6"/>
      <c r="E93" s="355" t="s">
        <v>2201</v>
      </c>
      <c r="F93" s="340" t="s">
        <v>2309</v>
      </c>
      <c r="G93" s="356">
        <v>0</v>
      </c>
      <c r="H93" s="357" t="s">
        <v>2305</v>
      </c>
      <c r="I93" s="196" t="s">
        <v>543</v>
      </c>
      <c r="J93" s="24"/>
      <c r="K93" s="24"/>
      <c r="L93" s="24"/>
      <c r="M93" s="24"/>
      <c r="N93" s="24"/>
      <c r="O93" s="24"/>
      <c r="P93" s="24"/>
      <c r="Q93" s="24"/>
      <c r="R93" s="24"/>
      <c r="S93" s="24"/>
      <c r="T93" s="24"/>
      <c r="U93" s="24"/>
      <c r="V93" s="24"/>
      <c r="W93" s="24"/>
      <c r="X93" s="24"/>
      <c r="Y93" s="24"/>
      <c r="Z93" s="24"/>
      <c r="AA93" s="24"/>
      <c r="AB93" s="24"/>
      <c r="AC93" s="24"/>
      <c r="AD93" s="24"/>
      <c r="AE93" s="24"/>
      <c r="AF93" s="24"/>
      <c r="AG93" s="24"/>
    </row>
    <row r="94" spans="1:33" ht="18.75" customHeight="1">
      <c r="A94" s="24"/>
      <c r="B94" s="6"/>
      <c r="C94" s="6"/>
      <c r="D94" s="6"/>
      <c r="E94" s="174" t="s">
        <v>2202</v>
      </c>
      <c r="F94" s="142"/>
      <c r="G94" s="175">
        <f>IF(design_type=1,IF(ISERROR(NRD),"",NRD),IF(ISERROR(NRD_g),"",NRD_g))</f>
        <v>0</v>
      </c>
      <c r="H94" s="386" t="s">
        <v>2305</v>
      </c>
      <c r="I94" s="166"/>
      <c r="J94" s="24"/>
      <c r="K94" s="24"/>
      <c r="L94" s="24"/>
      <c r="M94" s="24"/>
      <c r="N94" s="24"/>
      <c r="O94" s="24"/>
      <c r="P94" s="24"/>
      <c r="Q94" s="24"/>
      <c r="R94" s="24"/>
      <c r="S94" s="24"/>
      <c r="T94" s="24"/>
      <c r="U94" s="24"/>
      <c r="V94" s="24"/>
      <c r="W94" s="24"/>
      <c r="X94" s="24"/>
      <c r="Y94" s="24"/>
      <c r="Z94" s="24"/>
      <c r="AA94" s="24"/>
      <c r="AB94" s="24"/>
      <c r="AC94" s="24"/>
      <c r="AD94" s="24"/>
      <c r="AE94" s="24"/>
      <c r="AF94" s="24"/>
      <c r="AG94" s="24"/>
    </row>
    <row r="95" spans="1:33" ht="14">
      <c r="A95" s="24"/>
      <c r="B95" s="6"/>
      <c r="C95" s="6"/>
      <c r="D95" s="6"/>
      <c r="E95" s="523" t="s">
        <v>902</v>
      </c>
      <c r="F95" s="309" t="s">
        <v>2744</v>
      </c>
      <c r="G95" s="358" t="s">
        <v>1870</v>
      </c>
      <c r="H95" s="359" t="s">
        <v>2742</v>
      </c>
      <c r="I95" s="196" t="s">
        <v>1623</v>
      </c>
      <c r="J95" s="144"/>
      <c r="K95" s="144"/>
      <c r="L95" s="144"/>
      <c r="M95" s="24"/>
      <c r="N95" s="24"/>
      <c r="O95" s="24"/>
      <c r="P95" s="24"/>
      <c r="Q95" s="24"/>
      <c r="R95" s="24"/>
      <c r="S95" s="24"/>
      <c r="T95" s="24"/>
      <c r="U95" s="24"/>
      <c r="V95" s="24"/>
      <c r="W95" s="24"/>
      <c r="X95" s="24"/>
      <c r="Y95" s="24"/>
      <c r="Z95" s="24"/>
      <c r="AA95" s="24"/>
      <c r="AB95" s="24"/>
      <c r="AC95" s="24"/>
      <c r="AD95" s="24"/>
      <c r="AE95" s="24"/>
      <c r="AF95" s="24"/>
      <c r="AG95" s="24"/>
    </row>
    <row r="96" spans="1:33" ht="14">
      <c r="A96" s="24"/>
      <c r="B96" s="6"/>
      <c r="C96" s="6"/>
      <c r="D96" s="6"/>
      <c r="E96" s="523" t="s">
        <v>903</v>
      </c>
      <c r="F96" s="309" t="s">
        <v>904</v>
      </c>
      <c r="G96" s="358" t="s">
        <v>1871</v>
      </c>
      <c r="H96" s="359" t="s">
        <v>2742</v>
      </c>
      <c r="I96" s="196" t="s">
        <v>2852</v>
      </c>
      <c r="J96" s="144"/>
      <c r="K96" s="144"/>
      <c r="L96" s="144"/>
      <c r="M96" s="24"/>
      <c r="N96" s="24"/>
      <c r="O96" s="24"/>
      <c r="P96" s="24"/>
      <c r="Q96" s="24"/>
      <c r="R96" s="24"/>
      <c r="S96" s="24"/>
      <c r="T96" s="24"/>
      <c r="U96" s="24"/>
      <c r="V96" s="24"/>
      <c r="W96" s="24"/>
      <c r="X96" s="24"/>
      <c r="Y96" s="24"/>
      <c r="Z96" s="24"/>
      <c r="AA96" s="24"/>
      <c r="AB96" s="24"/>
      <c r="AC96" s="24"/>
      <c r="AD96" s="24"/>
      <c r="AE96" s="24"/>
      <c r="AF96" s="24"/>
      <c r="AG96" s="24"/>
    </row>
    <row r="97" spans="1:33" ht="14">
      <c r="A97" s="24"/>
      <c r="B97" s="6"/>
      <c r="C97" s="6"/>
      <c r="D97" s="6"/>
      <c r="E97" s="174" t="s">
        <v>1624</v>
      </c>
      <c r="F97" s="552"/>
      <c r="G97" s="557">
        <f>IF(ISERROR(backwash_pumps),"",backwash_pumps)</f>
        <v>0</v>
      </c>
      <c r="H97" s="553" t="s">
        <v>2305</v>
      </c>
      <c r="I97" s="196"/>
      <c r="J97" s="144"/>
      <c r="K97" s="144"/>
      <c r="L97" s="144"/>
      <c r="M97" s="24"/>
      <c r="N97" s="24"/>
      <c r="O97" s="24"/>
      <c r="P97" s="24"/>
      <c r="Q97" s="24"/>
      <c r="R97" s="24"/>
      <c r="S97" s="24"/>
      <c r="T97" s="24"/>
      <c r="U97" s="24"/>
      <c r="V97" s="24"/>
      <c r="W97" s="24"/>
      <c r="X97" s="24"/>
      <c r="Y97" s="24"/>
      <c r="Z97" s="24"/>
      <c r="AA97" s="24"/>
      <c r="AB97" s="24"/>
      <c r="AC97" s="24"/>
      <c r="AD97" s="24"/>
      <c r="AE97" s="24"/>
      <c r="AF97" s="24"/>
      <c r="AG97" s="24"/>
    </row>
    <row r="98" spans="1:33" ht="19.5" customHeight="1">
      <c r="A98" s="24"/>
      <c r="B98" s="6"/>
      <c r="C98" s="6"/>
      <c r="D98" s="6"/>
      <c r="E98" s="555" t="str">
        <f>"# of backwash "&amp;IF(OUTPUT!L47=1,"basins","tanks")</f>
        <v># of backwash tanks</v>
      </c>
      <c r="F98" s="556"/>
      <c r="G98" s="558">
        <f>IF(ISERROR(num_back_tanks),"",IF(OUTPUT!L47=1,back_basins,num_back_tanks))</f>
        <v>0</v>
      </c>
      <c r="H98" s="554" t="s">
        <v>2305</v>
      </c>
      <c r="I98" s="196"/>
      <c r="J98" s="144"/>
      <c r="K98" s="144"/>
      <c r="L98" s="144"/>
      <c r="M98" s="24"/>
      <c r="N98" s="24"/>
      <c r="O98" s="24"/>
      <c r="P98" s="24"/>
      <c r="Q98" s="24"/>
      <c r="R98" s="24"/>
      <c r="S98" s="24"/>
      <c r="T98" s="24"/>
      <c r="U98" s="24"/>
      <c r="V98" s="24"/>
      <c r="W98" s="24"/>
      <c r="X98" s="24"/>
      <c r="Y98" s="24"/>
      <c r="Z98" s="24"/>
      <c r="AA98" s="24"/>
      <c r="AB98" s="24"/>
      <c r="AC98" s="24"/>
      <c r="AD98" s="24"/>
      <c r="AE98" s="24"/>
      <c r="AF98" s="24"/>
      <c r="AG98" s="24"/>
    </row>
    <row r="99" spans="1:33">
      <c r="A99" s="24"/>
      <c r="B99" s="6"/>
      <c r="C99" s="6"/>
      <c r="D99" s="6"/>
      <c r="E99" s="308" t="s">
        <v>745</v>
      </c>
      <c r="F99" s="309" t="s">
        <v>2743</v>
      </c>
      <c r="G99" s="360"/>
      <c r="H99" s="359" t="s">
        <v>2742</v>
      </c>
      <c r="I99" s="197" t="s">
        <v>544</v>
      </c>
      <c r="J99" s="24"/>
      <c r="K99" s="24"/>
      <c r="L99" s="24"/>
      <c r="M99" s="24"/>
      <c r="N99" s="24"/>
      <c r="O99" s="24"/>
      <c r="P99" s="24"/>
      <c r="Q99" s="24"/>
      <c r="R99" s="24"/>
      <c r="S99" s="24"/>
      <c r="T99" s="24"/>
      <c r="U99" s="24"/>
      <c r="V99" s="24"/>
      <c r="W99" s="24"/>
      <c r="X99" s="24"/>
      <c r="Y99" s="24"/>
      <c r="Z99" s="24"/>
      <c r="AA99" s="24"/>
      <c r="AB99" s="24"/>
      <c r="AC99" s="24"/>
      <c r="AD99" s="24"/>
      <c r="AE99" s="24"/>
      <c r="AF99" s="24"/>
      <c r="AG99" s="24"/>
    </row>
    <row r="100" spans="1:33">
      <c r="A100" s="24"/>
      <c r="B100" s="6"/>
      <c r="C100" s="6"/>
      <c r="D100" s="6"/>
      <c r="E100" s="308" t="s">
        <v>1406</v>
      </c>
      <c r="F100" s="309" t="s">
        <v>746</v>
      </c>
      <c r="G100" s="360" t="s">
        <v>2004</v>
      </c>
      <c r="H100" s="359" t="s">
        <v>2742</v>
      </c>
      <c r="I100" s="196" t="s">
        <v>545</v>
      </c>
      <c r="J100" s="170"/>
      <c r="K100" s="170"/>
      <c r="L100" s="170"/>
      <c r="M100" s="24"/>
      <c r="N100" s="24"/>
      <c r="O100" s="24"/>
      <c r="P100" s="24"/>
      <c r="Q100" s="24"/>
      <c r="R100" s="24"/>
      <c r="S100" s="24"/>
      <c r="T100" s="24"/>
      <c r="U100" s="24"/>
      <c r="V100" s="24"/>
      <c r="W100" s="24"/>
      <c r="X100" s="24"/>
      <c r="Y100" s="24"/>
      <c r="Z100" s="24"/>
      <c r="AA100" s="24"/>
      <c r="AB100" s="24"/>
      <c r="AC100" s="24"/>
      <c r="AD100" s="24"/>
      <c r="AE100" s="24"/>
      <c r="AF100" s="24"/>
      <c r="AG100" s="24"/>
    </row>
    <row r="101" spans="1:33" ht="14">
      <c r="A101" s="24"/>
      <c r="B101" s="6"/>
      <c r="C101" s="6"/>
      <c r="D101" s="6"/>
      <c r="E101" s="960" t="s">
        <v>3463</v>
      </c>
      <c r="F101" s="595"/>
      <c r="G101" s="956" t="str">
        <f>IF(component_level=2,"high cost",IF(component_level=1,"mid cost","low cost"))</f>
        <v>low cost</v>
      </c>
      <c r="H101" s="957"/>
      <c r="I101" s="196"/>
      <c r="J101" s="170"/>
      <c r="K101" s="170"/>
      <c r="L101" s="170"/>
      <c r="M101" s="24"/>
      <c r="N101" s="24"/>
      <c r="O101" s="24"/>
      <c r="P101" s="24"/>
      <c r="Q101" s="24"/>
      <c r="R101" s="24"/>
      <c r="S101" s="24"/>
      <c r="T101" s="24"/>
      <c r="U101" s="24"/>
      <c r="V101" s="24"/>
      <c r="W101" s="24"/>
      <c r="X101" s="24"/>
      <c r="Y101" s="24"/>
      <c r="Z101" s="24"/>
      <c r="AA101" s="24"/>
      <c r="AB101" s="24"/>
      <c r="AC101" s="24"/>
      <c r="AD101" s="24"/>
      <c r="AE101" s="24"/>
      <c r="AF101" s="24"/>
      <c r="AG101" s="24"/>
    </row>
    <row r="102" spans="1:33" ht="14">
      <c r="A102" s="24"/>
      <c r="B102" s="6"/>
      <c r="C102" s="6"/>
      <c r="D102" s="6"/>
      <c r="E102" s="961" t="s">
        <v>3462</v>
      </c>
      <c r="F102" s="595"/>
      <c r="G102" s="958" t="str">
        <f>IF(manual=1,"manual",IF(manual=2,"semi-automated",IF(manual=3,"fully automated")))</f>
        <v>fully automated</v>
      </c>
      <c r="H102" s="959"/>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row>
    <row r="103" spans="1:33">
      <c r="A103" s="24"/>
      <c r="B103" s="6"/>
      <c r="C103" s="6"/>
      <c r="D103" s="6"/>
      <c r="E103" s="591" t="s">
        <v>2255</v>
      </c>
      <c r="F103" s="592" t="s">
        <v>2256</v>
      </c>
      <c r="G103" s="593" t="s">
        <v>2257</v>
      </c>
      <c r="H103" s="594" t="s">
        <v>2742</v>
      </c>
      <c r="I103" s="563" t="s">
        <v>162</v>
      </c>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row>
    <row r="104" spans="1:33">
      <c r="A104" s="24"/>
      <c r="B104" s="6"/>
      <c r="C104" s="6" t="b">
        <f>IF(ISERROR(pump_rating),FALSE,IF(pump_rating&gt;max_pump_size,FALSE,TRUE))</f>
        <v>1</v>
      </c>
      <c r="D104" s="24" t="str">
        <f>IF(ISERROR(pump_rating),"Input incomplete",IF(pump_rating&gt;max_pump_size,"Warning: insufficent number of pumps.","OK"))</f>
        <v>OK</v>
      </c>
      <c r="E104" s="171"/>
      <c r="F104" s="133"/>
      <c r="G104" s="133"/>
      <c r="H104" s="365" t="str">
        <f>IF(C104,"Optional Inputs OK",D104)</f>
        <v>Optional Inputs OK</v>
      </c>
      <c r="I104" s="24"/>
      <c r="J104" s="24"/>
      <c r="K104" s="24"/>
      <c r="L104" s="24"/>
      <c r="M104" s="24"/>
      <c r="N104" s="24"/>
      <c r="O104" s="24"/>
      <c r="P104" s="24"/>
      <c r="Q104" s="24"/>
      <c r="R104" s="24"/>
      <c r="S104" s="24"/>
      <c r="T104" s="24"/>
      <c r="U104" s="24"/>
      <c r="V104" s="24"/>
      <c r="W104" s="24"/>
      <c r="X104" s="24"/>
      <c r="Y104" s="24"/>
      <c r="Z104" s="24"/>
      <c r="AA104" s="24"/>
      <c r="AB104" s="24"/>
      <c r="AC104" s="24"/>
      <c r="AD104" s="24"/>
      <c r="AE104" s="24"/>
      <c r="AF104" s="24"/>
      <c r="AG104" s="24"/>
    </row>
    <row r="105" spans="1:33">
      <c r="A105" s="24"/>
      <c r="B105" s="6"/>
      <c r="C105" s="6"/>
      <c r="D105" s="6"/>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row>
    <row r="106" spans="1:33">
      <c r="A106" s="24"/>
      <c r="B106" s="6"/>
      <c r="C106" s="6"/>
      <c r="D106" s="6"/>
      <c r="E106" s="560" t="s">
        <v>1083</v>
      </c>
      <c r="F106" s="561" t="s">
        <v>1080</v>
      </c>
      <c r="G106" s="562"/>
      <c r="H106" s="364" t="s">
        <v>2742</v>
      </c>
      <c r="I106" s="563" t="s">
        <v>1082</v>
      </c>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row>
    <row r="107" spans="1:33" ht="26.25" customHeight="1">
      <c r="A107" s="24"/>
      <c r="B107" t="b">
        <f>IF(retrofit=1,TRUE,FALSE)</f>
        <v>0</v>
      </c>
      <c r="C107" t="b">
        <f>IF(B107,NOT(r_freund_type_I=""),TRUE)</f>
        <v>1</v>
      </c>
      <c r="D107"/>
      <c r="E107" s="572" t="s">
        <v>1093</v>
      </c>
      <c r="F107" s="569" t="s">
        <v>1086</v>
      </c>
      <c r="G107" s="570"/>
      <c r="H107" s="571" t="str">
        <f>IF(retrofit=1,"&lt;-- pick one","not required")</f>
        <v>not required</v>
      </c>
      <c r="I107" s="1135" t="s">
        <v>2806</v>
      </c>
      <c r="J107" s="1136"/>
      <c r="K107" s="1136"/>
      <c r="L107" s="1136"/>
      <c r="M107" s="1136"/>
      <c r="N107" s="1136"/>
      <c r="O107" s="24"/>
      <c r="P107" s="24"/>
      <c r="Q107" s="24"/>
      <c r="R107" s="24"/>
      <c r="S107" s="24"/>
      <c r="T107" s="24"/>
      <c r="U107" s="24"/>
      <c r="V107" s="24"/>
      <c r="W107" s="24"/>
      <c r="X107" s="24"/>
      <c r="Y107" s="24"/>
      <c r="Z107" s="24"/>
      <c r="AA107" s="24"/>
      <c r="AB107" s="24"/>
      <c r="AC107" s="24"/>
      <c r="AD107" s="24"/>
      <c r="AE107" s="24"/>
      <c r="AF107" s="24"/>
      <c r="AG107" s="24"/>
    </row>
    <row r="108" spans="1:33">
      <c r="A108" s="24"/>
      <c r="B108" t="b">
        <f>IF(retrofit=1,TRUE,FALSE)</f>
        <v>0</v>
      </c>
      <c r="C108" t="b">
        <f>IF(B108,NOT(r_freund_1=""),TRUE)</f>
        <v>1</v>
      </c>
      <c r="D108"/>
      <c r="E108" s="565" t="str">
        <f>CHOOSE(freund_type,"New carbon life","1st Freundlich constant (Kf)","Sorption capacity","New carbon life")</f>
        <v>New carbon life</v>
      </c>
      <c r="F108" s="566" t="s">
        <v>1087</v>
      </c>
      <c r="G108" s="568"/>
      <c r="H108" s="567" t="str">
        <f>IF(retrofit=0,"not required",CHOOSE(r_freund_type,"months","(ug/g)(L/ug)^(1/n)","mg/g","bed volumes"))</f>
        <v>not required</v>
      </c>
      <c r="I108" s="1135"/>
      <c r="J108" s="1136"/>
      <c r="K108" s="1136"/>
      <c r="L108" s="1136"/>
      <c r="M108" s="1136"/>
      <c r="N108" s="1136"/>
      <c r="O108" s="24"/>
      <c r="P108" s="24"/>
      <c r="Q108" s="24"/>
      <c r="R108" s="24"/>
      <c r="S108" s="24"/>
      <c r="T108" s="24"/>
      <c r="U108" s="24"/>
      <c r="V108" s="24"/>
      <c r="W108" s="24"/>
      <c r="X108" s="24"/>
      <c r="Y108" s="24"/>
      <c r="Z108" s="24"/>
      <c r="AA108" s="24"/>
      <c r="AB108" s="24"/>
      <c r="AC108" s="24"/>
      <c r="AD108" s="24"/>
      <c r="AE108" s="24"/>
      <c r="AF108" s="24"/>
      <c r="AG108" s="24"/>
    </row>
    <row r="109" spans="1:33">
      <c r="A109" s="24"/>
      <c r="B109" t="b">
        <f>AND(retrofit=1,OR(r_freund_type=2,r_freund_type=3))</f>
        <v>0</v>
      </c>
      <c r="C109" t="b">
        <f>IF(B109,NOT(r_freund_2=""),TRUE)</f>
        <v>1</v>
      </c>
      <c r="D109"/>
      <c r="E109" s="565" t="str">
        <f>CHOOSE(r_freund_type,"no additonal input required","2nd Freundlich constant (1/n)","Bohart and Adams quasi-chemical rate constant (k)","no additonal input required")</f>
        <v>no additonal input required</v>
      </c>
      <c r="F109" s="566" t="s">
        <v>1088</v>
      </c>
      <c r="G109" s="568"/>
      <c r="H109" s="567" t="str">
        <f>CHOOSE(r_freund_type,"not required","dimensionless","L/mg-sec","not required")</f>
        <v>not required</v>
      </c>
      <c r="I109" s="1135"/>
      <c r="J109" s="1136"/>
      <c r="K109" s="1136"/>
      <c r="L109" s="1136"/>
      <c r="M109" s="1136"/>
      <c r="N109" s="1136"/>
      <c r="O109" s="24"/>
      <c r="P109" s="24"/>
      <c r="Q109" s="24"/>
      <c r="R109" s="24"/>
      <c r="S109" s="24"/>
      <c r="T109" s="24"/>
      <c r="U109" s="24"/>
      <c r="V109" s="24"/>
      <c r="W109" s="24"/>
      <c r="X109" s="24"/>
      <c r="Y109" s="24"/>
      <c r="Z109" s="24"/>
      <c r="AA109" s="24"/>
      <c r="AB109" s="24"/>
      <c r="AC109" s="24"/>
      <c r="AD109" s="24"/>
      <c r="AE109" s="24"/>
      <c r="AF109" s="24"/>
      <c r="AG109" s="24"/>
    </row>
    <row r="110" spans="1:33">
      <c r="A110" s="24"/>
      <c r="B110" t="b">
        <f>AND(retrofit=1,OR(r_freund_type=2,r_freund_type=3))</f>
        <v>0</v>
      </c>
      <c r="C110" t="b">
        <f>IF(B110,NOT(r_C_0=""),TRUE)</f>
        <v>1</v>
      </c>
      <c r="D110"/>
      <c r="E110" s="565" t="str">
        <f>CHOOSE(r_freund_type,"no additonal input required","New influent concentration","New influent concentration","no additonal input required")</f>
        <v>no additonal input required</v>
      </c>
      <c r="F110" s="566" t="s">
        <v>1089</v>
      </c>
      <c r="G110" s="568"/>
      <c r="H110" s="567" t="str">
        <f>CHOOSE(r_freund_type,"not required","mg/L","mg/L","not required")</f>
        <v>not required</v>
      </c>
      <c r="I110" s="1135"/>
      <c r="J110" s="1136"/>
      <c r="K110" s="1136"/>
      <c r="L110" s="1136"/>
      <c r="M110" s="1136"/>
      <c r="N110" s="1136"/>
      <c r="O110" s="24"/>
      <c r="P110" s="24"/>
      <c r="Q110" s="24"/>
      <c r="R110" s="24"/>
      <c r="S110" s="24"/>
      <c r="T110" s="24"/>
      <c r="U110" s="24"/>
      <c r="V110" s="24"/>
      <c r="W110" s="24"/>
      <c r="X110" s="24"/>
      <c r="Y110" s="24"/>
      <c r="Z110" s="24"/>
      <c r="AA110" s="24"/>
      <c r="AB110" s="24"/>
      <c r="AC110" s="24"/>
      <c r="AD110" s="24"/>
      <c r="AE110" s="24"/>
      <c r="AF110" s="24"/>
      <c r="AG110" s="24"/>
    </row>
    <row r="111" spans="1:33">
      <c r="A111" s="24"/>
      <c r="B111" t="b">
        <f>AND(retrofit=1,OR(r_freund_type=2,r_freund_type=3))</f>
        <v>0</v>
      </c>
      <c r="C111" t="b">
        <f>IF(B111,NOT(r_C_b=""),TRUE)</f>
        <v>1</v>
      </c>
      <c r="D111"/>
      <c r="E111" s="565" t="str">
        <f>CHOOSE(r_freund_type,"no additonal input required","New breakthrough concentration","New breakthrough concentration","no additonal input required")</f>
        <v>no additonal input required</v>
      </c>
      <c r="F111" s="566" t="s">
        <v>1090</v>
      </c>
      <c r="G111" s="568"/>
      <c r="H111" s="567" t="str">
        <f>CHOOSE(r_freund_type,"not required","mg/L","mg/L","not required")</f>
        <v>not required</v>
      </c>
      <c r="I111" s="1135"/>
      <c r="J111" s="1136"/>
      <c r="K111" s="1136"/>
      <c r="L111" s="1136"/>
      <c r="M111" s="1136"/>
      <c r="N111" s="1136"/>
      <c r="O111" s="24"/>
      <c r="P111" s="24"/>
      <c r="Q111" s="24"/>
      <c r="R111" s="24"/>
      <c r="S111" s="24"/>
      <c r="T111" s="24"/>
      <c r="U111" s="24"/>
      <c r="V111" s="24"/>
      <c r="W111" s="24"/>
      <c r="X111" s="24"/>
      <c r="Y111" s="24"/>
      <c r="Z111" s="24"/>
      <c r="AA111" s="24"/>
      <c r="AB111" s="24"/>
      <c r="AC111" s="24"/>
      <c r="AD111" s="24"/>
      <c r="AE111" s="24"/>
      <c r="AF111" s="24"/>
      <c r="AG111" s="24"/>
    </row>
    <row r="112" spans="1:33">
      <c r="A112" s="24"/>
      <c r="B112" s="6"/>
      <c r="C112"/>
      <c r="D112"/>
      <c r="E112" s="123" t="s">
        <v>1034</v>
      </c>
      <c r="F112" s="320"/>
      <c r="G112" s="346"/>
      <c r="H112" s="347"/>
      <c r="I112" s="24"/>
      <c r="J112" s="24"/>
      <c r="K112" s="24"/>
      <c r="L112" s="24"/>
      <c r="M112" s="24"/>
      <c r="N112" s="24"/>
      <c r="O112" s="24"/>
      <c r="P112" s="24"/>
      <c r="Q112" s="24"/>
      <c r="R112" s="24"/>
      <c r="S112" s="24"/>
      <c r="T112" s="24"/>
      <c r="U112" s="24"/>
      <c r="V112" s="24"/>
      <c r="W112" s="24"/>
      <c r="X112" s="24"/>
      <c r="Y112" s="24"/>
      <c r="Z112" s="24"/>
      <c r="AA112" s="24"/>
      <c r="AB112" s="24"/>
      <c r="AC112" s="24"/>
      <c r="AD112" s="24"/>
      <c r="AE112" s="24"/>
      <c r="AF112" s="24"/>
      <c r="AG112" s="24"/>
    </row>
    <row r="113" spans="1:33">
      <c r="A113" s="24"/>
      <c r="B113" s="6"/>
      <c r="C113"/>
      <c r="D113"/>
      <c r="E113" s="124" t="s">
        <v>795</v>
      </c>
      <c r="F113" s="137"/>
      <c r="G113" s="139" t="str">
        <f>IF(AND(C114,retrofit=1),r_bed_life,"")</f>
        <v/>
      </c>
      <c r="H113" s="322" t="s">
        <v>2597</v>
      </c>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row>
    <row r="114" spans="1:33">
      <c r="A114" s="24"/>
      <c r="B114" s="6"/>
      <c r="C114" t="b">
        <f>IF(NOT(AND(C107,C108,C109,C110,C111)),FALSE,TRUE)</f>
        <v>1</v>
      </c>
      <c r="D114" s="200" t="str">
        <f>IF(NOT(AND(C107,C108,C109,C110,C111)),"Retrofit input incomplete","OK")</f>
        <v>OK</v>
      </c>
      <c r="E114" s="173"/>
      <c r="F114" s="159"/>
      <c r="G114" s="86"/>
      <c r="H114" s="165" t="str">
        <f>IF(C114,"Retrofit input OK",D114)</f>
        <v>Retrofit input OK</v>
      </c>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c r="AF114" s="24"/>
      <c r="AG114" s="24"/>
    </row>
    <row r="115" spans="1:33">
      <c r="A115" s="24"/>
      <c r="B115" s="6"/>
      <c r="C115" s="6"/>
      <c r="D115" s="6"/>
      <c r="E115" s="24"/>
      <c r="F115" s="24"/>
      <c r="G115" s="24"/>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c r="AE115" s="24"/>
      <c r="AF115" s="24"/>
      <c r="AG115" s="24"/>
    </row>
    <row r="116" spans="1:33">
      <c r="A116" s="24"/>
      <c r="B116" s="6"/>
      <c r="C116" s="6"/>
      <c r="D116" s="6"/>
      <c r="E116" s="24"/>
      <c r="F116" s="24"/>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row>
    <row r="117" spans="1:33">
      <c r="A117" s="24"/>
      <c r="B117" s="6"/>
      <c r="C117" s="6"/>
      <c r="D117" s="6"/>
      <c r="E117" s="24"/>
      <c r="F117" s="24"/>
      <c r="G117" s="24"/>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row>
    <row r="118" spans="1:33">
      <c r="A118" s="24"/>
      <c r="B118" s="6"/>
      <c r="C118" s="6"/>
      <c r="D118" s="6"/>
      <c r="E118" s="24"/>
      <c r="F118" s="24"/>
      <c r="G118" s="24"/>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c r="AE118" s="24"/>
      <c r="AF118" s="24"/>
      <c r="AG118" s="24"/>
    </row>
    <row r="119" spans="1:33">
      <c r="A119" s="24"/>
      <c r="B119" s="6"/>
      <c r="C119" s="6"/>
      <c r="D119" s="6"/>
      <c r="E119" s="24"/>
      <c r="F119" s="24"/>
      <c r="G119" s="24"/>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row>
  </sheetData>
  <mergeCells count="7">
    <mergeCell ref="I107:N111"/>
    <mergeCell ref="E74:H74"/>
    <mergeCell ref="G19:H20"/>
    <mergeCell ref="I19:I20"/>
    <mergeCell ref="I83:O83"/>
    <mergeCell ref="I46:O48"/>
    <mergeCell ref="I36:O40"/>
  </mergeCells>
  <phoneticPr fontId="0" type="noConversion"/>
  <conditionalFormatting sqref="H34">
    <cfRule type="expression" dxfId="12504" priority="1" stopIfTrue="1">
      <formula>NOT($C34)</formula>
    </cfRule>
  </conditionalFormatting>
  <conditionalFormatting sqref="E88">
    <cfRule type="expression" dxfId="12503" priority="2" stopIfTrue="1">
      <formula>IF($B$88,FALSE,TRUE)</formula>
    </cfRule>
  </conditionalFormatting>
  <conditionalFormatting sqref="H89">
    <cfRule type="cellIs" dxfId="12502" priority="3" stopIfTrue="1" operator="equal">
      <formula>"Residuals Input OK"</formula>
    </cfRule>
  </conditionalFormatting>
  <conditionalFormatting sqref="H78 H65">
    <cfRule type="cellIs" dxfId="12501" priority="4" stopIfTrue="1" operator="equal">
      <formula>"bed depth ok"</formula>
    </cfRule>
  </conditionalFormatting>
  <conditionalFormatting sqref="H66">
    <cfRule type="cellIs" dxfId="12500" priority="5" stopIfTrue="1" operator="equal">
      <formula>"height ok"</formula>
    </cfRule>
    <cfRule type="cellIs" dxfId="12499" priority="6" stopIfTrue="1" operator="equal">
      <formula>"length ok"</formula>
    </cfRule>
  </conditionalFormatting>
  <conditionalFormatting sqref="H67">
    <cfRule type="cellIs" dxfId="12498" priority="7" stopIfTrue="1" operator="equal">
      <formula>"diameter ok"</formula>
    </cfRule>
  </conditionalFormatting>
  <conditionalFormatting sqref="H71">
    <cfRule type="cellIs" dxfId="12497" priority="8" stopIfTrue="1" operator="equal">
      <formula>"height ok"</formula>
    </cfRule>
  </conditionalFormatting>
  <conditionalFormatting sqref="H68:H69">
    <cfRule type="cellIs" dxfId="12496" priority="9" stopIfTrue="1" operator="equal">
      <formula>"volume ok"</formula>
    </cfRule>
  </conditionalFormatting>
  <conditionalFormatting sqref="H70 H81">
    <cfRule type="cellIs" dxfId="12495" priority="10" stopIfTrue="1" operator="equal">
      <formula>"loading ok"</formula>
    </cfRule>
  </conditionalFormatting>
  <conditionalFormatting sqref="H85 E85">
    <cfRule type="expression" dxfId="12494" priority="11" stopIfTrue="1">
      <formula>res_s2_opt&gt;2</formula>
    </cfRule>
  </conditionalFormatting>
  <conditionalFormatting sqref="G85">
    <cfRule type="expression" dxfId="12493" priority="12" stopIfTrue="1">
      <formula>res_s2_opt&gt;2</formula>
    </cfRule>
  </conditionalFormatting>
  <conditionalFormatting sqref="H88">
    <cfRule type="expression" dxfId="12492" priority="13" stopIfTrue="1">
      <formula>IF($B$88,FALSE,TRUE)</formula>
    </cfRule>
  </conditionalFormatting>
  <conditionalFormatting sqref="H104">
    <cfRule type="cellIs" dxfId="12491" priority="14" stopIfTrue="1" operator="equal">
      <formula>"Optional Inputs OK"</formula>
    </cfRule>
  </conditionalFormatting>
  <conditionalFormatting sqref="G88">
    <cfRule type="expression" dxfId="12490" priority="15" stopIfTrue="1">
      <formula>IF($B$88,FALSE,TRUE)</formula>
    </cfRule>
  </conditionalFormatting>
  <conditionalFormatting sqref="H53">
    <cfRule type="cellIs" dxfId="12489" priority="16" stopIfTrue="1" operator="equal">
      <formula>"Contaminant removal inputs OK"</formula>
    </cfRule>
  </conditionalFormatting>
  <conditionalFormatting sqref="G38:G40">
    <cfRule type="expression" dxfId="12488" priority="17" stopIfTrue="1">
      <formula>OR(freund_type=1,freund_type=4)</formula>
    </cfRule>
  </conditionalFormatting>
  <conditionalFormatting sqref="H38:H41 H112">
    <cfRule type="expression" dxfId="12487" priority="18" stopIfTrue="1">
      <formula>OR(freund_type=1,freund_type=4)</formula>
    </cfRule>
  </conditionalFormatting>
  <conditionalFormatting sqref="H43">
    <cfRule type="cellIs" dxfId="12486" priority="19" stopIfTrue="1" operator="equal">
      <formula>"Carbon input ok"</formula>
    </cfRule>
  </conditionalFormatting>
  <conditionalFormatting sqref="E47 H47">
    <cfRule type="expression" dxfId="12485" priority="20" stopIfTrue="1">
      <formula>EBCT_type&lt;&gt;2</formula>
    </cfRule>
  </conditionalFormatting>
  <conditionalFormatting sqref="G47">
    <cfRule type="expression" dxfId="12484" priority="21" stopIfTrue="1">
      <formula>EBCT_type&lt;&gt;2</formula>
    </cfRule>
  </conditionalFormatting>
  <conditionalFormatting sqref="H48 E48">
    <cfRule type="expression" dxfId="12483" priority="22" stopIfTrue="1">
      <formula>EBCT_type=3</formula>
    </cfRule>
  </conditionalFormatting>
  <conditionalFormatting sqref="G48">
    <cfRule type="expression" dxfId="12482" priority="23" stopIfTrue="1">
      <formula>EBCT_type=3</formula>
    </cfRule>
  </conditionalFormatting>
  <conditionalFormatting sqref="H35">
    <cfRule type="cellIs" dxfId="12481" priority="24" stopIfTrue="1" operator="equal">
      <formula>"Flow Input OK"</formula>
    </cfRule>
  </conditionalFormatting>
  <conditionalFormatting sqref="E38:E40">
    <cfRule type="expression" dxfId="12480" priority="25" stopIfTrue="1">
      <formula>OR(freund_type=1,freund_type=4)</formula>
    </cfRule>
  </conditionalFormatting>
  <conditionalFormatting sqref="F23">
    <cfRule type="cellIs" dxfId="12479" priority="26" stopIfTrue="1" operator="equal">
      <formula>"Results are ready (no need to click button)"</formula>
    </cfRule>
  </conditionalFormatting>
  <conditionalFormatting sqref="G19:H20">
    <cfRule type="cellIs" dxfId="12478" priority="27" stopIfTrue="1" operator="notEqual">
      <formula>"Input Incomplete -- Check for Error Messages Below"</formula>
    </cfRule>
  </conditionalFormatting>
  <conditionalFormatting sqref="H79">
    <cfRule type="cellIs" dxfId="12477" priority="28" stopIfTrue="1" operator="equal">
      <formula>"width ok"</formula>
    </cfRule>
  </conditionalFormatting>
  <conditionalFormatting sqref="H80">
    <cfRule type="cellIs" dxfId="12476" priority="29" stopIfTrue="1" operator="equal">
      <formula>"length ok"</formula>
    </cfRule>
  </conditionalFormatting>
  <conditionalFormatting sqref="E73 E55">
    <cfRule type="expression" dxfId="12475" priority="30" stopIfTrue="1">
      <formula>NOT(B55)</formula>
    </cfRule>
  </conditionalFormatting>
  <conditionalFormatting sqref="E74:H74 E56">
    <cfRule type="expression" dxfId="12474" priority="31" stopIfTrue="1">
      <formula>NOT(B55)</formula>
    </cfRule>
  </conditionalFormatting>
  <conditionalFormatting sqref="E75">
    <cfRule type="expression" dxfId="12473" priority="32" stopIfTrue="1">
      <formula>NOT(B73)</formula>
    </cfRule>
  </conditionalFormatting>
  <conditionalFormatting sqref="G75">
    <cfRule type="expression" dxfId="12472" priority="33" stopIfTrue="1">
      <formula>NOT(B73)</formula>
    </cfRule>
  </conditionalFormatting>
  <conditionalFormatting sqref="H75">
    <cfRule type="expression" dxfId="12471" priority="34" stopIfTrue="1">
      <formula>NOT(B73)</formula>
    </cfRule>
  </conditionalFormatting>
  <conditionalFormatting sqref="I75:I76">
    <cfRule type="expression" dxfId="12470" priority="35" stopIfTrue="1">
      <formula>NOT(B73)</formula>
    </cfRule>
  </conditionalFormatting>
  <conditionalFormatting sqref="G76">
    <cfRule type="expression" dxfId="12469" priority="36" stopIfTrue="1">
      <formula>NOT(B73)</formula>
    </cfRule>
  </conditionalFormatting>
  <conditionalFormatting sqref="G77">
    <cfRule type="expression" dxfId="12468" priority="37" stopIfTrue="1">
      <formula>NOT(B73)</formula>
    </cfRule>
  </conditionalFormatting>
  <conditionalFormatting sqref="E76">
    <cfRule type="expression" dxfId="12467" priority="38" stopIfTrue="1">
      <formula>NOT(B73)</formula>
    </cfRule>
  </conditionalFormatting>
  <conditionalFormatting sqref="E77">
    <cfRule type="expression" dxfId="12466" priority="39" stopIfTrue="1">
      <formula>NOT(B73)</formula>
    </cfRule>
  </conditionalFormatting>
  <conditionalFormatting sqref="E78">
    <cfRule type="expression" dxfId="12465" priority="40" stopIfTrue="1">
      <formula>NOT(B73)</formula>
    </cfRule>
  </conditionalFormatting>
  <conditionalFormatting sqref="E79">
    <cfRule type="expression" dxfId="12464" priority="41" stopIfTrue="1">
      <formula>NOT(B73)</formula>
    </cfRule>
  </conditionalFormatting>
  <conditionalFormatting sqref="H76">
    <cfRule type="expression" dxfId="12463" priority="42" stopIfTrue="1">
      <formula>NOT(B73)</formula>
    </cfRule>
  </conditionalFormatting>
  <conditionalFormatting sqref="H77">
    <cfRule type="expression" dxfId="12462" priority="43" stopIfTrue="1">
      <formula>NOT(B73)</formula>
    </cfRule>
  </conditionalFormatting>
  <conditionalFormatting sqref="E57:E64">
    <cfRule type="expression" dxfId="12461" priority="44" stopIfTrue="1">
      <formula>NOT(B$55)</formula>
    </cfRule>
  </conditionalFormatting>
  <conditionalFormatting sqref="H57:H60 H63:H64">
    <cfRule type="expression" dxfId="12460" priority="45" stopIfTrue="1">
      <formula>NOT(B$55)</formula>
    </cfRule>
  </conditionalFormatting>
  <conditionalFormatting sqref="H62">
    <cfRule type="expression" dxfId="12459" priority="46" stopIfTrue="1">
      <formula>NOT(B55)</formula>
    </cfRule>
  </conditionalFormatting>
  <conditionalFormatting sqref="G57:G60">
    <cfRule type="expression" dxfId="12458" priority="47" stopIfTrue="1">
      <formula>NOT(B$55)</formula>
    </cfRule>
  </conditionalFormatting>
  <conditionalFormatting sqref="I77">
    <cfRule type="expression" dxfId="12457" priority="48" stopIfTrue="1">
      <formula>NOT(B73)</formula>
    </cfRule>
  </conditionalFormatting>
  <conditionalFormatting sqref="I57:I60">
    <cfRule type="expression" dxfId="12456" priority="49" stopIfTrue="1">
      <formula>NOT(B$55)</formula>
    </cfRule>
  </conditionalFormatting>
  <conditionalFormatting sqref="E49">
    <cfRule type="expression" dxfId="12455" priority="50" stopIfTrue="1">
      <formula>NOT($B$49)</formula>
    </cfRule>
  </conditionalFormatting>
  <conditionalFormatting sqref="G49">
    <cfRule type="expression" dxfId="12454" priority="51" stopIfTrue="1">
      <formula>NOT(B49)</formula>
    </cfRule>
  </conditionalFormatting>
  <conditionalFormatting sqref="H49">
    <cfRule type="expression" dxfId="12453" priority="52" stopIfTrue="1">
      <formula>NOT(B49)</formula>
    </cfRule>
  </conditionalFormatting>
  <conditionalFormatting sqref="E107:E111">
    <cfRule type="expression" dxfId="12452" priority="53" stopIfTrue="1">
      <formula>NOT(B107)</formula>
    </cfRule>
  </conditionalFormatting>
  <conditionalFormatting sqref="G107:G111">
    <cfRule type="expression" dxfId="12451" priority="54" stopIfTrue="1">
      <formula>NOT(B107)</formula>
    </cfRule>
  </conditionalFormatting>
  <conditionalFormatting sqref="H107:H111">
    <cfRule type="expression" dxfId="12450" priority="55" stopIfTrue="1">
      <formula>NOT(B107)</formula>
    </cfRule>
  </conditionalFormatting>
  <conditionalFormatting sqref="H114">
    <cfRule type="cellIs" dxfId="12449" priority="56" stopIfTrue="1" operator="equal">
      <formula>"Retrofit input ok"</formula>
    </cfRule>
  </conditionalFormatting>
  <conditionalFormatting sqref="E23">
    <cfRule type="cellIs" dxfId="12448" priority="57" stopIfTrue="1" operator="equal">
      <formula>"Results are ready (no need to click button)"</formula>
    </cfRule>
  </conditionalFormatting>
  <dataValidations count="20">
    <dataValidation type="list" allowBlank="1" showInputMessage="1" showErrorMessage="1" sqref="G87" xr:uid="{00000000-0002-0000-0200-000000000000}">
      <formula1>"eductors,manual transfer"</formula1>
    </dataValidation>
    <dataValidation type="list" allowBlank="1" showInputMessage="1" showErrorMessage="1" sqref="G84" xr:uid="{00000000-0002-0000-0200-000001000000}">
      <formula1>"surface water, POTW, recycle, septic system, evaporation pond"</formula1>
    </dataValidation>
    <dataValidation type="list" allowBlank="1" showInputMessage="1" showErrorMessage="1" sqref="G85" xr:uid="{00000000-0002-0000-0200-000002000000}">
      <formula1>res_s1_valid</formula1>
    </dataValidation>
    <dataValidation type="list" allowBlank="1" showInputMessage="1" showErrorMessage="1" sqref="G88" xr:uid="{00000000-0002-0000-0200-000003000000}">
      <formula1>res_sol_validation</formula1>
    </dataValidation>
    <dataValidation type="list" allowBlank="1" showInputMessage="1" showErrorMessage="1" sqref="G95" xr:uid="{00000000-0002-0000-0200-000004000000}">
      <formula1>backwash_pump_valid</formula1>
    </dataValidation>
    <dataValidation type="list" allowBlank="1" showInputMessage="1" showErrorMessage="1" sqref="G99" xr:uid="{00000000-0002-0000-0200-000005000000}">
      <formula1>comp_level_valid</formula1>
    </dataValidation>
    <dataValidation type="list" allowBlank="1" showInputMessage="1" showErrorMessage="1" sqref="G100" xr:uid="{00000000-0002-0000-0200-000006000000}">
      <formula1>system_automation_valid</formula1>
    </dataValidation>
    <dataValidation type="decimal" operator="greaterThan" allowBlank="1" showInputMessage="1" showErrorMessage="1" sqref="G83 G59:G60 G57 G46:G47 G29:G30" xr:uid="{00000000-0002-0000-0200-000007000000}">
      <formula1>0</formula1>
    </dataValidation>
    <dataValidation type="whole" operator="greaterThanOrEqual" allowBlank="1" showInputMessage="1" showErrorMessage="1" sqref="G91 G93" xr:uid="{00000000-0002-0000-0200-000008000000}">
      <formula1>0</formula1>
    </dataValidation>
    <dataValidation type="list" allowBlank="1" showInputMessage="1" showErrorMessage="1" sqref="G86" xr:uid="{00000000-0002-0000-0200-000009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G58" xr:uid="{00000000-0002-0000-0200-00000A000000}">
      <formula1>"upright,horizontal"</formula1>
    </dataValidation>
    <dataValidation type="list" allowBlank="1" showInputMessage="1" showErrorMessage="1" sqref="G36 G107" xr:uid="{00000000-0002-0000-0200-00000B000000}">
      <formula1>"carbon life value- months, calculation from Freundlich isotherm, carbon life value- bed volumes"</formula1>
    </dataValidation>
    <dataValidation type="list" allowBlank="1" showInputMessage="1" showErrorMessage="1" sqref="G45" xr:uid="{00000000-0002-0000-0200-00000C000000}">
      <formula1>"contaminant removal %, influent and effluent concentrations, EBCT"</formula1>
    </dataValidation>
    <dataValidation type="decimal" operator="notEqual" allowBlank="1" showInputMessage="1" showErrorMessage="1" sqref="G37:G40 G48 G108:G111" xr:uid="{00000000-0002-0000-0200-00000D000000}">
      <formula1>0</formula1>
    </dataValidation>
    <dataValidation type="whole" operator="greaterThan" allowBlank="1" showInputMessage="1" showErrorMessage="1" sqref="G49" xr:uid="{00000000-0002-0000-0200-00000E000000}">
      <formula1>0</formula1>
    </dataValidation>
    <dataValidation type="list" allowBlank="1" showInputMessage="1" showErrorMessage="1" error="Invalid selection" sqref="H29" xr:uid="{00000000-0002-0000-0200-00000F000000}">
      <formula1>"MGD,gpm"</formula1>
    </dataValidation>
    <dataValidation type="list" allowBlank="1" showInputMessage="1" showErrorMessage="1" error="Invalid selection" sqref="H30" xr:uid="{00000000-0002-0000-0200-000010000000}">
      <formula1>"MGD,gpm,fraction of design flow"</formula1>
    </dataValidation>
    <dataValidation type="list" allowBlank="1" showInputMessage="1" showErrorMessage="1" sqref="G96" xr:uid="{00000000-0002-0000-0200-000011000000}">
      <formula1>backwash_storage_valid</formula1>
    </dataValidation>
    <dataValidation type="list" allowBlank="1" showInputMessage="1" showErrorMessage="1" sqref="G106" xr:uid="{00000000-0002-0000-0200-000012000000}">
      <formula1>retrofit_valid</formula1>
    </dataValidation>
    <dataValidation type="list" allowBlank="1" showInputMessage="1" showErrorMessage="1" sqref="G103" xr:uid="{00000000-0002-0000-0200-000013000000}">
      <formula1>add_on_valid</formula1>
    </dataValidation>
  </dataValidations>
  <hyperlinks>
    <hyperlink ref="I22" location="link_output" display="Results summary (see OUTPUT sheet for details)" xr:uid="{00000000-0004-0000-0200-000000000000}"/>
    <hyperlink ref="I34" location="bp_pct" display="Adjust bypass percentage" xr:uid="{00000000-0004-0000-0200-000001000000}"/>
    <hyperlink ref="I66" location="link_dim_constraints" display="Adjust vessel size constraints" xr:uid="{00000000-0004-0000-0200-000002000000}"/>
    <hyperlink ref="I70" location="link_load" display="Adjust loading constraints" xr:uid="{00000000-0004-0000-0200-000003000000}"/>
    <hyperlink ref="I65" location="link_bed_constraints" display="Adjust bed depth constraints" xr:uid="{00000000-0004-0000-0200-000004000000}"/>
    <hyperlink ref="I78" location="link_bed_depth" display="Adjust bed depth constraints" xr:uid="{00000000-0004-0000-0200-000005000000}"/>
    <hyperlink ref="I79" location="link_width" display="Adjust width constraints" xr:uid="{00000000-0004-0000-0200-000006000000}"/>
    <hyperlink ref="I80" location="link_length" display="Adjust length constraints" xr:uid="{00000000-0004-0000-0200-000007000000}"/>
    <hyperlink ref="I81" location="link_load" display="Adjust loading constraints" xr:uid="{00000000-0004-0000-0200-000008000000}"/>
  </hyperlink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402" r:id="rId4" name="ddResinChoice">
              <controlPr defaultSize="0" autoLine="0" autoPict="0" macro="[0]!ddMediaType_Change" altText="Select Design Type">
                <anchor moveWithCells="1">
                  <from>
                    <xdr:col>5</xdr:col>
                    <xdr:colOff>0</xdr:colOff>
                    <xdr:row>6</xdr:row>
                    <xdr:rowOff>12700</xdr:rowOff>
                  </from>
                  <to>
                    <xdr:col>7</xdr:col>
                    <xdr:colOff>0</xdr:colOff>
                    <xdr:row>7</xdr:row>
                    <xdr:rowOff>12700</xdr:rowOff>
                  </to>
                </anchor>
              </controlPr>
            </control>
          </mc:Choice>
        </mc:AlternateContent>
        <mc:AlternateContent xmlns:mc="http://schemas.openxmlformats.org/markup-compatibility/2006">
          <mc:Choice Requires="x14">
            <control shapeId="7405" r:id="rId5" name="Drop Down 237">
              <controlPr defaultSize="0" autoLine="0" autoPict="0" macro="[0]!ddMediaType_Change" altText="Select Target Contaminant">
                <anchor moveWithCells="1">
                  <from>
                    <xdr:col>5</xdr:col>
                    <xdr:colOff>0</xdr:colOff>
                    <xdr:row>3</xdr:row>
                    <xdr:rowOff>38100</xdr:rowOff>
                  </from>
                  <to>
                    <xdr:col>7</xdr:col>
                    <xdr:colOff>0</xdr:colOff>
                    <xdr:row>4</xdr:row>
                    <xdr:rowOff>76200</xdr:rowOff>
                  </to>
                </anchor>
              </controlPr>
            </control>
          </mc:Choice>
        </mc:AlternateContent>
        <mc:AlternateContent xmlns:mc="http://schemas.openxmlformats.org/markup-compatibility/2006">
          <mc:Choice Requires="x14">
            <control shapeId="7450" r:id="rId6" name="cmdCompSelect">
              <controlPr defaultSize="0" print="0" autoFill="0" autoPict="0" macro="[0]!Sheet1.cmdCompSelect_Click">
                <anchor moveWithCells="1" sizeWithCells="1">
                  <from>
                    <xdr:col>6</xdr:col>
                    <xdr:colOff>50800</xdr:colOff>
                    <xdr:row>20</xdr:row>
                    <xdr:rowOff>165100</xdr:rowOff>
                  </from>
                  <to>
                    <xdr:col>8</xdr:col>
                    <xdr:colOff>0</xdr:colOff>
                    <xdr:row>25</xdr:row>
                    <xdr:rowOff>12700</xdr:rowOff>
                  </to>
                </anchor>
              </controlPr>
            </control>
          </mc:Choice>
        </mc:AlternateContent>
        <mc:AlternateContent xmlns:mc="http://schemas.openxmlformats.org/markup-compatibility/2006">
          <mc:Choice Requires="x14">
            <control shapeId="7451" r:id="rId7" name="cmdAutosize">
              <controlPr defaultSize="0" print="0" autoFill="0" autoPict="0" macro="[0]!Sheet1.cmdAutoSize_Click">
                <anchor moveWithCells="1" sizeWithCells="1">
                  <from>
                    <xdr:col>4</xdr:col>
                    <xdr:colOff>50800</xdr:colOff>
                    <xdr:row>56</xdr:row>
                    <xdr:rowOff>38100</xdr:rowOff>
                  </from>
                  <to>
                    <xdr:col>4</xdr:col>
                    <xdr:colOff>1701800</xdr:colOff>
                    <xdr:row>59</xdr:row>
                    <xdr:rowOff>139700</xdr:rowOff>
                  </to>
                </anchor>
              </controlPr>
            </control>
          </mc:Choice>
        </mc:AlternateContent>
        <mc:AlternateContent xmlns:mc="http://schemas.openxmlformats.org/markup-compatibility/2006">
          <mc:Choice Requires="x14">
            <control shapeId="7452" r:id="rId8" name="CommandButton1">
              <controlPr defaultSize="0" print="0" autoFill="0" autoPict="0" macro="[0]!Sheet1.CommandButton1_Click">
                <anchor moveWithCells="1" sizeWithCells="1">
                  <from>
                    <xdr:col>5</xdr:col>
                    <xdr:colOff>0</xdr:colOff>
                    <xdr:row>8</xdr:row>
                    <xdr:rowOff>12700</xdr:rowOff>
                  </from>
                  <to>
                    <xdr:col>6</xdr:col>
                    <xdr:colOff>2019300</xdr:colOff>
                    <xdr:row>9</xdr:row>
                    <xdr:rowOff>0</xdr:rowOff>
                  </to>
                </anchor>
              </controlPr>
            </control>
          </mc:Choice>
        </mc:AlternateContent>
        <mc:AlternateContent xmlns:mc="http://schemas.openxmlformats.org/markup-compatibility/2006">
          <mc:Choice Requires="x14">
            <control shapeId="7453" r:id="rId9" name="CommandButton2">
              <controlPr defaultSize="0" print="0" autoFill="0" autoPict="0" macro="[0]!Sheet1.CommandButton2_Click">
                <anchor moveWithCells="1" sizeWithCells="1">
                  <from>
                    <xdr:col>5</xdr:col>
                    <xdr:colOff>0</xdr:colOff>
                    <xdr:row>9</xdr:row>
                    <xdr:rowOff>12700</xdr:rowOff>
                  </from>
                  <to>
                    <xdr:col>6</xdr:col>
                    <xdr:colOff>2019300</xdr:colOff>
                    <xdr:row>10</xdr:row>
                    <xdr:rowOff>0</xdr:rowOff>
                  </to>
                </anchor>
              </controlPr>
            </control>
          </mc:Choice>
        </mc:AlternateContent>
        <mc:AlternateContent xmlns:mc="http://schemas.openxmlformats.org/markup-compatibility/2006">
          <mc:Choice Requires="x14">
            <control shapeId="7454" r:id="rId10" name="CommandButton3">
              <controlPr defaultSize="0" print="0" autoFill="0" autoPict="0" macro="[0]!Sheet1.CommandButton3_Click">
                <anchor moveWithCells="1" sizeWithCells="1">
                  <from>
                    <xdr:col>5</xdr:col>
                    <xdr:colOff>0</xdr:colOff>
                    <xdr:row>10</xdr:row>
                    <xdr:rowOff>12700</xdr:rowOff>
                  </from>
                  <to>
                    <xdr:col>6</xdr:col>
                    <xdr:colOff>2019300</xdr:colOff>
                    <xdr:row>11</xdr:row>
                    <xdr:rowOff>0</xdr:rowOff>
                  </to>
                </anchor>
              </controlPr>
            </control>
          </mc:Choice>
        </mc:AlternateContent>
        <mc:AlternateContent xmlns:mc="http://schemas.openxmlformats.org/markup-compatibility/2006">
          <mc:Choice Requires="x14">
            <control shapeId="7455" r:id="rId11" name="CommandButton4">
              <controlPr defaultSize="0" print="0" autoFill="0" autoPict="0" macro="[0]!Sheet1.CommandButton4_Click">
                <anchor moveWithCells="1" sizeWithCells="1">
                  <from>
                    <xdr:col>5</xdr:col>
                    <xdr:colOff>0</xdr:colOff>
                    <xdr:row>11</xdr:row>
                    <xdr:rowOff>12700</xdr:rowOff>
                  </from>
                  <to>
                    <xdr:col>6</xdr:col>
                    <xdr:colOff>2019300</xdr:colOff>
                    <xdr:row>12</xdr:row>
                    <xdr:rowOff>0</xdr:rowOff>
                  </to>
                </anchor>
              </controlPr>
            </control>
          </mc:Choice>
        </mc:AlternateContent>
        <mc:AlternateContent xmlns:mc="http://schemas.openxmlformats.org/markup-compatibility/2006">
          <mc:Choice Requires="x14">
            <control shapeId="7456" r:id="rId12" name="CommandButton5">
              <controlPr defaultSize="0" print="0" autoFill="0" autoPict="0" macro="[0]!Sheet1.CommandButton5_Click">
                <anchor moveWithCells="1" sizeWithCells="1">
                  <from>
                    <xdr:col>5</xdr:col>
                    <xdr:colOff>0</xdr:colOff>
                    <xdr:row>12</xdr:row>
                    <xdr:rowOff>12700</xdr:rowOff>
                  </from>
                  <to>
                    <xdr:col>6</xdr:col>
                    <xdr:colOff>2019300</xdr:colOff>
                    <xdr:row>13</xdr:row>
                    <xdr:rowOff>0</xdr:rowOff>
                  </to>
                </anchor>
              </controlPr>
            </control>
          </mc:Choice>
        </mc:AlternateContent>
        <mc:AlternateContent xmlns:mc="http://schemas.openxmlformats.org/markup-compatibility/2006">
          <mc:Choice Requires="x14">
            <control shapeId="7457" r:id="rId13" name="CommandButton6">
              <controlPr defaultSize="0" print="0" autoFill="0" autoPict="0" macro="[0]!Sheet1.CommandButton6_Click">
                <anchor moveWithCells="1" sizeWithCells="1">
                  <from>
                    <xdr:col>5</xdr:col>
                    <xdr:colOff>0</xdr:colOff>
                    <xdr:row>13</xdr:row>
                    <xdr:rowOff>12700</xdr:rowOff>
                  </from>
                  <to>
                    <xdr:col>6</xdr:col>
                    <xdr:colOff>2019300</xdr:colOff>
                    <xdr:row>14</xdr:row>
                    <xdr:rowOff>0</xdr:rowOff>
                  </to>
                </anchor>
              </controlPr>
            </control>
          </mc:Choice>
        </mc:AlternateContent>
        <mc:AlternateContent xmlns:mc="http://schemas.openxmlformats.org/markup-compatibility/2006">
          <mc:Choice Requires="x14">
            <control shapeId="7458" r:id="rId14" name="CommandButton7">
              <controlPr defaultSize="0" print="0" autoFill="0" autoPict="0" macro="[0]!Sheet1.CommandButton7_Click">
                <anchor moveWithCells="1" sizeWithCells="1">
                  <from>
                    <xdr:col>5</xdr:col>
                    <xdr:colOff>0</xdr:colOff>
                    <xdr:row>14</xdr:row>
                    <xdr:rowOff>12700</xdr:rowOff>
                  </from>
                  <to>
                    <xdr:col>6</xdr:col>
                    <xdr:colOff>2019300</xdr:colOff>
                    <xdr:row>15</xdr:row>
                    <xdr:rowOff>0</xdr:rowOff>
                  </to>
                </anchor>
              </controlPr>
            </control>
          </mc:Choice>
        </mc:AlternateContent>
        <mc:AlternateContent xmlns:mc="http://schemas.openxmlformats.org/markup-compatibility/2006">
          <mc:Choice Requires="x14">
            <control shapeId="7459" r:id="rId15" name="CommandButton8">
              <controlPr defaultSize="0" print="0" autoFill="0" autoPict="0" macro="[0]!Sheet1.CommandButton8_Click">
                <anchor moveWithCells="1" sizeWithCells="1">
                  <from>
                    <xdr:col>5</xdr:col>
                    <xdr:colOff>0</xdr:colOff>
                    <xdr:row>15</xdr:row>
                    <xdr:rowOff>12700</xdr:rowOff>
                  </from>
                  <to>
                    <xdr:col>6</xdr:col>
                    <xdr:colOff>2019300</xdr:colOff>
                    <xdr:row>16</xdr:row>
                    <xdr:rowOff>0</xdr:rowOff>
                  </to>
                </anchor>
              </controlPr>
            </control>
          </mc:Choice>
        </mc:AlternateContent>
        <mc:AlternateContent xmlns:mc="http://schemas.openxmlformats.org/markup-compatibility/2006">
          <mc:Choice Requires="x14">
            <control shapeId="7460" r:id="rId16" name="cmdClearDesign">
              <controlPr defaultSize="0" print="0" autoFill="0" autoPict="0" macro="[0]!Sheet1.cmdClearDesign_Click">
                <anchor moveWithCells="1" sizeWithCells="1">
                  <from>
                    <xdr:col>5</xdr:col>
                    <xdr:colOff>0</xdr:colOff>
                    <xdr:row>16</xdr:row>
                    <xdr:rowOff>38100</xdr:rowOff>
                  </from>
                  <to>
                    <xdr:col>6</xdr:col>
                    <xdr:colOff>2019300</xdr:colOff>
                    <xdr:row>17</xdr:row>
                    <xdr:rowOff>0</xdr:rowOff>
                  </to>
                </anchor>
              </controlPr>
            </control>
          </mc:Choice>
        </mc:AlternateContent>
        <mc:AlternateContent xmlns:mc="http://schemas.openxmlformats.org/markup-compatibility/2006">
          <mc:Choice Requires="x14">
            <control shapeId="7461" r:id="rId17" name="cmdAutosizeA">
              <controlPr defaultSize="0" print="0" autoFill="0" autoPict="0" macro="[0]!Sheet1.cmdAutoSizeA_Click">
                <anchor moveWithCells="1" sizeWithCells="1">
                  <from>
                    <xdr:col>4</xdr:col>
                    <xdr:colOff>88900</xdr:colOff>
                    <xdr:row>74</xdr:row>
                    <xdr:rowOff>63500</xdr:rowOff>
                  </from>
                  <to>
                    <xdr:col>4</xdr:col>
                    <xdr:colOff>1727200</xdr:colOff>
                    <xdr:row>77</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AZ420"/>
  <sheetViews>
    <sheetView topLeftCell="A333" zoomScale="85" zoomScaleNormal="85" workbookViewId="0"/>
  </sheetViews>
  <sheetFormatPr baseColWidth="10" defaultColWidth="9.1640625" defaultRowHeight="13"/>
  <cols>
    <col min="1" max="1" width="9" style="6" customWidth="1"/>
    <col min="2" max="2" width="62.6640625" style="8" customWidth="1"/>
    <col min="3" max="3" width="16" style="6" customWidth="1"/>
    <col min="4" max="4" width="10.1640625" style="293" customWidth="1"/>
    <col min="5" max="5" width="23.33203125" style="6" customWidth="1"/>
    <col min="6" max="6" width="8.5" style="6" customWidth="1"/>
    <col min="7" max="7" width="26.1640625" style="6" customWidth="1"/>
    <col min="8" max="8" width="9.83203125" style="6" customWidth="1"/>
    <col min="9" max="10" width="13.83203125" style="6" customWidth="1"/>
    <col min="11" max="11" width="11.6640625" style="6" customWidth="1"/>
    <col min="12" max="12" width="7.6640625" style="6" customWidth="1"/>
    <col min="13" max="13" width="55.1640625" style="6" customWidth="1"/>
    <col min="14" max="14" width="14.83203125" style="6" customWidth="1"/>
    <col min="15" max="18" width="7" style="6" bestFit="1" customWidth="1"/>
    <col min="19" max="19" width="6" style="6" bestFit="1" customWidth="1"/>
    <col min="20" max="20" width="6.5" style="6" customWidth="1"/>
    <col min="21" max="21" width="6.83203125" style="6" bestFit="1" customWidth="1"/>
    <col min="22" max="22" width="7.33203125" style="6" customWidth="1"/>
    <col min="23" max="16384" width="9.1640625" style="6"/>
  </cols>
  <sheetData>
    <row r="1" spans="1:52" customFormat="1" ht="16">
      <c r="A1" s="827" t="s">
        <v>287</v>
      </c>
      <c r="B1" s="828"/>
      <c r="C1" s="829"/>
      <c r="D1" s="849"/>
      <c r="E1" s="850"/>
      <c r="F1" s="24"/>
      <c r="G1" s="24"/>
      <c r="H1" s="24"/>
      <c r="I1" s="24"/>
      <c r="J1" s="24"/>
      <c r="K1" s="24"/>
      <c r="L1" s="24"/>
      <c r="M1" s="24"/>
      <c r="N1" s="845"/>
      <c r="O1" s="845"/>
      <c r="P1" s="845"/>
      <c r="Q1" s="845"/>
      <c r="R1" s="845"/>
      <c r="S1" s="845"/>
      <c r="T1" s="845"/>
      <c r="U1" s="845"/>
      <c r="V1" s="845"/>
      <c r="W1" s="845"/>
      <c r="X1" s="845"/>
      <c r="Y1" s="845"/>
      <c r="Z1" s="845"/>
      <c r="AA1" s="845"/>
      <c r="AB1" s="845"/>
      <c r="AC1" s="845"/>
      <c r="AD1" s="845"/>
      <c r="AE1" s="845"/>
      <c r="AF1" s="845"/>
      <c r="AG1" s="845"/>
      <c r="AH1" s="845"/>
      <c r="AI1" s="845"/>
      <c r="AJ1" s="845"/>
      <c r="AK1" s="845"/>
      <c r="AL1" s="845"/>
      <c r="AM1" s="845"/>
      <c r="AN1" s="845"/>
      <c r="AO1" s="845"/>
      <c r="AP1" s="845"/>
      <c r="AQ1" s="845"/>
      <c r="AR1" s="845"/>
      <c r="AS1" s="845"/>
      <c r="AT1" s="845"/>
      <c r="AU1" s="845"/>
      <c r="AV1" s="845"/>
      <c r="AW1" s="845"/>
      <c r="AX1" s="845"/>
      <c r="AY1" s="845"/>
      <c r="AZ1" s="845"/>
    </row>
    <row r="2" spans="1:52" customFormat="1">
      <c r="A2" s="927"/>
      <c r="B2" s="922" t="s">
        <v>3419</v>
      </c>
      <c r="C2" s="923" t="s">
        <v>1434</v>
      </c>
      <c r="D2" s="922" t="s">
        <v>1435</v>
      </c>
      <c r="E2" s="924"/>
      <c r="F2" s="832"/>
      <c r="G2" s="832"/>
      <c r="H2" s="24"/>
      <c r="I2" s="24"/>
      <c r="J2" s="24"/>
      <c r="K2" s="24"/>
      <c r="L2" s="24"/>
      <c r="M2" s="24"/>
      <c r="N2" s="845"/>
      <c r="O2" s="845"/>
      <c r="P2" s="845"/>
      <c r="Q2" s="845"/>
      <c r="R2" s="845"/>
      <c r="S2" s="845"/>
      <c r="T2" s="845"/>
      <c r="U2" s="845"/>
      <c r="V2" s="845"/>
      <c r="W2" s="845"/>
      <c r="X2" s="845"/>
      <c r="Y2" s="845"/>
      <c r="Z2" s="845"/>
      <c r="AA2" s="845"/>
      <c r="AB2" s="845"/>
      <c r="AC2" s="845"/>
      <c r="AD2" s="845"/>
      <c r="AE2" s="845"/>
      <c r="AF2" s="845"/>
      <c r="AG2" s="845"/>
      <c r="AH2" s="845"/>
      <c r="AI2" s="845"/>
      <c r="AJ2" s="845"/>
      <c r="AK2" s="845"/>
      <c r="AL2" s="845"/>
      <c r="AM2" s="845"/>
      <c r="AN2" s="845"/>
      <c r="AO2" s="845"/>
      <c r="AP2" s="845"/>
      <c r="AQ2" s="845"/>
      <c r="AR2" s="845"/>
      <c r="AS2" s="845"/>
      <c r="AT2" s="845"/>
      <c r="AU2" s="845"/>
      <c r="AV2" s="845"/>
      <c r="AW2" s="845"/>
      <c r="AX2" s="845"/>
      <c r="AY2" s="845"/>
      <c r="AZ2" s="845"/>
    </row>
    <row r="3" spans="1:52" customFormat="1">
      <c r="A3" s="1048"/>
      <c r="B3" s="1049" t="s">
        <v>293</v>
      </c>
      <c r="C3" s="1050" t="str">
        <f>IF(VLOOKUP(contam_type,contam_lookup,2,FALSE)="","",VLOOKUP(contam_type,contam_lookup,2,FALSE))</f>
        <v>UVAOP Quench (Add-on)</v>
      </c>
      <c r="D3" s="1051"/>
      <c r="E3" s="1052"/>
      <c r="F3" s="832"/>
      <c r="G3" s="832"/>
      <c r="H3" s="107"/>
      <c r="I3" s="24"/>
      <c r="J3" s="24"/>
      <c r="K3" s="24"/>
      <c r="L3" s="24"/>
      <c r="M3" s="24"/>
      <c r="N3" s="845"/>
      <c r="O3" s="845"/>
      <c r="P3" s="845"/>
      <c r="Q3" s="845"/>
      <c r="R3" s="845"/>
      <c r="S3" s="845"/>
      <c r="T3" s="845"/>
      <c r="U3" s="845"/>
      <c r="V3" s="845"/>
      <c r="W3" s="845"/>
      <c r="X3" s="845"/>
      <c r="Y3" s="845"/>
      <c r="Z3" s="845"/>
      <c r="AA3" s="845"/>
      <c r="AB3" s="845"/>
      <c r="AC3" s="845"/>
      <c r="AD3" s="845"/>
      <c r="AE3" s="845"/>
      <c r="AF3" s="845"/>
      <c r="AG3" s="845"/>
      <c r="AH3" s="845"/>
      <c r="AI3" s="845"/>
      <c r="AJ3" s="845"/>
      <c r="AK3" s="845"/>
      <c r="AL3" s="845"/>
      <c r="AM3" s="845"/>
      <c r="AN3" s="845"/>
      <c r="AO3" s="845"/>
      <c r="AP3" s="845"/>
      <c r="AQ3" s="845"/>
      <c r="AR3" s="845"/>
      <c r="AS3" s="845"/>
      <c r="AT3" s="845"/>
      <c r="AU3" s="845"/>
      <c r="AV3" s="845"/>
      <c r="AW3" s="845"/>
      <c r="AX3" s="845"/>
      <c r="AY3" s="845"/>
      <c r="AZ3" s="845"/>
    </row>
    <row r="4" spans="1:52" s="845" customFormat="1">
      <c r="A4" s="1047"/>
      <c r="B4" s="834" t="s">
        <v>2622</v>
      </c>
      <c r="C4" s="839" t="str">
        <f>IF(ss_cat2=1,"small","large")</f>
        <v>small</v>
      </c>
      <c r="D4" s="835"/>
      <c r="E4" s="836"/>
      <c r="F4" s="832"/>
      <c r="G4" s="832"/>
      <c r="H4" s="107"/>
      <c r="I4" s="24"/>
      <c r="J4" s="24"/>
      <c r="K4" s="24"/>
      <c r="L4" s="24"/>
      <c r="M4" s="24"/>
    </row>
    <row r="5" spans="1:52" s="845" customFormat="1">
      <c r="A5" s="1047"/>
      <c r="B5" s="834" t="s">
        <v>1888</v>
      </c>
      <c r="C5" s="839" t="s">
        <v>1841</v>
      </c>
      <c r="D5" s="835"/>
      <c r="E5" s="836"/>
      <c r="F5" s="832"/>
      <c r="G5" s="832"/>
      <c r="H5" s="107"/>
      <c r="I5" s="24"/>
      <c r="J5" s="24"/>
      <c r="K5" s="24"/>
      <c r="L5" s="24"/>
      <c r="M5" s="24"/>
    </row>
    <row r="6" spans="1:52" s="845" customFormat="1">
      <c r="A6" s="1047"/>
      <c r="B6" s="834" t="s">
        <v>3002</v>
      </c>
      <c r="C6" s="839" t="str">
        <f>IF(design_type=1,"Pressure","Gravity")</f>
        <v>Pressure</v>
      </c>
      <c r="D6" s="835"/>
      <c r="E6" s="836"/>
      <c r="F6" s="832"/>
      <c r="G6" s="832"/>
      <c r="H6" s="107"/>
      <c r="I6" s="24"/>
      <c r="J6" s="24"/>
      <c r="K6" s="24"/>
      <c r="L6" s="24"/>
      <c r="M6" s="24"/>
    </row>
    <row r="7" spans="1:52" s="845" customFormat="1">
      <c r="A7" s="1047"/>
      <c r="B7" s="834" t="s">
        <v>228</v>
      </c>
      <c r="C7" s="832">
        <f>design_flow</f>
        <v>0.74</v>
      </c>
      <c r="D7" s="835" t="s">
        <v>3281</v>
      </c>
      <c r="E7" s="836"/>
      <c r="F7" s="832"/>
      <c r="G7" s="832"/>
      <c r="H7" s="107"/>
      <c r="I7" s="24"/>
      <c r="J7" s="24"/>
      <c r="K7" s="24"/>
      <c r="L7" s="24"/>
      <c r="M7" s="24"/>
    </row>
    <row r="8" spans="1:52" s="845" customFormat="1">
      <c r="A8" s="1047"/>
      <c r="B8" s="834" t="s">
        <v>230</v>
      </c>
      <c r="C8" s="832">
        <f>average_flow</f>
        <v>0.251</v>
      </c>
      <c r="D8" s="835" t="s">
        <v>3281</v>
      </c>
      <c r="E8" s="836"/>
      <c r="F8" s="832"/>
      <c r="G8" s="832"/>
      <c r="H8" s="107"/>
      <c r="I8" s="24"/>
      <c r="J8" s="24"/>
      <c r="K8" s="24"/>
      <c r="L8" s="24"/>
      <c r="M8" s="24"/>
    </row>
    <row r="9" spans="1:52" s="845" customFormat="1">
      <c r="A9" s="1047"/>
      <c r="B9" s="832" t="s">
        <v>1958</v>
      </c>
      <c r="C9" s="832">
        <f>IF(design_type=1,num_treat_lines,op_num_basins)</f>
        <v>1</v>
      </c>
      <c r="D9" s="844" t="s">
        <v>3328</v>
      </c>
      <c r="E9" s="836"/>
      <c r="F9" s="832"/>
      <c r="G9" s="832"/>
      <c r="H9" s="107"/>
      <c r="I9" s="24"/>
      <c r="J9" s="24"/>
      <c r="K9" s="24"/>
      <c r="L9" s="24"/>
      <c r="M9" s="24"/>
    </row>
    <row r="10" spans="1:52" s="845" customFormat="1">
      <c r="A10" s="1047"/>
      <c r="B10" s="832" t="s">
        <v>3003</v>
      </c>
      <c r="C10" s="832">
        <f>Num_tanks</f>
        <v>1</v>
      </c>
      <c r="D10" s="832" t="s">
        <v>1960</v>
      </c>
      <c r="E10" s="836"/>
      <c r="F10" s="832"/>
      <c r="G10" s="832"/>
      <c r="H10" s="107"/>
      <c r="I10" s="24"/>
      <c r="J10" s="24"/>
      <c r="K10" s="24"/>
      <c r="L10" s="24"/>
      <c r="M10" s="24"/>
    </row>
    <row r="11" spans="1:52" s="845" customFormat="1">
      <c r="A11" s="1047"/>
      <c r="B11" s="832" t="s">
        <v>2021</v>
      </c>
      <c r="C11" s="832">
        <f>IF(design_type=1,final_num_tanks,total_num_basins)</f>
        <v>1</v>
      </c>
      <c r="D11" s="832" t="s">
        <v>2022</v>
      </c>
      <c r="E11" s="836"/>
      <c r="F11" s="832"/>
      <c r="G11" s="832"/>
      <c r="H11" s="107"/>
      <c r="I11" s="24"/>
      <c r="J11" s="24"/>
      <c r="K11" s="24"/>
      <c r="L11" s="24"/>
      <c r="M11" s="24"/>
    </row>
    <row r="12" spans="1:52" s="845" customFormat="1">
      <c r="A12" s="1047"/>
      <c r="B12" s="832" t="s">
        <v>1959</v>
      </c>
      <c r="C12" s="832">
        <f>EBCT</f>
        <v>4</v>
      </c>
      <c r="D12" s="832" t="s">
        <v>2301</v>
      </c>
      <c r="E12" s="836"/>
      <c r="F12" s="832"/>
      <c r="G12" s="832"/>
      <c r="H12" s="107"/>
      <c r="I12" s="24"/>
      <c r="J12" s="24"/>
      <c r="K12" s="24"/>
      <c r="L12" s="24"/>
      <c r="M12" s="24"/>
    </row>
    <row r="13" spans="1:52" s="845" customFormat="1">
      <c r="A13" s="1047"/>
      <c r="B13" s="832" t="s">
        <v>3315</v>
      </c>
      <c r="C13" s="1029">
        <f>IF(design_type=1,EBCT_tank,EBCT)</f>
        <v>4</v>
      </c>
      <c r="D13" s="832" t="s">
        <v>2301</v>
      </c>
      <c r="E13" s="836"/>
      <c r="F13" s="832"/>
      <c r="G13" s="832"/>
      <c r="H13" s="107"/>
      <c r="I13" s="24"/>
      <c r="J13" s="24"/>
      <c r="K13" s="24"/>
      <c r="L13" s="24"/>
      <c r="M13" s="24"/>
    </row>
    <row r="14" spans="1:52" s="845" customFormat="1">
      <c r="A14" s="1047"/>
      <c r="B14" s="832" t="s">
        <v>2300</v>
      </c>
      <c r="C14" s="832">
        <f>IF(design_type=1,bed_depth,basin_op_depth)</f>
        <v>4.9000000000000004</v>
      </c>
      <c r="D14" s="832" t="s">
        <v>2302</v>
      </c>
      <c r="E14" s="836"/>
      <c r="F14" s="832"/>
      <c r="G14" s="832"/>
      <c r="H14" s="107"/>
      <c r="I14" s="24"/>
      <c r="J14" s="24"/>
      <c r="K14" s="24"/>
      <c r="L14" s="24"/>
      <c r="M14" s="24"/>
    </row>
    <row r="15" spans="1:52" s="845" customFormat="1">
      <c r="A15" s="1047"/>
      <c r="B15" s="844" t="s">
        <v>3318</v>
      </c>
      <c r="C15" s="839" t="str">
        <f>IF(design_type=1,tank_geom_I,"basins")</f>
        <v>upright</v>
      </c>
      <c r="D15" s="832"/>
      <c r="E15" s="836"/>
      <c r="F15" s="832"/>
      <c r="G15" s="832"/>
      <c r="H15" s="107"/>
      <c r="I15" s="24"/>
      <c r="J15" s="24"/>
      <c r="K15" s="24"/>
      <c r="L15" s="24"/>
      <c r="M15" s="24"/>
    </row>
    <row r="16" spans="1:52" s="845" customFormat="1">
      <c r="A16" s="1047"/>
      <c r="B16" s="832" t="str">
        <f>IF(design_type=2,"Basin width",IF(tank_geom=1,"Height (straight)",IF(tank_geom=2,"Length (straight)","")))</f>
        <v>Height (straight)</v>
      </c>
      <c r="C16" s="832">
        <f>IF(design_type=1,comm_height_length,basin_width)</f>
        <v>8</v>
      </c>
      <c r="D16" s="832" t="s">
        <v>2302</v>
      </c>
      <c r="E16" s="836"/>
      <c r="F16" s="832"/>
      <c r="G16" s="832"/>
      <c r="H16" s="107"/>
      <c r="I16" s="24"/>
      <c r="J16" s="24"/>
      <c r="K16" s="24"/>
      <c r="L16" s="24"/>
      <c r="M16" s="24"/>
    </row>
    <row r="17" spans="1:42" s="845" customFormat="1">
      <c r="A17" s="1047"/>
      <c r="B17" s="832" t="str">
        <f>IF(design_type=1,"Diameter","Basin length")</f>
        <v>Diameter</v>
      </c>
      <c r="C17" s="832">
        <f>IF(design_type=1,comm_diam,basin_length)</f>
        <v>8.5</v>
      </c>
      <c r="D17" s="832" t="s">
        <v>2302</v>
      </c>
      <c r="E17" s="836"/>
      <c r="F17" s="832"/>
      <c r="G17" s="832"/>
      <c r="H17" s="107"/>
      <c r="I17" s="24"/>
      <c r="J17" s="24"/>
      <c r="K17" s="24"/>
      <c r="L17" s="24"/>
      <c r="M17" s="24"/>
    </row>
    <row r="18" spans="1:42" s="845" customFormat="1">
      <c r="A18" s="1047"/>
      <c r="B18" s="833" t="str">
        <f>"Resulting Costs (in year "&amp;TEXT(current_year_cl,0)&amp;" dollars)"</f>
        <v>Resulting Costs (in year 2016 dollars)</v>
      </c>
      <c r="C18" s="832"/>
      <c r="D18" s="835"/>
      <c r="E18" s="836"/>
      <c r="F18" s="832"/>
      <c r="G18" s="832"/>
      <c r="H18" s="107"/>
      <c r="I18" s="24"/>
      <c r="J18" s="24"/>
      <c r="K18" s="24"/>
      <c r="L18" s="24"/>
      <c r="M18" s="24"/>
    </row>
    <row r="19" spans="1:42" s="845" customFormat="1">
      <c r="A19" s="1047"/>
      <c r="B19" s="834" t="s">
        <v>288</v>
      </c>
      <c r="C19" s="837">
        <f>IF(input_status&lt;&gt;"input complete -- results ready","Input incomplete",IF(Missing_Cost,"Missing cost!",IF(cost_buildup_error,"Error in buildup!",direct_cost)))</f>
        <v>68798.619411704363</v>
      </c>
      <c r="D19" s="838" t="s">
        <v>1957</v>
      </c>
      <c r="E19" s="836"/>
      <c r="F19" s="832"/>
      <c r="G19" s="832"/>
      <c r="H19" s="107"/>
      <c r="I19" s="24"/>
      <c r="J19" s="24"/>
      <c r="K19" s="24"/>
      <c r="L19" s="24"/>
      <c r="M19" s="24"/>
    </row>
    <row r="20" spans="1:42" s="845" customFormat="1">
      <c r="A20" s="1047"/>
      <c r="B20" s="834" t="s">
        <v>289</v>
      </c>
      <c r="C20" s="837" t="e">
        <f ca="1">IF(input_status&lt;&gt;"input complete -- results ready","Input incomplete",addon_cost)</f>
        <v>#NAME?</v>
      </c>
      <c r="D20" s="838" t="s">
        <v>1957</v>
      </c>
      <c r="E20" s="836"/>
      <c r="F20" s="832"/>
      <c r="G20" s="832"/>
      <c r="H20" s="107"/>
      <c r="I20" s="24"/>
      <c r="J20" s="24"/>
      <c r="K20" s="24"/>
      <c r="L20" s="24"/>
      <c r="M20" s="24"/>
      <c r="N20" s="854"/>
    </row>
    <row r="21" spans="1:42" s="845" customFormat="1">
      <c r="A21" s="1047"/>
      <c r="B21" s="843" t="s">
        <v>290</v>
      </c>
      <c r="C21" s="846" t="e">
        <f ca="1">IF(input_status&lt;&gt;"input complete -- results ready","Input incomplete",indirect_cost)</f>
        <v>#NAME?</v>
      </c>
      <c r="D21" s="838" t="s">
        <v>1957</v>
      </c>
      <c r="E21" s="836"/>
      <c r="F21" s="832"/>
      <c r="G21" s="832"/>
      <c r="H21" s="107"/>
      <c r="I21" s="24"/>
      <c r="J21" s="24"/>
      <c r="K21" s="24"/>
      <c r="L21" s="24"/>
      <c r="M21" s="24"/>
    </row>
    <row r="22" spans="1:42" s="845" customFormat="1">
      <c r="A22" s="1047"/>
      <c r="B22" s="840" t="s">
        <v>291</v>
      </c>
      <c r="C22" s="837" t="e">
        <f ca="1">IF(input_status&lt;&gt;"input complete -- results ready","Input incomplete",IF(Missing_Cost,"Missing cost!",IF(cost_buildup_error,"Error in buildup!",system_cost)))</f>
        <v>#NAME?</v>
      </c>
      <c r="D22" s="838" t="s">
        <v>1957</v>
      </c>
      <c r="E22" s="836"/>
      <c r="F22" s="832"/>
      <c r="G22" s="832"/>
      <c r="H22" s="107"/>
      <c r="I22" s="24"/>
      <c r="J22" s="24"/>
      <c r="K22" s="24"/>
      <c r="L22" s="24"/>
      <c r="M22" s="24"/>
    </row>
    <row r="23" spans="1:42" s="845" customFormat="1">
      <c r="A23" s="1047"/>
      <c r="B23" s="840" t="s">
        <v>292</v>
      </c>
      <c r="C23" s="837">
        <f>IF(input_status&lt;&gt;"input complete -- results ready","Input incomplete",OM_cost)</f>
        <v>18052.586741196697</v>
      </c>
      <c r="D23" s="838" t="s">
        <v>1957</v>
      </c>
      <c r="E23" s="836"/>
      <c r="F23" s="832"/>
      <c r="G23" s="832"/>
      <c r="H23" s="107"/>
      <c r="I23" s="24"/>
      <c r="J23" s="181"/>
      <c r="K23" s="24"/>
      <c r="L23" s="24"/>
      <c r="M23" s="24"/>
    </row>
    <row r="24" spans="1:42" s="845" customFormat="1">
      <c r="A24" s="1047"/>
      <c r="B24" s="840" t="e">
        <f ca="1">"Annualized Cost "&amp;IF(OR(input_status&lt;&gt;"input complete -- results ready",Missing_Cost,cost_buildup_error),"","("&amp;useful_life&amp;" years at "&amp;Discount_rate*100&amp;"%)")</f>
        <v>#NAME?</v>
      </c>
      <c r="C24" s="841" t="e">
        <f ca="1">IF(input_status&lt;&gt;"input complete -- results ready","Input incomplete",IF(Missing_Cost,"Missing cost!",IF(cost_buildup_error,"Error in buildup!",Annualized_Cost)))</f>
        <v>#NAME?</v>
      </c>
      <c r="D24" s="838" t="s">
        <v>1957</v>
      </c>
      <c r="E24" s="851"/>
      <c r="F24" s="834"/>
      <c r="G24" s="834"/>
      <c r="H24" s="186"/>
      <c r="I24" s="24"/>
      <c r="J24" s="181"/>
      <c r="K24" s="24"/>
      <c r="L24" s="24"/>
      <c r="M24" s="24"/>
    </row>
    <row r="25" spans="1:42" s="845" customFormat="1">
      <c r="A25" s="1047"/>
      <c r="B25" s="847" t="s">
        <v>3177</v>
      </c>
      <c r="C25" s="842" t="e">
        <f ca="1">IF(input_status&lt;&gt;"input complete -- results ready","Input incomplete",IF(Missing_Cost,"Missing cost!",IF(cost_buildup_error,"Error in buildup!",C393)))</f>
        <v>#NAME?</v>
      </c>
      <c r="D25" s="834"/>
      <c r="E25" s="851"/>
      <c r="F25" s="834"/>
      <c r="G25" s="834"/>
      <c r="H25" s="186"/>
      <c r="I25" s="24"/>
      <c r="J25" s="181"/>
      <c r="K25" s="24"/>
      <c r="L25" s="24"/>
      <c r="M25" s="24"/>
      <c r="W25" s="855"/>
    </row>
    <row r="26" spans="1:42" s="845" customFormat="1">
      <c r="A26" s="1053"/>
      <c r="B26" s="848" t="s">
        <v>3420</v>
      </c>
      <c r="C26" s="1059" t="e">
        <f ca="1">IF(input_status&lt;&gt;"input complete -- results ready","Input incomplete",IF(Missing_Cost,"Missing cost!",IF(cost_buildup_error,"Error in buildup!",C394)))</f>
        <v>#NAME?</v>
      </c>
      <c r="D26" s="843"/>
      <c r="E26" s="852"/>
      <c r="F26" s="834"/>
      <c r="G26" s="834"/>
      <c r="H26" s="186"/>
      <c r="I26" s="24"/>
      <c r="J26" s="181"/>
      <c r="K26" s="24"/>
      <c r="L26" s="24"/>
      <c r="M26" s="24"/>
    </row>
    <row r="27" spans="1:42" s="845" customFormat="1">
      <c r="A27" s="24"/>
      <c r="B27" s="179"/>
      <c r="C27" s="24"/>
      <c r="D27" s="180"/>
      <c r="E27" s="24"/>
      <c r="F27" s="24"/>
      <c r="G27" s="24"/>
      <c r="H27" s="24"/>
      <c r="I27" s="24"/>
      <c r="J27" s="181"/>
      <c r="K27" s="24"/>
      <c r="L27" s="24"/>
      <c r="M27" s="24"/>
    </row>
    <row r="28" spans="1:42" ht="15.75" customHeight="1">
      <c r="A28" s="366" t="s">
        <v>3421</v>
      </c>
      <c r="B28" s="283"/>
      <c r="C28" s="182"/>
      <c r="D28" s="183"/>
      <c r="E28" s="182"/>
      <c r="F28" s="182"/>
      <c r="G28" s="275"/>
      <c r="H28" s="367"/>
      <c r="I28" s="275"/>
      <c r="J28" s="182"/>
      <c r="K28" s="275"/>
      <c r="L28" s="276"/>
      <c r="O28" s="858"/>
      <c r="P28" s="858"/>
      <c r="Q28" s="858"/>
      <c r="R28" s="858"/>
      <c r="S28" s="858"/>
      <c r="T28" s="858"/>
      <c r="U28" s="858"/>
      <c r="V28" s="858"/>
    </row>
    <row r="29" spans="1:42" customFormat="1" ht="15.75" customHeight="1">
      <c r="A29" s="1156" t="s">
        <v>10</v>
      </c>
      <c r="B29" s="1159" t="s">
        <v>11</v>
      </c>
      <c r="C29" s="1159" t="s">
        <v>3422</v>
      </c>
      <c r="D29" s="1159"/>
      <c r="E29" s="1159" t="s">
        <v>3423</v>
      </c>
      <c r="F29" s="1159"/>
      <c r="G29" s="1162" t="s">
        <v>13</v>
      </c>
      <c r="H29" s="1162"/>
      <c r="I29" s="1159" t="s">
        <v>14</v>
      </c>
      <c r="J29" s="1159" t="s">
        <v>15</v>
      </c>
      <c r="K29" s="1159" t="s">
        <v>16</v>
      </c>
      <c r="L29" s="1168" t="s">
        <v>124</v>
      </c>
      <c r="M29" s="1171" t="s">
        <v>3424</v>
      </c>
      <c r="N29" s="1154" t="s">
        <v>1450</v>
      </c>
      <c r="O29" s="1154"/>
      <c r="P29" s="1154"/>
      <c r="Q29" s="1154"/>
      <c r="R29" s="1154"/>
      <c r="S29" s="1154"/>
      <c r="T29" s="1154"/>
      <c r="U29" s="1154"/>
      <c r="V29" s="1154"/>
      <c r="W29" s="1167" t="s">
        <v>1451</v>
      </c>
      <c r="X29" s="1154" t="s">
        <v>1452</v>
      </c>
      <c r="Y29" s="1154"/>
      <c r="Z29" s="1154"/>
      <c r="AA29" s="1154"/>
      <c r="AB29" s="1154"/>
      <c r="AC29" s="1154"/>
      <c r="AD29" s="1154"/>
      <c r="AE29" s="1154"/>
      <c r="AF29" s="1154"/>
      <c r="AG29" s="1165" t="s">
        <v>16</v>
      </c>
      <c r="AH29" s="1165"/>
      <c r="AI29" s="6"/>
      <c r="AJ29" s="6"/>
      <c r="AK29" s="6"/>
      <c r="AL29" s="6"/>
      <c r="AM29" s="6"/>
      <c r="AN29" s="6"/>
      <c r="AO29" s="6"/>
      <c r="AP29" s="6"/>
    </row>
    <row r="30" spans="1:42" customFormat="1" ht="26.25" customHeight="1">
      <c r="A30" s="1157"/>
      <c r="B30" s="1160"/>
      <c r="C30" s="1160"/>
      <c r="D30" s="1160"/>
      <c r="E30" s="1160"/>
      <c r="F30" s="1160"/>
      <c r="G30" s="1163"/>
      <c r="H30" s="1163"/>
      <c r="I30" s="1160"/>
      <c r="J30" s="1160"/>
      <c r="K30" s="1160"/>
      <c r="L30" s="1169"/>
      <c r="M30" s="1172"/>
      <c r="N30" s="1154" t="s">
        <v>1671</v>
      </c>
      <c r="O30" s="1154"/>
      <c r="P30" s="1154"/>
      <c r="Q30" s="1154" t="s">
        <v>1672</v>
      </c>
      <c r="R30" s="1154"/>
      <c r="S30" s="1154"/>
      <c r="T30" s="1154" t="s">
        <v>1673</v>
      </c>
      <c r="U30" s="1154"/>
      <c r="V30" s="1154"/>
      <c r="W30" s="1167"/>
      <c r="X30" s="1154" t="s">
        <v>1671</v>
      </c>
      <c r="Y30" s="1154"/>
      <c r="Z30" s="1154"/>
      <c r="AA30" s="1154" t="s">
        <v>1672</v>
      </c>
      <c r="AB30" s="1154"/>
      <c r="AC30" s="1154"/>
      <c r="AD30" s="1154" t="s">
        <v>1673</v>
      </c>
      <c r="AE30" s="1154"/>
      <c r="AF30" s="1154"/>
      <c r="AG30" s="1165"/>
      <c r="AH30" s="1165"/>
      <c r="AI30" s="6"/>
      <c r="AJ30" s="6"/>
      <c r="AL30" s="6"/>
      <c r="AM30" s="6"/>
      <c r="AN30" s="6"/>
      <c r="AO30" s="6"/>
      <c r="AP30" s="6"/>
    </row>
    <row r="31" spans="1:42" customFormat="1" ht="21.75" customHeight="1">
      <c r="A31" s="1158"/>
      <c r="B31" s="1161"/>
      <c r="C31" s="1161"/>
      <c r="D31" s="1161"/>
      <c r="E31" s="1161"/>
      <c r="F31" s="1161"/>
      <c r="G31" s="1164"/>
      <c r="H31" s="1164"/>
      <c r="I31" s="1161"/>
      <c r="J31" s="1161"/>
      <c r="K31" s="1161"/>
      <c r="L31" s="1170"/>
      <c r="M31" s="1172"/>
      <c r="N31" s="856" t="s">
        <v>1669</v>
      </c>
      <c r="O31" s="856" t="s">
        <v>2860</v>
      </c>
      <c r="P31" s="856" t="s">
        <v>1670</v>
      </c>
      <c r="Q31" s="856" t="s">
        <v>1669</v>
      </c>
      <c r="R31" s="856" t="s">
        <v>2860</v>
      </c>
      <c r="S31" s="856" t="s">
        <v>1670</v>
      </c>
      <c r="T31" s="856" t="s">
        <v>1669</v>
      </c>
      <c r="U31" s="856" t="s">
        <v>2860</v>
      </c>
      <c r="V31" s="856" t="s">
        <v>1670</v>
      </c>
      <c r="W31" s="1167"/>
      <c r="X31" s="856" t="s">
        <v>1669</v>
      </c>
      <c r="Y31" s="856" t="s">
        <v>2860</v>
      </c>
      <c r="Z31" s="856" t="s">
        <v>1670</v>
      </c>
      <c r="AA31" s="856" t="s">
        <v>1669</v>
      </c>
      <c r="AB31" s="856" t="s">
        <v>2860</v>
      </c>
      <c r="AC31" s="856" t="s">
        <v>1670</v>
      </c>
      <c r="AD31" s="856" t="s">
        <v>1669</v>
      </c>
      <c r="AE31" s="856" t="s">
        <v>2860</v>
      </c>
      <c r="AF31" s="856" t="s">
        <v>1670</v>
      </c>
      <c r="AG31" s="538" t="s">
        <v>3161</v>
      </c>
      <c r="AH31" s="857" t="s">
        <v>3162</v>
      </c>
      <c r="AI31" s="6"/>
      <c r="AJ31" s="6"/>
      <c r="AL31" s="6"/>
      <c r="AM31" s="6"/>
      <c r="AN31" s="6"/>
      <c r="AO31" s="6"/>
      <c r="AP31" s="6"/>
    </row>
    <row r="32" spans="1:42" customFormat="1">
      <c r="A32" s="235" t="s">
        <v>1321</v>
      </c>
      <c r="B32" s="236" t="s">
        <v>1320</v>
      </c>
      <c r="C32" s="236"/>
      <c r="D32" s="237"/>
      <c r="E32" s="236"/>
      <c r="F32" s="236"/>
      <c r="G32" s="236"/>
      <c r="H32" s="236"/>
      <c r="I32" s="236"/>
      <c r="J32" s="236"/>
      <c r="K32" s="236"/>
      <c r="L32" s="238"/>
      <c r="AG32" s="537"/>
      <c r="AH32" s="537"/>
    </row>
    <row r="33" spans="1:34" customFormat="1">
      <c r="A33" s="491">
        <v>1.1000000000000001</v>
      </c>
      <c r="B33" s="239" t="s">
        <v>17</v>
      </c>
      <c r="C33" s="239"/>
      <c r="D33" s="286"/>
      <c r="E33" s="239"/>
      <c r="F33" s="239"/>
      <c r="G33" s="239"/>
      <c r="H33" s="239"/>
      <c r="I33" s="239"/>
      <c r="J33" s="239"/>
      <c r="K33" s="239"/>
      <c r="L33" s="492"/>
      <c r="AG33" s="537"/>
      <c r="AH33" s="537"/>
    </row>
    <row r="34" spans="1:34" customFormat="1">
      <c r="A34" s="412" t="s">
        <v>1322</v>
      </c>
      <c r="B34" s="400" t="s">
        <v>18</v>
      </c>
      <c r="C34" s="392">
        <f>final_num_tanks</f>
        <v>1</v>
      </c>
      <c r="D34" s="392" t="s">
        <v>2305</v>
      </c>
      <c r="E34" s="394">
        <f>comm_vol_gal</f>
        <v>3395.621835559064</v>
      </c>
      <c r="F34" s="189" t="s">
        <v>2964</v>
      </c>
      <c r="G34" s="394">
        <f>IF(curve=1,comm_vol_gal,VLOOKUP(comm_vol_gal,ss_pv_cost_cl,2))</f>
        <v>3395.621835559064</v>
      </c>
      <c r="H34" s="189" t="s">
        <v>2964</v>
      </c>
      <c r="I34" s="401">
        <f>IF(C34=0,"NA",IF(curve=1,ss_pv_eq,VLOOKUP(comm_vol_gal,ss_pv_cost_cl,3)))</f>
        <v>67158.853406936862</v>
      </c>
      <c r="J34" s="396">
        <f>IF(C34=0,"--",IF(I34="contact vendor","--",C34*I34))</f>
        <v>67158.853406936862</v>
      </c>
      <c r="K34" s="402">
        <f>IF(C34=0,"NA",VLOOKUP(comm_vol_gal,ss_pv_cost_cl,IF(ss_cat="large",4,5)))</f>
        <v>30</v>
      </c>
      <c r="L34" s="397">
        <v>0</v>
      </c>
      <c r="M34" s="34" t="str">
        <f>$B$33&amp;" - "&amp;B34</f>
        <v>Pressure Vessels - Stainless Steel</v>
      </c>
      <c r="N34" s="530">
        <f t="shared" ref="N34:T37" si="0">IF(retrofit=1,$W34*X34,IF(ISBLANK(X34),"",X34))</f>
        <v>4</v>
      </c>
      <c r="O34" s="530">
        <f t="shared" si="0"/>
        <v>4</v>
      </c>
      <c r="P34" s="530">
        <f t="shared" si="0"/>
        <v>1</v>
      </c>
      <c r="Q34" s="530">
        <f t="shared" si="0"/>
        <v>4</v>
      </c>
      <c r="R34" s="530">
        <f t="shared" si="0"/>
        <v>4</v>
      </c>
      <c r="S34" s="530">
        <f t="shared" si="0"/>
        <v>1</v>
      </c>
      <c r="T34" s="530">
        <f t="shared" si="0"/>
        <v>4</v>
      </c>
      <c r="U34" s="530">
        <f t="shared" ref="U34:V37" si="1">IF(retrofit=1,$W34*AE34,IF(ISBLANK(AE34),"",AE34))</f>
        <v>4</v>
      </c>
      <c r="V34" s="530">
        <f t="shared" si="1"/>
        <v>1</v>
      </c>
      <c r="W34" s="573">
        <v>0</v>
      </c>
      <c r="X34">
        <v>4</v>
      </c>
      <c r="Y34">
        <v>4</v>
      </c>
      <c r="Z34">
        <v>1</v>
      </c>
      <c r="AA34">
        <v>4</v>
      </c>
      <c r="AB34">
        <v>4</v>
      </c>
      <c r="AC34">
        <v>1</v>
      </c>
      <c r="AD34">
        <v>4</v>
      </c>
      <c r="AE34">
        <v>4</v>
      </c>
      <c r="AF34">
        <v>1</v>
      </c>
      <c r="AG34" s="537">
        <f t="shared" ref="AG34:AG97" si="2">IF(ISERROR(K34*L34),0,IF(K34&lt;1,0,L34))</f>
        <v>0</v>
      </c>
      <c r="AH34" s="537">
        <f t="shared" ref="AH34:AH97" si="3">IF(AG34,J34/K34,0)</f>
        <v>0</v>
      </c>
    </row>
    <row r="35" spans="1:34" customFormat="1">
      <c r="A35" s="412" t="s">
        <v>1322</v>
      </c>
      <c r="B35" s="400" t="s">
        <v>1767</v>
      </c>
      <c r="C35" s="392">
        <f>final_num_tanks</f>
        <v>1</v>
      </c>
      <c r="D35" s="392" t="s">
        <v>2305</v>
      </c>
      <c r="E35" s="394">
        <f>comm_vol_gal</f>
        <v>3395.621835559064</v>
      </c>
      <c r="F35" s="189" t="s">
        <v>2964</v>
      </c>
      <c r="G35" s="394">
        <f>IF(curve=1,comm_vol_gal,VLOOKUP(comm_vol_gal,cs_pv_cost_cl,2))</f>
        <v>3395.621835559064</v>
      </c>
      <c r="H35" s="189" t="s">
        <v>2964</v>
      </c>
      <c r="I35" s="401">
        <f>IF(C35=0,"NA",IF(curve=1,cs_pv_eq,VLOOKUP(comm_vol_gal,cs_pv_cost_cl,3)))</f>
        <v>49740.798081032954</v>
      </c>
      <c r="J35" s="396">
        <f>IF(C35=0,"--",IF(I35="contact vendor","--",C35*I35))</f>
        <v>49740.798081032954</v>
      </c>
      <c r="K35" s="402">
        <f>IF(C35=0,"NA",VLOOKUP(comm_vol_gal,cs_pv_cost_cl,IF(ss_cat="large",4,5)))</f>
        <v>30</v>
      </c>
      <c r="L35" s="397">
        <v>0</v>
      </c>
      <c r="M35" s="34" t="str">
        <f>$B$33&amp;" - "&amp;B35</f>
        <v>Pressure Vessels - Carbon Steel - Stainless Internals</v>
      </c>
      <c r="N35" s="530">
        <f t="shared" si="0"/>
        <v>3</v>
      </c>
      <c r="O35" s="530">
        <f t="shared" si="0"/>
        <v>3</v>
      </c>
      <c r="P35" s="530">
        <f t="shared" si="0"/>
        <v>2</v>
      </c>
      <c r="Q35" s="530">
        <f t="shared" si="0"/>
        <v>3</v>
      </c>
      <c r="R35" s="530">
        <f t="shared" si="0"/>
        <v>3</v>
      </c>
      <c r="S35" s="530">
        <f t="shared" si="0"/>
        <v>2</v>
      </c>
      <c r="T35" s="530">
        <f t="shared" si="0"/>
        <v>3</v>
      </c>
      <c r="U35" s="530">
        <f t="shared" si="1"/>
        <v>3</v>
      </c>
      <c r="V35" s="530">
        <f t="shared" si="1"/>
        <v>2</v>
      </c>
      <c r="W35" s="573">
        <v>0</v>
      </c>
      <c r="X35">
        <v>3</v>
      </c>
      <c r="Y35">
        <v>3</v>
      </c>
      <c r="Z35">
        <v>2</v>
      </c>
      <c r="AA35">
        <v>3</v>
      </c>
      <c r="AB35">
        <v>3</v>
      </c>
      <c r="AC35">
        <v>2</v>
      </c>
      <c r="AD35">
        <v>3</v>
      </c>
      <c r="AE35">
        <v>3</v>
      </c>
      <c r="AF35">
        <v>2</v>
      </c>
      <c r="AG35" s="537">
        <f t="shared" si="2"/>
        <v>0</v>
      </c>
      <c r="AH35" s="537">
        <f t="shared" si="3"/>
        <v>0</v>
      </c>
    </row>
    <row r="36" spans="1:34" customFormat="1">
      <c r="A36" s="412" t="s">
        <v>1322</v>
      </c>
      <c r="B36" s="400" t="s">
        <v>268</v>
      </c>
      <c r="C36" s="392">
        <f>final_num_tanks</f>
        <v>1</v>
      </c>
      <c r="D36" s="392" t="s">
        <v>2305</v>
      </c>
      <c r="E36" s="394">
        <f>comm_vol_gal</f>
        <v>3395.621835559064</v>
      </c>
      <c r="F36" s="189" t="s">
        <v>2964</v>
      </c>
      <c r="G36" s="394">
        <f>IF(curve=1,comm_vol_gal,VLOOKUP(comm_vol_gal,csp_pv_cost_cl,2))</f>
        <v>3395.621835559064</v>
      </c>
      <c r="H36" s="189" t="s">
        <v>2964</v>
      </c>
      <c r="I36" s="401">
        <f>IF(C36=0,"NA",IF(curve=1,csp_pv_eq,VLOOKUP(comm_vol_gal,csp_pv_cost_cl,3)))</f>
        <v>30570.707435532913</v>
      </c>
      <c r="J36" s="398">
        <f>IF(C36=0,"--",IF(I36="contact vendor","--",C36*I36))</f>
        <v>30570.707435532913</v>
      </c>
      <c r="K36" s="402">
        <f>IF(C36=0,"NA",VLOOKUP(comm_vol_gal,csp_pv_cost_cl,IF(ss_cat="large",4,5)))</f>
        <v>30</v>
      </c>
      <c r="L36" s="397">
        <v>1</v>
      </c>
      <c r="M36" s="34" t="str">
        <f>$B$33&amp;" - "&amp;B36</f>
        <v>Pressure Vessels - Carbon Steel - Plastic Internals</v>
      </c>
      <c r="N36" s="530">
        <f t="shared" si="0"/>
        <v>2</v>
      </c>
      <c r="O36" s="530">
        <f t="shared" si="0"/>
        <v>1</v>
      </c>
      <c r="P36" s="530">
        <f t="shared" si="0"/>
        <v>3</v>
      </c>
      <c r="Q36" s="530">
        <f t="shared" si="0"/>
        <v>2</v>
      </c>
      <c r="R36" s="530">
        <f t="shared" si="0"/>
        <v>1</v>
      </c>
      <c r="S36" s="530">
        <f t="shared" si="0"/>
        <v>3</v>
      </c>
      <c r="T36" s="530">
        <f t="shared" si="0"/>
        <v>2</v>
      </c>
      <c r="U36" s="530">
        <f t="shared" si="1"/>
        <v>1</v>
      </c>
      <c r="V36" s="530">
        <f t="shared" si="1"/>
        <v>3</v>
      </c>
      <c r="W36" s="573">
        <v>0</v>
      </c>
      <c r="X36">
        <v>2</v>
      </c>
      <c r="Y36">
        <v>1</v>
      </c>
      <c r="Z36">
        <v>3</v>
      </c>
      <c r="AA36">
        <v>2</v>
      </c>
      <c r="AB36">
        <v>1</v>
      </c>
      <c r="AC36">
        <v>3</v>
      </c>
      <c r="AD36">
        <v>2</v>
      </c>
      <c r="AE36">
        <v>1</v>
      </c>
      <c r="AF36">
        <v>3</v>
      </c>
      <c r="AG36" s="537">
        <f t="shared" si="2"/>
        <v>1</v>
      </c>
      <c r="AH36" s="537">
        <f t="shared" si="3"/>
        <v>1019.0235811844304</v>
      </c>
    </row>
    <row r="37" spans="1:34" customFormat="1">
      <c r="A37" s="412" t="s">
        <v>1322</v>
      </c>
      <c r="B37" s="400" t="s">
        <v>2621</v>
      </c>
      <c r="C37" s="392">
        <f>final_num_tanks</f>
        <v>1</v>
      </c>
      <c r="D37" s="392" t="s">
        <v>2305</v>
      </c>
      <c r="E37" s="394">
        <f>comm_vol_gal</f>
        <v>3395.621835559064</v>
      </c>
      <c r="F37" s="189" t="s">
        <v>2964</v>
      </c>
      <c r="G37" s="394">
        <f>IF(curve=1,comm_vol_gal,VLOOKUP(comm_vol_gal,fg_pv_cost_cl,2))</f>
        <v>3395.621835559064</v>
      </c>
      <c r="H37" s="189" t="s">
        <v>2964</v>
      </c>
      <c r="I37" s="401" t="str">
        <f>IF(C37=0,"NA",IF(curve=1,fg_pv_eq,VLOOKUP(comm_vol_gal,fg_pv_cost_cl,3)))</f>
        <v>contact vendor</v>
      </c>
      <c r="J37" s="398" t="str">
        <f>IF(C37=0,"--",IF(I37="contact vendor","--",C37*I37))</f>
        <v>--</v>
      </c>
      <c r="K37" s="402">
        <f>IF(C37=0,"NA",VLOOKUP(comm_vol_gal,fg_pv_cost_cl,IF(ss_cat="large",4,5)))</f>
        <v>20</v>
      </c>
      <c r="L37" s="397">
        <v>0</v>
      </c>
      <c r="M37" s="34" t="str">
        <f>$B$33&amp;" - "&amp;B37</f>
        <v>Pressure Vessels - Fiberglass</v>
      </c>
      <c r="N37" s="530">
        <f t="shared" si="0"/>
        <v>1</v>
      </c>
      <c r="O37" s="530">
        <f t="shared" si="0"/>
        <v>2</v>
      </c>
      <c r="P37" s="530">
        <f t="shared" si="0"/>
        <v>4</v>
      </c>
      <c r="Q37" s="530">
        <f t="shared" si="0"/>
        <v>1</v>
      </c>
      <c r="R37" s="530">
        <f t="shared" si="0"/>
        <v>2</v>
      </c>
      <c r="S37" s="530">
        <f t="shared" si="0"/>
        <v>4</v>
      </c>
      <c r="T37" s="530">
        <f t="shared" si="0"/>
        <v>1</v>
      </c>
      <c r="U37" s="530">
        <f t="shared" si="1"/>
        <v>2</v>
      </c>
      <c r="V37" s="530">
        <f t="shared" si="1"/>
        <v>4</v>
      </c>
      <c r="W37" s="573">
        <v>0</v>
      </c>
      <c r="X37">
        <v>1</v>
      </c>
      <c r="Y37">
        <v>2</v>
      </c>
      <c r="Z37">
        <v>4</v>
      </c>
      <c r="AA37">
        <v>1</v>
      </c>
      <c r="AB37">
        <v>2</v>
      </c>
      <c r="AC37">
        <v>4</v>
      </c>
      <c r="AD37">
        <v>1</v>
      </c>
      <c r="AE37">
        <v>2</v>
      </c>
      <c r="AF37">
        <v>4</v>
      </c>
      <c r="AG37" s="537">
        <f t="shared" si="2"/>
        <v>0</v>
      </c>
      <c r="AH37" s="537">
        <f t="shared" si="3"/>
        <v>0</v>
      </c>
    </row>
    <row r="38" spans="1:34" customFormat="1">
      <c r="A38" s="247" t="s">
        <v>1328</v>
      </c>
      <c r="B38" s="218" t="s">
        <v>1323</v>
      </c>
      <c r="C38" s="216"/>
      <c r="D38" s="864"/>
      <c r="E38" s="244"/>
      <c r="F38" s="864"/>
      <c r="G38" s="244"/>
      <c r="H38" s="864"/>
      <c r="I38" s="248"/>
      <c r="J38" s="249"/>
      <c r="K38" s="245"/>
      <c r="L38" s="250"/>
      <c r="AG38" s="537">
        <f t="shared" si="2"/>
        <v>0</v>
      </c>
      <c r="AH38" s="537">
        <f t="shared" si="3"/>
        <v>0</v>
      </c>
    </row>
    <row r="39" spans="1:34" customFormat="1">
      <c r="A39" s="404" t="s">
        <v>1329</v>
      </c>
      <c r="B39" s="436" t="s">
        <v>3054</v>
      </c>
      <c r="C39" s="392">
        <f>total_num_basins</f>
        <v>0</v>
      </c>
      <c r="D39" s="392" t="s">
        <v>2305</v>
      </c>
      <c r="E39" s="394" t="str">
        <f>IF(C39=0,"NA",basin_vol)</f>
        <v>NA</v>
      </c>
      <c r="F39" s="189" t="str">
        <f>IF(C39=0,"","gal")</f>
        <v/>
      </c>
      <c r="G39" s="394" t="str">
        <f>IF(C39=0,"NA",basin_vol)</f>
        <v>NA</v>
      </c>
      <c r="H39" s="189" t="str">
        <f>IF(C39=0,"","gal")</f>
        <v/>
      </c>
      <c r="I39" s="401" t="str">
        <f>IF(C39=0,"NA",basin_conc_vol/total_num_basins*VLOOKUP(0,conc_basin_cost_cl,3))</f>
        <v>NA</v>
      </c>
      <c r="J39" s="396" t="str">
        <f t="shared" ref="J39:J44" si="4">IF(C39=0,"--",IF(I39="contact vendor","--",C39*I39))</f>
        <v>--</v>
      </c>
      <c r="K39" s="190" t="str">
        <f>IF(C39=0,"NA",VLOOKUP(0,conc_basin_cost_cl,IF(ss_cat="large",4,5)))</f>
        <v>NA</v>
      </c>
      <c r="L39" s="419"/>
      <c r="M39" t="str">
        <f t="shared" ref="M39:M44" si="5">$B$38&amp;" - "&amp;B39</f>
        <v>GAC Contact Basins - Concrete</v>
      </c>
      <c r="N39" s="530">
        <f t="shared" ref="N39:T44" si="6">IF(retrofit=1,$W39*X39,IF(ISBLANK(X39),"",X39))</f>
        <v>1</v>
      </c>
      <c r="O39" s="530">
        <f t="shared" si="6"/>
        <v>1</v>
      </c>
      <c r="P39" s="530">
        <f t="shared" si="6"/>
        <v>1</v>
      </c>
      <c r="Q39" s="530">
        <f t="shared" si="6"/>
        <v>1</v>
      </c>
      <c r="R39" s="530">
        <f t="shared" si="6"/>
        <v>1</v>
      </c>
      <c r="S39" s="530">
        <f t="shared" si="6"/>
        <v>1</v>
      </c>
      <c r="T39" s="530">
        <f t="shared" si="6"/>
        <v>1</v>
      </c>
      <c r="U39" s="530">
        <f t="shared" ref="U39:U44" si="7">IF(retrofit=1,$W39*AE39,IF(ISBLANK(AE39),"",AE39))</f>
        <v>1</v>
      </c>
      <c r="V39" s="530">
        <f t="shared" ref="V39:V44" si="8">IF(retrofit=1,$W39*AF39,IF(ISBLANK(AF39),"",AF39))</f>
        <v>1</v>
      </c>
      <c r="W39" s="573">
        <v>0</v>
      </c>
      <c r="X39" s="23">
        <v>1</v>
      </c>
      <c r="Y39" s="23">
        <v>1</v>
      </c>
      <c r="Z39" s="23">
        <v>1</v>
      </c>
      <c r="AA39" s="23">
        <v>1</v>
      </c>
      <c r="AB39" s="23">
        <v>1</v>
      </c>
      <c r="AC39" s="23">
        <v>1</v>
      </c>
      <c r="AD39" s="23">
        <v>1</v>
      </c>
      <c r="AE39" s="23">
        <v>1</v>
      </c>
      <c r="AF39" s="23">
        <v>1</v>
      </c>
      <c r="AG39" s="537">
        <f t="shared" si="2"/>
        <v>0</v>
      </c>
      <c r="AH39" s="537">
        <f t="shared" si="3"/>
        <v>0</v>
      </c>
    </row>
    <row r="40" spans="1:34" customFormat="1">
      <c r="A40" s="404" t="s">
        <v>2997</v>
      </c>
      <c r="B40" s="436" t="s">
        <v>3351</v>
      </c>
      <c r="C40" s="392">
        <f>total_num_basins</f>
        <v>0</v>
      </c>
      <c r="D40" s="392" t="s">
        <v>2305</v>
      </c>
      <c r="E40" s="394" t="str">
        <f>IF(C40=0,"NA",basin_area)</f>
        <v>NA</v>
      </c>
      <c r="F40" s="189" t="str">
        <f>IF(C40=0,"","sf")</f>
        <v/>
      </c>
      <c r="G40" s="394" t="str">
        <f>IF(C40=0,"NA",basin_area)</f>
        <v>NA</v>
      </c>
      <c r="H40" s="189" t="str">
        <f>IF(C40=0,"","sf")</f>
        <v/>
      </c>
      <c r="I40" s="401" t="str">
        <f>IF(C40=0,"NA",IF(cont_int_eq="contact vendor","contact vendor",J40/total_num_basins))</f>
        <v>NA</v>
      </c>
      <c r="J40" s="396" t="str">
        <f>IF(C40=0,"--",IF(cont_int_eq="contact vendor","--",cont_int_eq))</f>
        <v>--</v>
      </c>
      <c r="K40" s="190" t="str">
        <f>IF(C40=0,"NA",VLOOKUP(0,cont_top_cost_cl,IF(ss_cat="large",4,5)))</f>
        <v>NA</v>
      </c>
      <c r="L40" s="419"/>
      <c r="M40" t="str">
        <f t="shared" si="5"/>
        <v>GAC Contact Basins - Internals (Underdrain/Backwash System)</v>
      </c>
      <c r="N40" s="530">
        <f t="shared" si="6"/>
        <v>1</v>
      </c>
      <c r="O40" s="530">
        <f t="shared" si="6"/>
        <v>1</v>
      </c>
      <c r="P40" s="530">
        <f t="shared" si="6"/>
        <v>1</v>
      </c>
      <c r="Q40" s="530">
        <f t="shared" si="6"/>
        <v>1</v>
      </c>
      <c r="R40" s="530">
        <f t="shared" si="6"/>
        <v>1</v>
      </c>
      <c r="S40" s="530">
        <f t="shared" si="6"/>
        <v>1</v>
      </c>
      <c r="T40" s="530">
        <f t="shared" si="6"/>
        <v>1</v>
      </c>
      <c r="U40" s="530">
        <f t="shared" si="7"/>
        <v>1</v>
      </c>
      <c r="V40" s="530">
        <f t="shared" si="8"/>
        <v>1</v>
      </c>
      <c r="W40" s="573">
        <v>0</v>
      </c>
      <c r="X40" s="23">
        <v>1</v>
      </c>
      <c r="Y40" s="23">
        <v>1</v>
      </c>
      <c r="Z40" s="23">
        <v>1</v>
      </c>
      <c r="AA40" s="23">
        <v>1</v>
      </c>
      <c r="AB40" s="23">
        <v>1</v>
      </c>
      <c r="AC40" s="23">
        <v>1</v>
      </c>
      <c r="AD40" s="23">
        <v>1</v>
      </c>
      <c r="AE40" s="23">
        <v>1</v>
      </c>
      <c r="AF40" s="23">
        <v>1</v>
      </c>
      <c r="AG40" s="537">
        <f t="shared" si="2"/>
        <v>0</v>
      </c>
      <c r="AH40" s="537">
        <f t="shared" si="3"/>
        <v>0</v>
      </c>
    </row>
    <row r="41" spans="1:34" customFormat="1">
      <c r="A41" s="404" t="s">
        <v>2998</v>
      </c>
      <c r="B41" s="436" t="s">
        <v>1324</v>
      </c>
      <c r="C41" s="392">
        <f>IF(design_type=1,0,railing)</f>
        <v>0</v>
      </c>
      <c r="D41" s="392" t="s">
        <v>2625</v>
      </c>
      <c r="E41" s="394" t="s">
        <v>774</v>
      </c>
      <c r="F41" s="392"/>
      <c r="G41" s="394" t="s">
        <v>774</v>
      </c>
      <c r="H41" s="392"/>
      <c r="I41" s="401" t="str">
        <f>IF(C41=0,"NA",VLOOKUP(B41,metal_cost_cl,3))</f>
        <v>NA</v>
      </c>
      <c r="J41" s="396" t="str">
        <f t="shared" si="4"/>
        <v>--</v>
      </c>
      <c r="K41" s="190" t="str">
        <f>IF(C41=0,"NA",VLOOKUP(B41,metal_cost_cl,IF(ss_cat="large",4,5)))</f>
        <v>NA</v>
      </c>
      <c r="L41" s="419"/>
      <c r="M41" t="str">
        <f t="shared" si="5"/>
        <v>GAC Contact Basins - Aluminum Railing</v>
      </c>
      <c r="N41" s="530">
        <f t="shared" si="6"/>
        <v>1</v>
      </c>
      <c r="O41" s="530">
        <f t="shared" si="6"/>
        <v>1</v>
      </c>
      <c r="P41" s="530">
        <f t="shared" si="6"/>
        <v>1</v>
      </c>
      <c r="Q41" s="530">
        <f t="shared" si="6"/>
        <v>1</v>
      </c>
      <c r="R41" s="530">
        <f t="shared" si="6"/>
        <v>1</v>
      </c>
      <c r="S41" s="530">
        <f t="shared" si="6"/>
        <v>1</v>
      </c>
      <c r="T41" s="530">
        <f t="shared" si="6"/>
        <v>1</v>
      </c>
      <c r="U41" s="530">
        <f t="shared" si="7"/>
        <v>1</v>
      </c>
      <c r="V41" s="530">
        <f t="shared" si="8"/>
        <v>1</v>
      </c>
      <c r="W41" s="573">
        <v>0</v>
      </c>
      <c r="X41" s="23">
        <v>1</v>
      </c>
      <c r="Y41" s="23">
        <v>1</v>
      </c>
      <c r="Z41" s="23">
        <v>1</v>
      </c>
      <c r="AA41" s="23">
        <v>1</v>
      </c>
      <c r="AB41" s="23">
        <v>1</v>
      </c>
      <c r="AC41" s="23">
        <v>1</v>
      </c>
      <c r="AD41" s="23">
        <v>1</v>
      </c>
      <c r="AE41" s="23">
        <v>1</v>
      </c>
      <c r="AF41" s="23">
        <v>1</v>
      </c>
      <c r="AG41" s="537">
        <f t="shared" si="2"/>
        <v>0</v>
      </c>
      <c r="AH41" s="537">
        <f t="shared" si="3"/>
        <v>0</v>
      </c>
    </row>
    <row r="42" spans="1:34" customFormat="1">
      <c r="A42" s="404" t="s">
        <v>2999</v>
      </c>
      <c r="B42" s="436" t="s">
        <v>1325</v>
      </c>
      <c r="C42" s="392">
        <f>IF(design_type=1,0,risers)</f>
        <v>0</v>
      </c>
      <c r="D42" s="392" t="s">
        <v>466</v>
      </c>
      <c r="E42" s="394" t="s">
        <v>774</v>
      </c>
      <c r="F42" s="392"/>
      <c r="G42" s="394" t="s">
        <v>774</v>
      </c>
      <c r="H42" s="392"/>
      <c r="I42" s="401" t="str">
        <f>IF(C42=0,"NA",VLOOKUP(B42,metal_cost_cl,3))</f>
        <v>NA</v>
      </c>
      <c r="J42" s="396" t="str">
        <f t="shared" si="4"/>
        <v>--</v>
      </c>
      <c r="K42" s="190" t="str">
        <f>IF(C42=0,"NA",VLOOKUP(B42,metal_cost_cl,IF(ss_cat="large",4,5)))</f>
        <v>NA</v>
      </c>
      <c r="L42" s="419"/>
      <c r="M42" t="str">
        <f t="shared" si="5"/>
        <v>GAC Contact Basins - Aluminum Stairs</v>
      </c>
      <c r="N42" s="530">
        <f t="shared" si="6"/>
        <v>1</v>
      </c>
      <c r="O42" s="530">
        <f t="shared" si="6"/>
        <v>1</v>
      </c>
      <c r="P42" s="530">
        <f t="shared" si="6"/>
        <v>1</v>
      </c>
      <c r="Q42" s="530">
        <f t="shared" si="6"/>
        <v>1</v>
      </c>
      <c r="R42" s="530">
        <f t="shared" si="6"/>
        <v>1</v>
      </c>
      <c r="S42" s="530">
        <f t="shared" si="6"/>
        <v>1</v>
      </c>
      <c r="T42" s="530">
        <f t="shared" si="6"/>
        <v>1</v>
      </c>
      <c r="U42" s="530">
        <f t="shared" si="7"/>
        <v>1</v>
      </c>
      <c r="V42" s="530">
        <f t="shared" si="8"/>
        <v>1</v>
      </c>
      <c r="W42" s="573">
        <v>0</v>
      </c>
      <c r="X42" s="23">
        <v>1</v>
      </c>
      <c r="Y42" s="23">
        <v>1</v>
      </c>
      <c r="Z42" s="23">
        <v>1</v>
      </c>
      <c r="AA42" s="23">
        <v>1</v>
      </c>
      <c r="AB42" s="23">
        <v>1</v>
      </c>
      <c r="AC42" s="23">
        <v>1</v>
      </c>
      <c r="AD42" s="23">
        <v>1</v>
      </c>
      <c r="AE42" s="23">
        <v>1</v>
      </c>
      <c r="AF42" s="23">
        <v>1</v>
      </c>
      <c r="AG42" s="537">
        <f t="shared" si="2"/>
        <v>0</v>
      </c>
      <c r="AH42" s="537">
        <f t="shared" si="3"/>
        <v>0</v>
      </c>
    </row>
    <row r="43" spans="1:34" customFormat="1">
      <c r="A43" s="404" t="s">
        <v>3000</v>
      </c>
      <c r="B43" s="400" t="s">
        <v>1326</v>
      </c>
      <c r="C43" s="442">
        <f>IF(design_type=1,0,excavation_vol)</f>
        <v>0</v>
      </c>
      <c r="D43" s="392" t="s">
        <v>1660</v>
      </c>
      <c r="E43" s="394" t="s">
        <v>774</v>
      </c>
      <c r="F43" s="392"/>
      <c r="G43" s="394" t="s">
        <v>774</v>
      </c>
      <c r="H43" s="392"/>
      <c r="I43" s="522" t="str">
        <f>IF(C43=0,"NA",VLOOKUP(0,excavate_cost_cl,3))</f>
        <v>NA</v>
      </c>
      <c r="J43" s="396" t="str">
        <f t="shared" si="4"/>
        <v>--</v>
      </c>
      <c r="K43" s="190" t="str">
        <f>IF(C43=0,"NA",VLOOKUP(0,conc_basin_cost_cl,IF(ss_cat="large",4,5)))</f>
        <v>NA</v>
      </c>
      <c r="L43" s="419"/>
      <c r="M43" t="str">
        <f t="shared" si="5"/>
        <v>GAC Contact Basins - Excavation</v>
      </c>
      <c r="N43" s="530">
        <f t="shared" si="6"/>
        <v>1</v>
      </c>
      <c r="O43" s="530">
        <f t="shared" si="6"/>
        <v>1</v>
      </c>
      <c r="P43" s="530">
        <f t="shared" si="6"/>
        <v>1</v>
      </c>
      <c r="Q43" s="530">
        <f t="shared" si="6"/>
        <v>1</v>
      </c>
      <c r="R43" s="530">
        <f t="shared" si="6"/>
        <v>1</v>
      </c>
      <c r="S43" s="530">
        <f t="shared" si="6"/>
        <v>1</v>
      </c>
      <c r="T43" s="530">
        <f t="shared" si="6"/>
        <v>1</v>
      </c>
      <c r="U43" s="530">
        <f t="shared" si="7"/>
        <v>1</v>
      </c>
      <c r="V43" s="530">
        <f t="shared" si="8"/>
        <v>1</v>
      </c>
      <c r="W43" s="573">
        <v>0</v>
      </c>
      <c r="X43" s="23">
        <v>1</v>
      </c>
      <c r="Y43" s="23">
        <v>1</v>
      </c>
      <c r="Z43" s="23">
        <v>1</v>
      </c>
      <c r="AA43" s="23">
        <v>1</v>
      </c>
      <c r="AB43" s="23">
        <v>1</v>
      </c>
      <c r="AC43" s="23">
        <v>1</v>
      </c>
      <c r="AD43" s="23">
        <v>1</v>
      </c>
      <c r="AE43" s="23">
        <v>1</v>
      </c>
      <c r="AF43" s="23">
        <v>1</v>
      </c>
      <c r="AG43" s="537">
        <f t="shared" si="2"/>
        <v>0</v>
      </c>
      <c r="AH43" s="537">
        <f t="shared" si="3"/>
        <v>0</v>
      </c>
    </row>
    <row r="44" spans="1:34" customFormat="1">
      <c r="A44" s="404" t="s">
        <v>3001</v>
      </c>
      <c r="B44" s="400" t="s">
        <v>1327</v>
      </c>
      <c r="C44" s="442">
        <f>IF(design_type=1,0,backfill_vol)</f>
        <v>0</v>
      </c>
      <c r="D44" s="392" t="s">
        <v>1660</v>
      </c>
      <c r="E44" s="394" t="s">
        <v>774</v>
      </c>
      <c r="F44" s="392"/>
      <c r="G44" s="394" t="s">
        <v>774</v>
      </c>
      <c r="H44" s="392"/>
      <c r="I44" s="522" t="str">
        <f>IF(C44=0,"NA",VLOOKUP(0,backfill_cost_cl,3))</f>
        <v>NA</v>
      </c>
      <c r="J44" s="396" t="str">
        <f t="shared" si="4"/>
        <v>--</v>
      </c>
      <c r="K44" s="190" t="str">
        <f>IF(C44=0,"NA",VLOOKUP(0,conc_basin_cost_cl,IF(ss_cat="large",4,5)))</f>
        <v>NA</v>
      </c>
      <c r="L44" s="419"/>
      <c r="M44" t="str">
        <f t="shared" si="5"/>
        <v>GAC Contact Basins - Backfill and Compaction</v>
      </c>
      <c r="N44" s="530">
        <f t="shared" si="6"/>
        <v>1</v>
      </c>
      <c r="O44" s="530">
        <f t="shared" si="6"/>
        <v>1</v>
      </c>
      <c r="P44" s="530">
        <f t="shared" si="6"/>
        <v>1</v>
      </c>
      <c r="Q44" s="530">
        <f t="shared" si="6"/>
        <v>1</v>
      </c>
      <c r="R44" s="530">
        <f t="shared" si="6"/>
        <v>1</v>
      </c>
      <c r="S44" s="530">
        <f t="shared" si="6"/>
        <v>1</v>
      </c>
      <c r="T44" s="530">
        <f t="shared" si="6"/>
        <v>1</v>
      </c>
      <c r="U44" s="530">
        <f t="shared" si="7"/>
        <v>1</v>
      </c>
      <c r="V44" s="530">
        <f t="shared" si="8"/>
        <v>1</v>
      </c>
      <c r="W44" s="573">
        <v>0</v>
      </c>
      <c r="X44" s="23">
        <v>1</v>
      </c>
      <c r="Y44" s="23">
        <v>1</v>
      </c>
      <c r="Z44" s="23">
        <v>1</v>
      </c>
      <c r="AA44" s="23">
        <v>1</v>
      </c>
      <c r="AB44" s="23">
        <v>1</v>
      </c>
      <c r="AC44" s="23">
        <v>1</v>
      </c>
      <c r="AD44" s="23">
        <v>1</v>
      </c>
      <c r="AE44" s="23">
        <v>1</v>
      </c>
      <c r="AF44" s="23">
        <v>1</v>
      </c>
      <c r="AG44" s="537">
        <f t="shared" si="2"/>
        <v>0</v>
      </c>
      <c r="AH44" s="537">
        <f t="shared" si="3"/>
        <v>0</v>
      </c>
    </row>
    <row r="45" spans="1:34" customFormat="1">
      <c r="A45" s="240" t="s">
        <v>471</v>
      </c>
      <c r="B45" s="236" t="s">
        <v>21</v>
      </c>
      <c r="C45" s="241"/>
      <c r="D45" s="241"/>
      <c r="E45" s="242"/>
      <c r="F45" s="236"/>
      <c r="G45" s="242"/>
      <c r="H45" s="236"/>
      <c r="I45" s="241"/>
      <c r="J45" s="241"/>
      <c r="K45" s="241"/>
      <c r="L45" s="243"/>
      <c r="M45" s="34"/>
      <c r="N45" s="18"/>
      <c r="Q45" s="18"/>
      <c r="T45" s="18"/>
      <c r="X45" s="18"/>
      <c r="AA45" s="18"/>
      <c r="AD45" s="18"/>
      <c r="AG45" s="537">
        <f t="shared" si="2"/>
        <v>0</v>
      </c>
      <c r="AH45" s="537">
        <f t="shared" si="3"/>
        <v>0</v>
      </c>
    </row>
    <row r="46" spans="1:34" customFormat="1">
      <c r="A46" s="493" t="s">
        <v>472</v>
      </c>
      <c r="B46" s="239" t="s">
        <v>474</v>
      </c>
      <c r="C46" s="216"/>
      <c r="D46" s="864"/>
      <c r="E46" s="244"/>
      <c r="F46" s="865"/>
      <c r="G46" s="244"/>
      <c r="H46" s="865"/>
      <c r="I46" s="216"/>
      <c r="J46" s="216"/>
      <c r="K46" s="216"/>
      <c r="L46" s="246"/>
      <c r="M46" s="34"/>
      <c r="N46" s="22"/>
      <c r="Q46" s="22"/>
      <c r="T46" s="22"/>
      <c r="X46" s="22"/>
      <c r="AA46" s="22"/>
      <c r="AD46" s="22"/>
      <c r="AG46" s="537">
        <f t="shared" si="2"/>
        <v>0</v>
      </c>
      <c r="AH46" s="537">
        <f t="shared" si="3"/>
        <v>0</v>
      </c>
    </row>
    <row r="47" spans="1:34" customFormat="1">
      <c r="A47" s="399" t="s">
        <v>473</v>
      </c>
      <c r="B47" s="436" t="s">
        <v>1044</v>
      </c>
      <c r="C47" s="392">
        <f>IF(num_back_tanks=0,0,back_basins)</f>
        <v>0</v>
      </c>
      <c r="D47" s="392" t="s">
        <v>2305</v>
      </c>
      <c r="E47" s="394" t="str">
        <f>IF(back_basins=0,"NA",back_basin_vol)</f>
        <v>NA</v>
      </c>
      <c r="F47" s="189" t="str">
        <f>IF(C47=0,"","gal")</f>
        <v/>
      </c>
      <c r="G47" s="394" t="str">
        <f>IF(back_basins=0,"NA",back_basin_vol)</f>
        <v>NA</v>
      </c>
      <c r="H47" s="189" t="str">
        <f>IF(C47=0,"","gal")</f>
        <v/>
      </c>
      <c r="I47" s="401" t="str">
        <f>IF(back_basins=0,"NA",J47/back_basins)</f>
        <v>NA</v>
      </c>
      <c r="J47" s="401" t="str">
        <f>IF(back_basins=0,"--",back_conc_vol*VLOOKUP(0,conc_basin_cost_cl,3)+back_excavation_vol*VLOOKUP(0,excavate_cost_cl,3)+back_backfill_vol*VLOOKUP(0,backfill_cost_cl,3)+back_railing*VLOOKUP("aluminum railing",metal_cost_cl,3))</f>
        <v>--</v>
      </c>
      <c r="K47" s="190" t="str">
        <f>IF(back_basins=0,"NA",VLOOKUP(0,conc_basin_cost_cl,IF(ss_cat="large",4,5)))</f>
        <v>NA</v>
      </c>
      <c r="L47" s="411"/>
      <c r="M47" s="38" t="str">
        <f>$B$46&amp;" - "&amp;B47</f>
        <v>Backwash Tanks/Basins - Concrete Basins (includes Excavation, Backfill, and Compaction)</v>
      </c>
      <c r="N47" s="530">
        <f t="shared" ref="N47:T50" si="9">IF(retrofit=1,$W47*X47,IF(ISBLANK(X47),"",X47))</f>
        <v>3</v>
      </c>
      <c r="O47" s="530">
        <f t="shared" si="9"/>
        <v>3</v>
      </c>
      <c r="P47" s="530">
        <f t="shared" si="9"/>
        <v>2</v>
      </c>
      <c r="Q47" s="530">
        <f t="shared" si="9"/>
        <v>3</v>
      </c>
      <c r="R47" s="530">
        <f t="shared" si="9"/>
        <v>3</v>
      </c>
      <c r="S47" s="530">
        <f t="shared" si="9"/>
        <v>2</v>
      </c>
      <c r="T47" s="530">
        <f t="shared" si="9"/>
        <v>3</v>
      </c>
      <c r="U47" s="530">
        <f t="shared" ref="U47:V50" si="10">IF(retrofit=1,$W47*AE47,IF(ISBLANK(AE47),"",AE47))</f>
        <v>3</v>
      </c>
      <c r="V47" s="530">
        <f t="shared" si="10"/>
        <v>2</v>
      </c>
      <c r="W47" s="573">
        <v>0</v>
      </c>
      <c r="X47">
        <v>3</v>
      </c>
      <c r="Y47">
        <v>3</v>
      </c>
      <c r="Z47">
        <v>2</v>
      </c>
      <c r="AA47">
        <v>3</v>
      </c>
      <c r="AB47">
        <v>3</v>
      </c>
      <c r="AC47">
        <v>2</v>
      </c>
      <c r="AD47">
        <v>3</v>
      </c>
      <c r="AE47">
        <v>3</v>
      </c>
      <c r="AF47">
        <v>2</v>
      </c>
      <c r="AG47" s="537">
        <f t="shared" si="2"/>
        <v>0</v>
      </c>
      <c r="AH47" s="537">
        <f t="shared" si="3"/>
        <v>0</v>
      </c>
    </row>
    <row r="48" spans="1:34" customFormat="1">
      <c r="A48" s="399" t="s">
        <v>473</v>
      </c>
      <c r="B48" s="400" t="s">
        <v>2629</v>
      </c>
      <c r="C48" s="392">
        <f>num_back_tanks</f>
        <v>0</v>
      </c>
      <c r="D48" s="392" t="s">
        <v>2305</v>
      </c>
      <c r="E48" s="190" t="str">
        <f>IF(C48=0,"NA",back_tank_vol)</f>
        <v>NA</v>
      </c>
      <c r="F48" s="190" t="str">
        <f>IF(C48=0,"","gal")</f>
        <v/>
      </c>
      <c r="G48" s="525" t="str">
        <f>IF(C48=0,"NA",IF(curve=1,back_tank_vol,VLOOKUP(back_tank_vol,st_bwt_cost_cl,2)))</f>
        <v>NA</v>
      </c>
      <c r="H48" s="190" t="str">
        <f>IF(C48=0,"","gal")</f>
        <v/>
      </c>
      <c r="I48" s="522" t="str">
        <f>IF(C48=0,"NA",IF(curve=1,st_bwt_eq,VLOOKUP(back_tank_vol,st_bwt_cost_cl,3)))</f>
        <v>NA</v>
      </c>
      <c r="J48" s="398" t="str">
        <f>IF(OR(C48=0,I48="contact vendor"),"--",C48*I48)</f>
        <v>--</v>
      </c>
      <c r="K48" s="190" t="str">
        <f>IF(C48=0,"NA",VLOOKUP(back_tank_vol,st_bwt_cost_cl,IF(ss_cat="large",4,5)))</f>
        <v>NA</v>
      </c>
      <c r="L48" s="411"/>
      <c r="M48" s="38" t="str">
        <f>$B$46&amp;" - "&amp;B48</f>
        <v>Backwash Tanks/Basins - Steel</v>
      </c>
      <c r="N48" s="530">
        <f t="shared" si="9"/>
        <v>4</v>
      </c>
      <c r="O48" s="530">
        <f t="shared" si="9"/>
        <v>4</v>
      </c>
      <c r="P48" s="530">
        <f t="shared" si="9"/>
        <v>1</v>
      </c>
      <c r="Q48" s="530">
        <f t="shared" si="9"/>
        <v>4</v>
      </c>
      <c r="R48" s="530">
        <f t="shared" si="9"/>
        <v>4</v>
      </c>
      <c r="S48" s="530">
        <f t="shared" si="9"/>
        <v>1</v>
      </c>
      <c r="T48" s="530">
        <f t="shared" si="9"/>
        <v>4</v>
      </c>
      <c r="U48" s="530">
        <f t="shared" si="10"/>
        <v>4</v>
      </c>
      <c r="V48" s="530">
        <f t="shared" si="10"/>
        <v>1</v>
      </c>
      <c r="W48" s="573">
        <v>0</v>
      </c>
      <c r="X48">
        <v>4</v>
      </c>
      <c r="Y48">
        <v>4</v>
      </c>
      <c r="Z48">
        <v>1</v>
      </c>
      <c r="AA48">
        <v>4</v>
      </c>
      <c r="AB48">
        <v>4</v>
      </c>
      <c r="AC48">
        <v>1</v>
      </c>
      <c r="AD48">
        <v>4</v>
      </c>
      <c r="AE48">
        <v>4</v>
      </c>
      <c r="AF48">
        <v>1</v>
      </c>
      <c r="AG48" s="537">
        <f t="shared" si="2"/>
        <v>0</v>
      </c>
      <c r="AH48" s="537">
        <f t="shared" si="3"/>
        <v>0</v>
      </c>
    </row>
    <row r="49" spans="1:38" customFormat="1">
      <c r="A49" s="399" t="s">
        <v>473</v>
      </c>
      <c r="B49" s="400" t="s">
        <v>2621</v>
      </c>
      <c r="C49" s="392">
        <f>num_back_tanks</f>
        <v>0</v>
      </c>
      <c r="D49" s="392" t="s">
        <v>2305</v>
      </c>
      <c r="E49" s="190" t="str">
        <f>IF(C49=0,"NA",back_tank_vol)</f>
        <v>NA</v>
      </c>
      <c r="F49" s="190" t="str">
        <f>IF(C49=0,"","gal")</f>
        <v/>
      </c>
      <c r="G49" s="525" t="str">
        <f>IF(C49=0,"NA",IF(curve=1,back_tank_vol,VLOOKUP(back_tank_vol,fg_bwt_cost_cl,2)))</f>
        <v>NA</v>
      </c>
      <c r="H49" s="190" t="str">
        <f>IF(C49=0,"","gal")</f>
        <v/>
      </c>
      <c r="I49" s="522" t="str">
        <f>IF(C49=0,"NA",IF(curve=1,fg_bwt_eq,VLOOKUP(back_tank_vol,fg_bwt_cost_cl,3)))</f>
        <v>NA</v>
      </c>
      <c r="J49" s="398" t="str">
        <f>IF(OR(C49=0,I49="contact vendor"),"--",C49*I49)</f>
        <v>--</v>
      </c>
      <c r="K49" s="190" t="str">
        <f>IF(C49=0,"NA",VLOOKUP(back_tank_vol,fg_bwt_cost_cl,IF(ss_cat="large",4,5)))</f>
        <v>NA</v>
      </c>
      <c r="L49" s="411"/>
      <c r="M49" s="38" t="str">
        <f>$B$46&amp;" - "&amp;B49</f>
        <v>Backwash Tanks/Basins - Fiberglass</v>
      </c>
      <c r="N49" s="530">
        <f t="shared" si="9"/>
        <v>2</v>
      </c>
      <c r="O49" s="530">
        <f t="shared" si="9"/>
        <v>1</v>
      </c>
      <c r="P49" s="530">
        <f t="shared" si="9"/>
        <v>3</v>
      </c>
      <c r="Q49" s="530">
        <f t="shared" si="9"/>
        <v>2</v>
      </c>
      <c r="R49" s="530">
        <f t="shared" si="9"/>
        <v>1</v>
      </c>
      <c r="S49" s="530">
        <f t="shared" si="9"/>
        <v>3</v>
      </c>
      <c r="T49" s="530">
        <f t="shared" si="9"/>
        <v>2</v>
      </c>
      <c r="U49" s="530">
        <f t="shared" si="10"/>
        <v>1</v>
      </c>
      <c r="V49" s="530">
        <f t="shared" si="10"/>
        <v>3</v>
      </c>
      <c r="W49" s="573">
        <v>0</v>
      </c>
      <c r="X49">
        <v>2</v>
      </c>
      <c r="Y49">
        <v>1</v>
      </c>
      <c r="Z49">
        <v>3</v>
      </c>
      <c r="AA49">
        <v>2</v>
      </c>
      <c r="AB49">
        <v>1</v>
      </c>
      <c r="AC49">
        <v>3</v>
      </c>
      <c r="AD49">
        <v>2</v>
      </c>
      <c r="AE49">
        <v>1</v>
      </c>
      <c r="AF49">
        <v>3</v>
      </c>
      <c r="AG49" s="537">
        <f t="shared" si="2"/>
        <v>0</v>
      </c>
      <c r="AH49" s="537">
        <f t="shared" si="3"/>
        <v>0</v>
      </c>
    </row>
    <row r="50" spans="1:38" customFormat="1">
      <c r="A50" s="399" t="s">
        <v>473</v>
      </c>
      <c r="B50" s="400" t="s">
        <v>723</v>
      </c>
      <c r="C50" s="392">
        <f>num_back_tanks</f>
        <v>0</v>
      </c>
      <c r="D50" s="392" t="s">
        <v>2305</v>
      </c>
      <c r="E50" s="190" t="str">
        <f>IF(C50=0,"NA",back_tank_vol)</f>
        <v>NA</v>
      </c>
      <c r="F50" s="190" t="str">
        <f>IF(C50=0,"","gal")</f>
        <v/>
      </c>
      <c r="G50" s="525" t="str">
        <f>IF(C50=0,"NA",IF(curve=1,back_tank_vol,VLOOKUP(back_tank_vol,hdpe_bwt_cost_cl,2)))</f>
        <v>NA</v>
      </c>
      <c r="H50" s="190" t="str">
        <f>IF(C50=0,"","gal")</f>
        <v/>
      </c>
      <c r="I50" s="522" t="str">
        <f>IF(C50=0,"NA",IF(curve=1,hdpe_bwt_eq,VLOOKUP(back_tank_vol,hdpe_bwt_cost_cl,3)))</f>
        <v>NA</v>
      </c>
      <c r="J50" s="398" t="str">
        <f>IF(OR(C50=0,I50="contact vendor"),"--",C50*I50)</f>
        <v>--</v>
      </c>
      <c r="K50" s="190" t="str">
        <f>IF(C50=0,"NA",VLOOKUP(back_tank_vol,hdpe_bwt_cost_cl,IF(ss_cat="large",4,5)))</f>
        <v>NA</v>
      </c>
      <c r="L50" s="411"/>
      <c r="M50" s="38" t="str">
        <f>$B$46&amp;" - "&amp;B50</f>
        <v>Backwash Tanks/Basins - Plastic/HDPE</v>
      </c>
      <c r="N50" s="530">
        <f t="shared" si="9"/>
        <v>1</v>
      </c>
      <c r="O50" s="530">
        <f t="shared" si="9"/>
        <v>2</v>
      </c>
      <c r="P50" s="530">
        <f t="shared" si="9"/>
        <v>4</v>
      </c>
      <c r="Q50" s="530">
        <f t="shared" si="9"/>
        <v>1</v>
      </c>
      <c r="R50" s="530">
        <f t="shared" si="9"/>
        <v>2</v>
      </c>
      <c r="S50" s="530">
        <f t="shared" si="9"/>
        <v>4</v>
      </c>
      <c r="T50" s="530">
        <f t="shared" si="9"/>
        <v>1</v>
      </c>
      <c r="U50" s="530">
        <f t="shared" si="10"/>
        <v>2</v>
      </c>
      <c r="V50" s="530">
        <f t="shared" si="10"/>
        <v>4</v>
      </c>
      <c r="W50" s="573">
        <v>0</v>
      </c>
      <c r="X50">
        <v>1</v>
      </c>
      <c r="Y50">
        <v>2</v>
      </c>
      <c r="Z50">
        <v>4</v>
      </c>
      <c r="AA50">
        <v>1</v>
      </c>
      <c r="AB50">
        <v>2</v>
      </c>
      <c r="AC50">
        <v>4</v>
      </c>
      <c r="AD50">
        <v>1</v>
      </c>
      <c r="AE50">
        <v>2</v>
      </c>
      <c r="AF50">
        <v>4</v>
      </c>
      <c r="AG50" s="537">
        <f t="shared" si="2"/>
        <v>0</v>
      </c>
      <c r="AH50" s="537">
        <f t="shared" si="3"/>
        <v>0</v>
      </c>
    </row>
    <row r="51" spans="1:38" customFormat="1">
      <c r="A51" s="247" t="s">
        <v>868</v>
      </c>
      <c r="B51" s="218" t="s">
        <v>2072</v>
      </c>
      <c r="C51" s="216"/>
      <c r="D51" s="864"/>
      <c r="E51" s="244"/>
      <c r="F51" s="864"/>
      <c r="G51" s="244"/>
      <c r="H51" s="864"/>
      <c r="I51" s="248"/>
      <c r="J51" s="249"/>
      <c r="K51" s="245"/>
      <c r="L51" s="250"/>
      <c r="M51" s="34"/>
      <c r="AG51" s="537">
        <f t="shared" si="2"/>
        <v>0</v>
      </c>
      <c r="AH51" s="537">
        <f t="shared" si="3"/>
        <v>0</v>
      </c>
    </row>
    <row r="52" spans="1:38" customFormat="1">
      <c r="A52" s="399" t="s">
        <v>869</v>
      </c>
      <c r="B52" s="436" t="s">
        <v>1044</v>
      </c>
      <c r="C52" s="392">
        <f>hbasins</f>
        <v>0</v>
      </c>
      <c r="D52" s="392" t="s">
        <v>2305</v>
      </c>
      <c r="E52" s="394" t="str">
        <f>IF(hbasins=0,"NA",hbasin_vol)</f>
        <v>NA</v>
      </c>
      <c r="F52" s="189" t="str">
        <f>IF(C52=0,"","gal")</f>
        <v/>
      </c>
      <c r="G52" s="394" t="str">
        <f>IF(hbasins=0,"NA",hbasin_vol)</f>
        <v>NA</v>
      </c>
      <c r="H52" s="189" t="str">
        <f>IF(C52=0,"","gal")</f>
        <v/>
      </c>
      <c r="I52" s="401" t="str">
        <f>IF(hbasins=0,"NA",J52/hbasins)</f>
        <v>NA</v>
      </c>
      <c r="J52" s="401" t="str">
        <f>IF(hbasins=0,"--",hconc_vol*VLOOKUP(0,conc_basin_cost_cl,3)+hexcavation_vol*VLOOKUP(0,excavate_cost_cl,3)+hbackfill_vol*VLOOKUP(0,backfill_cost_cl,3)+hrailing*VLOOKUP("aluminum railing",metal_cost_cl,3))</f>
        <v>--</v>
      </c>
      <c r="K52" s="190" t="str">
        <f>IF(hbasins=0,"NA",VLOOKUP(0,conc_basin_cost_cl,IF(ss_cat="large",4,5)))</f>
        <v>NA</v>
      </c>
      <c r="L52" s="411"/>
      <c r="M52" s="38" t="str">
        <f>$B$51&amp;" - "&amp;B52</f>
        <v>Residuals Holding Tanks/Basins - Concrete Basins (includes Excavation, Backfill, and Compaction)</v>
      </c>
      <c r="N52" s="530">
        <f t="shared" ref="N52:N53" si="11">IF(retrofit=1,$W52*X52,IF(ISBLANK(X52),"",X52))</f>
        <v>4</v>
      </c>
      <c r="O52" s="530">
        <f t="shared" ref="O52:O55" si="12">IF(retrofit=1,$W52*Y52,IF(ISBLANK(Y52),"",Y52))</f>
        <v>4</v>
      </c>
      <c r="P52" s="530">
        <f t="shared" ref="P52:P55" si="13">IF(retrofit=1,$W52*Z52,IF(ISBLANK(Z52),"",Z52))</f>
        <v>2</v>
      </c>
      <c r="Q52" s="530">
        <f t="shared" ref="Q52:Q55" si="14">IF(retrofit=1,$W52*AA52,IF(ISBLANK(AA52),"",AA52))</f>
        <v>4</v>
      </c>
      <c r="R52" s="530">
        <f t="shared" ref="R52:R55" si="15">IF(retrofit=1,$W52*AB52,IF(ISBLANK(AB52),"",AB52))</f>
        <v>4</v>
      </c>
      <c r="S52" s="530">
        <f t="shared" ref="S52:S55" si="16">IF(retrofit=1,$W52*AC52,IF(ISBLANK(AC52),"",AC52))</f>
        <v>2</v>
      </c>
      <c r="T52" s="530">
        <f t="shared" ref="T52:T55" si="17">IF(retrofit=1,$W52*AD52,IF(ISBLANK(AD52),"",AD52))</f>
        <v>4</v>
      </c>
      <c r="U52" s="530">
        <f t="shared" ref="U52:U55" si="18">IF(retrofit=1,$W52*AE52,IF(ISBLANK(AE52),"",AE52))</f>
        <v>4</v>
      </c>
      <c r="V52" s="530">
        <f t="shared" ref="V52:V55" si="19">IF(retrofit=1,$W52*AF52,IF(ISBLANK(AF52),"",AF52))</f>
        <v>2</v>
      </c>
      <c r="W52" s="573">
        <v>0</v>
      </c>
      <c r="X52">
        <v>4</v>
      </c>
      <c r="Y52">
        <v>4</v>
      </c>
      <c r="Z52">
        <v>2</v>
      </c>
      <c r="AA52">
        <v>4</v>
      </c>
      <c r="AB52">
        <v>4</v>
      </c>
      <c r="AC52">
        <v>2</v>
      </c>
      <c r="AD52">
        <v>4</v>
      </c>
      <c r="AE52">
        <v>4</v>
      </c>
      <c r="AF52">
        <v>2</v>
      </c>
      <c r="AG52" s="629">
        <f t="shared" si="2"/>
        <v>0</v>
      </c>
      <c r="AH52" s="629">
        <f t="shared" si="3"/>
        <v>0</v>
      </c>
    </row>
    <row r="53" spans="1:38" customFormat="1">
      <c r="A53" s="404" t="s">
        <v>869</v>
      </c>
      <c r="B53" s="400" t="s">
        <v>3254</v>
      </c>
      <c r="C53" s="392">
        <f>htanks</f>
        <v>0</v>
      </c>
      <c r="D53" s="392" t="s">
        <v>2305</v>
      </c>
      <c r="E53" s="394" t="str">
        <f>IF(C53=0,"NA",htank_vol)</f>
        <v>NA</v>
      </c>
      <c r="F53" s="392" t="str">
        <f>IF(C53=0,"","gal")</f>
        <v/>
      </c>
      <c r="G53" s="394" t="str">
        <f>IF(htanks=0,"NA",IF(curve=1,htank_vol,VLOOKUP(htank_vol,st_bwt_cost_cl,2)))</f>
        <v>NA</v>
      </c>
      <c r="H53" s="392" t="str">
        <f>IF(C53=0,"","gal")</f>
        <v/>
      </c>
      <c r="I53" s="401" t="str">
        <f>IF(htanks=0,"NA",IF(curve=1,st_ht_eq,VLOOKUP(htank_vol,st_bwt_cost_cl,3)))</f>
        <v>NA</v>
      </c>
      <c r="J53" s="396" t="str">
        <f>IF(OR(C53=0,I53="contact vendor"),"--",C53*I53)</f>
        <v>--</v>
      </c>
      <c r="K53" s="405" t="str">
        <f>IF(htanks=0,"NA",VLOOKUP(htank_vol,st_bwt_cost_cl,IF(ss_cat="large",4,5)))</f>
        <v>NA</v>
      </c>
      <c r="L53" s="406"/>
      <c r="M53" s="34" t="str">
        <f>$B$51&amp;" - "&amp;B53</f>
        <v>Residuals Holding Tanks/Basins - Steel Tanks</v>
      </c>
      <c r="N53" s="530">
        <f t="shared" si="11"/>
        <v>3</v>
      </c>
      <c r="O53" s="530">
        <f t="shared" si="12"/>
        <v>3</v>
      </c>
      <c r="P53" s="530">
        <f t="shared" si="13"/>
        <v>1</v>
      </c>
      <c r="Q53" s="530">
        <f t="shared" si="14"/>
        <v>3</v>
      </c>
      <c r="R53" s="530">
        <f t="shared" si="15"/>
        <v>3</v>
      </c>
      <c r="S53" s="530">
        <f t="shared" si="16"/>
        <v>1</v>
      </c>
      <c r="T53" s="530">
        <f t="shared" si="17"/>
        <v>3</v>
      </c>
      <c r="U53" s="530">
        <f t="shared" si="18"/>
        <v>3</v>
      </c>
      <c r="V53" s="530">
        <f t="shared" si="19"/>
        <v>1</v>
      </c>
      <c r="W53" s="573">
        <v>0</v>
      </c>
      <c r="X53">
        <v>3</v>
      </c>
      <c r="Y53">
        <v>3</v>
      </c>
      <c r="Z53">
        <v>1</v>
      </c>
      <c r="AA53">
        <v>3</v>
      </c>
      <c r="AB53">
        <v>3</v>
      </c>
      <c r="AC53">
        <v>1</v>
      </c>
      <c r="AD53">
        <v>3</v>
      </c>
      <c r="AE53">
        <v>3</v>
      </c>
      <c r="AF53">
        <v>1</v>
      </c>
      <c r="AG53" s="537">
        <f t="shared" si="2"/>
        <v>0</v>
      </c>
      <c r="AH53" s="537">
        <f t="shared" si="3"/>
        <v>0</v>
      </c>
    </row>
    <row r="54" spans="1:38" customFormat="1">
      <c r="A54" s="404" t="s">
        <v>869</v>
      </c>
      <c r="B54" s="400" t="s">
        <v>416</v>
      </c>
      <c r="C54" s="392">
        <f>htanks</f>
        <v>0</v>
      </c>
      <c r="D54" s="392" t="s">
        <v>2305</v>
      </c>
      <c r="E54" s="394" t="str">
        <f>IF(C54=0,"NA",htank_vol)</f>
        <v>NA</v>
      </c>
      <c r="F54" s="392" t="str">
        <f>IF(C54=0,"","gal")</f>
        <v/>
      </c>
      <c r="G54" s="394" t="str">
        <f>IF(htanks=0,"NA",IF(curve=1,htank_vol,VLOOKUP(htank_vol,fg_bwt_cost_cl,2)))</f>
        <v>NA</v>
      </c>
      <c r="H54" s="392" t="str">
        <f>IF(C54=0,"","gal")</f>
        <v/>
      </c>
      <c r="I54" s="401" t="str">
        <f>IF(htanks=0,"NA",IF(curve=1,fg_ht_eq,VLOOKUP(htank_vol,fg_bwt_cost_cl,3)))</f>
        <v>NA</v>
      </c>
      <c r="J54" s="396" t="str">
        <f>IF(OR(C54=0,I54="contact vendor"),"--",C54*I54)</f>
        <v>--</v>
      </c>
      <c r="K54" s="405" t="str">
        <f>IF(htanks=0,"NA",VLOOKUP(htank_vol,fg_bwt_cost_cl,IF(ss_cat="large",4,5)))</f>
        <v>NA</v>
      </c>
      <c r="L54" s="406"/>
      <c r="M54" s="34" t="str">
        <f>$B$51&amp;" - "&amp;B54</f>
        <v>Residuals Holding Tanks/Basins - Fiberglass Tanks</v>
      </c>
      <c r="N54" s="530">
        <f t="shared" ref="N54" si="20">IF(retrofit=1,$W54*X54,IF(ISBLANK(X54),"",X54))</f>
        <v>2</v>
      </c>
      <c r="O54" s="530">
        <f t="shared" si="12"/>
        <v>1</v>
      </c>
      <c r="P54" s="530">
        <f t="shared" si="13"/>
        <v>3</v>
      </c>
      <c r="Q54" s="530">
        <f t="shared" si="14"/>
        <v>2</v>
      </c>
      <c r="R54" s="530">
        <f t="shared" si="15"/>
        <v>1</v>
      </c>
      <c r="S54" s="530">
        <f t="shared" si="16"/>
        <v>3</v>
      </c>
      <c r="T54" s="530">
        <f t="shared" si="17"/>
        <v>2</v>
      </c>
      <c r="U54" s="530">
        <f t="shared" si="18"/>
        <v>1</v>
      </c>
      <c r="V54" s="530">
        <f t="shared" si="19"/>
        <v>3</v>
      </c>
      <c r="W54" s="573">
        <v>0</v>
      </c>
      <c r="X54">
        <v>2</v>
      </c>
      <c r="Y54">
        <v>1</v>
      </c>
      <c r="Z54">
        <v>3</v>
      </c>
      <c r="AA54">
        <v>2</v>
      </c>
      <c r="AB54">
        <v>1</v>
      </c>
      <c r="AC54">
        <v>3</v>
      </c>
      <c r="AD54">
        <v>2</v>
      </c>
      <c r="AE54">
        <v>1</v>
      </c>
      <c r="AF54">
        <v>3</v>
      </c>
      <c r="AG54" s="537">
        <f t="shared" si="2"/>
        <v>0</v>
      </c>
      <c r="AH54" s="537">
        <f t="shared" si="3"/>
        <v>0</v>
      </c>
    </row>
    <row r="55" spans="1:38" customFormat="1">
      <c r="A55" s="404" t="s">
        <v>869</v>
      </c>
      <c r="B55" s="400" t="s">
        <v>418</v>
      </c>
      <c r="C55" s="392">
        <f>htanks</f>
        <v>0</v>
      </c>
      <c r="D55" s="392" t="s">
        <v>2305</v>
      </c>
      <c r="E55" s="394" t="str">
        <f>IF(C55=0,"NA",htank_vol)</f>
        <v>NA</v>
      </c>
      <c r="F55" s="392" t="str">
        <f>IF(C55=0,"","gal")</f>
        <v/>
      </c>
      <c r="G55" s="394" t="str">
        <f>IF(htanks=0,"NA",IF(curve=1,htank_vol,VLOOKUP(htank_vol,hdpe_bwt_cost_cl,2)))</f>
        <v>NA</v>
      </c>
      <c r="H55" s="392" t="str">
        <f>IF(C55=0,"","gal")</f>
        <v/>
      </c>
      <c r="I55" s="401" t="str">
        <f>IF(htanks=0,"NA",IF(curve=1,hdpe_ht_eq,VLOOKUP(htank_vol,hdpe_bwt_cost_cl,3)))</f>
        <v>NA</v>
      </c>
      <c r="J55" s="396" t="str">
        <f>IF(OR(C53=0,I55="contact vendor"),"--",C55*I55)</f>
        <v>--</v>
      </c>
      <c r="K55" s="405" t="str">
        <f>IF(htanks=0,"NA",VLOOKUP(htank_vol,hdpe_bwt_cost_cl,IF(ss_cat="large",4,5)))</f>
        <v>NA</v>
      </c>
      <c r="L55" s="406"/>
      <c r="M55" s="34" t="str">
        <f>$B$51&amp;" - "&amp;B55</f>
        <v>Residuals Holding Tanks/Basins - Plastic/HDPE Tanks</v>
      </c>
      <c r="N55" s="530">
        <f t="shared" ref="N55" si="21">IF(retrofit=1,$W55*X55,IF(ISBLANK(X55),"",X55))</f>
        <v>1</v>
      </c>
      <c r="O55" s="530">
        <f t="shared" si="12"/>
        <v>2</v>
      </c>
      <c r="P55" s="530">
        <f t="shared" si="13"/>
        <v>4</v>
      </c>
      <c r="Q55" s="530">
        <f t="shared" si="14"/>
        <v>1</v>
      </c>
      <c r="R55" s="530">
        <f t="shared" si="15"/>
        <v>2</v>
      </c>
      <c r="S55" s="530">
        <f t="shared" si="16"/>
        <v>4</v>
      </c>
      <c r="T55" s="530">
        <f t="shared" si="17"/>
        <v>1</v>
      </c>
      <c r="U55" s="530">
        <f t="shared" si="18"/>
        <v>2</v>
      </c>
      <c r="V55" s="530">
        <f t="shared" si="19"/>
        <v>4</v>
      </c>
      <c r="W55" s="573">
        <v>0</v>
      </c>
      <c r="X55">
        <v>1</v>
      </c>
      <c r="Y55">
        <v>2</v>
      </c>
      <c r="Z55">
        <v>4</v>
      </c>
      <c r="AA55">
        <v>1</v>
      </c>
      <c r="AB55">
        <v>2</v>
      </c>
      <c r="AC55">
        <v>4</v>
      </c>
      <c r="AD55">
        <v>1</v>
      </c>
      <c r="AE55">
        <v>2</v>
      </c>
      <c r="AF55">
        <v>4</v>
      </c>
      <c r="AG55" s="537">
        <f t="shared" si="2"/>
        <v>0</v>
      </c>
      <c r="AH55" s="537">
        <f t="shared" si="3"/>
        <v>0</v>
      </c>
    </row>
    <row r="56" spans="1:38" customFormat="1">
      <c r="A56" s="636">
        <v>2.2999999999999998</v>
      </c>
      <c r="B56" s="239" t="s">
        <v>2383</v>
      </c>
      <c r="C56" s="637"/>
      <c r="D56" s="865"/>
      <c r="E56" s="292"/>
      <c r="F56" s="868"/>
      <c r="G56" s="638"/>
      <c r="H56" s="868"/>
      <c r="I56" s="292"/>
      <c r="J56" s="292"/>
      <c r="K56" s="292"/>
      <c r="L56" s="250"/>
      <c r="M56" s="5"/>
      <c r="N56" s="38"/>
      <c r="O56" s="38"/>
      <c r="P56" s="38"/>
      <c r="Q56" s="38"/>
      <c r="R56" s="38"/>
      <c r="S56" s="38"/>
      <c r="T56" s="38"/>
      <c r="U56" s="38"/>
      <c r="V56" s="38"/>
      <c r="W56" s="179"/>
      <c r="Z56" s="24"/>
      <c r="AA56" s="24"/>
      <c r="AB56" s="24"/>
      <c r="AC56" s="24"/>
      <c r="AD56" s="24"/>
      <c r="AE56" s="24"/>
      <c r="AF56" s="24"/>
      <c r="AG56">
        <f t="shared" si="2"/>
        <v>0</v>
      </c>
      <c r="AH56">
        <f t="shared" si="3"/>
        <v>0</v>
      </c>
      <c r="AI56" s="24"/>
      <c r="AJ56" s="24"/>
      <c r="AL56" s="24"/>
    </row>
    <row r="57" spans="1:38" s="1" customFormat="1">
      <c r="A57" s="399" t="s">
        <v>2414</v>
      </c>
      <c r="B57" s="189" t="s">
        <v>3607</v>
      </c>
      <c r="C57" s="392">
        <f>polymer_tanks</f>
        <v>0</v>
      </c>
      <c r="D57" s="1" t="s">
        <v>2305</v>
      </c>
      <c r="E57" s="639" t="str">
        <f>IF(C57=0,"NA",polymer_tank_vol)</f>
        <v>NA</v>
      </c>
      <c r="F57" s="189" t="str">
        <f>IF(C57=0,"","gal")</f>
        <v/>
      </c>
      <c r="G57" s="639" t="str">
        <f>IF(C57=0,"NA",IF(curve=1,polymer_tank_vol,VLOOKUP(polymer_tank_vol,pl_cst_cost_cl,2)))</f>
        <v>NA</v>
      </c>
      <c r="H57" s="623" t="str">
        <f>IF(C57=0,"","gal")</f>
        <v/>
      </c>
      <c r="I57" s="640" t="str">
        <f>IF(C57=0,"NA",IF(curve=1,pl_polymer_st_eq,VLOOKUP(polymer_tank_vol,pl_cst_cost_cl,3)))</f>
        <v>NA</v>
      </c>
      <c r="J57" s="641" t="str">
        <f>IF(OR(C57=0,I57="contact vendor"),"--",C57*I57)</f>
        <v>--</v>
      </c>
      <c r="K57" s="642" t="str">
        <f>IF(C57=0,"NA",VLOOKUP(polymer_tank_vol,pl_cst_cost_cl,IF(ss_cat="large",4,5)))</f>
        <v>NA</v>
      </c>
      <c r="L57" s="411"/>
      <c r="M57" s="5" t="str">
        <f>$B$56&amp;" - "&amp;B57</f>
        <v>Polymer Storage Tanks - Plastic/XLPE</v>
      </c>
      <c r="N57" s="530">
        <f t="shared" ref="N57:V61" si="22">IF(retrofit=1,$W57*X57,IF(ISBLANK(X57),"",X57))</f>
        <v>1</v>
      </c>
      <c r="O57" s="530">
        <f t="shared" si="22"/>
        <v>2</v>
      </c>
      <c r="P57" s="530">
        <f t="shared" si="22"/>
        <v>3</v>
      </c>
      <c r="Q57" s="530">
        <f t="shared" si="22"/>
        <v>1</v>
      </c>
      <c r="R57" s="530">
        <f t="shared" si="22"/>
        <v>2</v>
      </c>
      <c r="S57" s="530">
        <f t="shared" si="22"/>
        <v>3</v>
      </c>
      <c r="T57" s="530">
        <f t="shared" si="22"/>
        <v>1</v>
      </c>
      <c r="U57" s="530">
        <f t="shared" si="22"/>
        <v>2</v>
      </c>
      <c r="V57" s="530">
        <f t="shared" si="22"/>
        <v>3</v>
      </c>
      <c r="W57" s="573">
        <v>0</v>
      </c>
      <c r="X57" s="5">
        <v>1</v>
      </c>
      <c r="Y57" s="5">
        <v>2</v>
      </c>
      <c r="Z57" s="5">
        <v>3</v>
      </c>
      <c r="AA57" s="5">
        <v>1</v>
      </c>
      <c r="AB57" s="5">
        <v>2</v>
      </c>
      <c r="AC57" s="5">
        <v>3</v>
      </c>
      <c r="AD57" s="5">
        <v>1</v>
      </c>
      <c r="AE57" s="5">
        <v>2</v>
      </c>
      <c r="AF57" s="5">
        <v>3</v>
      </c>
      <c r="AG57">
        <f t="shared" si="2"/>
        <v>0</v>
      </c>
      <c r="AH57">
        <f t="shared" si="3"/>
        <v>0</v>
      </c>
      <c r="AI57" s="643"/>
      <c r="AJ57" s="643"/>
      <c r="AL57" s="643"/>
    </row>
    <row r="58" spans="1:38" s="1" customFormat="1">
      <c r="A58" s="399" t="s">
        <v>2414</v>
      </c>
      <c r="B58" s="189" t="s">
        <v>2621</v>
      </c>
      <c r="C58" s="392">
        <f>polymer_tanks</f>
        <v>0</v>
      </c>
      <c r="D58" s="1" t="s">
        <v>2305</v>
      </c>
      <c r="E58" s="639" t="str">
        <f>IF(C58=0,"NA",polymer_tank_vol)</f>
        <v>NA</v>
      </c>
      <c r="F58" s="189" t="str">
        <f>IF(C58=0,"","gal")</f>
        <v/>
      </c>
      <c r="G58" s="639" t="str">
        <f>IF(C58=0,"NA",IF(curve=1,polymer_tank_vol,VLOOKUP(polymer_tank_vol,fg_cst_cost_cl,2)))</f>
        <v>NA</v>
      </c>
      <c r="H58" s="623" t="str">
        <f>IF(C58=0,"","gal")</f>
        <v/>
      </c>
      <c r="I58" s="640" t="str">
        <f>IF(C58=0,"NA",IF(curve=1,fg_polymer_st_eq,VLOOKUP(polymer_tank_vol,fg_cst_cost_cl,3)))</f>
        <v>NA</v>
      </c>
      <c r="J58" s="641" t="str">
        <f>IF(OR(C58=0,I58="contact vendor"),"--",C58*I58)</f>
        <v>--</v>
      </c>
      <c r="K58" s="642" t="str">
        <f>IF(C58=0,"NA",VLOOKUP(polymer_tank_vol,fg_cst_cost_cl,IF(ss_cat="large",4,5)))</f>
        <v>NA</v>
      </c>
      <c r="L58" s="411"/>
      <c r="M58" s="5" t="str">
        <f>$B$56&amp;" - "&amp;B58</f>
        <v>Polymer Storage Tanks - Fiberglass</v>
      </c>
      <c r="N58" s="530">
        <f t="shared" si="22"/>
        <v>2</v>
      </c>
      <c r="O58" s="530">
        <f t="shared" si="22"/>
        <v>1</v>
      </c>
      <c r="P58" s="530">
        <f t="shared" si="22"/>
        <v>2</v>
      </c>
      <c r="Q58" s="530">
        <f t="shared" si="22"/>
        <v>2</v>
      </c>
      <c r="R58" s="530">
        <f t="shared" si="22"/>
        <v>1</v>
      </c>
      <c r="S58" s="530">
        <f t="shared" si="22"/>
        <v>2</v>
      </c>
      <c r="T58" s="530">
        <f t="shared" si="22"/>
        <v>2</v>
      </c>
      <c r="U58" s="530">
        <f t="shared" si="22"/>
        <v>1</v>
      </c>
      <c r="V58" s="530">
        <f t="shared" si="22"/>
        <v>2</v>
      </c>
      <c r="W58" s="573">
        <v>0</v>
      </c>
      <c r="X58" s="5">
        <v>2</v>
      </c>
      <c r="Y58" s="5">
        <v>1</v>
      </c>
      <c r="Z58" s="5">
        <v>2</v>
      </c>
      <c r="AA58" s="5">
        <v>2</v>
      </c>
      <c r="AB58" s="5">
        <v>1</v>
      </c>
      <c r="AC58" s="5">
        <v>2</v>
      </c>
      <c r="AD58" s="5">
        <v>2</v>
      </c>
      <c r="AE58" s="5">
        <v>1</v>
      </c>
      <c r="AF58" s="5">
        <v>2</v>
      </c>
      <c r="AG58">
        <f t="shared" si="2"/>
        <v>0</v>
      </c>
      <c r="AH58">
        <f t="shared" si="3"/>
        <v>0</v>
      </c>
      <c r="AI58" s="643"/>
      <c r="AJ58" s="643"/>
      <c r="AL58" s="643"/>
    </row>
    <row r="59" spans="1:38" s="1" customFormat="1">
      <c r="A59" s="399" t="s">
        <v>2414</v>
      </c>
      <c r="B59" s="189" t="s">
        <v>18</v>
      </c>
      <c r="C59" s="392">
        <f>polymer_tanks</f>
        <v>0</v>
      </c>
      <c r="D59" s="1" t="s">
        <v>2305</v>
      </c>
      <c r="E59" s="639" t="str">
        <f>IF(C59=0,"NA",polymer_tank_vol)</f>
        <v>NA</v>
      </c>
      <c r="F59" s="189" t="str">
        <f>IF(C59=0,"","gal")</f>
        <v/>
      </c>
      <c r="G59" s="639" t="str">
        <f>IF(C59=0,"NA",IF(curve=1,polymer_tank_vol,VLOOKUP(polymer_tank_vol,ss_cst_cost_cl,2)))</f>
        <v>NA</v>
      </c>
      <c r="H59" s="623" t="str">
        <f>IF(C59=0,"","gal")</f>
        <v/>
      </c>
      <c r="I59" s="640" t="str">
        <f>IF(C59=0,"NA",IF(curve=1,ss_polymer_st_eq,VLOOKUP(polymer_tank_vol,ss_cst_cost_cl,3)))</f>
        <v>NA</v>
      </c>
      <c r="J59" s="641" t="str">
        <f>IF(OR(C59=0,I59="contact vendor"),"--",C59*I59)</f>
        <v>--</v>
      </c>
      <c r="K59" s="642" t="str">
        <f>IF(C59=0,"NA",VLOOKUP(polymer_tank_vol,ss_cst_cost_cl,IF(ss_cat="large",4,5)))</f>
        <v>NA</v>
      </c>
      <c r="L59" s="411"/>
      <c r="M59" s="5" t="str">
        <f>$B$56&amp;" - "&amp;B59</f>
        <v>Polymer Storage Tanks - Stainless Steel</v>
      </c>
      <c r="N59" s="530">
        <f t="shared" ref="N59:V59" si="23">IF(retrofit=1,$W59*X59,IF(ISBLANK(X59),"",X59))</f>
        <v>3</v>
      </c>
      <c r="O59" s="530">
        <f t="shared" si="23"/>
        <v>3</v>
      </c>
      <c r="P59" s="530">
        <f t="shared" si="23"/>
        <v>1</v>
      </c>
      <c r="Q59" s="530">
        <f t="shared" si="23"/>
        <v>3</v>
      </c>
      <c r="R59" s="530">
        <f t="shared" si="23"/>
        <v>3</v>
      </c>
      <c r="S59" s="530">
        <f t="shared" si="23"/>
        <v>1</v>
      </c>
      <c r="T59" s="530">
        <f t="shared" si="23"/>
        <v>3</v>
      </c>
      <c r="U59" s="530">
        <f t="shared" si="23"/>
        <v>3</v>
      </c>
      <c r="V59" s="530">
        <f t="shared" si="23"/>
        <v>1</v>
      </c>
      <c r="W59" s="573">
        <v>0</v>
      </c>
      <c r="X59" s="5">
        <v>3</v>
      </c>
      <c r="Y59" s="5">
        <v>3</v>
      </c>
      <c r="Z59" s="5">
        <v>1</v>
      </c>
      <c r="AA59" s="5">
        <v>3</v>
      </c>
      <c r="AB59" s="5">
        <v>3</v>
      </c>
      <c r="AC59" s="5">
        <v>1</v>
      </c>
      <c r="AD59" s="5">
        <v>3</v>
      </c>
      <c r="AE59" s="5">
        <v>3</v>
      </c>
      <c r="AF59" s="5">
        <v>1</v>
      </c>
      <c r="AG59">
        <f t="shared" si="2"/>
        <v>0</v>
      </c>
      <c r="AH59">
        <f t="shared" si="3"/>
        <v>0</v>
      </c>
      <c r="AI59" s="643"/>
      <c r="AJ59" s="643"/>
      <c r="AL59" s="643"/>
    </row>
    <row r="60" spans="1:38" customFormat="1">
      <c r="A60" s="240" t="s">
        <v>870</v>
      </c>
      <c r="B60" s="236" t="s">
        <v>2623</v>
      </c>
      <c r="C60" s="241"/>
      <c r="D60" s="241"/>
      <c r="E60" s="241"/>
      <c r="F60" s="236"/>
      <c r="G60" s="241"/>
      <c r="H60" s="236"/>
      <c r="I60" s="241"/>
      <c r="J60" s="241"/>
      <c r="K60" s="241"/>
      <c r="L60" s="243"/>
      <c r="M60" s="34"/>
      <c r="N60" s="530" t="str">
        <f t="shared" si="22"/>
        <v/>
      </c>
      <c r="O60" s="530" t="str">
        <f t="shared" si="22"/>
        <v/>
      </c>
      <c r="P60" s="530" t="str">
        <f t="shared" si="22"/>
        <v/>
      </c>
      <c r="Q60" s="530" t="str">
        <f t="shared" si="22"/>
        <v/>
      </c>
      <c r="R60" s="530" t="str">
        <f t="shared" si="22"/>
        <v/>
      </c>
      <c r="S60" s="530" t="str">
        <f t="shared" si="22"/>
        <v/>
      </c>
      <c r="T60" s="530" t="str">
        <f t="shared" si="22"/>
        <v/>
      </c>
      <c r="U60" s="530" t="str">
        <f t="shared" si="22"/>
        <v/>
      </c>
      <c r="V60" s="530" t="str">
        <f t="shared" si="22"/>
        <v/>
      </c>
      <c r="W60" s="573"/>
      <c r="AG60" s="537">
        <f t="shared" si="2"/>
        <v>0</v>
      </c>
      <c r="AH60" s="537">
        <f t="shared" si="3"/>
        <v>0</v>
      </c>
    </row>
    <row r="61" spans="1:38" customFormat="1">
      <c r="A61" s="493" t="s">
        <v>871</v>
      </c>
      <c r="B61" s="239" t="s">
        <v>2624</v>
      </c>
      <c r="C61" s="216"/>
      <c r="D61" s="864"/>
      <c r="E61" s="216"/>
      <c r="F61" s="865"/>
      <c r="G61" s="216"/>
      <c r="H61" s="865"/>
      <c r="I61" s="216"/>
      <c r="J61" s="216"/>
      <c r="K61" s="216"/>
      <c r="L61" s="246"/>
      <c r="M61" s="34"/>
      <c r="N61" s="530" t="str">
        <f t="shared" si="22"/>
        <v/>
      </c>
      <c r="O61" s="530" t="str">
        <f t="shared" si="22"/>
        <v/>
      </c>
      <c r="P61" s="530" t="str">
        <f t="shared" si="22"/>
        <v/>
      </c>
      <c r="Q61" s="530" t="str">
        <f t="shared" si="22"/>
        <v/>
      </c>
      <c r="R61" s="530" t="str">
        <f t="shared" si="22"/>
        <v/>
      </c>
      <c r="S61" s="530" t="str">
        <f t="shared" si="22"/>
        <v/>
      </c>
      <c r="T61" s="530" t="str">
        <f t="shared" si="22"/>
        <v/>
      </c>
      <c r="U61" s="530" t="str">
        <f t="shared" si="22"/>
        <v/>
      </c>
      <c r="V61" s="530" t="str">
        <f t="shared" si="22"/>
        <v/>
      </c>
      <c r="W61" s="573"/>
      <c r="AG61" s="537">
        <f t="shared" si="2"/>
        <v>0</v>
      </c>
      <c r="AH61" s="537">
        <f t="shared" si="3"/>
        <v>0</v>
      </c>
    </row>
    <row r="62" spans="1:38" customFormat="1">
      <c r="A62" s="399" t="s">
        <v>872</v>
      </c>
      <c r="B62" s="189" t="s">
        <v>2346</v>
      </c>
      <c r="C62" s="392">
        <f>proc_pipe_length</f>
        <v>40</v>
      </c>
      <c r="D62" s="392" t="s">
        <v>2625</v>
      </c>
      <c r="E62" s="407">
        <f>proc_pipe_diam</f>
        <v>6</v>
      </c>
      <c r="F62" s="189" t="s">
        <v>2626</v>
      </c>
      <c r="G62" s="407">
        <f>IF(curve=1,proc_pipe_diam,VLOOKUP(proc_pipe_diam,di_pipe_cost_cl,2))</f>
        <v>6</v>
      </c>
      <c r="H62" s="189" t="s">
        <v>2626</v>
      </c>
      <c r="I62" s="408">
        <f>IF(curve=1,di_pipe_eq_proc,VLOOKUP(proc_pipe_diam,di_pipe_cost_cl,3))</f>
        <v>43.882418579000003</v>
      </c>
      <c r="J62" s="396">
        <f>IF(I62="contact vendor","--",C62*I62)</f>
        <v>1755.29674316</v>
      </c>
      <c r="K62" s="392">
        <f>VLOOKUP(proc_pipe_diam,di_pipe_cost_cl,IF(ss_cat="large",4,5))</f>
        <v>35</v>
      </c>
      <c r="L62" s="397">
        <v>0</v>
      </c>
      <c r="M62" s="34" t="str">
        <f>$B$61&amp;" - "&amp;B62</f>
        <v>Process Piping - Ductile Iron</v>
      </c>
      <c r="N62" s="530">
        <f t="shared" ref="N62:T66" si="24">IF(retrofit=1,$W62*X62,IF(ISBLANK(X62),"",X62))</f>
        <v>3</v>
      </c>
      <c r="O62" s="530">
        <f t="shared" si="24"/>
        <v>3</v>
      </c>
      <c r="P62" s="530">
        <f t="shared" si="24"/>
        <v>3</v>
      </c>
      <c r="Q62" s="530">
        <f t="shared" si="24"/>
        <v>3</v>
      </c>
      <c r="R62" s="530">
        <f t="shared" si="24"/>
        <v>3</v>
      </c>
      <c r="S62" s="530">
        <f t="shared" si="24"/>
        <v>3</v>
      </c>
      <c r="T62" s="530">
        <f t="shared" si="24"/>
        <v>3</v>
      </c>
      <c r="U62" s="530">
        <f t="shared" ref="U62:V66" si="25">IF(retrofit=1,$W62*AE62,IF(ISBLANK(AE62),"",AE62))</f>
        <v>3</v>
      </c>
      <c r="V62" s="530">
        <f t="shared" si="25"/>
        <v>3</v>
      </c>
      <c r="W62" s="573">
        <v>0</v>
      </c>
      <c r="X62">
        <v>3</v>
      </c>
      <c r="Y62">
        <v>3</v>
      </c>
      <c r="Z62">
        <v>3</v>
      </c>
      <c r="AA62">
        <v>3</v>
      </c>
      <c r="AB62">
        <v>3</v>
      </c>
      <c r="AC62">
        <v>3</v>
      </c>
      <c r="AD62">
        <v>3</v>
      </c>
      <c r="AE62">
        <v>3</v>
      </c>
      <c r="AF62">
        <v>3</v>
      </c>
      <c r="AG62" s="537">
        <f t="shared" si="2"/>
        <v>0</v>
      </c>
      <c r="AH62" s="537">
        <f t="shared" si="3"/>
        <v>0</v>
      </c>
    </row>
    <row r="63" spans="1:38" customFormat="1">
      <c r="A63" s="399" t="s">
        <v>872</v>
      </c>
      <c r="B63" s="189" t="s">
        <v>2627</v>
      </c>
      <c r="C63" s="392">
        <f>proc_pipe_length</f>
        <v>40</v>
      </c>
      <c r="D63" s="392" t="s">
        <v>2625</v>
      </c>
      <c r="E63" s="407">
        <f>proc_pipe_diam</f>
        <v>6</v>
      </c>
      <c r="F63" s="189" t="s">
        <v>2626</v>
      </c>
      <c r="G63" s="407">
        <f>IF(curve=1,proc_pipe_diam,VLOOKUP(proc_pipe_diam,cpvc_pipe_cost_cl,2))</f>
        <v>6</v>
      </c>
      <c r="H63" s="189" t="s">
        <v>2626</v>
      </c>
      <c r="I63" s="408">
        <f>IF(curve=1,cpvc_pipe_eq_proc,VLOOKUP(proc_pipe_diam,cpvc_pipe_cost_cl,3))</f>
        <v>40.646131743000005</v>
      </c>
      <c r="J63" s="396">
        <f>IF(I63="contact vendor","--",C63*I63)</f>
        <v>1625.8452697200003</v>
      </c>
      <c r="K63" s="392">
        <f>VLOOKUP(proc_pipe_diam,cpvc_pipe_cost_cl,IF(ss_cat="large",4,5))</f>
        <v>17</v>
      </c>
      <c r="L63" s="397">
        <v>0</v>
      </c>
      <c r="M63" s="34" t="str">
        <f>$B$61&amp;" - "&amp;B63</f>
        <v>Process Piping - CPVC</v>
      </c>
      <c r="N63" s="530">
        <f t="shared" si="24"/>
        <v>2</v>
      </c>
      <c r="O63" s="530">
        <f t="shared" si="24"/>
        <v>1</v>
      </c>
      <c r="P63" s="530">
        <f t="shared" si="24"/>
        <v>4</v>
      </c>
      <c r="Q63" s="530">
        <f t="shared" si="24"/>
        <v>2</v>
      </c>
      <c r="R63" s="530">
        <f t="shared" si="24"/>
        <v>1</v>
      </c>
      <c r="S63" s="530">
        <f t="shared" si="24"/>
        <v>4</v>
      </c>
      <c r="T63" s="530">
        <f t="shared" si="24"/>
        <v>2</v>
      </c>
      <c r="U63" s="530">
        <f t="shared" si="25"/>
        <v>1</v>
      </c>
      <c r="V63" s="530">
        <f t="shared" si="25"/>
        <v>4</v>
      </c>
      <c r="W63" s="573">
        <v>0</v>
      </c>
      <c r="X63">
        <v>2</v>
      </c>
      <c r="Y63">
        <v>1</v>
      </c>
      <c r="Z63">
        <v>4</v>
      </c>
      <c r="AA63">
        <v>2</v>
      </c>
      <c r="AB63">
        <v>1</v>
      </c>
      <c r="AC63">
        <v>4</v>
      </c>
      <c r="AD63">
        <v>2</v>
      </c>
      <c r="AE63">
        <v>1</v>
      </c>
      <c r="AF63">
        <v>4</v>
      </c>
      <c r="AG63" s="537">
        <f t="shared" si="2"/>
        <v>0</v>
      </c>
      <c r="AH63" s="537">
        <f t="shared" si="3"/>
        <v>0</v>
      </c>
    </row>
    <row r="64" spans="1:38" customFormat="1">
      <c r="A64" s="399" t="s">
        <v>872</v>
      </c>
      <c r="B64" s="400" t="s">
        <v>2628</v>
      </c>
      <c r="C64" s="392">
        <f>proc_pipe_length</f>
        <v>40</v>
      </c>
      <c r="D64" s="392" t="s">
        <v>2625</v>
      </c>
      <c r="E64" s="407">
        <f>proc_pipe_diam</f>
        <v>6</v>
      </c>
      <c r="F64" s="189" t="s">
        <v>2626</v>
      </c>
      <c r="G64" s="407">
        <f>IF(curve=1,proc_pipe_diam,VLOOKUP(proc_pipe_diam,pvc_pipe_cost_cl,2))</f>
        <v>6</v>
      </c>
      <c r="H64" s="189" t="s">
        <v>2626</v>
      </c>
      <c r="I64" s="408">
        <f>IF(curve=1,pvc_pipe_eq_proc,VLOOKUP(proc_pipe_diam,pvc_pipe_cost_cl,3))</f>
        <v>7.3073758130000002</v>
      </c>
      <c r="J64" s="398">
        <f>IF(I64="contact vendor","--",C64*I64)</f>
        <v>292.29503252000001</v>
      </c>
      <c r="K64" s="392">
        <f>VLOOKUP(proc_pipe_diam,pvc_pipe_cost_cl,IF(ss_cat="large",4,5))</f>
        <v>17</v>
      </c>
      <c r="L64" s="397">
        <v>1</v>
      </c>
      <c r="M64" s="34" t="str">
        <f>$B$61&amp;" - "&amp;B64</f>
        <v>Process Piping - PVC</v>
      </c>
      <c r="N64" s="530">
        <f t="shared" si="24"/>
        <v>1</v>
      </c>
      <c r="O64" s="530">
        <f t="shared" si="24"/>
        <v>2</v>
      </c>
      <c r="P64" s="530">
        <f t="shared" si="24"/>
        <v>5</v>
      </c>
      <c r="Q64" s="530">
        <f t="shared" si="24"/>
        <v>1</v>
      </c>
      <c r="R64" s="530">
        <f t="shared" si="24"/>
        <v>2</v>
      </c>
      <c r="S64" s="530">
        <f t="shared" si="24"/>
        <v>5</v>
      </c>
      <c r="T64" s="530">
        <f t="shared" si="24"/>
        <v>1</v>
      </c>
      <c r="U64" s="530">
        <f t="shared" si="25"/>
        <v>2</v>
      </c>
      <c r="V64" s="530">
        <f t="shared" si="25"/>
        <v>5</v>
      </c>
      <c r="W64" s="573">
        <v>0</v>
      </c>
      <c r="X64">
        <v>1</v>
      </c>
      <c r="Y64">
        <v>2</v>
      </c>
      <c r="Z64">
        <v>5</v>
      </c>
      <c r="AA64">
        <v>1</v>
      </c>
      <c r="AB64">
        <v>2</v>
      </c>
      <c r="AC64">
        <v>5</v>
      </c>
      <c r="AD64">
        <v>1</v>
      </c>
      <c r="AE64">
        <v>2</v>
      </c>
      <c r="AF64">
        <v>5</v>
      </c>
      <c r="AG64" s="537">
        <f t="shared" si="2"/>
        <v>1</v>
      </c>
      <c r="AH64" s="537">
        <f t="shared" si="3"/>
        <v>17.193825442352942</v>
      </c>
    </row>
    <row r="65" spans="1:34" customFormat="1">
      <c r="A65" s="399" t="s">
        <v>872</v>
      </c>
      <c r="B65" s="189" t="s">
        <v>18</v>
      </c>
      <c r="C65" s="392">
        <f>proc_pipe_length</f>
        <v>40</v>
      </c>
      <c r="D65" s="392" t="s">
        <v>2625</v>
      </c>
      <c r="E65" s="407">
        <f>proc_pipe_diam</f>
        <v>6</v>
      </c>
      <c r="F65" s="189" t="s">
        <v>2626</v>
      </c>
      <c r="G65" s="407">
        <f>IF(curve=1,proc_pipe_diam,VLOOKUP(proc_pipe_diam,ss_pipe_cost_cl,2))</f>
        <v>6</v>
      </c>
      <c r="H65" s="189" t="s">
        <v>2626</v>
      </c>
      <c r="I65" s="408">
        <f>IF(curve=1,ss_pipe_eq_proc,VLOOKUP(proc_pipe_diam,ss_pipe_cost_cl,3))</f>
        <v>177.21033949655089</v>
      </c>
      <c r="J65" s="396">
        <f>IF(I65="contact vendor","--",C65*I65)</f>
        <v>7088.4135798620355</v>
      </c>
      <c r="K65" s="392">
        <f>VLOOKUP(proc_pipe_diam,ss_pipe_cost_cl,IF(ss_cat="large",4,5))</f>
        <v>40</v>
      </c>
      <c r="L65" s="397">
        <v>0</v>
      </c>
      <c r="M65" s="34" t="str">
        <f>$B$61&amp;" - "&amp;B65</f>
        <v>Process Piping - Stainless Steel</v>
      </c>
      <c r="N65" s="530">
        <f t="shared" si="24"/>
        <v>5</v>
      </c>
      <c r="O65" s="530">
        <f t="shared" si="24"/>
        <v>5</v>
      </c>
      <c r="P65" s="530">
        <f t="shared" si="24"/>
        <v>1</v>
      </c>
      <c r="Q65" s="530">
        <f t="shared" si="24"/>
        <v>5</v>
      </c>
      <c r="R65" s="530">
        <f t="shared" si="24"/>
        <v>5</v>
      </c>
      <c r="S65" s="530">
        <f t="shared" si="24"/>
        <v>1</v>
      </c>
      <c r="T65" s="530">
        <f t="shared" si="24"/>
        <v>5</v>
      </c>
      <c r="U65" s="530">
        <f t="shared" si="25"/>
        <v>5</v>
      </c>
      <c r="V65" s="530">
        <f t="shared" si="25"/>
        <v>1</v>
      </c>
      <c r="W65" s="573">
        <v>0</v>
      </c>
      <c r="X65">
        <v>5</v>
      </c>
      <c r="Y65">
        <v>5</v>
      </c>
      <c r="Z65">
        <v>1</v>
      </c>
      <c r="AA65">
        <v>5</v>
      </c>
      <c r="AB65">
        <v>5</v>
      </c>
      <c r="AC65">
        <v>1</v>
      </c>
      <c r="AD65">
        <v>5</v>
      </c>
      <c r="AE65">
        <v>5</v>
      </c>
      <c r="AF65">
        <v>1</v>
      </c>
      <c r="AG65" s="537">
        <f t="shared" si="2"/>
        <v>0</v>
      </c>
      <c r="AH65" s="537">
        <f t="shared" si="3"/>
        <v>0</v>
      </c>
    </row>
    <row r="66" spans="1:34" customFormat="1">
      <c r="A66" s="399" t="s">
        <v>872</v>
      </c>
      <c r="B66" s="189" t="s">
        <v>2629</v>
      </c>
      <c r="C66" s="392">
        <f>proc_pipe_length</f>
        <v>40</v>
      </c>
      <c r="D66" s="392" t="s">
        <v>2625</v>
      </c>
      <c r="E66" s="407">
        <f>proc_pipe_diam</f>
        <v>6</v>
      </c>
      <c r="F66" s="189" t="s">
        <v>2626</v>
      </c>
      <c r="G66" s="407">
        <f>IF(curve=1,proc_pipe_diam,VLOOKUP(proc_pipe_diam,st_pipe_cost_cl,2))</f>
        <v>6</v>
      </c>
      <c r="H66" s="189" t="s">
        <v>2626</v>
      </c>
      <c r="I66" s="408">
        <f>IF(curve=1,st_pipe_eq_proc,VLOOKUP(proc_pipe_diam,st_pipe_cost_cl,3))</f>
        <v>99.694517153000007</v>
      </c>
      <c r="J66" s="396">
        <f>IF(I66="contact vendor","--",C66*I66)</f>
        <v>3987.7806861200002</v>
      </c>
      <c r="K66" s="392">
        <f>VLOOKUP(proc_pipe_diam,st_pipe_cost_cl,IF(ss_cat="large",4,5))</f>
        <v>33</v>
      </c>
      <c r="L66" s="397">
        <v>0</v>
      </c>
      <c r="M66" s="34" t="str">
        <f>$B$61&amp;" - "&amp;B66</f>
        <v>Process Piping - Steel</v>
      </c>
      <c r="N66" s="530">
        <f t="shared" si="24"/>
        <v>4</v>
      </c>
      <c r="O66" s="530">
        <f t="shared" si="24"/>
        <v>4</v>
      </c>
      <c r="P66" s="530">
        <f t="shared" si="24"/>
        <v>2</v>
      </c>
      <c r="Q66" s="530">
        <f t="shared" si="24"/>
        <v>4</v>
      </c>
      <c r="R66" s="530">
        <f t="shared" si="24"/>
        <v>4</v>
      </c>
      <c r="S66" s="530">
        <f t="shared" si="24"/>
        <v>2</v>
      </c>
      <c r="T66" s="530">
        <f t="shared" si="24"/>
        <v>4</v>
      </c>
      <c r="U66" s="530">
        <f t="shared" si="25"/>
        <v>4</v>
      </c>
      <c r="V66" s="530">
        <f t="shared" si="25"/>
        <v>2</v>
      </c>
      <c r="W66" s="573">
        <v>0</v>
      </c>
      <c r="X66">
        <v>4</v>
      </c>
      <c r="Y66">
        <v>4</v>
      </c>
      <c r="Z66">
        <v>2</v>
      </c>
      <c r="AA66">
        <v>4</v>
      </c>
      <c r="AB66">
        <v>4</v>
      </c>
      <c r="AC66">
        <v>2</v>
      </c>
      <c r="AD66">
        <v>4</v>
      </c>
      <c r="AE66">
        <v>4</v>
      </c>
      <c r="AF66">
        <v>2</v>
      </c>
      <c r="AG66" s="537">
        <f t="shared" si="2"/>
        <v>0</v>
      </c>
      <c r="AH66" s="537">
        <f t="shared" si="3"/>
        <v>0</v>
      </c>
    </row>
    <row r="67" spans="1:34" customFormat="1">
      <c r="A67" s="493" t="s">
        <v>873</v>
      </c>
      <c r="B67" s="239" t="s">
        <v>778</v>
      </c>
      <c r="C67" s="216"/>
      <c r="D67" s="864"/>
      <c r="E67" s="379"/>
      <c r="F67" s="865"/>
      <c r="G67" s="379"/>
      <c r="H67" s="865"/>
      <c r="I67" s="216"/>
      <c r="J67" s="216"/>
      <c r="K67" s="216"/>
      <c r="L67" s="246"/>
      <c r="M67" s="34"/>
      <c r="AG67" s="537">
        <f t="shared" si="2"/>
        <v>0</v>
      </c>
      <c r="AH67" s="537">
        <f t="shared" si="3"/>
        <v>0</v>
      </c>
    </row>
    <row r="68" spans="1:34" customFormat="1">
      <c r="A68" s="399" t="s">
        <v>874</v>
      </c>
      <c r="B68" s="189" t="s">
        <v>2627</v>
      </c>
      <c r="C68" s="392">
        <f>back_pipe_length</f>
        <v>50</v>
      </c>
      <c r="D68" s="392" t="s">
        <v>2625</v>
      </c>
      <c r="E68" s="407">
        <f>back_pipe_diam</f>
        <v>6</v>
      </c>
      <c r="F68" s="189" t="s">
        <v>2626</v>
      </c>
      <c r="G68" s="407">
        <f>IF(curve=1,back_pipe_diam,VLOOKUP(back_pipe_diam,cpvc_pipe_cost_cl,2))</f>
        <v>6</v>
      </c>
      <c r="H68" s="189" t="s">
        <v>2626</v>
      </c>
      <c r="I68" s="408">
        <f>IF(curve=1,cpvc_pipe_eq_back,VLOOKUP(back_pipe_diam,cpvc_pipe_cost_cl,3))</f>
        <v>40.646131743000005</v>
      </c>
      <c r="J68" s="396">
        <f>IF(I68="contact vendor","--",C68*I68)</f>
        <v>2032.3065871500003</v>
      </c>
      <c r="K68" s="392">
        <f>VLOOKUP(back_pipe_diam,cpvc_pipe_cost_cl,IF(ss_cat="large",4,5))</f>
        <v>17</v>
      </c>
      <c r="L68" s="397">
        <v>0</v>
      </c>
      <c r="M68" s="34" t="str">
        <f>$B$67&amp;" - "&amp;B68</f>
        <v>Backwash Piping - CPVC</v>
      </c>
      <c r="N68" s="530">
        <f t="shared" ref="N68:T71" si="26">IF(retrofit=1,$W68*X68,IF(ISBLANK(X68),"",X68))</f>
        <v>2</v>
      </c>
      <c r="O68" s="530">
        <f t="shared" si="26"/>
        <v>1</v>
      </c>
      <c r="P68" s="530">
        <f t="shared" si="26"/>
        <v>3</v>
      </c>
      <c r="Q68" s="530">
        <f t="shared" si="26"/>
        <v>2</v>
      </c>
      <c r="R68" s="530">
        <f t="shared" si="26"/>
        <v>1</v>
      </c>
      <c r="S68" s="530">
        <f t="shared" si="26"/>
        <v>3</v>
      </c>
      <c r="T68" s="530">
        <f t="shared" si="26"/>
        <v>2</v>
      </c>
      <c r="U68" s="530">
        <f t="shared" ref="U68:V71" si="27">IF(retrofit=1,$W68*AE68,IF(ISBLANK(AE68),"",AE68))</f>
        <v>1</v>
      </c>
      <c r="V68" s="530">
        <f t="shared" si="27"/>
        <v>3</v>
      </c>
      <c r="W68" s="573">
        <v>0</v>
      </c>
      <c r="X68">
        <v>2</v>
      </c>
      <c r="Y68">
        <v>1</v>
      </c>
      <c r="Z68">
        <v>3</v>
      </c>
      <c r="AA68">
        <v>2</v>
      </c>
      <c r="AB68">
        <v>1</v>
      </c>
      <c r="AC68">
        <v>3</v>
      </c>
      <c r="AD68">
        <v>2</v>
      </c>
      <c r="AE68">
        <v>1</v>
      </c>
      <c r="AF68">
        <v>3</v>
      </c>
      <c r="AG68" s="537">
        <f t="shared" si="2"/>
        <v>0</v>
      </c>
      <c r="AH68" s="537">
        <f t="shared" si="3"/>
        <v>0</v>
      </c>
    </row>
    <row r="69" spans="1:34" customFormat="1">
      <c r="A69" s="399" t="s">
        <v>874</v>
      </c>
      <c r="B69" s="400" t="s">
        <v>2628</v>
      </c>
      <c r="C69" s="392">
        <f>back_pipe_length</f>
        <v>50</v>
      </c>
      <c r="D69" s="392" t="s">
        <v>2625</v>
      </c>
      <c r="E69" s="407">
        <f>back_pipe_diam</f>
        <v>6</v>
      </c>
      <c r="F69" s="189" t="s">
        <v>2626</v>
      </c>
      <c r="G69" s="407">
        <f>IF(curve=1,back_pipe_diam,VLOOKUP(back_pipe_diam,pvc_pipe_cost_cl,2))</f>
        <v>6</v>
      </c>
      <c r="H69" s="189" t="s">
        <v>2626</v>
      </c>
      <c r="I69" s="408">
        <f>IF(curve=1,pvc_pipe_eq_back,VLOOKUP(back_pipe_diam,pvc_pipe_cost_cl,3))</f>
        <v>7.3073758130000002</v>
      </c>
      <c r="J69" s="398">
        <f>IF(I69="contact vendor","--",C69*I69)</f>
        <v>365.36879064999999</v>
      </c>
      <c r="K69" s="392">
        <f>VLOOKUP(back_pipe_diam,pvc_pipe_cost_cl,IF(ss_cat="large",4,5))</f>
        <v>17</v>
      </c>
      <c r="L69" s="397">
        <v>1</v>
      </c>
      <c r="M69" s="34" t="str">
        <f>$B$67&amp;" - "&amp;B69</f>
        <v>Backwash Piping - PVC</v>
      </c>
      <c r="N69" s="530">
        <f t="shared" si="26"/>
        <v>1</v>
      </c>
      <c r="O69" s="530">
        <f t="shared" si="26"/>
        <v>2</v>
      </c>
      <c r="P69" s="530">
        <f t="shared" si="26"/>
        <v>4</v>
      </c>
      <c r="Q69" s="530">
        <f t="shared" si="26"/>
        <v>1</v>
      </c>
      <c r="R69" s="530">
        <f t="shared" si="26"/>
        <v>2</v>
      </c>
      <c r="S69" s="530">
        <f t="shared" si="26"/>
        <v>4</v>
      </c>
      <c r="T69" s="530">
        <f t="shared" si="26"/>
        <v>1</v>
      </c>
      <c r="U69" s="530">
        <f t="shared" si="27"/>
        <v>2</v>
      </c>
      <c r="V69" s="530">
        <f t="shared" si="27"/>
        <v>4</v>
      </c>
      <c r="W69" s="573">
        <v>0</v>
      </c>
      <c r="X69">
        <v>1</v>
      </c>
      <c r="Y69">
        <v>2</v>
      </c>
      <c r="Z69">
        <v>4</v>
      </c>
      <c r="AA69">
        <v>1</v>
      </c>
      <c r="AB69">
        <v>2</v>
      </c>
      <c r="AC69">
        <v>4</v>
      </c>
      <c r="AD69">
        <v>1</v>
      </c>
      <c r="AE69">
        <v>2</v>
      </c>
      <c r="AF69">
        <v>4</v>
      </c>
      <c r="AG69" s="537">
        <f t="shared" si="2"/>
        <v>1</v>
      </c>
      <c r="AH69" s="537">
        <f t="shared" si="3"/>
        <v>21.492281802941175</v>
      </c>
    </row>
    <row r="70" spans="1:34" customFormat="1">
      <c r="A70" s="399" t="s">
        <v>874</v>
      </c>
      <c r="B70" s="189" t="s">
        <v>18</v>
      </c>
      <c r="C70" s="392">
        <f>back_pipe_length</f>
        <v>50</v>
      </c>
      <c r="D70" s="392" t="s">
        <v>2625</v>
      </c>
      <c r="E70" s="407">
        <f>back_pipe_diam</f>
        <v>6</v>
      </c>
      <c r="F70" s="189" t="s">
        <v>2626</v>
      </c>
      <c r="G70" s="407">
        <f>IF(curve=1,back_pipe_diam,VLOOKUP(back_pipe_diam,ss_pipe_cost_cl,2))</f>
        <v>6</v>
      </c>
      <c r="H70" s="189" t="s">
        <v>2626</v>
      </c>
      <c r="I70" s="408">
        <f>IF(curve=1,ss_pipe_eq_back,VLOOKUP(back_pipe_diam,ss_pipe_cost_cl,3))</f>
        <v>177.21033949655089</v>
      </c>
      <c r="J70" s="396">
        <f>IF(I70="contact vendor","--",C70*I70)</f>
        <v>8860.5169748275439</v>
      </c>
      <c r="K70" s="392">
        <f>VLOOKUP(back_pipe_diam,ss_pipe_cost_cl,IF(ss_cat="large",4,5))</f>
        <v>40</v>
      </c>
      <c r="L70" s="397">
        <v>0</v>
      </c>
      <c r="M70" s="34" t="str">
        <f>$B$67&amp;" - "&amp;B70</f>
        <v>Backwash Piping - Stainless Steel</v>
      </c>
      <c r="N70" s="530">
        <f t="shared" si="26"/>
        <v>4</v>
      </c>
      <c r="O70" s="530">
        <f t="shared" si="26"/>
        <v>4</v>
      </c>
      <c r="P70" s="530">
        <f t="shared" si="26"/>
        <v>1</v>
      </c>
      <c r="Q70" s="530">
        <f t="shared" si="26"/>
        <v>4</v>
      </c>
      <c r="R70" s="530">
        <f t="shared" si="26"/>
        <v>4</v>
      </c>
      <c r="S70" s="530">
        <f t="shared" si="26"/>
        <v>1</v>
      </c>
      <c r="T70" s="530">
        <f t="shared" si="26"/>
        <v>4</v>
      </c>
      <c r="U70" s="530">
        <f t="shared" si="27"/>
        <v>4</v>
      </c>
      <c r="V70" s="530">
        <f t="shared" si="27"/>
        <v>1</v>
      </c>
      <c r="W70" s="573">
        <v>0</v>
      </c>
      <c r="X70">
        <v>4</v>
      </c>
      <c r="Y70">
        <v>4</v>
      </c>
      <c r="Z70">
        <v>1</v>
      </c>
      <c r="AA70">
        <v>4</v>
      </c>
      <c r="AB70">
        <v>4</v>
      </c>
      <c r="AC70">
        <v>1</v>
      </c>
      <c r="AD70">
        <v>4</v>
      </c>
      <c r="AE70">
        <v>4</v>
      </c>
      <c r="AF70">
        <v>1</v>
      </c>
      <c r="AG70" s="537">
        <f t="shared" si="2"/>
        <v>0</v>
      </c>
      <c r="AH70" s="537">
        <f t="shared" si="3"/>
        <v>0</v>
      </c>
    </row>
    <row r="71" spans="1:34" customFormat="1">
      <c r="A71" s="399" t="s">
        <v>874</v>
      </c>
      <c r="B71" s="189" t="s">
        <v>2629</v>
      </c>
      <c r="C71" s="392">
        <f>back_pipe_length</f>
        <v>50</v>
      </c>
      <c r="D71" s="392" t="s">
        <v>2625</v>
      </c>
      <c r="E71" s="407">
        <f>back_pipe_diam</f>
        <v>6</v>
      </c>
      <c r="F71" s="189" t="s">
        <v>2626</v>
      </c>
      <c r="G71" s="407">
        <f>IF(curve=1,back_pipe_diam,VLOOKUP(back_pipe_diam,st_pipe_cost_cl,2))</f>
        <v>6</v>
      </c>
      <c r="H71" s="189" t="s">
        <v>2626</v>
      </c>
      <c r="I71" s="408">
        <f>IF(curve=1,st_pipe_eq_back,VLOOKUP(back_pipe_diam,st_pipe_cost_cl,3))</f>
        <v>99.694517153000007</v>
      </c>
      <c r="J71" s="396">
        <f>IF(I71="contact vendor","--",C71*I71)</f>
        <v>4984.7258576500008</v>
      </c>
      <c r="K71" s="392">
        <f>VLOOKUP(back_pipe_diam,st_pipe_cost_cl,IF(ss_cat="large",4,5))</f>
        <v>33</v>
      </c>
      <c r="L71" s="397">
        <v>0</v>
      </c>
      <c r="M71" s="34" t="str">
        <f>$B$67&amp;" - "&amp;B71</f>
        <v>Backwash Piping - Steel</v>
      </c>
      <c r="N71" s="530">
        <f t="shared" si="26"/>
        <v>3</v>
      </c>
      <c r="O71" s="530">
        <f t="shared" si="26"/>
        <v>3</v>
      </c>
      <c r="P71" s="530">
        <f t="shared" si="26"/>
        <v>2</v>
      </c>
      <c r="Q71" s="530">
        <f t="shared" si="26"/>
        <v>3</v>
      </c>
      <c r="R71" s="530">
        <f t="shared" si="26"/>
        <v>3</v>
      </c>
      <c r="S71" s="530">
        <f t="shared" si="26"/>
        <v>2</v>
      </c>
      <c r="T71" s="530">
        <f t="shared" si="26"/>
        <v>3</v>
      </c>
      <c r="U71" s="530">
        <f t="shared" si="27"/>
        <v>3</v>
      </c>
      <c r="V71" s="530">
        <f t="shared" si="27"/>
        <v>2</v>
      </c>
      <c r="W71" s="573">
        <v>0</v>
      </c>
      <c r="X71">
        <v>3</v>
      </c>
      <c r="Y71">
        <v>3</v>
      </c>
      <c r="Z71">
        <v>2</v>
      </c>
      <c r="AA71">
        <v>3</v>
      </c>
      <c r="AB71">
        <v>3</v>
      </c>
      <c r="AC71">
        <v>2</v>
      </c>
      <c r="AD71">
        <v>3</v>
      </c>
      <c r="AE71">
        <v>3</v>
      </c>
      <c r="AF71">
        <v>2</v>
      </c>
      <c r="AG71" s="537">
        <f t="shared" si="2"/>
        <v>0</v>
      </c>
      <c r="AH71" s="537">
        <f t="shared" si="3"/>
        <v>0</v>
      </c>
    </row>
    <row r="72" spans="1:34" customFormat="1">
      <c r="A72" s="493" t="s">
        <v>875</v>
      </c>
      <c r="B72" s="239" t="s">
        <v>2343</v>
      </c>
      <c r="C72" s="216"/>
      <c r="D72" s="864"/>
      <c r="E72" s="379"/>
      <c r="F72" s="865"/>
      <c r="G72" s="379"/>
      <c r="H72" s="865"/>
      <c r="I72" s="216"/>
      <c r="J72" s="216"/>
      <c r="K72" s="216"/>
      <c r="L72" s="246"/>
      <c r="M72" s="34"/>
      <c r="AG72" s="537">
        <f t="shared" si="2"/>
        <v>0</v>
      </c>
      <c r="AH72" s="537">
        <f t="shared" si="3"/>
        <v>0</v>
      </c>
    </row>
    <row r="73" spans="1:34" customFormat="1">
      <c r="A73" s="399" t="s">
        <v>876</v>
      </c>
      <c r="B73" s="189" t="s">
        <v>2346</v>
      </c>
      <c r="C73" s="392">
        <f>in_out_pipe_length</f>
        <v>40</v>
      </c>
      <c r="D73" s="392" t="s">
        <v>2625</v>
      </c>
      <c r="E73" s="410">
        <f>IF(C73=0,"NA",in_out_pipe_diam)</f>
        <v>6</v>
      </c>
      <c r="F73" s="189" t="str">
        <f>IF(C73=0,"","in. diam")</f>
        <v>in. diam</v>
      </c>
      <c r="G73" s="410">
        <f>IF(C73=0,"NA",IF(curve=1,in_out_pipe_diam,VLOOKUP(in_out_pipe_diam,di_pipe_cost_cl,2)))</f>
        <v>6</v>
      </c>
      <c r="H73" s="189" t="str">
        <f>IF(C73=0,"","in. diam")</f>
        <v>in. diam</v>
      </c>
      <c r="I73" s="439">
        <f>IF(C73=0,"NA",IF(curve=1,di_pipe_eq_in_out,VLOOKUP(in_out_pipe_diam,di_pipe_cost_cl,3)))</f>
        <v>43.882418579000003</v>
      </c>
      <c r="J73" s="396">
        <f>IF(OR(C73=0,I73="contact vendor"),"--",C73*I73)</f>
        <v>1755.29674316</v>
      </c>
      <c r="K73" s="402">
        <f>IF(C73=0,"NA",VLOOKUP(in_out_pipe_diam,di_pipe_cost_cl,IF(ss_cat="large",4,5)))</f>
        <v>35</v>
      </c>
      <c r="L73" s="397">
        <v>0</v>
      </c>
      <c r="M73" s="34" t="str">
        <f>$B$72&amp;" - "&amp;B73</f>
        <v>Inlet and Outlet Piping - Ductile Iron</v>
      </c>
      <c r="N73" s="530">
        <f t="shared" ref="N73:T77" si="28">IF(retrofit=1,$W73*X73,IF(ISBLANK(X73),"",X73))</f>
        <v>3</v>
      </c>
      <c r="O73" s="530">
        <f t="shared" si="28"/>
        <v>3</v>
      </c>
      <c r="P73" s="530">
        <f t="shared" si="28"/>
        <v>3</v>
      </c>
      <c r="Q73" s="530">
        <f t="shared" si="28"/>
        <v>3</v>
      </c>
      <c r="R73" s="530">
        <f t="shared" si="28"/>
        <v>3</v>
      </c>
      <c r="S73" s="530">
        <f t="shared" si="28"/>
        <v>3</v>
      </c>
      <c r="T73" s="530">
        <f t="shared" si="28"/>
        <v>3</v>
      </c>
      <c r="U73" s="530">
        <f t="shared" ref="U73:V77" si="29">IF(retrofit=1,$W73*AE73,IF(ISBLANK(AE73),"",AE73))</f>
        <v>3</v>
      </c>
      <c r="V73" s="530">
        <f t="shared" si="29"/>
        <v>3</v>
      </c>
      <c r="W73" s="573">
        <v>0</v>
      </c>
      <c r="X73">
        <v>3</v>
      </c>
      <c r="Y73">
        <v>3</v>
      </c>
      <c r="Z73">
        <v>3</v>
      </c>
      <c r="AA73">
        <v>3</v>
      </c>
      <c r="AB73">
        <v>3</v>
      </c>
      <c r="AC73">
        <v>3</v>
      </c>
      <c r="AD73">
        <v>3</v>
      </c>
      <c r="AE73">
        <v>3</v>
      </c>
      <c r="AF73">
        <v>3</v>
      </c>
      <c r="AG73" s="537">
        <f t="shared" si="2"/>
        <v>0</v>
      </c>
      <c r="AH73" s="537">
        <f t="shared" si="3"/>
        <v>0</v>
      </c>
    </row>
    <row r="74" spans="1:34" customFormat="1">
      <c r="A74" s="399" t="s">
        <v>876</v>
      </c>
      <c r="B74" s="189" t="s">
        <v>2627</v>
      </c>
      <c r="C74" s="392">
        <f>in_out_pipe_length</f>
        <v>40</v>
      </c>
      <c r="D74" s="392" t="s">
        <v>2625</v>
      </c>
      <c r="E74" s="410">
        <f>IF(C74=0,"NA",in_out_pipe_diam)</f>
        <v>6</v>
      </c>
      <c r="F74" s="189" t="str">
        <f>IF(C74=0,"","in. diam")</f>
        <v>in. diam</v>
      </c>
      <c r="G74" s="410">
        <f>IF(C74=0,"NA",IF(curve=1,in_out_pipe_diam,VLOOKUP(in_out_pipe_diam,cpvc_pipe_cost_cl,2)))</f>
        <v>6</v>
      </c>
      <c r="H74" s="189" t="str">
        <f>IF(C74=0,"","in. diam")</f>
        <v>in. diam</v>
      </c>
      <c r="I74" s="439">
        <f>IF(C74=0,"NA",IF(curve=1,cpvc_pipe_eq_in_out,VLOOKUP(in_out_pipe_diam,cpvc_pipe_cost_cl,3)))</f>
        <v>40.646131743000005</v>
      </c>
      <c r="J74" s="396">
        <f>IF(OR(C74=0,I74="contact vendor"),"--",C74*I74)</f>
        <v>1625.8452697200003</v>
      </c>
      <c r="K74" s="402">
        <f>IF(C74=0,"NA",VLOOKUP(in_out_pipe_diam,cpvc_pipe_cost_cl,IF(ss_cat="large",4,5)))</f>
        <v>17</v>
      </c>
      <c r="L74" s="397">
        <v>0</v>
      </c>
      <c r="M74" s="34" t="str">
        <f>$B$72&amp;" - "&amp;B74</f>
        <v>Inlet and Outlet Piping - CPVC</v>
      </c>
      <c r="N74" s="530">
        <f t="shared" si="28"/>
        <v>2</v>
      </c>
      <c r="O74" s="530">
        <f t="shared" si="28"/>
        <v>1</v>
      </c>
      <c r="P74" s="530">
        <f t="shared" si="28"/>
        <v>4</v>
      </c>
      <c r="Q74" s="530">
        <f t="shared" si="28"/>
        <v>2</v>
      </c>
      <c r="R74" s="530">
        <f t="shared" si="28"/>
        <v>1</v>
      </c>
      <c r="S74" s="530">
        <f t="shared" si="28"/>
        <v>4</v>
      </c>
      <c r="T74" s="530">
        <f t="shared" si="28"/>
        <v>2</v>
      </c>
      <c r="U74" s="530">
        <f t="shared" si="29"/>
        <v>1</v>
      </c>
      <c r="V74" s="530">
        <f t="shared" si="29"/>
        <v>4</v>
      </c>
      <c r="W74" s="573">
        <v>0</v>
      </c>
      <c r="X74">
        <v>2</v>
      </c>
      <c r="Y74">
        <v>1</v>
      </c>
      <c r="Z74">
        <v>4</v>
      </c>
      <c r="AA74">
        <v>2</v>
      </c>
      <c r="AB74">
        <v>1</v>
      </c>
      <c r="AC74">
        <v>4</v>
      </c>
      <c r="AD74">
        <v>2</v>
      </c>
      <c r="AE74">
        <v>1</v>
      </c>
      <c r="AF74">
        <v>4</v>
      </c>
      <c r="AG74" s="537">
        <f t="shared" si="2"/>
        <v>0</v>
      </c>
      <c r="AH74" s="537">
        <f t="shared" si="3"/>
        <v>0</v>
      </c>
    </row>
    <row r="75" spans="1:34" customFormat="1">
      <c r="A75" s="399" t="s">
        <v>876</v>
      </c>
      <c r="B75" s="400" t="s">
        <v>2628</v>
      </c>
      <c r="C75" s="392">
        <f>in_out_pipe_length</f>
        <v>40</v>
      </c>
      <c r="D75" s="392" t="s">
        <v>2625</v>
      </c>
      <c r="E75" s="410">
        <f>IF(C75=0,"NA",in_out_pipe_diam)</f>
        <v>6</v>
      </c>
      <c r="F75" s="189" t="str">
        <f>IF(C75=0,"","in. diam")</f>
        <v>in. diam</v>
      </c>
      <c r="G75" s="410">
        <f>IF(C75=0,"NA",IF(curve=1,in_out_pipe_diam,VLOOKUP(in_out_pipe_diam,pvc_pipe_cost_cl,2)))</f>
        <v>6</v>
      </c>
      <c r="H75" s="189" t="str">
        <f>IF(C75=0,"","in. diam")</f>
        <v>in. diam</v>
      </c>
      <c r="I75" s="439">
        <f>IF(C75=0,"NA",IF(curve=1,pvc_pipe_eq_in_out,VLOOKUP(in_out_pipe_diam,pvc_pipe_cost_cl,3)))</f>
        <v>7.3073758130000002</v>
      </c>
      <c r="J75" s="396">
        <f>IF(OR(C75=0,I75="contact vendor"),"--",C75*I75)</f>
        <v>292.29503252000001</v>
      </c>
      <c r="K75" s="402">
        <f>IF(C75=0,"NA",VLOOKUP(in_out_pipe_diam,pvc_pipe_cost_cl,IF(ss_cat="large",4,5)))</f>
        <v>17</v>
      </c>
      <c r="L75" s="397">
        <v>1</v>
      </c>
      <c r="M75" s="34" t="str">
        <f>$B$72&amp;" - "&amp;B75</f>
        <v>Inlet and Outlet Piping - PVC</v>
      </c>
      <c r="N75" s="530">
        <f t="shared" si="28"/>
        <v>1</v>
      </c>
      <c r="O75" s="530">
        <f t="shared" si="28"/>
        <v>2</v>
      </c>
      <c r="P75" s="530">
        <f t="shared" si="28"/>
        <v>5</v>
      </c>
      <c r="Q75" s="530">
        <f t="shared" si="28"/>
        <v>1</v>
      </c>
      <c r="R75" s="530">
        <f t="shared" si="28"/>
        <v>2</v>
      </c>
      <c r="S75" s="530">
        <f t="shared" si="28"/>
        <v>5</v>
      </c>
      <c r="T75" s="530">
        <f t="shared" si="28"/>
        <v>1</v>
      </c>
      <c r="U75" s="530">
        <f t="shared" si="29"/>
        <v>2</v>
      </c>
      <c r="V75" s="530">
        <f t="shared" si="29"/>
        <v>5</v>
      </c>
      <c r="W75" s="573">
        <v>0</v>
      </c>
      <c r="X75">
        <v>1</v>
      </c>
      <c r="Y75">
        <v>2</v>
      </c>
      <c r="Z75">
        <v>5</v>
      </c>
      <c r="AA75">
        <v>1</v>
      </c>
      <c r="AB75">
        <v>2</v>
      </c>
      <c r="AC75">
        <v>5</v>
      </c>
      <c r="AD75">
        <v>1</v>
      </c>
      <c r="AE75">
        <v>2</v>
      </c>
      <c r="AF75">
        <v>5</v>
      </c>
      <c r="AG75" s="537">
        <f t="shared" si="2"/>
        <v>1</v>
      </c>
      <c r="AH75" s="537">
        <f t="shared" si="3"/>
        <v>17.193825442352942</v>
      </c>
    </row>
    <row r="76" spans="1:34" customFormat="1">
      <c r="A76" s="399" t="s">
        <v>876</v>
      </c>
      <c r="B76" s="189" t="s">
        <v>18</v>
      </c>
      <c r="C76" s="392">
        <f>in_out_pipe_length</f>
        <v>40</v>
      </c>
      <c r="D76" s="392" t="s">
        <v>2625</v>
      </c>
      <c r="E76" s="410">
        <f>IF(C76=0,"NA",in_out_pipe_diam)</f>
        <v>6</v>
      </c>
      <c r="F76" s="189" t="str">
        <f>IF(C76=0,"","in. diam")</f>
        <v>in. diam</v>
      </c>
      <c r="G76" s="410">
        <f>IF(C76=0,"NA",IF(curve=1,in_out_pipe_diam,VLOOKUP(in_out_pipe_diam,ss_pipe_cost_cl,2)))</f>
        <v>6</v>
      </c>
      <c r="H76" s="189" t="str">
        <f>IF(C76=0,"","in. diam")</f>
        <v>in. diam</v>
      </c>
      <c r="I76" s="439">
        <f>IF(C76=0,"NA",IF(curve=1,ss_pipe_eq_in_out,VLOOKUP(in_out_pipe_diam,ss_pipe_cost_cl,3)))</f>
        <v>177.21033949655089</v>
      </c>
      <c r="J76" s="396">
        <f>IF(OR(C76=0,I76="contact vendor"),"--",C76*I76)</f>
        <v>7088.4135798620355</v>
      </c>
      <c r="K76" s="402">
        <f>IF(C76=0,"NA",VLOOKUP(in_out_pipe_diam,ss_pipe_cost_cl,IF(ss_cat="large",4,5)))</f>
        <v>40</v>
      </c>
      <c r="L76" s="397">
        <v>0</v>
      </c>
      <c r="M76" s="34" t="str">
        <f>$B$72&amp;" - "&amp;B76</f>
        <v>Inlet and Outlet Piping - Stainless Steel</v>
      </c>
      <c r="N76" s="530">
        <f t="shared" si="28"/>
        <v>5</v>
      </c>
      <c r="O76" s="530">
        <f t="shared" si="28"/>
        <v>5</v>
      </c>
      <c r="P76" s="530">
        <f t="shared" si="28"/>
        <v>1</v>
      </c>
      <c r="Q76" s="530">
        <f t="shared" si="28"/>
        <v>5</v>
      </c>
      <c r="R76" s="530">
        <f t="shared" si="28"/>
        <v>5</v>
      </c>
      <c r="S76" s="530">
        <f t="shared" si="28"/>
        <v>1</v>
      </c>
      <c r="T76" s="530">
        <f t="shared" si="28"/>
        <v>5</v>
      </c>
      <c r="U76" s="530">
        <f t="shared" si="29"/>
        <v>5</v>
      </c>
      <c r="V76" s="530">
        <f t="shared" si="29"/>
        <v>1</v>
      </c>
      <c r="W76" s="573">
        <v>0</v>
      </c>
      <c r="X76">
        <v>5</v>
      </c>
      <c r="Y76">
        <v>5</v>
      </c>
      <c r="Z76">
        <v>1</v>
      </c>
      <c r="AA76">
        <v>5</v>
      </c>
      <c r="AB76">
        <v>5</v>
      </c>
      <c r="AC76">
        <v>1</v>
      </c>
      <c r="AD76">
        <v>5</v>
      </c>
      <c r="AE76">
        <v>5</v>
      </c>
      <c r="AF76">
        <v>1</v>
      </c>
      <c r="AG76" s="537">
        <f t="shared" si="2"/>
        <v>0</v>
      </c>
      <c r="AH76" s="537">
        <f t="shared" si="3"/>
        <v>0</v>
      </c>
    </row>
    <row r="77" spans="1:34" customFormat="1">
      <c r="A77" s="399" t="s">
        <v>876</v>
      </c>
      <c r="B77" s="189" t="s">
        <v>2629</v>
      </c>
      <c r="C77" s="392">
        <f>in_out_pipe_length</f>
        <v>40</v>
      </c>
      <c r="D77" s="392" t="s">
        <v>2625</v>
      </c>
      <c r="E77" s="410">
        <f>IF(C77=0,"NA",in_out_pipe_diam)</f>
        <v>6</v>
      </c>
      <c r="F77" s="189" t="str">
        <f>IF(C77=0,"","in. diam")</f>
        <v>in. diam</v>
      </c>
      <c r="G77" s="410">
        <f>IF(C77=0,"NA",IF(curve=1,in_out_pipe_diam,VLOOKUP(in_out_pipe_diam,st_pipe_cost_cl,2)))</f>
        <v>6</v>
      </c>
      <c r="H77" s="189" t="str">
        <f>IF(C77=0,"","in. diam")</f>
        <v>in. diam</v>
      </c>
      <c r="I77" s="439">
        <f>IF(C77=0,"NA",IF(curve=1,st_pipe_eq_in_out,VLOOKUP(in_out_pipe_diam,st_pipe_cost_cl,3)))</f>
        <v>99.694517153000007</v>
      </c>
      <c r="J77" s="396">
        <f>IF(OR(C77=0,I77="contact vendor"),"--",C77*I77)</f>
        <v>3987.7806861200002</v>
      </c>
      <c r="K77" s="402">
        <f>IF(C77=0,"NA",VLOOKUP(in_out_pipe_diam,st_pipe_cost_cl,IF(ss_cat="large",4,5)))</f>
        <v>33</v>
      </c>
      <c r="L77" s="397">
        <v>0</v>
      </c>
      <c r="M77" s="34" t="str">
        <f>$B$72&amp;" - "&amp;B77</f>
        <v>Inlet and Outlet Piping - Steel</v>
      </c>
      <c r="N77" s="530">
        <f t="shared" si="28"/>
        <v>4</v>
      </c>
      <c r="O77" s="530">
        <f t="shared" si="28"/>
        <v>4</v>
      </c>
      <c r="P77" s="530">
        <f t="shared" si="28"/>
        <v>2</v>
      </c>
      <c r="Q77" s="530">
        <f t="shared" si="28"/>
        <v>4</v>
      </c>
      <c r="R77" s="530">
        <f t="shared" si="28"/>
        <v>4</v>
      </c>
      <c r="S77" s="530">
        <f t="shared" si="28"/>
        <v>2</v>
      </c>
      <c r="T77" s="530">
        <f t="shared" si="28"/>
        <v>4</v>
      </c>
      <c r="U77" s="530">
        <f t="shared" si="29"/>
        <v>4</v>
      </c>
      <c r="V77" s="530">
        <f t="shared" si="29"/>
        <v>2</v>
      </c>
      <c r="W77" s="573">
        <v>0</v>
      </c>
      <c r="X77">
        <v>4</v>
      </c>
      <c r="Y77">
        <v>4</v>
      </c>
      <c r="Z77">
        <v>2</v>
      </c>
      <c r="AA77">
        <v>4</v>
      </c>
      <c r="AB77">
        <v>4</v>
      </c>
      <c r="AC77">
        <v>2</v>
      </c>
      <c r="AD77">
        <v>4</v>
      </c>
      <c r="AE77">
        <v>4</v>
      </c>
      <c r="AF77">
        <v>2</v>
      </c>
      <c r="AG77" s="537">
        <f t="shared" si="2"/>
        <v>0</v>
      </c>
      <c r="AH77" s="537">
        <f t="shared" si="3"/>
        <v>0</v>
      </c>
    </row>
    <row r="78" spans="1:34" customFormat="1">
      <c r="A78" s="493" t="s">
        <v>877</v>
      </c>
      <c r="B78" s="218" t="s">
        <v>420</v>
      </c>
      <c r="C78" s="216"/>
      <c r="D78" s="864"/>
      <c r="E78" s="379"/>
      <c r="F78" s="864"/>
      <c r="G78" s="379"/>
      <c r="H78" s="864"/>
      <c r="I78" s="216"/>
      <c r="J78" s="216"/>
      <c r="K78" s="245"/>
      <c r="L78" s="250"/>
      <c r="M78" s="34"/>
      <c r="AG78" s="537">
        <f t="shared" si="2"/>
        <v>0</v>
      </c>
      <c r="AH78" s="537">
        <f t="shared" si="3"/>
        <v>0</v>
      </c>
    </row>
    <row r="79" spans="1:34" customFormat="1">
      <c r="A79" s="399" t="s">
        <v>878</v>
      </c>
      <c r="B79" s="409" t="s">
        <v>2627</v>
      </c>
      <c r="C79" s="392">
        <f>res_pipe_length</f>
        <v>20</v>
      </c>
      <c r="D79" s="392" t="s">
        <v>2625</v>
      </c>
      <c r="E79" s="410">
        <f>res_pipe_diam</f>
        <v>6</v>
      </c>
      <c r="F79" s="392" t="s">
        <v>2626</v>
      </c>
      <c r="G79" s="410">
        <f>IF(curve=1,res_pipe_diam,VLOOKUP(res_pipe_diam,cpvc_pipe_cost_cl,2))</f>
        <v>6</v>
      </c>
      <c r="H79" s="392" t="s">
        <v>2626</v>
      </c>
      <c r="I79" s="408">
        <f>IF(curve=1,cpvc_pipe_eq_res,VLOOKUP(res_pipe_diam,cpvc_pipe_cost_cl,3))</f>
        <v>40.646131743000005</v>
      </c>
      <c r="J79" s="396">
        <f>IF(I79="contact vendor","--",C79*I79)</f>
        <v>812.92263486000013</v>
      </c>
      <c r="K79" s="190">
        <f>VLOOKUP(res_pipe_diam,cpvc_pipe_cost_cl,IF(ss_cat="large",4,5))</f>
        <v>17</v>
      </c>
      <c r="L79" s="411">
        <v>0</v>
      </c>
      <c r="M79" s="34" t="str">
        <f t="shared" ref="M79:M86" si="30">$B$78&amp;" - "&amp;B79</f>
        <v>Residuals Piping - CPVC</v>
      </c>
      <c r="N79" s="530">
        <f t="shared" ref="N79:T92" si="31">IF(retrofit=1,$W79*X79,IF(ISBLANK(X79),"",X79))</f>
        <v>2</v>
      </c>
      <c r="O79" s="530">
        <f t="shared" si="31"/>
        <v>1</v>
      </c>
      <c r="P79" s="530">
        <f t="shared" si="31"/>
        <v>3</v>
      </c>
      <c r="Q79" s="530">
        <f t="shared" si="31"/>
        <v>2</v>
      </c>
      <c r="R79" s="530">
        <f t="shared" si="31"/>
        <v>1</v>
      </c>
      <c r="S79" s="530">
        <f t="shared" si="31"/>
        <v>3</v>
      </c>
      <c r="T79" s="530">
        <f t="shared" si="31"/>
        <v>2</v>
      </c>
      <c r="U79" s="530">
        <f t="shared" ref="U79:U92" si="32">IF(retrofit=1,$W79*AE79,IF(ISBLANK(AE79),"",AE79))</f>
        <v>1</v>
      </c>
      <c r="V79" s="530">
        <f t="shared" ref="V79:V92" si="33">IF(retrofit=1,$W79*AF79,IF(ISBLANK(AF79),"",AF79))</f>
        <v>3</v>
      </c>
      <c r="W79" s="573">
        <v>0</v>
      </c>
      <c r="X79">
        <v>2</v>
      </c>
      <c r="Y79">
        <v>1</v>
      </c>
      <c r="Z79">
        <v>3</v>
      </c>
      <c r="AA79">
        <v>2</v>
      </c>
      <c r="AB79">
        <v>1</v>
      </c>
      <c r="AC79">
        <v>3</v>
      </c>
      <c r="AD79">
        <v>2</v>
      </c>
      <c r="AE79">
        <v>1</v>
      </c>
      <c r="AF79">
        <v>3</v>
      </c>
      <c r="AG79" s="537">
        <f t="shared" si="2"/>
        <v>0</v>
      </c>
      <c r="AH79" s="537">
        <f t="shared" si="3"/>
        <v>0</v>
      </c>
    </row>
    <row r="80" spans="1:34" customFormat="1">
      <c r="A80" s="399" t="s">
        <v>878</v>
      </c>
      <c r="B80" s="409" t="s">
        <v>2628</v>
      </c>
      <c r="C80" s="392">
        <f>res_pipe_length</f>
        <v>20</v>
      </c>
      <c r="D80" s="392" t="s">
        <v>2625</v>
      </c>
      <c r="E80" s="410">
        <f>res_pipe_diam</f>
        <v>6</v>
      </c>
      <c r="F80" s="392" t="s">
        <v>2626</v>
      </c>
      <c r="G80" s="410">
        <f>IF(curve=1,res_pipe_diam,VLOOKUP(res_pipe_diam,pvc_pipe_cost_cl,2))</f>
        <v>6</v>
      </c>
      <c r="H80" s="392" t="s">
        <v>2626</v>
      </c>
      <c r="I80" s="408">
        <f>IF(curve=1,pvc_pipe_eq_res,VLOOKUP(res_pipe_diam,pvc_pipe_cost_cl,3))</f>
        <v>7.3073758130000002</v>
      </c>
      <c r="J80" s="396">
        <f>IF(I80="contact vendor","--",C80*I80)</f>
        <v>146.14751626</v>
      </c>
      <c r="K80" s="190">
        <f>VLOOKUP(res_pipe_diam,pvc_pipe_cost_cl,IF(ss_cat="large",4,5))</f>
        <v>17</v>
      </c>
      <c r="L80" s="411">
        <v>1</v>
      </c>
      <c r="M80" s="34" t="str">
        <f t="shared" si="30"/>
        <v>Residuals Piping - PVC</v>
      </c>
      <c r="N80" s="530">
        <f t="shared" si="31"/>
        <v>1</v>
      </c>
      <c r="O80" s="530">
        <f t="shared" si="31"/>
        <v>2</v>
      </c>
      <c r="P80" s="530">
        <f t="shared" si="31"/>
        <v>4</v>
      </c>
      <c r="Q80" s="530">
        <f t="shared" si="31"/>
        <v>1</v>
      </c>
      <c r="R80" s="530">
        <f t="shared" si="31"/>
        <v>2</v>
      </c>
      <c r="S80" s="530">
        <f t="shared" si="31"/>
        <v>4</v>
      </c>
      <c r="T80" s="530">
        <f t="shared" si="31"/>
        <v>1</v>
      </c>
      <c r="U80" s="530">
        <f t="shared" si="32"/>
        <v>2</v>
      </c>
      <c r="V80" s="530">
        <f t="shared" si="33"/>
        <v>4</v>
      </c>
      <c r="W80" s="573">
        <v>0</v>
      </c>
      <c r="X80">
        <v>1</v>
      </c>
      <c r="Y80">
        <v>2</v>
      </c>
      <c r="Z80">
        <v>4</v>
      </c>
      <c r="AA80">
        <v>1</v>
      </c>
      <c r="AB80">
        <v>2</v>
      </c>
      <c r="AC80">
        <v>4</v>
      </c>
      <c r="AD80">
        <v>1</v>
      </c>
      <c r="AE80">
        <v>2</v>
      </c>
      <c r="AF80">
        <v>4</v>
      </c>
      <c r="AG80" s="537">
        <f t="shared" si="2"/>
        <v>1</v>
      </c>
      <c r="AH80" s="537">
        <f t="shared" si="3"/>
        <v>8.5969127211764711</v>
      </c>
    </row>
    <row r="81" spans="1:38" customFormat="1">
      <c r="A81" s="399" t="s">
        <v>878</v>
      </c>
      <c r="B81" s="409" t="s">
        <v>18</v>
      </c>
      <c r="C81" s="392">
        <f>res_pipe_length</f>
        <v>20</v>
      </c>
      <c r="D81" s="392" t="s">
        <v>2625</v>
      </c>
      <c r="E81" s="410">
        <f>res_pipe_diam</f>
        <v>6</v>
      </c>
      <c r="F81" s="392" t="s">
        <v>2626</v>
      </c>
      <c r="G81" s="410">
        <f>IF(curve=1,res_pipe_diam,VLOOKUP(res_pipe_diam,ss_pipe_cost_cl,2))</f>
        <v>6</v>
      </c>
      <c r="H81" s="392" t="s">
        <v>2626</v>
      </c>
      <c r="I81" s="408">
        <f>IF(curve=1,ss_pipe_eq_res,VLOOKUP(res_pipe_diam,ss_pipe_cost_cl,3))</f>
        <v>177.21033949655089</v>
      </c>
      <c r="J81" s="396">
        <f>IF(I81="contact vendor","--",C81*I81)</f>
        <v>3544.2067899310177</v>
      </c>
      <c r="K81" s="190">
        <f>VLOOKUP(res_pipe_diam,ss_pipe_cost_cl,IF(ss_cat="large",4,5))</f>
        <v>40</v>
      </c>
      <c r="L81" s="411">
        <v>0</v>
      </c>
      <c r="M81" s="34" t="str">
        <f t="shared" si="30"/>
        <v>Residuals Piping - Stainless Steel</v>
      </c>
      <c r="N81" s="530">
        <f t="shared" si="31"/>
        <v>4</v>
      </c>
      <c r="O81" s="530">
        <f t="shared" si="31"/>
        <v>4</v>
      </c>
      <c r="P81" s="530">
        <f t="shared" si="31"/>
        <v>1</v>
      </c>
      <c r="Q81" s="530">
        <f t="shared" si="31"/>
        <v>4</v>
      </c>
      <c r="R81" s="530">
        <f t="shared" si="31"/>
        <v>4</v>
      </c>
      <c r="S81" s="530">
        <f t="shared" si="31"/>
        <v>1</v>
      </c>
      <c r="T81" s="530">
        <f t="shared" si="31"/>
        <v>4</v>
      </c>
      <c r="U81" s="530">
        <f t="shared" si="32"/>
        <v>4</v>
      </c>
      <c r="V81" s="530">
        <f t="shared" si="33"/>
        <v>1</v>
      </c>
      <c r="W81" s="573">
        <v>0</v>
      </c>
      <c r="X81">
        <v>4</v>
      </c>
      <c r="Y81">
        <v>4</v>
      </c>
      <c r="Z81">
        <v>1</v>
      </c>
      <c r="AA81">
        <v>4</v>
      </c>
      <c r="AB81">
        <v>4</v>
      </c>
      <c r="AC81">
        <v>1</v>
      </c>
      <c r="AD81">
        <v>4</v>
      </c>
      <c r="AE81">
        <v>4</v>
      </c>
      <c r="AF81">
        <v>1</v>
      </c>
      <c r="AG81" s="537">
        <f t="shared" si="2"/>
        <v>0</v>
      </c>
      <c r="AH81" s="537">
        <f t="shared" si="3"/>
        <v>0</v>
      </c>
    </row>
    <row r="82" spans="1:38" customFormat="1">
      <c r="A82" s="399" t="s">
        <v>878</v>
      </c>
      <c r="B82" s="409" t="s">
        <v>2629</v>
      </c>
      <c r="C82" s="392">
        <f>res_pipe_length</f>
        <v>20</v>
      </c>
      <c r="D82" s="392" t="s">
        <v>2625</v>
      </c>
      <c r="E82" s="410">
        <f>res_pipe_diam</f>
        <v>6</v>
      </c>
      <c r="F82" s="392" t="s">
        <v>2626</v>
      </c>
      <c r="G82" s="410">
        <f>IF(curve=1,res_pipe_diam,VLOOKUP(res_pipe_diam,st_pipe_cost_cl,2))</f>
        <v>6</v>
      </c>
      <c r="H82" s="392" t="s">
        <v>2626</v>
      </c>
      <c r="I82" s="408">
        <f>IF(curve=1,st_pipe_eq_res,VLOOKUP(res_pipe_diam,st_pipe_cost_cl,3))</f>
        <v>99.694517153000007</v>
      </c>
      <c r="J82" s="396">
        <f>IF(I82="contact vendor","--",C82*I82)</f>
        <v>1993.8903430600001</v>
      </c>
      <c r="K82" s="190">
        <f>VLOOKUP(res_pipe_diam,st_pipe_cost_cl,IF(ss_cat="large",4,5))</f>
        <v>33</v>
      </c>
      <c r="L82" s="411">
        <v>0</v>
      </c>
      <c r="M82" s="34" t="str">
        <f t="shared" si="30"/>
        <v>Residuals Piping - Steel</v>
      </c>
      <c r="N82" s="530">
        <f t="shared" si="31"/>
        <v>3</v>
      </c>
      <c r="O82" s="530">
        <f t="shared" si="31"/>
        <v>3</v>
      </c>
      <c r="P82" s="530">
        <f t="shared" si="31"/>
        <v>2</v>
      </c>
      <c r="Q82" s="530">
        <f t="shared" si="31"/>
        <v>3</v>
      </c>
      <c r="R82" s="530">
        <f t="shared" si="31"/>
        <v>3</v>
      </c>
      <c r="S82" s="530">
        <f t="shared" si="31"/>
        <v>2</v>
      </c>
      <c r="T82" s="530">
        <f t="shared" si="31"/>
        <v>3</v>
      </c>
      <c r="U82" s="530">
        <f t="shared" si="32"/>
        <v>3</v>
      </c>
      <c r="V82" s="530">
        <f t="shared" si="33"/>
        <v>2</v>
      </c>
      <c r="W82" s="573">
        <v>0</v>
      </c>
      <c r="X82">
        <v>3</v>
      </c>
      <c r="Y82">
        <v>3</v>
      </c>
      <c r="Z82">
        <v>2</v>
      </c>
      <c r="AA82">
        <v>3</v>
      </c>
      <c r="AB82">
        <v>3</v>
      </c>
      <c r="AC82">
        <v>2</v>
      </c>
      <c r="AD82">
        <v>3</v>
      </c>
      <c r="AE82">
        <v>3</v>
      </c>
      <c r="AF82">
        <v>2</v>
      </c>
      <c r="AG82" s="537">
        <f t="shared" si="2"/>
        <v>0</v>
      </c>
      <c r="AH82" s="537">
        <f t="shared" si="3"/>
        <v>0</v>
      </c>
    </row>
    <row r="83" spans="1:38" customFormat="1">
      <c r="A83" s="399" t="s">
        <v>2287</v>
      </c>
      <c r="B83" s="521" t="s">
        <v>1326</v>
      </c>
      <c r="C83" s="393">
        <f>res_trench_vol</f>
        <v>0</v>
      </c>
      <c r="D83" s="392" t="s">
        <v>1660</v>
      </c>
      <c r="E83" s="402" t="s">
        <v>774</v>
      </c>
      <c r="F83" s="402"/>
      <c r="G83" s="402" t="s">
        <v>774</v>
      </c>
      <c r="H83" s="392"/>
      <c r="I83" s="434" t="str">
        <f>IF(C83=0,"NA",VLOOKUP(0,excavate_cost_cl,3))</f>
        <v>NA</v>
      </c>
      <c r="J83" s="398" t="str">
        <f>IF(OR(I83="contact vendor",C83=0),"--",C83*I83)</f>
        <v>--</v>
      </c>
      <c r="K83" s="420" t="str">
        <f>IF(I83="NA","N/A",IF(L79=1,K79,IF(L80=1,K80,IF(L81=1,K81,IF(L82=1,K82,"N/A")))))</f>
        <v>N/A</v>
      </c>
      <c r="L83" s="397"/>
      <c r="M83" s="34" t="str">
        <f t="shared" si="30"/>
        <v>Residuals Piping - Excavation</v>
      </c>
      <c r="N83" s="530">
        <f t="shared" si="31"/>
        <v>1</v>
      </c>
      <c r="O83" s="530">
        <f t="shared" si="31"/>
        <v>1</v>
      </c>
      <c r="P83" s="530">
        <f t="shared" si="31"/>
        <v>1</v>
      </c>
      <c r="Q83" s="530">
        <f t="shared" si="31"/>
        <v>1</v>
      </c>
      <c r="R83" s="530">
        <f t="shared" si="31"/>
        <v>1</v>
      </c>
      <c r="S83" s="530">
        <f t="shared" si="31"/>
        <v>1</v>
      </c>
      <c r="T83" s="530">
        <f t="shared" si="31"/>
        <v>1</v>
      </c>
      <c r="U83" s="530">
        <f t="shared" si="32"/>
        <v>1</v>
      </c>
      <c r="V83" s="530">
        <f t="shared" si="33"/>
        <v>1</v>
      </c>
      <c r="W83" s="573">
        <v>0</v>
      </c>
      <c r="X83" s="23">
        <v>1</v>
      </c>
      <c r="Y83" s="23">
        <v>1</v>
      </c>
      <c r="Z83" s="23">
        <v>1</v>
      </c>
      <c r="AA83" s="23">
        <v>1</v>
      </c>
      <c r="AB83" s="23">
        <v>1</v>
      </c>
      <c r="AC83" s="23">
        <v>1</v>
      </c>
      <c r="AD83" s="23">
        <v>1</v>
      </c>
      <c r="AE83" s="23">
        <v>1</v>
      </c>
      <c r="AF83" s="23">
        <v>1</v>
      </c>
      <c r="AG83" s="537">
        <f t="shared" si="2"/>
        <v>0</v>
      </c>
      <c r="AH83" s="537">
        <f t="shared" si="3"/>
        <v>0</v>
      </c>
    </row>
    <row r="84" spans="1:38" customFormat="1">
      <c r="A84" s="399" t="s">
        <v>2288</v>
      </c>
      <c r="B84" s="521" t="s">
        <v>2284</v>
      </c>
      <c r="C84" s="393">
        <f>res_pipe_bedding_vol</f>
        <v>0</v>
      </c>
      <c r="D84" s="392" t="s">
        <v>1660</v>
      </c>
      <c r="E84" s="402" t="s">
        <v>774</v>
      </c>
      <c r="F84" s="402"/>
      <c r="G84" s="402" t="s">
        <v>774</v>
      </c>
      <c r="H84" s="392"/>
      <c r="I84" s="434" t="str">
        <f>IF(C84=0,"NA",VLOOKUP(0,bedding_cost_cl,3))</f>
        <v>NA</v>
      </c>
      <c r="J84" s="398" t="str">
        <f>IF(OR(I84="contact vendor",C84=0),"--",C84*I84)</f>
        <v>--</v>
      </c>
      <c r="K84" s="420" t="str">
        <f>IF(I84="NA","N/A",IF(L79=1,K79,IF(L80=1,K80,IF(L81=1,K81,IF(L82=1,K82,"N/A")))))</f>
        <v>N/A</v>
      </c>
      <c r="L84" s="397"/>
      <c r="M84" s="34" t="str">
        <f t="shared" si="30"/>
        <v>Residuals Piping - Bedding</v>
      </c>
      <c r="N84" s="530">
        <f t="shared" si="31"/>
        <v>1</v>
      </c>
      <c r="O84" s="530">
        <f t="shared" si="31"/>
        <v>1</v>
      </c>
      <c r="P84" s="530">
        <f t="shared" si="31"/>
        <v>1</v>
      </c>
      <c r="Q84" s="530">
        <f t="shared" si="31"/>
        <v>1</v>
      </c>
      <c r="R84" s="530">
        <f t="shared" si="31"/>
        <v>1</v>
      </c>
      <c r="S84" s="530">
        <f t="shared" si="31"/>
        <v>1</v>
      </c>
      <c r="T84" s="530">
        <f t="shared" si="31"/>
        <v>1</v>
      </c>
      <c r="U84" s="530">
        <f t="shared" si="32"/>
        <v>1</v>
      </c>
      <c r="V84" s="530">
        <f t="shared" si="33"/>
        <v>1</v>
      </c>
      <c r="W84" s="573">
        <v>0</v>
      </c>
      <c r="X84" s="23">
        <v>1</v>
      </c>
      <c r="Y84" s="23">
        <v>1</v>
      </c>
      <c r="Z84" s="23">
        <v>1</v>
      </c>
      <c r="AA84" s="23">
        <v>1</v>
      </c>
      <c r="AB84" s="23">
        <v>1</v>
      </c>
      <c r="AC84" s="23">
        <v>1</v>
      </c>
      <c r="AD84" s="23">
        <v>1</v>
      </c>
      <c r="AE84" s="23">
        <v>1</v>
      </c>
      <c r="AF84" s="23">
        <v>1</v>
      </c>
      <c r="AG84" s="537">
        <f t="shared" si="2"/>
        <v>0</v>
      </c>
      <c r="AH84" s="537">
        <f t="shared" si="3"/>
        <v>0</v>
      </c>
    </row>
    <row r="85" spans="1:38" customFormat="1">
      <c r="A85" s="399" t="s">
        <v>2289</v>
      </c>
      <c r="B85" s="521" t="s">
        <v>2285</v>
      </c>
      <c r="C85" s="393">
        <f>res_trench_vol</f>
        <v>0</v>
      </c>
      <c r="D85" s="392" t="s">
        <v>1660</v>
      </c>
      <c r="E85" s="402" t="s">
        <v>774</v>
      </c>
      <c r="F85" s="402"/>
      <c r="G85" s="402" t="s">
        <v>774</v>
      </c>
      <c r="H85" s="392"/>
      <c r="I85" s="434" t="str">
        <f>IF(C85=0,"NA",VLOOKUP(0,backfill_cost_cl,3))</f>
        <v>NA</v>
      </c>
      <c r="J85" s="398" t="str">
        <f>IF(OR(I85="contact vendor",C85=0),"--",C85*I85)</f>
        <v>--</v>
      </c>
      <c r="K85" s="420" t="str">
        <f>IF(I85="NA","N/A",IF(L79=1,K79,IF(L80=1,K80,IF(L81=1,K81,IF(L82=1,K82,"N/A")))))</f>
        <v>N/A</v>
      </c>
      <c r="L85" s="411"/>
      <c r="M85" s="34" t="str">
        <f t="shared" si="30"/>
        <v xml:space="preserve">Residuals Piping - Backfill and Compaction </v>
      </c>
      <c r="N85" s="530">
        <f t="shared" si="31"/>
        <v>1</v>
      </c>
      <c r="O85" s="530">
        <f t="shared" si="31"/>
        <v>1</v>
      </c>
      <c r="P85" s="530">
        <f t="shared" si="31"/>
        <v>1</v>
      </c>
      <c r="Q85" s="530">
        <f t="shared" si="31"/>
        <v>1</v>
      </c>
      <c r="R85" s="530">
        <f t="shared" si="31"/>
        <v>1</v>
      </c>
      <c r="S85" s="530">
        <f t="shared" si="31"/>
        <v>1</v>
      </c>
      <c r="T85" s="530">
        <f t="shared" si="31"/>
        <v>1</v>
      </c>
      <c r="U85" s="530">
        <f t="shared" si="32"/>
        <v>1</v>
      </c>
      <c r="V85" s="530">
        <f t="shared" si="33"/>
        <v>1</v>
      </c>
      <c r="W85" s="573">
        <v>0</v>
      </c>
      <c r="X85" s="23">
        <v>1</v>
      </c>
      <c r="Y85" s="23">
        <v>1</v>
      </c>
      <c r="Z85" s="23">
        <v>1</v>
      </c>
      <c r="AA85" s="23">
        <v>1</v>
      </c>
      <c r="AB85" s="23">
        <v>1</v>
      </c>
      <c r="AC85" s="23">
        <v>1</v>
      </c>
      <c r="AD85" s="23">
        <v>1</v>
      </c>
      <c r="AE85" s="23">
        <v>1</v>
      </c>
      <c r="AF85" s="23">
        <v>1</v>
      </c>
      <c r="AG85" s="537">
        <f t="shared" si="2"/>
        <v>0</v>
      </c>
      <c r="AH85" s="537">
        <f t="shared" si="3"/>
        <v>0</v>
      </c>
    </row>
    <row r="86" spans="1:38" customFormat="1">
      <c r="A86" s="399" t="s">
        <v>2290</v>
      </c>
      <c r="B86" s="521" t="s">
        <v>2286</v>
      </c>
      <c r="C86" s="393">
        <f>res_block_vol</f>
        <v>0</v>
      </c>
      <c r="D86" s="392" t="s">
        <v>1660</v>
      </c>
      <c r="E86" s="402" t="s">
        <v>774</v>
      </c>
      <c r="F86" s="402"/>
      <c r="G86" s="402" t="s">
        <v>774</v>
      </c>
      <c r="H86" s="392"/>
      <c r="I86" s="434" t="str">
        <f>IF(C86=0,"NA",VLOOKUP(0,conc_basin_cost_cl,3))</f>
        <v>NA</v>
      </c>
      <c r="J86" s="398" t="str">
        <f>IF(OR(I86="contact vendor",C86=0),"--",C86*I86)</f>
        <v>--</v>
      </c>
      <c r="K86" s="420" t="str">
        <f>IF(I86="NA","N/A",IF(L79=1,K79,IF(L80=1,K80,IF(L81=1,K81,IF(L82=1,K82,"N/A")))))</f>
        <v>N/A</v>
      </c>
      <c r="L86" s="411"/>
      <c r="M86" s="34" t="str">
        <f t="shared" si="30"/>
        <v>Residuals Piping - Thrust Blocks</v>
      </c>
      <c r="N86" s="530">
        <f t="shared" si="31"/>
        <v>1</v>
      </c>
      <c r="O86" s="530">
        <f t="shared" si="31"/>
        <v>1</v>
      </c>
      <c r="P86" s="530">
        <f t="shared" si="31"/>
        <v>1</v>
      </c>
      <c r="Q86" s="530">
        <f t="shared" si="31"/>
        <v>1</v>
      </c>
      <c r="R86" s="530">
        <f t="shared" si="31"/>
        <v>1</v>
      </c>
      <c r="S86" s="530">
        <f t="shared" si="31"/>
        <v>1</v>
      </c>
      <c r="T86" s="530">
        <f t="shared" si="31"/>
        <v>1</v>
      </c>
      <c r="U86" s="530">
        <f t="shared" si="32"/>
        <v>1</v>
      </c>
      <c r="V86" s="530">
        <f t="shared" si="33"/>
        <v>1</v>
      </c>
      <c r="W86" s="573">
        <v>0</v>
      </c>
      <c r="X86" s="23">
        <v>1</v>
      </c>
      <c r="Y86" s="23">
        <v>1</v>
      </c>
      <c r="Z86" s="23">
        <v>1</v>
      </c>
      <c r="AA86" s="23">
        <v>1</v>
      </c>
      <c r="AB86" s="23">
        <v>1</v>
      </c>
      <c r="AC86" s="23">
        <v>1</v>
      </c>
      <c r="AD86" s="23">
        <v>1</v>
      </c>
      <c r="AE86" s="23">
        <v>1</v>
      </c>
      <c r="AF86" s="23">
        <v>1</v>
      </c>
      <c r="AG86" s="537">
        <f t="shared" si="2"/>
        <v>0</v>
      </c>
      <c r="AH86" s="537">
        <f t="shared" si="3"/>
        <v>0</v>
      </c>
    </row>
    <row r="87" spans="1:38" customFormat="1">
      <c r="A87" s="647">
        <v>3.5</v>
      </c>
      <c r="B87" s="239" t="s">
        <v>2388</v>
      </c>
      <c r="C87" s="637"/>
      <c r="D87" s="865"/>
      <c r="E87" s="644"/>
      <c r="F87" s="868"/>
      <c r="G87" s="645"/>
      <c r="H87" s="868"/>
      <c r="I87" s="292"/>
      <c r="J87" s="292"/>
      <c r="K87" s="292"/>
      <c r="L87" s="250"/>
      <c r="M87" s="5"/>
      <c r="N87" s="530" t="str">
        <f t="shared" si="31"/>
        <v/>
      </c>
      <c r="O87" s="530" t="str">
        <f t="shared" si="31"/>
        <v/>
      </c>
      <c r="P87" s="530" t="str">
        <f t="shared" si="31"/>
        <v/>
      </c>
      <c r="Q87" s="530" t="str">
        <f t="shared" si="31"/>
        <v/>
      </c>
      <c r="R87" s="530" t="str">
        <f t="shared" si="31"/>
        <v/>
      </c>
      <c r="S87" s="530" t="str">
        <f t="shared" si="31"/>
        <v/>
      </c>
      <c r="T87" s="530" t="str">
        <f t="shared" si="31"/>
        <v/>
      </c>
      <c r="U87" s="530" t="str">
        <f t="shared" si="32"/>
        <v/>
      </c>
      <c r="V87" s="530" t="str">
        <f t="shared" si="33"/>
        <v/>
      </c>
      <c r="X87" s="38"/>
      <c r="Y87" s="38"/>
      <c r="Z87" s="38"/>
      <c r="AA87" s="38"/>
      <c r="AB87" s="38"/>
      <c r="AC87" s="38"/>
      <c r="AD87" s="38"/>
      <c r="AE87" s="38"/>
      <c r="AF87" s="38"/>
      <c r="AG87">
        <f t="shared" si="2"/>
        <v>0</v>
      </c>
      <c r="AH87">
        <f t="shared" si="3"/>
        <v>0</v>
      </c>
      <c r="AI87" s="24"/>
      <c r="AJ87" s="24"/>
      <c r="AL87" s="24"/>
    </row>
    <row r="88" spans="1:38" s="1" customFormat="1">
      <c r="A88" s="399" t="s">
        <v>879</v>
      </c>
      <c r="B88" s="189" t="s">
        <v>2627</v>
      </c>
      <c r="C88" s="392">
        <f>polymer_pipe_length</f>
        <v>0</v>
      </c>
      <c r="D88" s="1" t="s">
        <v>2625</v>
      </c>
      <c r="E88" s="646" t="str">
        <f>IF(C88=0,"NA",polymer_pipe_diam)</f>
        <v>NA</v>
      </c>
      <c r="F88" s="189" t="str">
        <f>IF(C88=0,"","in diam")</f>
        <v/>
      </c>
      <c r="G88" s="410" t="str">
        <f>IF(C88=0,"NA",IF(curve=1,polymer_pipe_diam,VLOOKUP(polymer_pipe_diam,cpvc_pipe_cost_cl,2)))</f>
        <v>NA</v>
      </c>
      <c r="H88" s="623" t="str">
        <f>IF(C88=0,"","in diam")</f>
        <v/>
      </c>
      <c r="I88" s="640" t="str">
        <f>IF(C88=0,"NA",IF(curve=1,cpvc_pipe_eq_polymer,VLOOKUP(polymer_pipe_diam,cpvc_pipe_cost_cl,3)))</f>
        <v>NA</v>
      </c>
      <c r="J88" s="641" t="str">
        <f>IF(OR(C88=0,I88="contact vendor"),"--",C88*I88)</f>
        <v>--</v>
      </c>
      <c r="K88" s="642" t="str">
        <f>IF(C88=0,"NA",VLOOKUP(polymer_pipe_diam,cpvc_pipe_cost_cl,IF(ss_cat="large",4,5)))</f>
        <v>NA</v>
      </c>
      <c r="L88" s="411"/>
      <c r="M88" s="5" t="str">
        <f>$B$60&amp;" - "&amp;$B$87&amp;" - "&amp;B88</f>
        <v>Piping - Polymer Piping - CPVC</v>
      </c>
      <c r="N88" s="530">
        <f t="shared" si="31"/>
        <v>2</v>
      </c>
      <c r="O88" s="530">
        <f t="shared" si="31"/>
        <v>1</v>
      </c>
      <c r="P88" s="530">
        <f t="shared" si="31"/>
        <v>3</v>
      </c>
      <c r="Q88" s="530">
        <f t="shared" si="31"/>
        <v>2</v>
      </c>
      <c r="R88" s="530">
        <f t="shared" si="31"/>
        <v>1</v>
      </c>
      <c r="S88" s="530">
        <f t="shared" si="31"/>
        <v>3</v>
      </c>
      <c r="T88" s="530">
        <f t="shared" si="31"/>
        <v>2</v>
      </c>
      <c r="U88" s="530">
        <f t="shared" si="32"/>
        <v>1</v>
      </c>
      <c r="V88" s="530">
        <f t="shared" si="33"/>
        <v>3</v>
      </c>
      <c r="W88" s="649">
        <v>0</v>
      </c>
      <c r="X88" s="5">
        <v>2</v>
      </c>
      <c r="Y88" s="5">
        <v>1</v>
      </c>
      <c r="Z88" s="5">
        <v>3</v>
      </c>
      <c r="AA88" s="5">
        <v>2</v>
      </c>
      <c r="AB88" s="5">
        <v>1</v>
      </c>
      <c r="AC88" s="5">
        <v>3</v>
      </c>
      <c r="AD88" s="5">
        <v>2</v>
      </c>
      <c r="AE88" s="5">
        <v>1</v>
      </c>
      <c r="AF88" s="5">
        <v>3</v>
      </c>
      <c r="AG88">
        <f t="shared" si="2"/>
        <v>0</v>
      </c>
      <c r="AH88">
        <f t="shared" si="3"/>
        <v>0</v>
      </c>
      <c r="AI88" s="643"/>
      <c r="AJ88" s="643"/>
      <c r="AL88" s="643"/>
    </row>
    <row r="89" spans="1:38" s="1" customFormat="1">
      <c r="A89" s="399" t="s">
        <v>879</v>
      </c>
      <c r="B89" s="189" t="s">
        <v>2628</v>
      </c>
      <c r="C89" s="392">
        <f>polymer_pipe_length</f>
        <v>0</v>
      </c>
      <c r="D89" s="1" t="s">
        <v>2625</v>
      </c>
      <c r="E89" s="646" t="str">
        <f>IF(C89=0,"NA",polymer_pipe_diam)</f>
        <v>NA</v>
      </c>
      <c r="F89" s="189" t="str">
        <f>IF(C89=0,"","in diam")</f>
        <v/>
      </c>
      <c r="G89" s="410" t="str">
        <f>IF(C89=0,"NA",IF(curve=1,polymer_pipe_diam,VLOOKUP(polymer_pipe_diam,pvc_pipe_cost_cl,2)))</f>
        <v>NA</v>
      </c>
      <c r="H89" s="623" t="str">
        <f>IF(C89=0,"","in diam")</f>
        <v/>
      </c>
      <c r="I89" s="640" t="str">
        <f>IF(C89=0,"NA",IF(curve=1,pvc_pipe_eq_polymer,VLOOKUP(polymer_pipe_diam,pvc_pipe_cost_cl,3)))</f>
        <v>NA</v>
      </c>
      <c r="J89" s="641" t="str">
        <f>IF(OR(C89=0,I89="contact vendor"),"--",C89*I89)</f>
        <v>--</v>
      </c>
      <c r="K89" s="642" t="str">
        <f>IF(C89=0,"NA",VLOOKUP(polymer_pipe_diam,pvc_pipe_cost_cl,IF(ss_cat="large",4,5)))</f>
        <v>NA</v>
      </c>
      <c r="L89" s="411"/>
      <c r="M89" s="5" t="str">
        <f>$B$60&amp;" - "&amp;$B$87&amp;" - "&amp;B89</f>
        <v>Piping - Polymer Piping - PVC</v>
      </c>
      <c r="N89" s="530">
        <f t="shared" si="31"/>
        <v>1</v>
      </c>
      <c r="O89" s="530">
        <f t="shared" si="31"/>
        <v>2</v>
      </c>
      <c r="P89" s="530">
        <f t="shared" si="31"/>
        <v>4</v>
      </c>
      <c r="Q89" s="530">
        <f t="shared" si="31"/>
        <v>1</v>
      </c>
      <c r="R89" s="530">
        <f t="shared" si="31"/>
        <v>2</v>
      </c>
      <c r="S89" s="530">
        <f t="shared" si="31"/>
        <v>4</v>
      </c>
      <c r="T89" s="530">
        <f t="shared" si="31"/>
        <v>1</v>
      </c>
      <c r="U89" s="530">
        <f t="shared" si="32"/>
        <v>2</v>
      </c>
      <c r="V89" s="530">
        <f t="shared" si="33"/>
        <v>4</v>
      </c>
      <c r="W89" s="649">
        <v>0</v>
      </c>
      <c r="X89" s="5">
        <v>1</v>
      </c>
      <c r="Y89" s="5">
        <v>2</v>
      </c>
      <c r="Z89" s="5">
        <v>4</v>
      </c>
      <c r="AA89" s="5">
        <v>1</v>
      </c>
      <c r="AB89" s="5">
        <v>2</v>
      </c>
      <c r="AC89" s="5">
        <v>4</v>
      </c>
      <c r="AD89" s="5">
        <v>1</v>
      </c>
      <c r="AE89" s="5">
        <v>2</v>
      </c>
      <c r="AF89" s="5">
        <v>4</v>
      </c>
      <c r="AG89">
        <f t="shared" si="2"/>
        <v>0</v>
      </c>
      <c r="AH89">
        <f t="shared" si="3"/>
        <v>0</v>
      </c>
      <c r="AI89" s="643"/>
      <c r="AJ89" s="643"/>
      <c r="AL89" s="643"/>
    </row>
    <row r="90" spans="1:38" s="1" customFormat="1">
      <c r="A90" s="399" t="s">
        <v>879</v>
      </c>
      <c r="B90" s="189" t="s">
        <v>18</v>
      </c>
      <c r="C90" s="392">
        <f>polymer_pipe_length</f>
        <v>0</v>
      </c>
      <c r="D90" s="1" t="s">
        <v>2625</v>
      </c>
      <c r="E90" s="646" t="str">
        <f>IF(C90=0,"NA",polymer_pipe_diam)</f>
        <v>NA</v>
      </c>
      <c r="F90" s="189" t="str">
        <f>IF(C90=0,"","in diam")</f>
        <v/>
      </c>
      <c r="G90" s="410" t="str">
        <f>IF(C90=0,"NA",IF(curve=1,polymer_pipe_diam,VLOOKUP(polymer_pipe_diam,ss_pipe_cost_cl,2)))</f>
        <v>NA</v>
      </c>
      <c r="H90" s="623" t="str">
        <f>IF(C90=0,"","in diam")</f>
        <v/>
      </c>
      <c r="I90" s="640" t="str">
        <f>IF(C90=0,"NA",IF(curve=1,ss_pipe_eq_polymer,VLOOKUP(polymer_pipe_diam,ss_pipe_cost_cl,3)))</f>
        <v>NA</v>
      </c>
      <c r="J90" s="641" t="str">
        <f>IF(OR(C90=0,I90="contact vendor"),"--",C90*I90)</f>
        <v>--</v>
      </c>
      <c r="K90" s="642" t="str">
        <f>IF(C90=0,"NA",VLOOKUP(polymer_pipe_diam,ss_pipe_cost_cl,IF(ss_cat="large",4,5)))</f>
        <v>NA</v>
      </c>
      <c r="L90" s="411"/>
      <c r="M90" s="5" t="str">
        <f>$B$60&amp;" - "&amp;$B$87&amp;" - "&amp;B90</f>
        <v>Piping - Polymer Piping - Stainless Steel</v>
      </c>
      <c r="N90" s="530">
        <f t="shared" si="31"/>
        <v>4</v>
      </c>
      <c r="O90" s="530">
        <f t="shared" si="31"/>
        <v>4</v>
      </c>
      <c r="P90" s="530">
        <f t="shared" si="31"/>
        <v>1</v>
      </c>
      <c r="Q90" s="530">
        <f t="shared" si="31"/>
        <v>4</v>
      </c>
      <c r="R90" s="530">
        <f t="shared" si="31"/>
        <v>4</v>
      </c>
      <c r="S90" s="530">
        <f t="shared" si="31"/>
        <v>1</v>
      </c>
      <c r="T90" s="530">
        <f t="shared" si="31"/>
        <v>4</v>
      </c>
      <c r="U90" s="530">
        <f t="shared" si="32"/>
        <v>4</v>
      </c>
      <c r="V90" s="530">
        <f t="shared" si="33"/>
        <v>1</v>
      </c>
      <c r="W90" s="649">
        <v>0</v>
      </c>
      <c r="X90" s="5">
        <v>4</v>
      </c>
      <c r="Y90" s="5">
        <v>4</v>
      </c>
      <c r="Z90" s="5">
        <v>1</v>
      </c>
      <c r="AA90" s="5">
        <v>4</v>
      </c>
      <c r="AB90" s="5">
        <v>4</v>
      </c>
      <c r="AC90" s="5">
        <v>1</v>
      </c>
      <c r="AD90" s="5">
        <v>4</v>
      </c>
      <c r="AE90" s="5">
        <v>4</v>
      </c>
      <c r="AF90" s="5">
        <v>1</v>
      </c>
      <c r="AG90">
        <f t="shared" si="2"/>
        <v>0</v>
      </c>
      <c r="AH90">
        <f t="shared" si="3"/>
        <v>0</v>
      </c>
      <c r="AI90" s="643"/>
      <c r="AJ90" s="643"/>
      <c r="AL90" s="643"/>
    </row>
    <row r="91" spans="1:38" s="1" customFormat="1">
      <c r="A91" s="399" t="s">
        <v>879</v>
      </c>
      <c r="B91" s="189" t="s">
        <v>2629</v>
      </c>
      <c r="C91" s="392">
        <f>polymer_pipe_length</f>
        <v>0</v>
      </c>
      <c r="D91" s="1" t="s">
        <v>2625</v>
      </c>
      <c r="E91" s="646" t="str">
        <f>IF(C91=0,"NA",polymer_pipe_diam)</f>
        <v>NA</v>
      </c>
      <c r="F91" s="189" t="str">
        <f>IF(C91=0,"","in diam")</f>
        <v/>
      </c>
      <c r="G91" s="410" t="str">
        <f>IF(C91=0,"NA",IF(curve=1,polymer_pipe_diam,VLOOKUP(polymer_pipe_diam,st_pipe_cost_cl,2)))</f>
        <v>NA</v>
      </c>
      <c r="H91" s="623" t="str">
        <f>IF(C91=0,"","in diam")</f>
        <v/>
      </c>
      <c r="I91" s="640" t="str">
        <f>IF(C91=0,"NA",IF(curve=1,st_pipe_eq_polymer,VLOOKUP(polymer_pipe_diam,st_pipe_cost_cl,3)))</f>
        <v>NA</v>
      </c>
      <c r="J91" s="641" t="str">
        <f>IF(OR(C91=0,I91="contact vendor"),"--",C91*I91)</f>
        <v>--</v>
      </c>
      <c r="K91" s="642" t="str">
        <f>IF(C91=0,"NA",VLOOKUP(polymer_pipe_diam,st_pipe_cost_cl,IF(ss_cat="large",4,5)))</f>
        <v>NA</v>
      </c>
      <c r="L91" s="411"/>
      <c r="M91" s="5" t="str">
        <f>$B$60&amp;" - "&amp;$B$87&amp;" - "&amp;B91</f>
        <v>Piping - Polymer Piping - Steel</v>
      </c>
      <c r="N91" s="530">
        <f t="shared" si="31"/>
        <v>3</v>
      </c>
      <c r="O91" s="530">
        <f t="shared" si="31"/>
        <v>3</v>
      </c>
      <c r="P91" s="530">
        <f t="shared" si="31"/>
        <v>2</v>
      </c>
      <c r="Q91" s="530">
        <f t="shared" si="31"/>
        <v>3</v>
      </c>
      <c r="R91" s="530">
        <f t="shared" si="31"/>
        <v>3</v>
      </c>
      <c r="S91" s="530">
        <f t="shared" si="31"/>
        <v>2</v>
      </c>
      <c r="T91" s="530">
        <f t="shared" si="31"/>
        <v>3</v>
      </c>
      <c r="U91" s="530">
        <f t="shared" si="32"/>
        <v>3</v>
      </c>
      <c r="V91" s="530">
        <f t="shared" si="33"/>
        <v>2</v>
      </c>
      <c r="W91" s="649">
        <v>0</v>
      </c>
      <c r="X91" s="5">
        <v>3</v>
      </c>
      <c r="Y91" s="5">
        <v>3</v>
      </c>
      <c r="Z91" s="5">
        <v>2</v>
      </c>
      <c r="AA91" s="5">
        <v>3</v>
      </c>
      <c r="AB91" s="5">
        <v>3</v>
      </c>
      <c r="AC91" s="5">
        <v>2</v>
      </c>
      <c r="AD91" s="5">
        <v>3</v>
      </c>
      <c r="AE91" s="5">
        <v>3</v>
      </c>
      <c r="AF91" s="5">
        <v>2</v>
      </c>
      <c r="AG91">
        <f t="shared" si="2"/>
        <v>0</v>
      </c>
      <c r="AH91">
        <f t="shared" si="3"/>
        <v>0</v>
      </c>
      <c r="AI91" s="643"/>
      <c r="AJ91" s="643"/>
      <c r="AL91" s="643"/>
    </row>
    <row r="92" spans="1:38" customFormat="1">
      <c r="A92" s="648">
        <v>3.6</v>
      </c>
      <c r="B92" s="219" t="s">
        <v>245</v>
      </c>
      <c r="C92" s="216"/>
      <c r="D92" s="864"/>
      <c r="E92" s="379"/>
      <c r="F92" s="864"/>
      <c r="G92" s="379"/>
      <c r="H92" s="864"/>
      <c r="I92" s="222"/>
      <c r="J92" s="216"/>
      <c r="K92" s="216"/>
      <c r="L92" s="223"/>
      <c r="M92" s="34"/>
      <c r="N92" s="530" t="str">
        <f t="shared" si="31"/>
        <v/>
      </c>
      <c r="O92" s="530" t="str">
        <f t="shared" si="31"/>
        <v/>
      </c>
      <c r="P92" s="530" t="str">
        <f t="shared" si="31"/>
        <v/>
      </c>
      <c r="Q92" s="530" t="str">
        <f t="shared" si="31"/>
        <v/>
      </c>
      <c r="R92" s="530" t="str">
        <f t="shared" si="31"/>
        <v/>
      </c>
      <c r="S92" s="530" t="str">
        <f t="shared" si="31"/>
        <v/>
      </c>
      <c r="T92" s="530" t="str">
        <f t="shared" si="31"/>
        <v/>
      </c>
      <c r="U92" s="530" t="str">
        <f t="shared" si="32"/>
        <v/>
      </c>
      <c r="V92" s="530" t="str">
        <f t="shared" si="33"/>
        <v/>
      </c>
      <c r="X92" s="34"/>
      <c r="Y92" s="34"/>
      <c r="Z92" s="34"/>
      <c r="AA92" s="34"/>
      <c r="AB92" s="34"/>
      <c r="AC92" s="34"/>
      <c r="AD92" s="34"/>
      <c r="AE92" s="34"/>
      <c r="AF92" s="34"/>
      <c r="AG92" s="537">
        <f t="shared" si="2"/>
        <v>0</v>
      </c>
      <c r="AH92" s="537">
        <f t="shared" si="3"/>
        <v>0</v>
      </c>
    </row>
    <row r="93" spans="1:38" customFormat="1">
      <c r="A93" s="412" t="s">
        <v>2415</v>
      </c>
      <c r="B93" s="413" t="s">
        <v>2627</v>
      </c>
      <c r="C93" s="392">
        <f>bp_pipe_length</f>
        <v>0</v>
      </c>
      <c r="D93" s="392" t="s">
        <v>2625</v>
      </c>
      <c r="E93" s="410" t="str">
        <f>IF(bp_pct&gt;0,bp_pipe_diam,"NA")</f>
        <v>NA</v>
      </c>
      <c r="F93" s="392" t="str">
        <f>IF(bp_pct=0," ","in. diam")</f>
        <v xml:space="preserve"> </v>
      </c>
      <c r="G93" s="410" t="str">
        <f>IF(bp_pct=0,"NA",IF(curve=1,bp_pipe_diam,VLOOKUP(bp_pipe_diam,cpvc_pipe_cost_cl,2)))</f>
        <v>NA</v>
      </c>
      <c r="H93" s="392" t="str">
        <f>IF(bp_pct=0," ","in. diam")</f>
        <v xml:space="preserve"> </v>
      </c>
      <c r="I93" s="439" t="str">
        <f>IF(bp_pct=0,"NA",IF(curve=1,cpvc_pipe_eq_bp,VLOOKUP(bp_pipe_diam,cpvc_pipe_cost_cl,3)))</f>
        <v>NA</v>
      </c>
      <c r="J93" s="641" t="str">
        <f t="shared" ref="J93:J96" si="34">IF(OR(C93=0,I93="contact vendor"),"--",C93*I93)</f>
        <v>--</v>
      </c>
      <c r="K93" s="190" t="str">
        <f>IF(C93=0,"NA",VLOOKUP(E93,cpvc_pipe_cost_cl,IF(ss_cat="large",4,5)))</f>
        <v>NA</v>
      </c>
      <c r="L93" s="411"/>
      <c r="M93" s="34" t="str">
        <f>$B$92&amp;" - "&amp;B93</f>
        <v>Bypass Piping - CPVC</v>
      </c>
      <c r="N93" s="530">
        <f t="shared" ref="N93:T96" si="35">IF(retrofit=1,$W93*X93,IF(ISBLANK(X93),"",X93))</f>
        <v>2</v>
      </c>
      <c r="O93" s="530">
        <f t="shared" si="35"/>
        <v>1</v>
      </c>
      <c r="P93" s="530">
        <f t="shared" si="35"/>
        <v>3</v>
      </c>
      <c r="Q93" s="530">
        <f t="shared" si="35"/>
        <v>2</v>
      </c>
      <c r="R93" s="530">
        <f t="shared" si="35"/>
        <v>1</v>
      </c>
      <c r="S93" s="530">
        <f t="shared" si="35"/>
        <v>3</v>
      </c>
      <c r="T93" s="530">
        <f t="shared" si="35"/>
        <v>2</v>
      </c>
      <c r="U93" s="530">
        <f t="shared" ref="U93:V96" si="36">IF(retrofit=1,$W93*AE93,IF(ISBLANK(AE93),"",AE93))</f>
        <v>1</v>
      </c>
      <c r="V93" s="530">
        <f t="shared" si="36"/>
        <v>3</v>
      </c>
      <c r="W93" s="573">
        <v>0</v>
      </c>
      <c r="X93">
        <v>2</v>
      </c>
      <c r="Y93" s="34">
        <v>1</v>
      </c>
      <c r="Z93">
        <v>3</v>
      </c>
      <c r="AA93">
        <v>2</v>
      </c>
      <c r="AB93" s="34">
        <v>1</v>
      </c>
      <c r="AC93">
        <v>3</v>
      </c>
      <c r="AD93">
        <v>2</v>
      </c>
      <c r="AE93" s="34">
        <v>1</v>
      </c>
      <c r="AF93">
        <v>3</v>
      </c>
      <c r="AG93" s="537">
        <f t="shared" si="2"/>
        <v>0</v>
      </c>
      <c r="AH93" s="537">
        <f t="shared" si="3"/>
        <v>0</v>
      </c>
    </row>
    <row r="94" spans="1:38" customFormat="1">
      <c r="A94" s="412" t="s">
        <v>2415</v>
      </c>
      <c r="B94" s="413" t="s">
        <v>2628</v>
      </c>
      <c r="C94" s="392">
        <f>bp_pipe_length</f>
        <v>0</v>
      </c>
      <c r="D94" s="392" t="s">
        <v>2625</v>
      </c>
      <c r="E94" s="410" t="str">
        <f>IF(bp_pct&gt;0,bp_pipe_diam,"NA")</f>
        <v>NA</v>
      </c>
      <c r="F94" s="392" t="str">
        <f>IF(bp_pct=0," ","in. diam")</f>
        <v xml:space="preserve"> </v>
      </c>
      <c r="G94" s="410" t="str">
        <f>IF(bp_pct=0,"NA",IF(curve=1,bp_pipe_diam,VLOOKUP(bp_pipe_diam,pvc_pipe_cost_cl,2)))</f>
        <v>NA</v>
      </c>
      <c r="H94" s="392" t="str">
        <f>IF(bp_pct=0," ","in. diam")</f>
        <v xml:space="preserve"> </v>
      </c>
      <c r="I94" s="439" t="str">
        <f>IF(bp_pct=0,"NA",IF(curve=1,pvc_pipe_eq_bp,VLOOKUP(bp_pipe_diam,pvc_pipe_cost_cl,3)))</f>
        <v>NA</v>
      </c>
      <c r="J94" s="641" t="str">
        <f t="shared" si="34"/>
        <v>--</v>
      </c>
      <c r="K94" s="190" t="str">
        <f>IF(C94=0,"NA",VLOOKUP(E94,pvc_pipe_cost_cl,IF(ss_cat="large",4,5)))</f>
        <v>NA</v>
      </c>
      <c r="L94" s="411"/>
      <c r="M94" s="34" t="str">
        <f>$B$92&amp;" - "&amp;B94</f>
        <v>Bypass Piping - PVC</v>
      </c>
      <c r="N94" s="530">
        <f t="shared" si="35"/>
        <v>1</v>
      </c>
      <c r="O94" s="530">
        <f t="shared" si="35"/>
        <v>2</v>
      </c>
      <c r="P94" s="530">
        <f t="shared" si="35"/>
        <v>4</v>
      </c>
      <c r="Q94" s="530">
        <f t="shared" si="35"/>
        <v>1</v>
      </c>
      <c r="R94" s="530">
        <f t="shared" si="35"/>
        <v>2</v>
      </c>
      <c r="S94" s="530">
        <f t="shared" si="35"/>
        <v>4</v>
      </c>
      <c r="T94" s="530">
        <f t="shared" si="35"/>
        <v>1</v>
      </c>
      <c r="U94" s="530">
        <f t="shared" si="36"/>
        <v>2</v>
      </c>
      <c r="V94" s="530">
        <f t="shared" si="36"/>
        <v>4</v>
      </c>
      <c r="W94" s="573">
        <v>0</v>
      </c>
      <c r="X94">
        <v>1</v>
      </c>
      <c r="Y94" s="34">
        <v>2</v>
      </c>
      <c r="Z94">
        <v>4</v>
      </c>
      <c r="AA94">
        <v>1</v>
      </c>
      <c r="AB94" s="34">
        <v>2</v>
      </c>
      <c r="AC94">
        <v>4</v>
      </c>
      <c r="AD94">
        <v>1</v>
      </c>
      <c r="AE94" s="34">
        <v>2</v>
      </c>
      <c r="AF94">
        <v>4</v>
      </c>
      <c r="AG94" s="537">
        <f t="shared" si="2"/>
        <v>0</v>
      </c>
      <c r="AH94" s="537">
        <f t="shared" si="3"/>
        <v>0</v>
      </c>
    </row>
    <row r="95" spans="1:38" customFormat="1">
      <c r="A95" s="412" t="s">
        <v>2415</v>
      </c>
      <c r="B95" s="413" t="s">
        <v>18</v>
      </c>
      <c r="C95" s="392">
        <f>bp_pipe_length</f>
        <v>0</v>
      </c>
      <c r="D95" s="392" t="s">
        <v>2625</v>
      </c>
      <c r="E95" s="410" t="str">
        <f>IF(bp_pct&gt;0,bp_pipe_diam,"NA")</f>
        <v>NA</v>
      </c>
      <c r="F95" s="392" t="str">
        <f>IF(bp_pct=0," ","in. diam")</f>
        <v xml:space="preserve"> </v>
      </c>
      <c r="G95" s="410" t="str">
        <f>IF(bp_pct=0,"NA",IF(curve=1,bp_pipe_diam,VLOOKUP(bp_pipe_diam,ss_pipe_cost_cl,2)))</f>
        <v>NA</v>
      </c>
      <c r="H95" s="392" t="str">
        <f>IF(bp_pct=0," ","in. diam")</f>
        <v xml:space="preserve"> </v>
      </c>
      <c r="I95" s="439" t="str">
        <f>IF(bp_pct=0,"NA",IF(curve=1,ss_pipe_eq_bp,VLOOKUP(bp_pipe_diam,ss_pipe_cost_cl,3)))</f>
        <v>NA</v>
      </c>
      <c r="J95" s="641" t="str">
        <f t="shared" si="34"/>
        <v>--</v>
      </c>
      <c r="K95" s="190" t="str">
        <f>IF(C95=0,"NA",VLOOKUP(E95,ss_pipe_cost_cl,IF(ss_cat="large",4,5)))</f>
        <v>NA</v>
      </c>
      <c r="L95" s="411"/>
      <c r="M95" s="34" t="str">
        <f>$B$92&amp;" - "&amp;B95</f>
        <v>Bypass Piping - Stainless Steel</v>
      </c>
      <c r="N95" s="530">
        <f t="shared" si="35"/>
        <v>4</v>
      </c>
      <c r="O95" s="530">
        <f t="shared" si="35"/>
        <v>4</v>
      </c>
      <c r="P95" s="530">
        <f t="shared" si="35"/>
        <v>1</v>
      </c>
      <c r="Q95" s="530">
        <f t="shared" si="35"/>
        <v>4</v>
      </c>
      <c r="R95" s="530">
        <f t="shared" si="35"/>
        <v>4</v>
      </c>
      <c r="S95" s="530">
        <f t="shared" si="35"/>
        <v>1</v>
      </c>
      <c r="T95" s="530">
        <f t="shared" si="35"/>
        <v>4</v>
      </c>
      <c r="U95" s="530">
        <f t="shared" si="36"/>
        <v>4</v>
      </c>
      <c r="V95" s="530">
        <f t="shared" si="36"/>
        <v>1</v>
      </c>
      <c r="W95" s="573">
        <v>0</v>
      </c>
      <c r="X95">
        <v>4</v>
      </c>
      <c r="Y95">
        <v>4</v>
      </c>
      <c r="Z95">
        <v>1</v>
      </c>
      <c r="AA95">
        <v>4</v>
      </c>
      <c r="AB95">
        <v>4</v>
      </c>
      <c r="AC95">
        <v>1</v>
      </c>
      <c r="AD95">
        <v>4</v>
      </c>
      <c r="AE95">
        <v>4</v>
      </c>
      <c r="AF95">
        <v>1</v>
      </c>
      <c r="AG95" s="537">
        <f t="shared" si="2"/>
        <v>0</v>
      </c>
      <c r="AH95" s="537">
        <f t="shared" si="3"/>
        <v>0</v>
      </c>
    </row>
    <row r="96" spans="1:38" customFormat="1">
      <c r="A96" s="412" t="s">
        <v>2415</v>
      </c>
      <c r="B96" s="413" t="s">
        <v>2629</v>
      </c>
      <c r="C96" s="392">
        <f>bp_pipe_length</f>
        <v>0</v>
      </c>
      <c r="D96" s="392" t="s">
        <v>2625</v>
      </c>
      <c r="E96" s="410" t="str">
        <f>IF(bp_pct&gt;0,bp_pipe_diam,"NA")</f>
        <v>NA</v>
      </c>
      <c r="F96" s="392" t="str">
        <f>IF(bp_pct=0," ","in. diam")</f>
        <v xml:space="preserve"> </v>
      </c>
      <c r="G96" s="410" t="str">
        <f>IF(bp_pct=0,"NA",IF(curve=1,bp_pipe_diam,VLOOKUP(bp_pipe_diam,st_pipe_cost_cl,2)))</f>
        <v>NA</v>
      </c>
      <c r="H96" s="392" t="str">
        <f>IF(bp_pct=0," ","in. diam")</f>
        <v xml:space="preserve"> </v>
      </c>
      <c r="I96" s="439" t="str">
        <f>IF(bp_pct=0,"NA",IF(curve=1,st_pipe_eq_bp,VLOOKUP(bp_pipe_diam,st_pipe_cost_cl,3)))</f>
        <v>NA</v>
      </c>
      <c r="J96" s="641" t="str">
        <f t="shared" si="34"/>
        <v>--</v>
      </c>
      <c r="K96" s="190" t="str">
        <f>IF(C96=0,"NA",VLOOKUP(E96,st_pipe_cost_cl,IF(ss_cat="large",4,5)))</f>
        <v>NA</v>
      </c>
      <c r="L96" s="411"/>
      <c r="M96" s="34" t="str">
        <f>$B$92&amp;" - "&amp;B96</f>
        <v>Bypass Piping - Steel</v>
      </c>
      <c r="N96" s="530">
        <f t="shared" si="35"/>
        <v>3</v>
      </c>
      <c r="O96" s="530">
        <f t="shared" si="35"/>
        <v>3</v>
      </c>
      <c r="P96" s="530">
        <f t="shared" si="35"/>
        <v>2</v>
      </c>
      <c r="Q96" s="530">
        <f t="shared" si="35"/>
        <v>3</v>
      </c>
      <c r="R96" s="530">
        <f t="shared" si="35"/>
        <v>3</v>
      </c>
      <c r="S96" s="530">
        <f t="shared" si="35"/>
        <v>2</v>
      </c>
      <c r="T96" s="530">
        <f t="shared" si="35"/>
        <v>3</v>
      </c>
      <c r="U96" s="530">
        <f t="shared" si="36"/>
        <v>3</v>
      </c>
      <c r="V96" s="530">
        <f t="shared" si="36"/>
        <v>2</v>
      </c>
      <c r="W96" s="573">
        <v>0</v>
      </c>
      <c r="X96">
        <v>3</v>
      </c>
      <c r="Y96">
        <v>3</v>
      </c>
      <c r="Z96">
        <v>2</v>
      </c>
      <c r="AA96">
        <v>3</v>
      </c>
      <c r="AB96">
        <v>3</v>
      </c>
      <c r="AC96">
        <v>2</v>
      </c>
      <c r="AD96">
        <v>3</v>
      </c>
      <c r="AE96">
        <v>3</v>
      </c>
      <c r="AF96">
        <v>2</v>
      </c>
      <c r="AG96" s="537">
        <f t="shared" si="2"/>
        <v>0</v>
      </c>
      <c r="AH96" s="537">
        <f t="shared" si="3"/>
        <v>0</v>
      </c>
    </row>
    <row r="97" spans="1:38" customFormat="1">
      <c r="A97" s="240" t="s">
        <v>880</v>
      </c>
      <c r="B97" s="236" t="s">
        <v>2548</v>
      </c>
      <c r="C97" s="241"/>
      <c r="D97" s="241"/>
      <c r="E97" s="241"/>
      <c r="F97" s="236"/>
      <c r="G97" s="241"/>
      <c r="H97" s="236"/>
      <c r="I97" s="241"/>
      <c r="J97" s="241"/>
      <c r="K97" s="241"/>
      <c r="L97" s="243"/>
      <c r="M97" s="34"/>
      <c r="AG97" s="537">
        <f t="shared" si="2"/>
        <v>0</v>
      </c>
      <c r="AH97" s="537">
        <f t="shared" si="3"/>
        <v>0</v>
      </c>
    </row>
    <row r="98" spans="1:38" customFormat="1">
      <c r="A98" s="493" t="s">
        <v>881</v>
      </c>
      <c r="B98" s="239" t="s">
        <v>1641</v>
      </c>
      <c r="C98" s="216"/>
      <c r="D98" s="864"/>
      <c r="E98" s="216"/>
      <c r="F98" s="865"/>
      <c r="G98" s="216"/>
      <c r="H98" s="865"/>
      <c r="I98" s="216"/>
      <c r="J98" s="216"/>
      <c r="K98" s="216"/>
      <c r="L98" s="246"/>
      <c r="M98" s="34"/>
      <c r="AG98" s="537">
        <f t="shared" ref="AG98:AG161" si="37">IF(ISERROR(K98*L98),0,IF(K98&lt;1,0,L98))</f>
        <v>0</v>
      </c>
      <c r="AH98" s="537">
        <f t="shared" ref="AH98:AH161" si="38">IF(AG98,J98/K98,0)</f>
        <v>0</v>
      </c>
    </row>
    <row r="99" spans="1:38" customFormat="1">
      <c r="A99" s="399" t="s">
        <v>882</v>
      </c>
      <c r="B99" s="400" t="s">
        <v>2861</v>
      </c>
      <c r="C99" s="392">
        <f>tot_proc_MOVs</f>
        <v>2</v>
      </c>
      <c r="D99" s="392" t="s">
        <v>2305</v>
      </c>
      <c r="E99" s="392">
        <f>tank_valve_size</f>
        <v>6</v>
      </c>
      <c r="F99" s="189" t="s">
        <v>2626</v>
      </c>
      <c r="G99" s="392">
        <f>IF(curve=1,tank_valve_size,VLOOKUP(tank_valve_size,pp_mov_cost_cl,2))</f>
        <v>6</v>
      </c>
      <c r="H99" s="189" t="s">
        <v>2626</v>
      </c>
      <c r="I99" s="395">
        <f>IF(curve=1,pp_mov_eq_tank,VLOOKUP(tank_valve_size,pp_mov_cost_cl,3))</f>
        <v>1573.9849448805173</v>
      </c>
      <c r="J99" s="398">
        <f t="shared" ref="J99:J104" si="39">IF(I99="contact vendor","--",C99*I99)</f>
        <v>3147.9698897610347</v>
      </c>
      <c r="K99" s="392">
        <f>VLOOKUP(tank_valve_size,pp_mov_cost_cl,IF(ss_cat="large",4,5))</f>
        <v>20</v>
      </c>
      <c r="L99" s="397">
        <v>1</v>
      </c>
      <c r="M99" s="34" t="str">
        <f t="shared" ref="M99:M113" si="40">$B$98&amp;" "&amp;$B$97&amp;" - "&amp;B99</f>
        <v>Motor/Air Operated (on/off) Valves - Process - Polypropylene/PVC</v>
      </c>
      <c r="N99" s="530">
        <f t="shared" ref="N99:N113" si="41">IF(retrofit=1,$W99*X99,IF(ISBLANK(X99),"",X99))</f>
        <v>1</v>
      </c>
      <c r="O99" s="530">
        <f t="shared" ref="O99:O113" si="42">IF(retrofit=1,$W99*Y99,IF(ISBLANK(Y99),"",Y99))</f>
        <v>2</v>
      </c>
      <c r="P99" s="530">
        <f t="shared" ref="P99:P113" si="43">IF(retrofit=1,$W99*Z99,IF(ISBLANK(Z99),"",Z99))</f>
        <v>3</v>
      </c>
      <c r="Q99" s="530">
        <f t="shared" ref="Q99:Q113" si="44">IF(retrofit=1,$W99*AA99,IF(ISBLANK(AA99),"",AA99))</f>
        <v>1</v>
      </c>
      <c r="R99" s="530">
        <f t="shared" ref="R99:R113" si="45">IF(retrofit=1,$W99*AB99,IF(ISBLANK(AB99),"",AB99))</f>
        <v>2</v>
      </c>
      <c r="S99" s="530">
        <f t="shared" ref="S99:S113" si="46">IF(retrofit=1,$W99*AC99,IF(ISBLANK(AC99),"",AC99))</f>
        <v>3</v>
      </c>
      <c r="T99" s="530">
        <f t="shared" ref="T99:T113" si="47">IF(retrofit=1,$W99*AD99,IF(ISBLANK(AD99),"",AD99))</f>
        <v>1</v>
      </c>
      <c r="U99" s="530">
        <f t="shared" ref="U99:U113" si="48">IF(retrofit=1,$W99*AE99,IF(ISBLANK(AE99),"",AE99))</f>
        <v>2</v>
      </c>
      <c r="V99" s="530">
        <f t="shared" ref="V99:V113" si="49">IF(retrofit=1,$W99*AF99,IF(ISBLANK(AF99),"",AF99))</f>
        <v>3</v>
      </c>
      <c r="W99" s="573">
        <v>0</v>
      </c>
      <c r="X99">
        <v>1</v>
      </c>
      <c r="Y99">
        <v>2</v>
      </c>
      <c r="Z99">
        <v>3</v>
      </c>
      <c r="AA99">
        <v>1</v>
      </c>
      <c r="AB99">
        <v>2</v>
      </c>
      <c r="AC99">
        <v>3</v>
      </c>
      <c r="AD99">
        <v>1</v>
      </c>
      <c r="AE99">
        <v>2</v>
      </c>
      <c r="AF99">
        <v>3</v>
      </c>
      <c r="AG99" s="537">
        <f t="shared" si="37"/>
        <v>1</v>
      </c>
      <c r="AH99" s="537">
        <f t="shared" si="38"/>
        <v>157.39849448805174</v>
      </c>
    </row>
    <row r="100" spans="1:38" customFormat="1">
      <c r="A100" s="399" t="s">
        <v>882</v>
      </c>
      <c r="B100" s="189" t="s">
        <v>2862</v>
      </c>
      <c r="C100" s="392">
        <f>tot_proc_MOVs</f>
        <v>2</v>
      </c>
      <c r="D100" s="392" t="s">
        <v>2305</v>
      </c>
      <c r="E100" s="392">
        <f>tank_valve_size</f>
        <v>6</v>
      </c>
      <c r="F100" s="189" t="s">
        <v>2626</v>
      </c>
      <c r="G100" s="392">
        <f>IF(curve=1,tank_valve_size,VLOOKUP(tank_valve_size,ss_mov_cost_cl,2))</f>
        <v>6</v>
      </c>
      <c r="H100" s="189" t="s">
        <v>2626</v>
      </c>
      <c r="I100" s="395">
        <f>IF(curve=1,ss_mov_eq_tank,VLOOKUP(tank_valve_size,ss_mov_cost_cl,3))</f>
        <v>5244.7005183660003</v>
      </c>
      <c r="J100" s="398">
        <f t="shared" si="39"/>
        <v>10489.401036732001</v>
      </c>
      <c r="K100" s="392">
        <f>VLOOKUP(tank_valve_size,ss_mov_cost_cl,IF(ss_cat="large",4,5))</f>
        <v>20</v>
      </c>
      <c r="L100" s="397">
        <v>0</v>
      </c>
      <c r="M100" s="34" t="str">
        <f t="shared" si="40"/>
        <v>Motor/Air Operated (on/off) Valves - Process - Stainless Steel</v>
      </c>
      <c r="N100" s="530">
        <f t="shared" si="41"/>
        <v>3</v>
      </c>
      <c r="O100" s="530">
        <f t="shared" si="42"/>
        <v>3</v>
      </c>
      <c r="P100" s="530">
        <f t="shared" si="43"/>
        <v>1</v>
      </c>
      <c r="Q100" s="530">
        <f t="shared" si="44"/>
        <v>3</v>
      </c>
      <c r="R100" s="530">
        <f t="shared" si="45"/>
        <v>3</v>
      </c>
      <c r="S100" s="530">
        <f t="shared" si="46"/>
        <v>1</v>
      </c>
      <c r="T100" s="530">
        <f t="shared" si="47"/>
        <v>3</v>
      </c>
      <c r="U100" s="530">
        <f t="shared" si="48"/>
        <v>3</v>
      </c>
      <c r="V100" s="530">
        <f t="shared" si="49"/>
        <v>1</v>
      </c>
      <c r="W100" s="573">
        <v>0</v>
      </c>
      <c r="X100">
        <v>3</v>
      </c>
      <c r="Y100">
        <v>3</v>
      </c>
      <c r="Z100">
        <v>1</v>
      </c>
      <c r="AA100">
        <v>3</v>
      </c>
      <c r="AB100">
        <v>3</v>
      </c>
      <c r="AC100">
        <v>1</v>
      </c>
      <c r="AD100">
        <v>3</v>
      </c>
      <c r="AE100">
        <v>3</v>
      </c>
      <c r="AF100">
        <v>1</v>
      </c>
      <c r="AG100" s="537">
        <f t="shared" si="37"/>
        <v>0</v>
      </c>
      <c r="AH100" s="537">
        <f t="shared" si="38"/>
        <v>0</v>
      </c>
    </row>
    <row r="101" spans="1:38" customFormat="1">
      <c r="A101" s="399" t="s">
        <v>882</v>
      </c>
      <c r="B101" s="189" t="s">
        <v>732</v>
      </c>
      <c r="C101" s="392">
        <f>tot_proc_MOVs</f>
        <v>2</v>
      </c>
      <c r="D101" s="392" t="s">
        <v>2305</v>
      </c>
      <c r="E101" s="392">
        <f>tank_valve_size</f>
        <v>6</v>
      </c>
      <c r="F101" s="189" t="s">
        <v>2626</v>
      </c>
      <c r="G101" s="392">
        <f>IF(curve=1,tank_valve_size,VLOOKUP(tank_valve_size,ci_mov_cost_cl,2))</f>
        <v>6</v>
      </c>
      <c r="H101" s="189" t="s">
        <v>2626</v>
      </c>
      <c r="I101" s="395">
        <f>IF(curve=1,ci_mov_eq_tank,VLOOKUP(tank_valve_size,ci_mov_cost_cl,3))</f>
        <v>2439.3193963069998</v>
      </c>
      <c r="J101" s="398">
        <f t="shared" si="39"/>
        <v>4878.6387926139996</v>
      </c>
      <c r="K101" s="392">
        <f>VLOOKUP(tank_valve_size,ci_mov_cost_cl,IF(ss_cat="large",4,5))</f>
        <v>20</v>
      </c>
      <c r="L101" s="397">
        <v>0</v>
      </c>
      <c r="M101" s="34" t="str">
        <f t="shared" si="40"/>
        <v>Motor/Air Operated (on/off) Valves - Process - Cast Iron</v>
      </c>
      <c r="N101" s="530">
        <f t="shared" si="41"/>
        <v>2</v>
      </c>
      <c r="O101" s="530">
        <f t="shared" si="42"/>
        <v>1</v>
      </c>
      <c r="P101" s="530">
        <f t="shared" si="43"/>
        <v>2</v>
      </c>
      <c r="Q101" s="530">
        <f t="shared" si="44"/>
        <v>2</v>
      </c>
      <c r="R101" s="530">
        <f t="shared" si="45"/>
        <v>1</v>
      </c>
      <c r="S101" s="530">
        <f t="shared" si="46"/>
        <v>2</v>
      </c>
      <c r="T101" s="530">
        <f t="shared" si="47"/>
        <v>2</v>
      </c>
      <c r="U101" s="530">
        <f t="shared" si="48"/>
        <v>1</v>
      </c>
      <c r="V101" s="530">
        <f t="shared" si="49"/>
        <v>2</v>
      </c>
      <c r="W101" s="573">
        <v>0</v>
      </c>
      <c r="X101">
        <v>2</v>
      </c>
      <c r="Y101">
        <v>1</v>
      </c>
      <c r="Z101">
        <v>2</v>
      </c>
      <c r="AA101">
        <v>2</v>
      </c>
      <c r="AB101">
        <v>1</v>
      </c>
      <c r="AC101">
        <v>2</v>
      </c>
      <c r="AD101">
        <v>2</v>
      </c>
      <c r="AE101">
        <v>1</v>
      </c>
      <c r="AF101">
        <v>2</v>
      </c>
      <c r="AG101" s="537">
        <f t="shared" si="37"/>
        <v>0</v>
      </c>
      <c r="AH101" s="537">
        <f t="shared" si="38"/>
        <v>0</v>
      </c>
    </row>
    <row r="102" spans="1:38" customFormat="1">
      <c r="A102" s="399" t="s">
        <v>887</v>
      </c>
      <c r="B102" s="400" t="s">
        <v>734</v>
      </c>
      <c r="C102" s="392">
        <f>tot_back_MOVs</f>
        <v>3</v>
      </c>
      <c r="D102" s="392" t="s">
        <v>2305</v>
      </c>
      <c r="E102" s="392">
        <f>back_valve_size</f>
        <v>6</v>
      </c>
      <c r="F102" s="189" t="s">
        <v>2626</v>
      </c>
      <c r="G102" s="392">
        <f>IF(curve=1,back_valve_size,VLOOKUP(back_valve_size,pp_mov_cost_cl,2))</f>
        <v>6</v>
      </c>
      <c r="H102" s="189" t="s">
        <v>2626</v>
      </c>
      <c r="I102" s="395">
        <f>IF(curve=1,pp_mov_eq_back,VLOOKUP(back_valve_size,pp_mov_cost_cl,3))</f>
        <v>1573.9849448805173</v>
      </c>
      <c r="J102" s="398">
        <f t="shared" si="39"/>
        <v>4721.9548346415522</v>
      </c>
      <c r="K102" s="392">
        <f>VLOOKUP(back_valve_size,pp_mov_cost_cl,IF(ss_cat="large",4,5))</f>
        <v>20</v>
      </c>
      <c r="L102" s="397">
        <v>1</v>
      </c>
      <c r="M102" s="34" t="str">
        <f t="shared" si="40"/>
        <v>Motor/Air Operated (on/off) Valves - Backwash - Polypropylene/PVC</v>
      </c>
      <c r="N102" s="530">
        <f t="shared" si="41"/>
        <v>1</v>
      </c>
      <c r="O102" s="530">
        <f t="shared" si="42"/>
        <v>2</v>
      </c>
      <c r="P102" s="530">
        <f t="shared" si="43"/>
        <v>3</v>
      </c>
      <c r="Q102" s="530">
        <f t="shared" si="44"/>
        <v>1</v>
      </c>
      <c r="R102" s="530">
        <f t="shared" si="45"/>
        <v>2</v>
      </c>
      <c r="S102" s="530">
        <f t="shared" si="46"/>
        <v>3</v>
      </c>
      <c r="T102" s="530">
        <f t="shared" si="47"/>
        <v>1</v>
      </c>
      <c r="U102" s="530">
        <f t="shared" si="48"/>
        <v>2</v>
      </c>
      <c r="V102" s="530">
        <f t="shared" si="49"/>
        <v>3</v>
      </c>
      <c r="W102" s="573">
        <v>0</v>
      </c>
      <c r="X102">
        <v>1</v>
      </c>
      <c r="Y102">
        <v>2</v>
      </c>
      <c r="Z102">
        <v>3</v>
      </c>
      <c r="AA102">
        <v>1</v>
      </c>
      <c r="AB102">
        <v>2</v>
      </c>
      <c r="AC102">
        <v>3</v>
      </c>
      <c r="AD102">
        <v>1</v>
      </c>
      <c r="AE102">
        <v>2</v>
      </c>
      <c r="AF102">
        <v>3</v>
      </c>
      <c r="AG102" s="537">
        <f t="shared" si="37"/>
        <v>1</v>
      </c>
      <c r="AH102" s="537">
        <f t="shared" si="38"/>
        <v>236.09774173207762</v>
      </c>
    </row>
    <row r="103" spans="1:38" customFormat="1">
      <c r="A103" s="399" t="s">
        <v>887</v>
      </c>
      <c r="B103" s="189" t="s">
        <v>733</v>
      </c>
      <c r="C103" s="392">
        <f>tot_back_MOVs</f>
        <v>3</v>
      </c>
      <c r="D103" s="392" t="s">
        <v>2305</v>
      </c>
      <c r="E103" s="392">
        <f>back_valve_size</f>
        <v>6</v>
      </c>
      <c r="F103" s="189" t="s">
        <v>2626</v>
      </c>
      <c r="G103" s="402">
        <f>IF(curve=1,back_valve_size,VLOOKUP(back_valve_size,ss_mov_cost_cl,2))</f>
        <v>6</v>
      </c>
      <c r="H103" s="189" t="s">
        <v>2626</v>
      </c>
      <c r="I103" s="395">
        <f>IF(curve=1,ss_mov_eq_back,VLOOKUP(back_valve_size,ss_mov_cost_cl,3))</f>
        <v>5244.7005183660003</v>
      </c>
      <c r="J103" s="396">
        <f t="shared" si="39"/>
        <v>15734.101555098001</v>
      </c>
      <c r="K103" s="392">
        <f>VLOOKUP(back_valve_size,ss_mov_cost_cl,IF(ss_cat="large",4,5))</f>
        <v>20</v>
      </c>
      <c r="L103" s="397">
        <v>0</v>
      </c>
      <c r="M103" s="34" t="str">
        <f t="shared" si="40"/>
        <v>Motor/Air Operated (on/off) Valves - Backwash - Stainless Steel</v>
      </c>
      <c r="N103" s="530">
        <f t="shared" si="41"/>
        <v>3</v>
      </c>
      <c r="O103" s="530">
        <f t="shared" si="42"/>
        <v>3</v>
      </c>
      <c r="P103" s="530">
        <f t="shared" si="43"/>
        <v>1</v>
      </c>
      <c r="Q103" s="530">
        <f t="shared" si="44"/>
        <v>3</v>
      </c>
      <c r="R103" s="530">
        <f t="shared" si="45"/>
        <v>3</v>
      </c>
      <c r="S103" s="530">
        <f t="shared" si="46"/>
        <v>1</v>
      </c>
      <c r="T103" s="530">
        <f t="shared" si="47"/>
        <v>3</v>
      </c>
      <c r="U103" s="530">
        <f t="shared" si="48"/>
        <v>3</v>
      </c>
      <c r="V103" s="530">
        <f t="shared" si="49"/>
        <v>1</v>
      </c>
      <c r="W103" s="573">
        <v>0</v>
      </c>
      <c r="X103">
        <v>3</v>
      </c>
      <c r="Y103">
        <v>3</v>
      </c>
      <c r="Z103">
        <v>1</v>
      </c>
      <c r="AA103">
        <v>3</v>
      </c>
      <c r="AB103">
        <v>3</v>
      </c>
      <c r="AC103">
        <v>1</v>
      </c>
      <c r="AD103">
        <v>3</v>
      </c>
      <c r="AE103">
        <v>3</v>
      </c>
      <c r="AF103">
        <v>1</v>
      </c>
      <c r="AG103" s="537">
        <f t="shared" si="37"/>
        <v>0</v>
      </c>
      <c r="AH103" s="537">
        <f t="shared" si="38"/>
        <v>0</v>
      </c>
    </row>
    <row r="104" spans="1:38" customFormat="1">
      <c r="A104" s="399" t="s">
        <v>887</v>
      </c>
      <c r="B104" s="413" t="s">
        <v>735</v>
      </c>
      <c r="C104" s="392">
        <f>tot_back_MOVs</f>
        <v>3</v>
      </c>
      <c r="D104" s="392" t="s">
        <v>2305</v>
      </c>
      <c r="E104" s="392">
        <f>back_valve_size</f>
        <v>6</v>
      </c>
      <c r="F104" s="189" t="s">
        <v>2626</v>
      </c>
      <c r="G104" s="402">
        <f>IF(curve=1,back_valve_size,VLOOKUP(back_valve_size,ci_mov_cost_cl,2))</f>
        <v>6</v>
      </c>
      <c r="H104" s="189" t="s">
        <v>2626</v>
      </c>
      <c r="I104" s="395">
        <f>IF(curve=1,ci_mov_eq_back,VLOOKUP(back_valve_size,ci_mov_cost_cl,3))</f>
        <v>2439.3193963069998</v>
      </c>
      <c r="J104" s="396">
        <f t="shared" si="39"/>
        <v>7317.9581889209994</v>
      </c>
      <c r="K104" s="392">
        <f>VLOOKUP(back_valve_size,ci_mov_cost_cl,IF(ss_cat="large",4,5))</f>
        <v>20</v>
      </c>
      <c r="L104" s="397">
        <v>0</v>
      </c>
      <c r="M104" s="34" t="str">
        <f t="shared" si="40"/>
        <v>Motor/Air Operated (on/off) Valves - Backwash - Cast Iron</v>
      </c>
      <c r="N104" s="530">
        <f t="shared" si="41"/>
        <v>2</v>
      </c>
      <c r="O104" s="530">
        <f t="shared" si="42"/>
        <v>1</v>
      </c>
      <c r="P104" s="530">
        <f t="shared" si="43"/>
        <v>2</v>
      </c>
      <c r="Q104" s="530">
        <f t="shared" si="44"/>
        <v>2</v>
      </c>
      <c r="R104" s="530">
        <f t="shared" si="45"/>
        <v>1</v>
      </c>
      <c r="S104" s="530">
        <f t="shared" si="46"/>
        <v>2</v>
      </c>
      <c r="T104" s="530">
        <f t="shared" si="47"/>
        <v>2</v>
      </c>
      <c r="U104" s="530">
        <f t="shared" si="48"/>
        <v>1</v>
      </c>
      <c r="V104" s="530">
        <f t="shared" si="49"/>
        <v>2</v>
      </c>
      <c r="W104" s="573">
        <v>0</v>
      </c>
      <c r="X104">
        <v>2</v>
      </c>
      <c r="Y104">
        <v>1</v>
      </c>
      <c r="Z104">
        <v>2</v>
      </c>
      <c r="AA104">
        <v>2</v>
      </c>
      <c r="AB104">
        <v>1</v>
      </c>
      <c r="AC104">
        <v>2</v>
      </c>
      <c r="AD104">
        <v>2</v>
      </c>
      <c r="AE104">
        <v>1</v>
      </c>
      <c r="AF104">
        <v>2</v>
      </c>
      <c r="AG104" s="537">
        <f t="shared" si="37"/>
        <v>0</v>
      </c>
      <c r="AH104" s="537">
        <f t="shared" si="38"/>
        <v>0</v>
      </c>
    </row>
    <row r="105" spans="1:38" customFormat="1">
      <c r="A105" s="399" t="s">
        <v>655</v>
      </c>
      <c r="B105" s="400" t="s">
        <v>2713</v>
      </c>
      <c r="C105" s="392">
        <f>total_res_MOVs</f>
        <v>0</v>
      </c>
      <c r="D105" s="392" t="s">
        <v>2305</v>
      </c>
      <c r="E105" s="402" t="str">
        <f>IF(C105=0,"NA",res_valve_size)</f>
        <v>NA</v>
      </c>
      <c r="F105" s="189" t="str">
        <f t="shared" ref="F105:F110" si="50">IF(C105=0,"","in. diam")</f>
        <v/>
      </c>
      <c r="G105" s="402" t="str">
        <f>IF(C105=0,"NA",IF(curve=1,res_valve_size,VLOOKUP(res_valve_size,pp_mov_cost_cl,2)))</f>
        <v>NA</v>
      </c>
      <c r="H105" s="189" t="str">
        <f t="shared" ref="H105:H110" si="51">IF(C105=0,"","in. diam")</f>
        <v/>
      </c>
      <c r="I105" s="401" t="str">
        <f>IF(C105=0,"NA",IF(curve=1,pp_mov_eq_res,VLOOKUP(res_valve_size,pp_mov_cost_cl,3)))</f>
        <v>NA</v>
      </c>
      <c r="J105" s="396" t="str">
        <f t="shared" ref="J105:J113" si="52">IF(OR(C105=0,I105="contact vendor"),"--",C105*I105)</f>
        <v>--</v>
      </c>
      <c r="K105" s="402" t="str">
        <f>IF(C105=0,"NA",VLOOKUP(res_valve_size,pp_mov_cost_cl,IF(ss_cat="large",4,5)))</f>
        <v>NA</v>
      </c>
      <c r="L105" s="411"/>
      <c r="M105" s="34" t="str">
        <f t="shared" si="40"/>
        <v>Motor/Air Operated (on/off) Valves - Residuals - Polypropylene/PVC</v>
      </c>
      <c r="N105" s="530">
        <f t="shared" si="41"/>
        <v>1</v>
      </c>
      <c r="O105" s="530">
        <f t="shared" si="42"/>
        <v>2</v>
      </c>
      <c r="P105" s="530">
        <f t="shared" si="43"/>
        <v>3</v>
      </c>
      <c r="Q105" s="530">
        <f t="shared" si="44"/>
        <v>1</v>
      </c>
      <c r="R105" s="530">
        <f t="shared" si="45"/>
        <v>2</v>
      </c>
      <c r="S105" s="530">
        <f t="shared" si="46"/>
        <v>3</v>
      </c>
      <c r="T105" s="530">
        <f t="shared" si="47"/>
        <v>1</v>
      </c>
      <c r="U105" s="530">
        <f t="shared" si="48"/>
        <v>2</v>
      </c>
      <c r="V105" s="530">
        <f t="shared" si="49"/>
        <v>3</v>
      </c>
      <c r="W105" s="573">
        <v>0</v>
      </c>
      <c r="X105">
        <v>1</v>
      </c>
      <c r="Y105">
        <v>2</v>
      </c>
      <c r="Z105">
        <v>3</v>
      </c>
      <c r="AA105">
        <v>1</v>
      </c>
      <c r="AB105">
        <v>2</v>
      </c>
      <c r="AC105">
        <v>3</v>
      </c>
      <c r="AD105">
        <v>1</v>
      </c>
      <c r="AE105">
        <v>2</v>
      </c>
      <c r="AF105">
        <v>3</v>
      </c>
      <c r="AG105" s="537">
        <f t="shared" si="37"/>
        <v>0</v>
      </c>
      <c r="AH105" s="537">
        <f t="shared" si="38"/>
        <v>0</v>
      </c>
    </row>
    <row r="106" spans="1:38" customFormat="1">
      <c r="A106" s="399" t="s">
        <v>655</v>
      </c>
      <c r="B106" s="189" t="s">
        <v>2714</v>
      </c>
      <c r="C106" s="392">
        <f>total_res_MOVs</f>
        <v>0</v>
      </c>
      <c r="D106" s="392" t="s">
        <v>2305</v>
      </c>
      <c r="E106" s="402" t="str">
        <f>IF(C106=0,"NA",res_valve_size)</f>
        <v>NA</v>
      </c>
      <c r="F106" s="189" t="str">
        <f t="shared" si="50"/>
        <v/>
      </c>
      <c r="G106" s="402" t="str">
        <f>IF(C106=0,"NA",IF(curve=1,res_valve_size,VLOOKUP(res_valve_size,ss_mov_cost_cl,2)))</f>
        <v>NA</v>
      </c>
      <c r="H106" s="189" t="str">
        <f t="shared" si="51"/>
        <v/>
      </c>
      <c r="I106" s="401" t="str">
        <f>IF(C106=0,"NA",IF(curve=1,ss_mov_eq_res,VLOOKUP(res_valve_size,ss_mov_cost_cl,3)))</f>
        <v>NA</v>
      </c>
      <c r="J106" s="396" t="str">
        <f t="shared" si="52"/>
        <v>--</v>
      </c>
      <c r="K106" s="402" t="str">
        <f>IF(C106=0,"NA",VLOOKUP(res_valve_size,ss_mov_cost_cl,IF(ss_cat="large",4,5)))</f>
        <v>NA</v>
      </c>
      <c r="L106" s="411"/>
      <c r="M106" s="34" t="str">
        <f t="shared" si="40"/>
        <v>Motor/Air Operated (on/off) Valves - Residuals - Stainless Steel</v>
      </c>
      <c r="N106" s="530">
        <f t="shared" si="41"/>
        <v>3</v>
      </c>
      <c r="O106" s="530">
        <f t="shared" si="42"/>
        <v>3</v>
      </c>
      <c r="P106" s="530">
        <f t="shared" si="43"/>
        <v>1</v>
      </c>
      <c r="Q106" s="530">
        <f t="shared" si="44"/>
        <v>3</v>
      </c>
      <c r="R106" s="530">
        <f t="shared" si="45"/>
        <v>3</v>
      </c>
      <c r="S106" s="530">
        <f t="shared" si="46"/>
        <v>1</v>
      </c>
      <c r="T106" s="530">
        <f t="shared" si="47"/>
        <v>3</v>
      </c>
      <c r="U106" s="530">
        <f t="shared" si="48"/>
        <v>3</v>
      </c>
      <c r="V106" s="530">
        <f t="shared" si="49"/>
        <v>1</v>
      </c>
      <c r="W106" s="573">
        <v>0</v>
      </c>
      <c r="X106">
        <v>3</v>
      </c>
      <c r="Y106">
        <v>3</v>
      </c>
      <c r="Z106">
        <v>1</v>
      </c>
      <c r="AA106">
        <v>3</v>
      </c>
      <c r="AB106">
        <v>3</v>
      </c>
      <c r="AC106">
        <v>1</v>
      </c>
      <c r="AD106">
        <v>3</v>
      </c>
      <c r="AE106">
        <v>3</v>
      </c>
      <c r="AF106">
        <v>1</v>
      </c>
      <c r="AG106" s="537">
        <f t="shared" si="37"/>
        <v>0</v>
      </c>
      <c r="AH106" s="537">
        <f t="shared" si="38"/>
        <v>0</v>
      </c>
    </row>
    <row r="107" spans="1:38" customFormat="1">
      <c r="A107" s="399" t="s">
        <v>655</v>
      </c>
      <c r="B107" s="189" t="s">
        <v>2715</v>
      </c>
      <c r="C107" s="392">
        <f>total_res_MOVs</f>
        <v>0</v>
      </c>
      <c r="D107" s="392" t="s">
        <v>2305</v>
      </c>
      <c r="E107" s="402" t="str">
        <f>IF(C107=0,"NA",res_valve_size)</f>
        <v>NA</v>
      </c>
      <c r="F107" s="189" t="str">
        <f t="shared" si="50"/>
        <v/>
      </c>
      <c r="G107" s="402" t="str">
        <f>IF(C107=0,"NA",IF(curve=1,res_valve_size,VLOOKUP(res_valve_size,ci_mov_cost_cl,2)))</f>
        <v>NA</v>
      </c>
      <c r="H107" s="189" t="str">
        <f t="shared" si="51"/>
        <v/>
      </c>
      <c r="I107" s="401" t="str">
        <f>IF(C107=0,"NA",IF(curve=1,ci_mov_eq_res,VLOOKUP(res_valve_size,ci_mov_cost_cl,3)))</f>
        <v>NA</v>
      </c>
      <c r="J107" s="396" t="str">
        <f t="shared" si="52"/>
        <v>--</v>
      </c>
      <c r="K107" s="402" t="str">
        <f>IF(C107=0,"NA",VLOOKUP(res_valve_size,ci_mov_cost_cl,IF(ss_cat="large",4,5)))</f>
        <v>NA</v>
      </c>
      <c r="L107" s="411"/>
      <c r="M107" s="34" t="str">
        <f t="shared" si="40"/>
        <v>Motor/Air Operated (on/off) Valves - Residuals - Cast Iron</v>
      </c>
      <c r="N107" s="530">
        <f t="shared" si="41"/>
        <v>2</v>
      </c>
      <c r="O107" s="530">
        <f t="shared" si="42"/>
        <v>1</v>
      </c>
      <c r="P107" s="530">
        <f t="shared" si="43"/>
        <v>2</v>
      </c>
      <c r="Q107" s="530">
        <f t="shared" si="44"/>
        <v>2</v>
      </c>
      <c r="R107" s="530">
        <f t="shared" si="45"/>
        <v>1</v>
      </c>
      <c r="S107" s="530">
        <f t="shared" si="46"/>
        <v>2</v>
      </c>
      <c r="T107" s="530">
        <f t="shared" si="47"/>
        <v>2</v>
      </c>
      <c r="U107" s="530">
        <f t="shared" si="48"/>
        <v>1</v>
      </c>
      <c r="V107" s="530">
        <f t="shared" si="49"/>
        <v>2</v>
      </c>
      <c r="W107" s="573">
        <v>0</v>
      </c>
      <c r="X107">
        <v>2</v>
      </c>
      <c r="Y107">
        <v>1</v>
      </c>
      <c r="Z107">
        <v>2</v>
      </c>
      <c r="AA107">
        <v>2</v>
      </c>
      <c r="AB107">
        <v>1</v>
      </c>
      <c r="AC107">
        <v>2</v>
      </c>
      <c r="AD107">
        <v>2</v>
      </c>
      <c r="AE107">
        <v>1</v>
      </c>
      <c r="AF107">
        <v>2</v>
      </c>
      <c r="AG107" s="537">
        <f t="shared" si="37"/>
        <v>0</v>
      </c>
      <c r="AH107" s="537">
        <f t="shared" si="38"/>
        <v>0</v>
      </c>
    </row>
    <row r="108" spans="1:38" s="650" customFormat="1">
      <c r="A108" s="399" t="s">
        <v>656</v>
      </c>
      <c r="B108" s="189" t="s">
        <v>2416</v>
      </c>
      <c r="C108" s="392">
        <f>tot_polymer_MOVs</f>
        <v>0</v>
      </c>
      <c r="D108" s="1" t="s">
        <v>2305</v>
      </c>
      <c r="E108" s="402" t="str">
        <f>IF(C108=0,"NA",polymer_valve_size)</f>
        <v>NA</v>
      </c>
      <c r="F108" s="189" t="str">
        <f t="shared" si="50"/>
        <v/>
      </c>
      <c r="G108" s="402" t="str">
        <f>IF(C108=0,"NA",IF(curve=1,polymer_valve_size,VLOOKUP(polymer_valve_size,pp_mov_cost_cl,2)))</f>
        <v>NA</v>
      </c>
      <c r="H108" s="623" t="str">
        <f t="shared" si="51"/>
        <v/>
      </c>
      <c r="I108" s="401" t="str">
        <f>IF(C108=0,"NA",IF(curve=1,pp_mov_eq_polymer,VLOOKUP(polymer_valve_size,pp_mov_cost_cl,3)))</f>
        <v>NA</v>
      </c>
      <c r="J108" s="396" t="str">
        <f t="shared" si="52"/>
        <v>--</v>
      </c>
      <c r="K108" s="642" t="str">
        <f>IF(C108=0,"NA",VLOOKUP(polymer_valve_size,pp_mov_cost_cl,IF(ss_cat="large",4,5)))</f>
        <v>NA</v>
      </c>
      <c r="L108" s="411"/>
      <c r="M108" s="34" t="str">
        <f t="shared" si="40"/>
        <v>Motor/Air Operated (on/off) Valves - Polymer- Polypropylene/PVC</v>
      </c>
      <c r="N108" s="530">
        <f t="shared" ref="N108:V110" si="53">IF(retrofit=1,$W108*X108,IF(ISBLANK(X108),"",X108))</f>
        <v>1</v>
      </c>
      <c r="O108" s="530">
        <f t="shared" si="53"/>
        <v>2</v>
      </c>
      <c r="P108" s="530">
        <f t="shared" si="53"/>
        <v>3</v>
      </c>
      <c r="Q108" s="530">
        <f t="shared" si="53"/>
        <v>1</v>
      </c>
      <c r="R108" s="530">
        <f t="shared" si="53"/>
        <v>2</v>
      </c>
      <c r="S108" s="530">
        <f t="shared" si="53"/>
        <v>3</v>
      </c>
      <c r="T108" s="530">
        <f t="shared" si="53"/>
        <v>1</v>
      </c>
      <c r="U108" s="530">
        <f t="shared" si="53"/>
        <v>2</v>
      </c>
      <c r="V108" s="530">
        <f t="shared" si="53"/>
        <v>3</v>
      </c>
      <c r="W108" s="573">
        <v>0</v>
      </c>
      <c r="X108" s="8">
        <v>1</v>
      </c>
      <c r="Y108" s="8">
        <v>2</v>
      </c>
      <c r="Z108" s="8">
        <v>3</v>
      </c>
      <c r="AA108" s="8">
        <v>1</v>
      </c>
      <c r="AB108" s="8">
        <v>2</v>
      </c>
      <c r="AC108" s="8">
        <v>3</v>
      </c>
      <c r="AD108" s="8">
        <v>1</v>
      </c>
      <c r="AE108" s="8">
        <v>2</v>
      </c>
      <c r="AF108" s="8">
        <v>3</v>
      </c>
      <c r="AG108">
        <f t="shared" si="37"/>
        <v>0</v>
      </c>
      <c r="AH108">
        <f t="shared" si="38"/>
        <v>0</v>
      </c>
      <c r="AI108" s="105"/>
      <c r="AJ108" s="105"/>
      <c r="AL108" s="105"/>
    </row>
    <row r="109" spans="1:38" s="650" customFormat="1">
      <c r="A109" s="399" t="s">
        <v>656</v>
      </c>
      <c r="B109" s="189" t="s">
        <v>2417</v>
      </c>
      <c r="C109" s="392">
        <f>tot_polymer_MOVs</f>
        <v>0</v>
      </c>
      <c r="D109" s="1" t="s">
        <v>2305</v>
      </c>
      <c r="E109" s="402" t="str">
        <f>IF(C109=0,"NA",polymer_valve_size)</f>
        <v>NA</v>
      </c>
      <c r="F109" s="189" t="str">
        <f t="shared" si="50"/>
        <v/>
      </c>
      <c r="G109" s="402" t="str">
        <f>IF(C109=0,"NA",IF(curve=1,polymer_valve_size,VLOOKUP(polymer_valve_size,ss_mov_cost_cl,2)))</f>
        <v>NA</v>
      </c>
      <c r="H109" s="623" t="str">
        <f t="shared" si="51"/>
        <v/>
      </c>
      <c r="I109" s="401" t="str">
        <f>IF(C109=0,"NA",IF(curve=1,ss_mov_eq_polymer,VLOOKUP(polymer_valve_size,ss_mov_cost_cl,3)))</f>
        <v>NA</v>
      </c>
      <c r="J109" s="396" t="str">
        <f t="shared" si="52"/>
        <v>--</v>
      </c>
      <c r="K109" s="642" t="str">
        <f>IF(C109=0,"NA",VLOOKUP(polymer_valve_size,ss_mov_cost_cl,IF(ss_cat="large",4,5)))</f>
        <v>NA</v>
      </c>
      <c r="L109" s="411"/>
      <c r="M109" s="34" t="str">
        <f t="shared" si="40"/>
        <v>Motor/Air Operated (on/off) Valves - Polymer- Stainless Steel</v>
      </c>
      <c r="N109" s="530">
        <f t="shared" si="53"/>
        <v>3</v>
      </c>
      <c r="O109" s="530">
        <f t="shared" si="53"/>
        <v>3</v>
      </c>
      <c r="P109" s="530">
        <f t="shared" si="53"/>
        <v>1</v>
      </c>
      <c r="Q109" s="530">
        <f t="shared" si="53"/>
        <v>3</v>
      </c>
      <c r="R109" s="530">
        <f t="shared" si="53"/>
        <v>3</v>
      </c>
      <c r="S109" s="530">
        <f t="shared" si="53"/>
        <v>1</v>
      </c>
      <c r="T109" s="530">
        <f t="shared" si="53"/>
        <v>3</v>
      </c>
      <c r="U109" s="530">
        <f t="shared" si="53"/>
        <v>3</v>
      </c>
      <c r="V109" s="530">
        <f t="shared" si="53"/>
        <v>1</v>
      </c>
      <c r="W109" s="573">
        <v>0</v>
      </c>
      <c r="X109" s="8">
        <v>3</v>
      </c>
      <c r="Y109" s="8">
        <v>3</v>
      </c>
      <c r="Z109" s="8">
        <v>1</v>
      </c>
      <c r="AA109" s="8">
        <v>3</v>
      </c>
      <c r="AB109" s="8">
        <v>3</v>
      </c>
      <c r="AC109" s="8">
        <v>1</v>
      </c>
      <c r="AD109" s="8">
        <v>3</v>
      </c>
      <c r="AE109" s="8">
        <v>3</v>
      </c>
      <c r="AF109" s="8">
        <v>1</v>
      </c>
      <c r="AG109">
        <f t="shared" si="37"/>
        <v>0</v>
      </c>
      <c r="AH109">
        <f t="shared" si="38"/>
        <v>0</v>
      </c>
      <c r="AI109" s="105"/>
      <c r="AJ109" s="105"/>
      <c r="AL109" s="105"/>
    </row>
    <row r="110" spans="1:38" s="650" customFormat="1">
      <c r="A110" s="399" t="s">
        <v>656</v>
      </c>
      <c r="B110" s="189" t="s">
        <v>2418</v>
      </c>
      <c r="C110" s="392">
        <f>tot_polymer_MOVs</f>
        <v>0</v>
      </c>
      <c r="D110" s="1" t="s">
        <v>2305</v>
      </c>
      <c r="E110" s="402" t="str">
        <f>IF(C110=0,"NA",polymer_valve_size)</f>
        <v>NA</v>
      </c>
      <c r="F110" s="189" t="str">
        <f t="shared" si="50"/>
        <v/>
      </c>
      <c r="G110" s="402" t="str">
        <f>IF(C110=0,"NA",IF(curve=1,polymer_valve_size,VLOOKUP(polymer_valve_size,ci_mov_cost_cl,2)))</f>
        <v>NA</v>
      </c>
      <c r="H110" s="623" t="str">
        <f t="shared" si="51"/>
        <v/>
      </c>
      <c r="I110" s="401" t="str">
        <f>IF(C110=0,"NA",IF(curve=1,ci_mov_eq_polymer,VLOOKUP(polymer_valve_size,ci_mov_cost_cl,3)))</f>
        <v>NA</v>
      </c>
      <c r="J110" s="396" t="str">
        <f t="shared" si="52"/>
        <v>--</v>
      </c>
      <c r="K110" s="642" t="str">
        <f>IF(C110=0,"NA",VLOOKUP(polymer_valve_size,ci_mov_cost_cl,IF(ss_cat="large",4,5)))</f>
        <v>NA</v>
      </c>
      <c r="L110" s="411"/>
      <c r="M110" s="34" t="str">
        <f t="shared" si="40"/>
        <v>Motor/Air Operated (on/off) Valves - Polymer- Cast Iron</v>
      </c>
      <c r="N110" s="530">
        <f t="shared" si="53"/>
        <v>2</v>
      </c>
      <c r="O110" s="530">
        <f t="shared" si="53"/>
        <v>1</v>
      </c>
      <c r="P110" s="530">
        <f t="shared" si="53"/>
        <v>2</v>
      </c>
      <c r="Q110" s="530">
        <f t="shared" si="53"/>
        <v>2</v>
      </c>
      <c r="R110" s="530">
        <f t="shared" si="53"/>
        <v>1</v>
      </c>
      <c r="S110" s="530">
        <f t="shared" si="53"/>
        <v>2</v>
      </c>
      <c r="T110" s="530">
        <f t="shared" si="53"/>
        <v>2</v>
      </c>
      <c r="U110" s="530">
        <f t="shared" si="53"/>
        <v>1</v>
      </c>
      <c r="V110" s="530">
        <f t="shared" si="53"/>
        <v>2</v>
      </c>
      <c r="W110" s="573">
        <v>0</v>
      </c>
      <c r="X110" s="8">
        <v>2</v>
      </c>
      <c r="Y110" s="8">
        <v>1</v>
      </c>
      <c r="Z110" s="8">
        <v>2</v>
      </c>
      <c r="AA110" s="8">
        <v>2</v>
      </c>
      <c r="AB110" s="8">
        <v>1</v>
      </c>
      <c r="AC110" s="8">
        <v>2</v>
      </c>
      <c r="AD110" s="8">
        <v>2</v>
      </c>
      <c r="AE110" s="8">
        <v>1</v>
      </c>
      <c r="AF110" s="8">
        <v>2</v>
      </c>
      <c r="AG110">
        <f t="shared" si="37"/>
        <v>0</v>
      </c>
      <c r="AH110">
        <f t="shared" si="38"/>
        <v>0</v>
      </c>
      <c r="AI110" s="105"/>
      <c r="AJ110" s="105"/>
      <c r="AL110" s="105"/>
    </row>
    <row r="111" spans="1:38" customFormat="1">
      <c r="A111" s="399" t="s">
        <v>2420</v>
      </c>
      <c r="B111" s="413" t="s">
        <v>254</v>
      </c>
      <c r="C111" s="392">
        <f>IF(bp_pct&gt;0,tot_bp_MOVs,0)</f>
        <v>0</v>
      </c>
      <c r="D111" s="392" t="s">
        <v>2305</v>
      </c>
      <c r="E111" s="402" t="str">
        <f>IF(bp_pct=0,"NA",bypass_valve_size)</f>
        <v>NA</v>
      </c>
      <c r="F111" s="189" t="str">
        <f>IF(bp_pct=0," ","in. diam")</f>
        <v xml:space="preserve"> </v>
      </c>
      <c r="G111" s="402" t="str">
        <f>IF(bp_pct=0,"NA",(IF(curve=1,bypass_valve_size,VLOOKUP(bypass_valve_size,pp_mov_cost_cl,2))))</f>
        <v>NA</v>
      </c>
      <c r="H111" s="189" t="str">
        <f>IF(bp_pct=0," ","in. diam")</f>
        <v xml:space="preserve"> </v>
      </c>
      <c r="I111" s="402" t="str">
        <f>IF(bp_pct=0,"NA",(IF(curve=1,pp_mov_eq_bp,VLOOKUP(bypass_valve_size,pp_mov_cost_cl,3))))</f>
        <v>NA</v>
      </c>
      <c r="J111" s="396" t="str">
        <f t="shared" si="52"/>
        <v>--</v>
      </c>
      <c r="K111" s="402" t="str">
        <f>IF(C111=0,"NA",VLOOKUP(E111,pp_mov_cost_cl,IF(ss_cat="large",4,5)))</f>
        <v>NA</v>
      </c>
      <c r="L111" s="411"/>
      <c r="M111" s="34" t="str">
        <f t="shared" si="40"/>
        <v>Motor/Air Operated (on/off) Valves - Bypass - Polypropylene/PVC</v>
      </c>
      <c r="N111" s="530">
        <f t="shared" si="41"/>
        <v>1</v>
      </c>
      <c r="O111" s="530">
        <f t="shared" si="42"/>
        <v>2</v>
      </c>
      <c r="P111" s="530">
        <f t="shared" si="43"/>
        <v>3</v>
      </c>
      <c r="Q111" s="530">
        <f t="shared" si="44"/>
        <v>1</v>
      </c>
      <c r="R111" s="530">
        <f t="shared" si="45"/>
        <v>2</v>
      </c>
      <c r="S111" s="530">
        <f t="shared" si="46"/>
        <v>3</v>
      </c>
      <c r="T111" s="530">
        <f t="shared" si="47"/>
        <v>1</v>
      </c>
      <c r="U111" s="530">
        <f t="shared" si="48"/>
        <v>2</v>
      </c>
      <c r="V111" s="530">
        <f t="shared" si="49"/>
        <v>3</v>
      </c>
      <c r="W111" s="573">
        <v>0</v>
      </c>
      <c r="X111">
        <v>1</v>
      </c>
      <c r="Y111">
        <v>2</v>
      </c>
      <c r="Z111">
        <v>3</v>
      </c>
      <c r="AA111">
        <v>1</v>
      </c>
      <c r="AB111">
        <v>2</v>
      </c>
      <c r="AC111">
        <v>3</v>
      </c>
      <c r="AD111">
        <v>1</v>
      </c>
      <c r="AE111">
        <v>2</v>
      </c>
      <c r="AF111">
        <v>3</v>
      </c>
      <c r="AG111" s="537">
        <f t="shared" si="37"/>
        <v>0</v>
      </c>
      <c r="AH111" s="537">
        <f t="shared" si="38"/>
        <v>0</v>
      </c>
    </row>
    <row r="112" spans="1:38" customFormat="1">
      <c r="A112" s="399" t="s">
        <v>2420</v>
      </c>
      <c r="B112" s="413" t="s">
        <v>255</v>
      </c>
      <c r="C112" s="392">
        <f>IF(bp_pct&gt;0,tot_bp_MOVs,0)</f>
        <v>0</v>
      </c>
      <c r="D112" s="392" t="s">
        <v>2305</v>
      </c>
      <c r="E112" s="402" t="str">
        <f>IF(bp_pct=0,"NA",bypass_valve_size)</f>
        <v>NA</v>
      </c>
      <c r="F112" s="189" t="str">
        <f>IF(bp_pct=0," ","in. diam")</f>
        <v xml:space="preserve"> </v>
      </c>
      <c r="G112" s="402" t="str">
        <f>IF(bp_pct=0,"NA",(IF(curve=1,bypass_valve_size,VLOOKUP(bypass_valve_size,ss_mov_cost_cl,2))))</f>
        <v>NA</v>
      </c>
      <c r="H112" s="189" t="str">
        <f>IF(bp_pct=0," ","in. diam")</f>
        <v xml:space="preserve"> </v>
      </c>
      <c r="I112" s="402" t="str">
        <f>IF(bp_pct=0,"NA",(IF(curve=1,ss_mov_eq_bp,VLOOKUP(bypass_valve_size,ss_mov_cost_cl,3))))</f>
        <v>NA</v>
      </c>
      <c r="J112" s="396" t="str">
        <f t="shared" si="52"/>
        <v>--</v>
      </c>
      <c r="K112" s="402" t="str">
        <f>IF(C112=0,"NA",VLOOKUP(E112,ss_mov_cost_cl,IF(ss_cat="large",4,5)))</f>
        <v>NA</v>
      </c>
      <c r="L112" s="411"/>
      <c r="M112" s="34" t="str">
        <f t="shared" si="40"/>
        <v>Motor/Air Operated (on/off) Valves - Bypass - Stainless Steel</v>
      </c>
      <c r="N112" s="530">
        <f t="shared" si="41"/>
        <v>3</v>
      </c>
      <c r="O112" s="530">
        <f t="shared" si="42"/>
        <v>3</v>
      </c>
      <c r="P112" s="530">
        <f t="shared" si="43"/>
        <v>1</v>
      </c>
      <c r="Q112" s="530">
        <f t="shared" si="44"/>
        <v>3</v>
      </c>
      <c r="R112" s="530">
        <f t="shared" si="45"/>
        <v>3</v>
      </c>
      <c r="S112" s="530">
        <f t="shared" si="46"/>
        <v>1</v>
      </c>
      <c r="T112" s="530">
        <f t="shared" si="47"/>
        <v>3</v>
      </c>
      <c r="U112" s="530">
        <f t="shared" si="48"/>
        <v>3</v>
      </c>
      <c r="V112" s="530">
        <f t="shared" si="49"/>
        <v>1</v>
      </c>
      <c r="W112" s="573">
        <v>0</v>
      </c>
      <c r="X112">
        <v>3</v>
      </c>
      <c r="Y112">
        <v>3</v>
      </c>
      <c r="Z112">
        <v>1</v>
      </c>
      <c r="AA112">
        <v>3</v>
      </c>
      <c r="AB112">
        <v>3</v>
      </c>
      <c r="AC112">
        <v>1</v>
      </c>
      <c r="AD112">
        <v>3</v>
      </c>
      <c r="AE112">
        <v>3</v>
      </c>
      <c r="AF112">
        <v>1</v>
      </c>
      <c r="AG112" s="537">
        <f t="shared" si="37"/>
        <v>0</v>
      </c>
      <c r="AH112" s="537">
        <f t="shared" si="38"/>
        <v>0</v>
      </c>
    </row>
    <row r="113" spans="1:38" customFormat="1">
      <c r="A113" s="399" t="s">
        <v>2420</v>
      </c>
      <c r="B113" s="413" t="s">
        <v>256</v>
      </c>
      <c r="C113" s="392">
        <f>IF(bp_pct&gt;0,tot_bp_MOVs,0)</f>
        <v>0</v>
      </c>
      <c r="D113" s="392" t="s">
        <v>2305</v>
      </c>
      <c r="E113" s="402" t="str">
        <f>IF(bp_pct=0,"NA",bypass_valve_size)</f>
        <v>NA</v>
      </c>
      <c r="F113" s="189" t="str">
        <f>IF(bp_pct=0," ","in. diam")</f>
        <v xml:space="preserve"> </v>
      </c>
      <c r="G113" s="402" t="str">
        <f>IF(bp_pct=0,"NA",(IF(curve=1,bypass_valve_size,VLOOKUP(bypass_valve_size,ci_mov_cost_cl,2))))</f>
        <v>NA</v>
      </c>
      <c r="H113" s="189" t="str">
        <f>IF(bp_pct=0," ","in. diam")</f>
        <v xml:space="preserve"> </v>
      </c>
      <c r="I113" s="402" t="str">
        <f>IF(bp_pct=0,"NA",(IF(curve=1,ci_mov_eq_bp,VLOOKUP(bypass_valve_size,ci_mov_cost_cl,3))))</f>
        <v>NA</v>
      </c>
      <c r="J113" s="396" t="str">
        <f t="shared" si="52"/>
        <v>--</v>
      </c>
      <c r="K113" s="402" t="str">
        <f>IF(C113=0,"NA",VLOOKUP(E113,ci_mov_cost_cl,IF(ss_cat="large",4,5)))</f>
        <v>NA</v>
      </c>
      <c r="L113" s="411"/>
      <c r="M113" s="34" t="str">
        <f t="shared" si="40"/>
        <v>Motor/Air Operated (on/off) Valves - Bypass - Cast Iron</v>
      </c>
      <c r="N113" s="530">
        <f t="shared" si="41"/>
        <v>2</v>
      </c>
      <c r="O113" s="530">
        <f t="shared" si="42"/>
        <v>1</v>
      </c>
      <c r="P113" s="530">
        <f t="shared" si="43"/>
        <v>2</v>
      </c>
      <c r="Q113" s="530">
        <f t="shared" si="44"/>
        <v>2</v>
      </c>
      <c r="R113" s="530">
        <f t="shared" si="45"/>
        <v>1</v>
      </c>
      <c r="S113" s="530">
        <f t="shared" si="46"/>
        <v>2</v>
      </c>
      <c r="T113" s="530">
        <f t="shared" si="47"/>
        <v>2</v>
      </c>
      <c r="U113" s="530">
        <f t="shared" si="48"/>
        <v>1</v>
      </c>
      <c r="V113" s="530">
        <f t="shared" si="49"/>
        <v>2</v>
      </c>
      <c r="W113" s="573">
        <v>0</v>
      </c>
      <c r="X113">
        <v>2</v>
      </c>
      <c r="Y113">
        <v>1</v>
      </c>
      <c r="Z113">
        <v>2</v>
      </c>
      <c r="AA113">
        <v>2</v>
      </c>
      <c r="AB113">
        <v>1</v>
      </c>
      <c r="AC113">
        <v>2</v>
      </c>
      <c r="AD113">
        <v>2</v>
      </c>
      <c r="AE113">
        <v>1</v>
      </c>
      <c r="AF113">
        <v>2</v>
      </c>
      <c r="AG113" s="537">
        <f t="shared" si="37"/>
        <v>0</v>
      </c>
      <c r="AH113" s="537">
        <f t="shared" si="38"/>
        <v>0</v>
      </c>
    </row>
    <row r="114" spans="1:38" customFormat="1">
      <c r="A114" s="493" t="s">
        <v>883</v>
      </c>
      <c r="B114" s="239" t="s">
        <v>1639</v>
      </c>
      <c r="C114" s="216"/>
      <c r="D114" s="864"/>
      <c r="E114" s="216"/>
      <c r="F114" s="865"/>
      <c r="G114" s="216"/>
      <c r="H114" s="865"/>
      <c r="I114" s="216"/>
      <c r="J114" s="216"/>
      <c r="K114" s="216"/>
      <c r="L114" s="246"/>
      <c r="M114" s="34"/>
      <c r="AG114" s="537">
        <f t="shared" si="37"/>
        <v>0</v>
      </c>
      <c r="AH114" s="537">
        <f t="shared" si="38"/>
        <v>0</v>
      </c>
    </row>
    <row r="115" spans="1:38" customFormat="1">
      <c r="A115" s="399" t="s">
        <v>884</v>
      </c>
      <c r="B115" s="400" t="s">
        <v>739</v>
      </c>
      <c r="C115" s="392">
        <f>tot_in_man</f>
        <v>0</v>
      </c>
      <c r="D115" s="392" t="s">
        <v>2305</v>
      </c>
      <c r="E115" s="402" t="str">
        <f>IF(C115=0,"NA",in_valve_size)</f>
        <v>NA</v>
      </c>
      <c r="F115" s="189" t="str">
        <f>IF(C115=0,"","in. diam")</f>
        <v/>
      </c>
      <c r="G115" s="402" t="str">
        <f>IF(C115=0,"NA",IF(curve=1,in_valve_size,VLOOKUP(in_valve_size,pp_man_cost_cl,2)))</f>
        <v>NA</v>
      </c>
      <c r="H115" s="189" t="str">
        <f>IF(C115=0,"","in. diam")</f>
        <v/>
      </c>
      <c r="I115" s="401" t="str">
        <f>IF(C115=0,"NA",IF(curve=1,pp_man_eq,VLOOKUP(in_valve_size,pp_man_cost_cl,3)))</f>
        <v>NA</v>
      </c>
      <c r="J115" s="398" t="str">
        <f>IF(OR(C115=0,I115="contact vendor"),"--",C115*I115)</f>
        <v>--</v>
      </c>
      <c r="K115" s="402" t="str">
        <f>IF(C115=0,"NA",VLOOKUP(in_valve_size,pp_man_cost_cl,IF(ss_cat="large",4,5)))</f>
        <v>NA</v>
      </c>
      <c r="L115" s="403"/>
      <c r="M115" s="34" t="str">
        <f t="shared" ref="M115:M120" si="54">$B$114&amp;" "&amp;$B$97&amp;" - "&amp;B115</f>
        <v>Manual Valves - Inlet and outlet - Polypropylene/PVC</v>
      </c>
      <c r="N115" s="530">
        <f t="shared" ref="N115:N132" si="55">IF(retrofit=1,$W115*X115,IF(ISBLANK(X115),"",X115))</f>
        <v>1</v>
      </c>
      <c r="O115" s="530">
        <f t="shared" ref="O115:O132" si="56">IF(retrofit=1,$W115*Y115,IF(ISBLANK(Y115),"",Y115))</f>
        <v>2</v>
      </c>
      <c r="P115" s="530">
        <f t="shared" ref="P115:P132" si="57">IF(retrofit=1,$W115*Z115,IF(ISBLANK(Z115),"",Z115))</f>
        <v>3</v>
      </c>
      <c r="Q115" s="530">
        <f t="shared" ref="Q115:Q132" si="58">IF(retrofit=1,$W115*AA115,IF(ISBLANK(AA115),"",AA115))</f>
        <v>1</v>
      </c>
      <c r="R115" s="530">
        <f t="shared" ref="R115:R132" si="59">IF(retrofit=1,$W115*AB115,IF(ISBLANK(AB115),"",AB115))</f>
        <v>2</v>
      </c>
      <c r="S115" s="530">
        <f t="shared" ref="S115:S132" si="60">IF(retrofit=1,$W115*AC115,IF(ISBLANK(AC115),"",AC115))</f>
        <v>3</v>
      </c>
      <c r="T115" s="530">
        <f t="shared" ref="T115:T132" si="61">IF(retrofit=1,$W115*AD115,IF(ISBLANK(AD115),"",AD115))</f>
        <v>1</v>
      </c>
      <c r="U115" s="530">
        <f t="shared" ref="U115:U132" si="62">IF(retrofit=1,$W115*AE115,IF(ISBLANK(AE115),"",AE115))</f>
        <v>2</v>
      </c>
      <c r="V115" s="530">
        <f t="shared" ref="V115:V132" si="63">IF(retrofit=1,$W115*AF115,IF(ISBLANK(AF115),"",AF115))</f>
        <v>3</v>
      </c>
      <c r="W115" s="573">
        <v>0</v>
      </c>
      <c r="X115">
        <v>1</v>
      </c>
      <c r="Y115">
        <v>2</v>
      </c>
      <c r="Z115">
        <v>3</v>
      </c>
      <c r="AA115">
        <v>1</v>
      </c>
      <c r="AB115">
        <v>2</v>
      </c>
      <c r="AC115">
        <v>3</v>
      </c>
      <c r="AD115">
        <v>1</v>
      </c>
      <c r="AE115">
        <v>2</v>
      </c>
      <c r="AF115">
        <v>3</v>
      </c>
      <c r="AG115" s="537">
        <f t="shared" si="37"/>
        <v>0</v>
      </c>
      <c r="AH115" s="537">
        <f t="shared" si="38"/>
        <v>0</v>
      </c>
    </row>
    <row r="116" spans="1:38" customFormat="1">
      <c r="A116" s="399" t="s">
        <v>884</v>
      </c>
      <c r="B116" s="189" t="s">
        <v>740</v>
      </c>
      <c r="C116" s="392">
        <f>tot_in_man</f>
        <v>0</v>
      </c>
      <c r="D116" s="392" t="s">
        <v>2305</v>
      </c>
      <c r="E116" s="402" t="str">
        <f>IF(C116=0,"NA",in_valve_size)</f>
        <v>NA</v>
      </c>
      <c r="F116" s="189" t="str">
        <f>IF(C116=0,"","in. diam")</f>
        <v/>
      </c>
      <c r="G116" s="402" t="str">
        <f>IF(C116=0,"NA",IF(curve=1,in_valve_size,VLOOKUP(in_valve_size,ss_man_cost_cl,2)))</f>
        <v>NA</v>
      </c>
      <c r="H116" s="189" t="str">
        <f>IF(C116=0,"","in. diam")</f>
        <v/>
      </c>
      <c r="I116" s="401" t="str">
        <f>IF(C116=0,"NA",IF(curve=1,ss_man_eq,VLOOKUP(in_valve_size,ss_man_cost_cl,3)))</f>
        <v>NA</v>
      </c>
      <c r="J116" s="398" t="str">
        <f>IF(OR(C116=0,I116="contact vendor"),"--",C116*I116)</f>
        <v>--</v>
      </c>
      <c r="K116" s="402" t="str">
        <f>IF(C116=0,"NA",VLOOKUP(in_valve_size,ss_man_cost_cl,IF(ss_cat="large",4,5)))</f>
        <v>NA</v>
      </c>
      <c r="L116" s="397"/>
      <c r="M116" s="34" t="str">
        <f t="shared" si="54"/>
        <v>Manual Valves - Inlet and outlet - Stainless Steel</v>
      </c>
      <c r="N116" s="530">
        <f t="shared" si="55"/>
        <v>3</v>
      </c>
      <c r="O116" s="530">
        <f t="shared" si="56"/>
        <v>3</v>
      </c>
      <c r="P116" s="530">
        <f t="shared" si="57"/>
        <v>1</v>
      </c>
      <c r="Q116" s="530">
        <f t="shared" si="58"/>
        <v>3</v>
      </c>
      <c r="R116" s="530">
        <f t="shared" si="59"/>
        <v>3</v>
      </c>
      <c r="S116" s="530">
        <f t="shared" si="60"/>
        <v>1</v>
      </c>
      <c r="T116" s="530">
        <f t="shared" si="61"/>
        <v>3</v>
      </c>
      <c r="U116" s="530">
        <f t="shared" si="62"/>
        <v>3</v>
      </c>
      <c r="V116" s="530">
        <f t="shared" si="63"/>
        <v>1</v>
      </c>
      <c r="W116" s="573">
        <v>0</v>
      </c>
      <c r="X116">
        <v>3</v>
      </c>
      <c r="Y116">
        <v>3</v>
      </c>
      <c r="Z116">
        <v>1</v>
      </c>
      <c r="AA116">
        <v>3</v>
      </c>
      <c r="AB116">
        <v>3</v>
      </c>
      <c r="AC116">
        <v>1</v>
      </c>
      <c r="AD116">
        <v>3</v>
      </c>
      <c r="AE116">
        <v>3</v>
      </c>
      <c r="AF116">
        <v>1</v>
      </c>
      <c r="AG116" s="537">
        <f t="shared" si="37"/>
        <v>0</v>
      </c>
      <c r="AH116" s="537">
        <f t="shared" si="38"/>
        <v>0</v>
      </c>
    </row>
    <row r="117" spans="1:38" customFormat="1">
      <c r="A117" s="399" t="s">
        <v>884</v>
      </c>
      <c r="B117" s="400" t="s">
        <v>741</v>
      </c>
      <c r="C117" s="392">
        <f>tot_in_man</f>
        <v>0</v>
      </c>
      <c r="D117" s="413" t="s">
        <v>2305</v>
      </c>
      <c r="E117" s="402" t="str">
        <f>IF(C117=0,"NA",in_valve_size)</f>
        <v>NA</v>
      </c>
      <c r="F117" s="189" t="str">
        <f>IF(C117=0,"","in. diam")</f>
        <v/>
      </c>
      <c r="G117" s="415" t="str">
        <f>IF(C117=0,"NA",IF(curve=1,in_valve_size,VLOOKUP(in_valve_size,ci_bfv_cost_cl,2)))</f>
        <v>NA</v>
      </c>
      <c r="H117" s="189" t="str">
        <f>IF(C117=0,"","in. diam")</f>
        <v/>
      </c>
      <c r="I117" s="416" t="str">
        <f>IF(C117=0,"NA",IF(curve=1,ci_bfv_eq,VLOOKUP(in_valve_size,ci_bfv_cost_cl,3)))</f>
        <v>NA</v>
      </c>
      <c r="J117" s="398" t="str">
        <f>IF(OR(C117=0,I117="contact vendor"),"--",C117*I117)</f>
        <v>--</v>
      </c>
      <c r="K117" s="402" t="str">
        <f>IF(C117=0,"NA",VLOOKUP(in_valve_size,ci_bfv_cost_cl,IF(ss_cat="large",4,5)))</f>
        <v>NA</v>
      </c>
      <c r="L117" s="397"/>
      <c r="M117" s="34" t="str">
        <f t="shared" si="54"/>
        <v>Manual Valves - Inlet and outlet - Cast Iron</v>
      </c>
      <c r="N117" s="530">
        <f t="shared" si="55"/>
        <v>2</v>
      </c>
      <c r="O117" s="530">
        <f t="shared" si="56"/>
        <v>1</v>
      </c>
      <c r="P117" s="530">
        <f t="shared" si="57"/>
        <v>2</v>
      </c>
      <c r="Q117" s="530">
        <f t="shared" si="58"/>
        <v>2</v>
      </c>
      <c r="R117" s="530">
        <f t="shared" si="59"/>
        <v>1</v>
      </c>
      <c r="S117" s="530">
        <f t="shared" si="60"/>
        <v>2</v>
      </c>
      <c r="T117" s="530">
        <f t="shared" si="61"/>
        <v>2</v>
      </c>
      <c r="U117" s="530">
        <f t="shared" si="62"/>
        <v>1</v>
      </c>
      <c r="V117" s="530">
        <f t="shared" si="63"/>
        <v>2</v>
      </c>
      <c r="W117" s="573">
        <v>0</v>
      </c>
      <c r="X117">
        <v>2</v>
      </c>
      <c r="Y117">
        <v>1</v>
      </c>
      <c r="Z117">
        <v>2</v>
      </c>
      <c r="AA117">
        <v>2</v>
      </c>
      <c r="AB117">
        <v>1</v>
      </c>
      <c r="AC117">
        <v>2</v>
      </c>
      <c r="AD117">
        <v>2</v>
      </c>
      <c r="AE117">
        <v>1</v>
      </c>
      <c r="AF117">
        <v>2</v>
      </c>
      <c r="AG117" s="537">
        <f t="shared" si="37"/>
        <v>0</v>
      </c>
      <c r="AH117" s="537">
        <f t="shared" si="38"/>
        <v>0</v>
      </c>
    </row>
    <row r="118" spans="1:38" customFormat="1">
      <c r="A118" s="399" t="s">
        <v>657</v>
      </c>
      <c r="B118" s="400" t="s">
        <v>2861</v>
      </c>
      <c r="C118" s="392">
        <f>tot_proc_man</f>
        <v>1</v>
      </c>
      <c r="D118" s="392" t="s">
        <v>2305</v>
      </c>
      <c r="E118" s="402">
        <f>tank_valve_size</f>
        <v>6</v>
      </c>
      <c r="F118" s="189" t="s">
        <v>2626</v>
      </c>
      <c r="G118" s="402">
        <f>IF(curve=1,tank_valve_size,VLOOKUP(tank_valve_size,pp_man_cost_cl,2))</f>
        <v>6</v>
      </c>
      <c r="H118" s="189" t="s">
        <v>2626</v>
      </c>
      <c r="I118" s="401">
        <f>IF(curve=1,pp_man_eq_proc,VLOOKUP(tank_valve_size,pp_man_cost_cl,3))</f>
        <v>631.87895247500001</v>
      </c>
      <c r="J118" s="398">
        <f>IF(I118="contact vendor","--",C118*I118)</f>
        <v>631.87895247500001</v>
      </c>
      <c r="K118" s="402">
        <f>VLOOKUP(tank_valve_size,pp_man_cost_cl,IF(ss_cat="large",4,5))</f>
        <v>20</v>
      </c>
      <c r="L118" s="403">
        <v>1</v>
      </c>
      <c r="M118" s="34" t="str">
        <f t="shared" si="54"/>
        <v>Manual Valves - Process - Polypropylene/PVC</v>
      </c>
      <c r="N118" s="530">
        <f t="shared" si="55"/>
        <v>1</v>
      </c>
      <c r="O118" s="530">
        <f t="shared" si="56"/>
        <v>2</v>
      </c>
      <c r="P118" s="530">
        <f t="shared" si="57"/>
        <v>3</v>
      </c>
      <c r="Q118" s="530">
        <f t="shared" si="58"/>
        <v>1</v>
      </c>
      <c r="R118" s="530">
        <f t="shared" si="59"/>
        <v>2</v>
      </c>
      <c r="S118" s="530">
        <f t="shared" si="60"/>
        <v>3</v>
      </c>
      <c r="T118" s="530">
        <f t="shared" si="61"/>
        <v>1</v>
      </c>
      <c r="U118" s="530">
        <f t="shared" si="62"/>
        <v>2</v>
      </c>
      <c r="V118" s="530">
        <f t="shared" si="63"/>
        <v>3</v>
      </c>
      <c r="W118" s="573">
        <v>0</v>
      </c>
      <c r="X118">
        <v>1</v>
      </c>
      <c r="Y118">
        <v>2</v>
      </c>
      <c r="Z118">
        <v>3</v>
      </c>
      <c r="AA118">
        <v>1</v>
      </c>
      <c r="AB118">
        <v>2</v>
      </c>
      <c r="AC118">
        <v>3</v>
      </c>
      <c r="AD118">
        <v>1</v>
      </c>
      <c r="AE118">
        <v>2</v>
      </c>
      <c r="AF118">
        <v>3</v>
      </c>
      <c r="AG118" s="537">
        <f t="shared" si="37"/>
        <v>1</v>
      </c>
      <c r="AH118" s="537">
        <f t="shared" si="38"/>
        <v>31.593947623750001</v>
      </c>
    </row>
    <row r="119" spans="1:38" customFormat="1">
      <c r="A119" s="399" t="s">
        <v>657</v>
      </c>
      <c r="B119" s="189" t="s">
        <v>2862</v>
      </c>
      <c r="C119" s="392">
        <f>tot_proc_man</f>
        <v>1</v>
      </c>
      <c r="D119" s="392" t="s">
        <v>2305</v>
      </c>
      <c r="E119" s="402">
        <f>tank_valve_size</f>
        <v>6</v>
      </c>
      <c r="F119" s="189" t="s">
        <v>2626</v>
      </c>
      <c r="G119" s="402">
        <f>IF(curve=1,tank_valve_size,VLOOKUP(tank_valve_size,ss_man_cost_cl,2))</f>
        <v>6</v>
      </c>
      <c r="H119" s="189" t="s">
        <v>2626</v>
      </c>
      <c r="I119" s="395">
        <f>IF(curve=1,ss_man_eq_proc,VLOOKUP(tank_valve_size,ss_man_cost_cl,3))</f>
        <v>4500.866663152392</v>
      </c>
      <c r="J119" s="396">
        <f>IF(I119="contact vendor","--",C119*I119)</f>
        <v>4500.866663152392</v>
      </c>
      <c r="K119" s="392">
        <f>VLOOKUP(tank_valve_size,ss_man_cost_cl,IF(ss_cat="large",4,5))</f>
        <v>20</v>
      </c>
      <c r="L119" s="397">
        <v>0</v>
      </c>
      <c r="M119" s="34" t="str">
        <f t="shared" si="54"/>
        <v>Manual Valves - Process - Stainless Steel</v>
      </c>
      <c r="N119" s="530">
        <f t="shared" si="55"/>
        <v>3</v>
      </c>
      <c r="O119" s="530">
        <f t="shared" si="56"/>
        <v>3</v>
      </c>
      <c r="P119" s="530">
        <f t="shared" si="57"/>
        <v>1</v>
      </c>
      <c r="Q119" s="530">
        <f t="shared" si="58"/>
        <v>3</v>
      </c>
      <c r="R119" s="530">
        <f t="shared" si="59"/>
        <v>3</v>
      </c>
      <c r="S119" s="530">
        <f t="shared" si="60"/>
        <v>1</v>
      </c>
      <c r="T119" s="530">
        <f t="shared" si="61"/>
        <v>3</v>
      </c>
      <c r="U119" s="530">
        <f t="shared" si="62"/>
        <v>3</v>
      </c>
      <c r="V119" s="530">
        <f t="shared" si="63"/>
        <v>1</v>
      </c>
      <c r="W119" s="573">
        <v>0</v>
      </c>
      <c r="X119">
        <v>3</v>
      </c>
      <c r="Y119">
        <v>3</v>
      </c>
      <c r="Z119">
        <v>1</v>
      </c>
      <c r="AA119">
        <v>3</v>
      </c>
      <c r="AB119">
        <v>3</v>
      </c>
      <c r="AC119">
        <v>1</v>
      </c>
      <c r="AD119">
        <v>3</v>
      </c>
      <c r="AE119">
        <v>3</v>
      </c>
      <c r="AF119">
        <v>1</v>
      </c>
      <c r="AG119" s="537">
        <f t="shared" si="37"/>
        <v>0</v>
      </c>
      <c r="AH119" s="537">
        <f t="shared" si="38"/>
        <v>0</v>
      </c>
    </row>
    <row r="120" spans="1:38" customFormat="1">
      <c r="A120" s="399" t="s">
        <v>657</v>
      </c>
      <c r="B120" s="400" t="s">
        <v>732</v>
      </c>
      <c r="C120" s="392">
        <f>tot_proc_man</f>
        <v>1</v>
      </c>
      <c r="D120" s="413" t="s">
        <v>2305</v>
      </c>
      <c r="E120" s="415">
        <f>tank_valve_size</f>
        <v>6</v>
      </c>
      <c r="F120" s="400" t="s">
        <v>2626</v>
      </c>
      <c r="G120" s="415">
        <f>IF(curve=1,tank_valve_size,VLOOKUP(tank_valve_size,ci_bfv_cost_cl,2))</f>
        <v>6</v>
      </c>
      <c r="H120" s="400" t="s">
        <v>2626</v>
      </c>
      <c r="I120" s="416">
        <f>IF(curve=1,ci_bfv_eq_proc,VLOOKUP(tank_valve_size,ci_bfv_cost_cl,3))</f>
        <v>1124.059640872</v>
      </c>
      <c r="J120" s="398">
        <f>IF(I120="contact vendor","--",C120*I120)</f>
        <v>1124.059640872</v>
      </c>
      <c r="K120" s="392">
        <f>VLOOKUP(tank_valve_size,ci_bfv_cost_cl,IF(ss_cat="large",4,5))</f>
        <v>20</v>
      </c>
      <c r="L120" s="397">
        <v>0</v>
      </c>
      <c r="M120" s="34" t="str">
        <f t="shared" si="54"/>
        <v>Manual Valves - Process - Cast Iron</v>
      </c>
      <c r="N120" s="530">
        <f t="shared" si="55"/>
        <v>2</v>
      </c>
      <c r="O120" s="530">
        <f t="shared" si="56"/>
        <v>1</v>
      </c>
      <c r="P120" s="530">
        <f t="shared" si="57"/>
        <v>2</v>
      </c>
      <c r="Q120" s="530">
        <f t="shared" si="58"/>
        <v>2</v>
      </c>
      <c r="R120" s="530">
        <f t="shared" si="59"/>
        <v>1</v>
      </c>
      <c r="S120" s="530">
        <f t="shared" si="60"/>
        <v>2</v>
      </c>
      <c r="T120" s="530">
        <f t="shared" si="61"/>
        <v>2</v>
      </c>
      <c r="U120" s="530">
        <f t="shared" si="62"/>
        <v>1</v>
      </c>
      <c r="V120" s="530">
        <f t="shared" si="63"/>
        <v>2</v>
      </c>
      <c r="W120" s="573">
        <v>0</v>
      </c>
      <c r="X120">
        <v>2</v>
      </c>
      <c r="Y120">
        <v>1</v>
      </c>
      <c r="Z120">
        <v>2</v>
      </c>
      <c r="AA120">
        <v>2</v>
      </c>
      <c r="AB120">
        <v>1</v>
      </c>
      <c r="AC120">
        <v>2</v>
      </c>
      <c r="AD120">
        <v>2</v>
      </c>
      <c r="AE120">
        <v>1</v>
      </c>
      <c r="AF120">
        <v>2</v>
      </c>
      <c r="AG120" s="537">
        <f t="shared" si="37"/>
        <v>0</v>
      </c>
      <c r="AH120" s="537">
        <f t="shared" si="38"/>
        <v>0</v>
      </c>
    </row>
    <row r="121" spans="1:38" customFormat="1">
      <c r="A121" s="399" t="s">
        <v>658</v>
      </c>
      <c r="B121" s="413" t="s">
        <v>734</v>
      </c>
      <c r="C121" s="392">
        <f>tot_back_man</f>
        <v>0</v>
      </c>
      <c r="D121" s="413" t="s">
        <v>2305</v>
      </c>
      <c r="E121" s="402" t="str">
        <f>IF(C121=0,"NA",back_valve_size)</f>
        <v>NA</v>
      </c>
      <c r="F121" s="189" t="str">
        <f t="shared" ref="F121:F126" si="64">IF(C121=0,"","in. diam")</f>
        <v/>
      </c>
      <c r="G121" s="415" t="str">
        <f>IF(C121=0,"NA",IF(curve=1,back_valve_size,VLOOKUP(back_valve_size,pp_man_cost_cl,2)))</f>
        <v>NA</v>
      </c>
      <c r="H121" s="189" t="str">
        <f t="shared" ref="H121:H126" si="65">IF(C121=0,"","in. diam")</f>
        <v/>
      </c>
      <c r="I121" s="416" t="str">
        <f>IF(C121=0,"NA",IF(curve=1,pp_man_eq_back,VLOOKUP(back_valve_size,pp_man_cost_cl,3)))</f>
        <v>NA</v>
      </c>
      <c r="J121" s="398" t="str">
        <f t="shared" ref="J121:J126" si="66">IF(OR(C121=0,I121="contact vendor"),"--",C121*I121)</f>
        <v>--</v>
      </c>
      <c r="K121" s="402" t="str">
        <f>IF(C121=0,"NA",VLOOKUP(back_valve_size,pp_man_cost_cl,IF(ss_cat="large",4,5)))</f>
        <v>NA</v>
      </c>
      <c r="L121" s="397"/>
      <c r="M121" s="34" t="str">
        <f>$B$114&amp;" "&amp;$B$97&amp;" - "&amp;B121</f>
        <v>Manual Valves - Backwash - Polypropylene/PVC</v>
      </c>
      <c r="N121" s="530">
        <f t="shared" si="55"/>
        <v>1</v>
      </c>
      <c r="O121" s="530">
        <f t="shared" si="56"/>
        <v>2</v>
      </c>
      <c r="P121" s="530">
        <f t="shared" si="57"/>
        <v>3</v>
      </c>
      <c r="Q121" s="530">
        <f t="shared" si="58"/>
        <v>1</v>
      </c>
      <c r="R121" s="530">
        <f t="shared" si="59"/>
        <v>2</v>
      </c>
      <c r="S121" s="530">
        <f t="shared" si="60"/>
        <v>3</v>
      </c>
      <c r="T121" s="530">
        <f t="shared" si="61"/>
        <v>1</v>
      </c>
      <c r="U121" s="530">
        <f t="shared" si="62"/>
        <v>2</v>
      </c>
      <c r="V121" s="530">
        <f t="shared" si="63"/>
        <v>3</v>
      </c>
      <c r="W121" s="573">
        <v>0</v>
      </c>
      <c r="X121">
        <v>1</v>
      </c>
      <c r="Y121">
        <v>2</v>
      </c>
      <c r="Z121">
        <v>3</v>
      </c>
      <c r="AA121">
        <v>1</v>
      </c>
      <c r="AB121">
        <v>2</v>
      </c>
      <c r="AC121">
        <v>3</v>
      </c>
      <c r="AD121">
        <v>1</v>
      </c>
      <c r="AE121">
        <v>2</v>
      </c>
      <c r="AF121">
        <v>3</v>
      </c>
      <c r="AG121" s="537">
        <f t="shared" si="37"/>
        <v>0</v>
      </c>
      <c r="AH121" s="537">
        <f t="shared" si="38"/>
        <v>0</v>
      </c>
    </row>
    <row r="122" spans="1:38" customFormat="1">
      <c r="A122" s="399" t="s">
        <v>658</v>
      </c>
      <c r="B122" s="413" t="s">
        <v>733</v>
      </c>
      <c r="C122" s="392">
        <f>tot_back_man</f>
        <v>0</v>
      </c>
      <c r="D122" s="413" t="s">
        <v>2305</v>
      </c>
      <c r="E122" s="402" t="str">
        <f>IF(C122=0,"NA",back_valve_size)</f>
        <v>NA</v>
      </c>
      <c r="F122" s="189" t="str">
        <f t="shared" si="64"/>
        <v/>
      </c>
      <c r="G122" s="415" t="str">
        <f>IF(C122=0,"NA",IF(curve=1,back_valve_size,VLOOKUP(back_valve_size,ss_man_cost_cl,2)))</f>
        <v>NA</v>
      </c>
      <c r="H122" s="189" t="str">
        <f t="shared" si="65"/>
        <v/>
      </c>
      <c r="I122" s="416" t="str">
        <f>IF(C122=0,"NA",IF(curve=1,ss_man_eq_back,VLOOKUP(back_valve_size,ss_man_cost_cl,3)))</f>
        <v>NA</v>
      </c>
      <c r="J122" s="398" t="str">
        <f t="shared" si="66"/>
        <v>--</v>
      </c>
      <c r="K122" s="402" t="str">
        <f>IF(C122=0,"NA",VLOOKUP(back_valve_size,ss_man_cost_cl,IF(ss_cat="large",4,5)))</f>
        <v>NA</v>
      </c>
      <c r="L122" s="397"/>
      <c r="M122" s="34" t="str">
        <f>$B$114&amp;" "&amp;$B$97&amp;" - "&amp;B122</f>
        <v>Manual Valves - Backwash - Stainless Steel</v>
      </c>
      <c r="N122" s="530">
        <f t="shared" si="55"/>
        <v>3</v>
      </c>
      <c r="O122" s="530">
        <f t="shared" si="56"/>
        <v>3</v>
      </c>
      <c r="P122" s="530">
        <f t="shared" si="57"/>
        <v>1</v>
      </c>
      <c r="Q122" s="530">
        <f t="shared" si="58"/>
        <v>3</v>
      </c>
      <c r="R122" s="530">
        <f t="shared" si="59"/>
        <v>3</v>
      </c>
      <c r="S122" s="530">
        <f t="shared" si="60"/>
        <v>1</v>
      </c>
      <c r="T122" s="530">
        <f t="shared" si="61"/>
        <v>3</v>
      </c>
      <c r="U122" s="530">
        <f t="shared" si="62"/>
        <v>3</v>
      </c>
      <c r="V122" s="530">
        <f t="shared" si="63"/>
        <v>1</v>
      </c>
      <c r="W122" s="573">
        <v>0</v>
      </c>
      <c r="X122">
        <v>3</v>
      </c>
      <c r="Y122">
        <v>3</v>
      </c>
      <c r="Z122">
        <v>1</v>
      </c>
      <c r="AA122">
        <v>3</v>
      </c>
      <c r="AB122">
        <v>3</v>
      </c>
      <c r="AC122">
        <v>1</v>
      </c>
      <c r="AD122">
        <v>3</v>
      </c>
      <c r="AE122">
        <v>3</v>
      </c>
      <c r="AF122">
        <v>1</v>
      </c>
      <c r="AG122" s="537">
        <f t="shared" si="37"/>
        <v>0</v>
      </c>
      <c r="AH122" s="537">
        <f t="shared" si="38"/>
        <v>0</v>
      </c>
    </row>
    <row r="123" spans="1:38" customFormat="1">
      <c r="A123" s="399" t="s">
        <v>658</v>
      </c>
      <c r="B123" s="413" t="s">
        <v>735</v>
      </c>
      <c r="C123" s="392">
        <f>tot_back_man</f>
        <v>0</v>
      </c>
      <c r="D123" s="413" t="s">
        <v>2305</v>
      </c>
      <c r="E123" s="402" t="str">
        <f>IF(C123=0,"NA",back_valve_size)</f>
        <v>NA</v>
      </c>
      <c r="F123" s="189" t="str">
        <f t="shared" si="64"/>
        <v/>
      </c>
      <c r="G123" s="415" t="str">
        <f>IF(C123=0,"NA",IF(curve=1,back_valve_size,VLOOKUP(back_valve_size,ci_bfv_cost_cl,2)))</f>
        <v>NA</v>
      </c>
      <c r="H123" s="189" t="str">
        <f t="shared" si="65"/>
        <v/>
      </c>
      <c r="I123" s="416" t="str">
        <f>IF(C123=0,"NA",IF(curve=1,ci_man_eq_back,VLOOKUP(back_valve_size,ci_bfv_cost_cl,3)))</f>
        <v>NA</v>
      </c>
      <c r="J123" s="398" t="str">
        <f t="shared" si="66"/>
        <v>--</v>
      </c>
      <c r="K123" s="402" t="str">
        <f>IF(C123=0,"NA",VLOOKUP(back_valve_size,ci_bfv_cost_cl,IF(ss_cat="large",4,5)))</f>
        <v>NA</v>
      </c>
      <c r="L123" s="397"/>
      <c r="M123" s="34" t="str">
        <f>$B$114&amp;" "&amp;$B$97&amp;" - "&amp;B123</f>
        <v>Manual Valves - Backwash - Cast Iron</v>
      </c>
      <c r="N123" s="530">
        <f t="shared" si="55"/>
        <v>2</v>
      </c>
      <c r="O123" s="530">
        <f t="shared" si="56"/>
        <v>1</v>
      </c>
      <c r="P123" s="530">
        <f t="shared" si="57"/>
        <v>2</v>
      </c>
      <c r="Q123" s="530">
        <f t="shared" si="58"/>
        <v>2</v>
      </c>
      <c r="R123" s="530">
        <f t="shared" si="59"/>
        <v>1</v>
      </c>
      <c r="S123" s="530">
        <f t="shared" si="60"/>
        <v>2</v>
      </c>
      <c r="T123" s="530">
        <f t="shared" si="61"/>
        <v>2</v>
      </c>
      <c r="U123" s="530">
        <f t="shared" si="62"/>
        <v>1</v>
      </c>
      <c r="V123" s="530">
        <f t="shared" si="63"/>
        <v>2</v>
      </c>
      <c r="W123" s="573">
        <v>0</v>
      </c>
      <c r="X123">
        <v>2</v>
      </c>
      <c r="Y123">
        <v>1</v>
      </c>
      <c r="Z123">
        <v>2</v>
      </c>
      <c r="AA123">
        <v>2</v>
      </c>
      <c r="AB123">
        <v>1</v>
      </c>
      <c r="AC123">
        <v>2</v>
      </c>
      <c r="AD123">
        <v>2</v>
      </c>
      <c r="AE123">
        <v>1</v>
      </c>
      <c r="AF123">
        <v>2</v>
      </c>
      <c r="AG123" s="537">
        <f t="shared" si="37"/>
        <v>0</v>
      </c>
      <c r="AH123" s="537">
        <f t="shared" si="38"/>
        <v>0</v>
      </c>
    </row>
    <row r="124" spans="1:38" customFormat="1">
      <c r="A124" s="399" t="s">
        <v>659</v>
      </c>
      <c r="B124" s="400" t="s">
        <v>2713</v>
      </c>
      <c r="C124" s="392">
        <f>total_res_man</f>
        <v>0</v>
      </c>
      <c r="D124" s="413" t="s">
        <v>2305</v>
      </c>
      <c r="E124" s="402" t="str">
        <f>IF(C124=0,"NA",res_valve_size)</f>
        <v>NA</v>
      </c>
      <c r="F124" s="189" t="str">
        <f t="shared" si="64"/>
        <v/>
      </c>
      <c r="G124" s="415" t="str">
        <f>IF(C124=0,"NA",IF(curve=1,res_valve_size,VLOOKUP(back_valve_size,pp_man_cost_cl,2)))</f>
        <v>NA</v>
      </c>
      <c r="H124" s="189" t="str">
        <f t="shared" si="65"/>
        <v/>
      </c>
      <c r="I124" s="416" t="str">
        <f>IF(C124=0,"NA",IF(curve=1,pp_man_eq_res,VLOOKUP(res_valve_size,pp_man_cost_cl,3)))</f>
        <v>NA</v>
      </c>
      <c r="J124" s="398" t="str">
        <f t="shared" si="66"/>
        <v>--</v>
      </c>
      <c r="K124" s="402" t="str">
        <f>IF(C124=0,"NA",VLOOKUP(res_valve_size,pp_man_cost_cl,IF(ss_cat="large",4,5)))</f>
        <v>NA</v>
      </c>
      <c r="L124" s="397"/>
      <c r="M124" s="34" t="str">
        <f>$B$114&amp;" "&amp;$B$97&amp;" - "&amp;B124</f>
        <v>Manual Valves - Residuals - Polypropylene/PVC</v>
      </c>
      <c r="N124" s="530">
        <f t="shared" si="55"/>
        <v>1</v>
      </c>
      <c r="O124" s="530">
        <f t="shared" si="56"/>
        <v>2</v>
      </c>
      <c r="P124" s="530">
        <f t="shared" si="57"/>
        <v>3</v>
      </c>
      <c r="Q124" s="530">
        <f t="shared" si="58"/>
        <v>1</v>
      </c>
      <c r="R124" s="530">
        <f t="shared" si="59"/>
        <v>2</v>
      </c>
      <c r="S124" s="530">
        <f t="shared" si="60"/>
        <v>3</v>
      </c>
      <c r="T124" s="530">
        <f t="shared" si="61"/>
        <v>1</v>
      </c>
      <c r="U124" s="530">
        <f t="shared" si="62"/>
        <v>2</v>
      </c>
      <c r="V124" s="530">
        <f t="shared" si="63"/>
        <v>3</v>
      </c>
      <c r="W124" s="573">
        <v>0</v>
      </c>
      <c r="X124">
        <v>1</v>
      </c>
      <c r="Y124">
        <v>2</v>
      </c>
      <c r="Z124">
        <v>3</v>
      </c>
      <c r="AA124">
        <v>1</v>
      </c>
      <c r="AB124">
        <v>2</v>
      </c>
      <c r="AC124">
        <v>3</v>
      </c>
      <c r="AD124">
        <v>1</v>
      </c>
      <c r="AE124">
        <v>2</v>
      </c>
      <c r="AF124">
        <v>3</v>
      </c>
      <c r="AG124" s="537">
        <f t="shared" si="37"/>
        <v>0</v>
      </c>
      <c r="AH124" s="537">
        <f t="shared" si="38"/>
        <v>0</v>
      </c>
    </row>
    <row r="125" spans="1:38" customFormat="1">
      <c r="A125" s="399" t="s">
        <v>659</v>
      </c>
      <c r="B125" s="189" t="s">
        <v>2714</v>
      </c>
      <c r="C125" s="392">
        <f>total_res_man</f>
        <v>0</v>
      </c>
      <c r="D125" s="413" t="s">
        <v>2305</v>
      </c>
      <c r="E125" s="402" t="str">
        <f>IF(C125=0,"NA",res_valve_size)</f>
        <v>NA</v>
      </c>
      <c r="F125" s="189" t="str">
        <f t="shared" si="64"/>
        <v/>
      </c>
      <c r="G125" s="415" t="str">
        <f>IF(C125=0,"NA",IF(curve=1,res_valve_size,VLOOKUP(back_valve_size,ss_man_cost_cl,2)))</f>
        <v>NA</v>
      </c>
      <c r="H125" s="189" t="str">
        <f t="shared" si="65"/>
        <v/>
      </c>
      <c r="I125" s="416" t="str">
        <f>IF(C125=0,"NA",IF(curve=1,ss_man_eq_res,VLOOKUP(res_valve_size,ss_man_cost_cl,3)))</f>
        <v>NA</v>
      </c>
      <c r="J125" s="398" t="str">
        <f t="shared" si="66"/>
        <v>--</v>
      </c>
      <c r="K125" s="402" t="str">
        <f>IF(C125=0,"NA",VLOOKUP(res_valve_size,ss_man_cost_cl,IF(ss_cat="large",4,5)))</f>
        <v>NA</v>
      </c>
      <c r="L125" s="397"/>
      <c r="M125" s="34" t="str">
        <f>$B$114&amp;" "&amp;$B$97&amp;" - "&amp;B125</f>
        <v>Manual Valves - Residuals - Stainless Steel</v>
      </c>
      <c r="N125" s="530">
        <f t="shared" si="55"/>
        <v>3</v>
      </c>
      <c r="O125" s="530">
        <f t="shared" si="56"/>
        <v>3</v>
      </c>
      <c r="P125" s="530">
        <f t="shared" si="57"/>
        <v>1</v>
      </c>
      <c r="Q125" s="530">
        <f t="shared" si="58"/>
        <v>3</v>
      </c>
      <c r="R125" s="530">
        <f t="shared" si="59"/>
        <v>3</v>
      </c>
      <c r="S125" s="530">
        <f t="shared" si="60"/>
        <v>1</v>
      </c>
      <c r="T125" s="530">
        <f t="shared" si="61"/>
        <v>3</v>
      </c>
      <c r="U125" s="530">
        <f t="shared" si="62"/>
        <v>3</v>
      </c>
      <c r="V125" s="530">
        <f t="shared" si="63"/>
        <v>1</v>
      </c>
      <c r="W125" s="573">
        <v>0</v>
      </c>
      <c r="X125">
        <v>3</v>
      </c>
      <c r="Y125">
        <v>3</v>
      </c>
      <c r="Z125">
        <v>1</v>
      </c>
      <c r="AA125">
        <v>3</v>
      </c>
      <c r="AB125">
        <v>3</v>
      </c>
      <c r="AC125">
        <v>1</v>
      </c>
      <c r="AD125">
        <v>3</v>
      </c>
      <c r="AE125">
        <v>3</v>
      </c>
      <c r="AF125">
        <v>1</v>
      </c>
      <c r="AG125" s="537">
        <f t="shared" si="37"/>
        <v>0</v>
      </c>
      <c r="AH125" s="537">
        <f t="shared" si="38"/>
        <v>0</v>
      </c>
    </row>
    <row r="126" spans="1:38" customFormat="1">
      <c r="A126" s="399" t="s">
        <v>659</v>
      </c>
      <c r="B126" s="189" t="s">
        <v>2715</v>
      </c>
      <c r="C126" s="392">
        <f>total_res_man</f>
        <v>0</v>
      </c>
      <c r="D126" s="413" t="s">
        <v>2305</v>
      </c>
      <c r="E126" s="402" t="str">
        <f>IF(C126=0,"NA",res_valve_size)</f>
        <v>NA</v>
      </c>
      <c r="F126" s="189" t="str">
        <f t="shared" si="64"/>
        <v/>
      </c>
      <c r="G126" s="415" t="str">
        <f>IF(C126=0,"NA",IF(curve=1,res_valve_size,VLOOKUP(back_valve_size,ci_bfv_cost_cl,2)))</f>
        <v>NA</v>
      </c>
      <c r="H126" s="189" t="str">
        <f t="shared" si="65"/>
        <v/>
      </c>
      <c r="I126" s="416" t="str">
        <f>IF(C126=0,"NA",IF(curve=1,ci_man_eq_res,VLOOKUP(res_valve_size,ci_bfv_cost_cl,3)))</f>
        <v>NA</v>
      </c>
      <c r="J126" s="398" t="str">
        <f t="shared" si="66"/>
        <v>--</v>
      </c>
      <c r="K126" s="415" t="str">
        <f>IF(C126=0,"NA",VLOOKUP(res_valve_size,ci_bfv_cost_cl,IF(ss_cat="large",4,5)))</f>
        <v>NA</v>
      </c>
      <c r="L126" s="397"/>
      <c r="M126" s="34" t="str">
        <f t="shared" ref="M126:M131" si="67">$B$114&amp;" "&amp;$B$97&amp;" - "&amp;B126</f>
        <v>Manual Valves - Residuals - Cast Iron</v>
      </c>
      <c r="N126" s="530">
        <f t="shared" si="55"/>
        <v>2</v>
      </c>
      <c r="O126" s="530">
        <f t="shared" si="56"/>
        <v>1</v>
      </c>
      <c r="P126" s="530">
        <f t="shared" si="57"/>
        <v>2</v>
      </c>
      <c r="Q126" s="530">
        <f t="shared" si="58"/>
        <v>2</v>
      </c>
      <c r="R126" s="530">
        <f t="shared" si="59"/>
        <v>1</v>
      </c>
      <c r="S126" s="530">
        <f t="shared" si="60"/>
        <v>2</v>
      </c>
      <c r="T126" s="530">
        <f t="shared" si="61"/>
        <v>2</v>
      </c>
      <c r="U126" s="530">
        <f t="shared" si="62"/>
        <v>1</v>
      </c>
      <c r="V126" s="530">
        <f t="shared" si="63"/>
        <v>2</v>
      </c>
      <c r="W126" s="573">
        <v>0</v>
      </c>
      <c r="X126">
        <v>2</v>
      </c>
      <c r="Y126">
        <v>1</v>
      </c>
      <c r="Z126">
        <v>2</v>
      </c>
      <c r="AA126">
        <v>2</v>
      </c>
      <c r="AB126">
        <v>1</v>
      </c>
      <c r="AC126">
        <v>2</v>
      </c>
      <c r="AD126">
        <v>2</v>
      </c>
      <c r="AE126">
        <v>1</v>
      </c>
      <c r="AF126">
        <v>2</v>
      </c>
      <c r="AG126" s="537">
        <f t="shared" si="37"/>
        <v>0</v>
      </c>
      <c r="AH126" s="537">
        <f t="shared" si="38"/>
        <v>0</v>
      </c>
    </row>
    <row r="127" spans="1:38" s="650" customFormat="1">
      <c r="A127" s="399" t="s">
        <v>660</v>
      </c>
      <c r="B127" s="189" t="s">
        <v>2416</v>
      </c>
      <c r="C127" s="392">
        <f>tot_polymer_man</f>
        <v>0</v>
      </c>
      <c r="D127" s="1" t="s">
        <v>2305</v>
      </c>
      <c r="E127" s="402" t="str">
        <f>IF(C127=0,"NA",polymer_valve_size)</f>
        <v>NA</v>
      </c>
      <c r="F127" s="189" t="str">
        <f>IF(C127=0,"","in. diam")</f>
        <v/>
      </c>
      <c r="G127" s="415" t="str">
        <f>IF(C127=0,"NA",IF(curve=1,polymer_valve_size,VLOOKUP(polymer_valve_size,pp_man_cost_cl,2)))</f>
        <v>NA</v>
      </c>
      <c r="H127" s="189" t="str">
        <f>IF(C127=0,"","in. diam")</f>
        <v/>
      </c>
      <c r="I127" s="416" t="str">
        <f>IF(C127=0,"NA",IF(curve=1,pp_man_eq_polymer,VLOOKUP(polymer_valve_size,pp_man_cost_cl,3)))</f>
        <v>NA</v>
      </c>
      <c r="J127" s="398" t="str">
        <f t="shared" ref="J127:J132" si="68">IF(OR(C127=0,I127="contact vendor"),"--",C127*I127)</f>
        <v>--</v>
      </c>
      <c r="K127" s="402" t="str">
        <f>IF(C127=0,"NA",VLOOKUP(polymer_valve_size,pp_man_cost_cl,IF(ss_cat="large",4,5)))</f>
        <v>NA</v>
      </c>
      <c r="L127" s="397"/>
      <c r="M127" s="34" t="str">
        <f t="shared" si="67"/>
        <v>Manual Valves - Polymer- Polypropylene/PVC</v>
      </c>
      <c r="N127" s="530">
        <f t="shared" ref="N127:V129" si="69">IF(retrofit=1,$W127*X127,IF(ISBLANK(X127),"",X127))</f>
        <v>1</v>
      </c>
      <c r="O127" s="530">
        <f t="shared" si="69"/>
        <v>2</v>
      </c>
      <c r="P127" s="530">
        <f t="shared" si="69"/>
        <v>3</v>
      </c>
      <c r="Q127" s="530">
        <f t="shared" si="69"/>
        <v>1</v>
      </c>
      <c r="R127" s="530">
        <f t="shared" si="69"/>
        <v>2</v>
      </c>
      <c r="S127" s="530">
        <f t="shared" si="69"/>
        <v>3</v>
      </c>
      <c r="T127" s="530">
        <f t="shared" si="69"/>
        <v>1</v>
      </c>
      <c r="U127" s="530">
        <f t="shared" si="69"/>
        <v>2</v>
      </c>
      <c r="V127" s="530">
        <f t="shared" si="69"/>
        <v>3</v>
      </c>
      <c r="W127" s="573">
        <v>0</v>
      </c>
      <c r="X127" s="8">
        <v>1</v>
      </c>
      <c r="Y127" s="8">
        <v>2</v>
      </c>
      <c r="Z127" s="8">
        <v>3</v>
      </c>
      <c r="AA127" s="8">
        <v>1</v>
      </c>
      <c r="AB127" s="8">
        <v>2</v>
      </c>
      <c r="AC127" s="8">
        <v>3</v>
      </c>
      <c r="AD127" s="8">
        <v>1</v>
      </c>
      <c r="AE127" s="8">
        <v>2</v>
      </c>
      <c r="AF127" s="8">
        <v>3</v>
      </c>
      <c r="AG127">
        <f t="shared" si="37"/>
        <v>0</v>
      </c>
      <c r="AH127">
        <f t="shared" si="38"/>
        <v>0</v>
      </c>
      <c r="AI127" s="105"/>
      <c r="AJ127" s="105"/>
      <c r="AL127" s="105"/>
    </row>
    <row r="128" spans="1:38" s="650" customFormat="1">
      <c r="A128" s="399" t="s">
        <v>660</v>
      </c>
      <c r="B128" s="189" t="s">
        <v>2417</v>
      </c>
      <c r="C128" s="392">
        <f>tot_polymer_man</f>
        <v>0</v>
      </c>
      <c r="D128" s="1" t="s">
        <v>2305</v>
      </c>
      <c r="E128" s="402" t="str">
        <f>IF(C128=0,"NA",polymer_valve_size)</f>
        <v>NA</v>
      </c>
      <c r="F128" s="189" t="str">
        <f>IF(C128=0,"","in. diam")</f>
        <v/>
      </c>
      <c r="G128" s="415" t="str">
        <f>IF(C128=0,"NA",IF(curve=1,polymer_valve_size,VLOOKUP(polymer_valve_size,ss_man_cost_cl,2)))</f>
        <v>NA</v>
      </c>
      <c r="H128" s="189" t="str">
        <f>IF(C128=0,"","in. diam")</f>
        <v/>
      </c>
      <c r="I128" s="416" t="str">
        <f>IF(C128=0,"NA",IF(curve=1,ss_man_eq_polymer,VLOOKUP(polymer_valve_size,ss_man_cost_cl,3)))</f>
        <v>NA</v>
      </c>
      <c r="J128" s="398" t="str">
        <f t="shared" si="68"/>
        <v>--</v>
      </c>
      <c r="K128" s="402" t="str">
        <f>IF(C128=0,"NA",VLOOKUP(polymer_valve_size,ss_man_cost_cl,IF(ss_cat="large",4,5)))</f>
        <v>NA</v>
      </c>
      <c r="L128" s="397"/>
      <c r="M128" s="34" t="str">
        <f t="shared" si="67"/>
        <v>Manual Valves - Polymer- Stainless Steel</v>
      </c>
      <c r="N128" s="530">
        <f t="shared" si="69"/>
        <v>3</v>
      </c>
      <c r="O128" s="530">
        <f t="shared" si="69"/>
        <v>3</v>
      </c>
      <c r="P128" s="530">
        <f t="shared" si="69"/>
        <v>1</v>
      </c>
      <c r="Q128" s="530">
        <f t="shared" si="69"/>
        <v>3</v>
      </c>
      <c r="R128" s="530">
        <f t="shared" si="69"/>
        <v>3</v>
      </c>
      <c r="S128" s="530">
        <f t="shared" si="69"/>
        <v>1</v>
      </c>
      <c r="T128" s="530">
        <f t="shared" si="69"/>
        <v>3</v>
      </c>
      <c r="U128" s="530">
        <f t="shared" si="69"/>
        <v>3</v>
      </c>
      <c r="V128" s="530">
        <f t="shared" si="69"/>
        <v>1</v>
      </c>
      <c r="W128" s="573">
        <v>0</v>
      </c>
      <c r="X128" s="8">
        <v>3</v>
      </c>
      <c r="Y128" s="8">
        <v>3</v>
      </c>
      <c r="Z128" s="8">
        <v>1</v>
      </c>
      <c r="AA128" s="8">
        <v>3</v>
      </c>
      <c r="AB128" s="8">
        <v>3</v>
      </c>
      <c r="AC128" s="8">
        <v>1</v>
      </c>
      <c r="AD128" s="8">
        <v>3</v>
      </c>
      <c r="AE128" s="8">
        <v>3</v>
      </c>
      <c r="AF128" s="8">
        <v>1</v>
      </c>
      <c r="AG128">
        <f t="shared" si="37"/>
        <v>0</v>
      </c>
      <c r="AH128">
        <f t="shared" si="38"/>
        <v>0</v>
      </c>
      <c r="AI128" s="105"/>
      <c r="AJ128" s="105"/>
      <c r="AL128" s="105"/>
    </row>
    <row r="129" spans="1:38" s="650" customFormat="1">
      <c r="A129" s="399" t="s">
        <v>660</v>
      </c>
      <c r="B129" s="189" t="s">
        <v>2418</v>
      </c>
      <c r="C129" s="392">
        <f>tot_polymer_man</f>
        <v>0</v>
      </c>
      <c r="D129" s="1" t="s">
        <v>2305</v>
      </c>
      <c r="E129" s="402" t="str">
        <f>IF(C129=0,"NA",polymer_valve_size)</f>
        <v>NA</v>
      </c>
      <c r="F129" s="189" t="str">
        <f>IF(C129=0,"","in. diam")</f>
        <v/>
      </c>
      <c r="G129" s="415" t="str">
        <f>IF(C129=0,"NA",IF(curve=1,polymer_valve_size,VLOOKUP(polymer_valve_size,ci_bfv_cost_cl,2)))</f>
        <v>NA</v>
      </c>
      <c r="H129" s="189" t="str">
        <f>IF(C129=0,"","in. diam")</f>
        <v/>
      </c>
      <c r="I129" s="416" t="str">
        <f>IF(C129=0,"NA",IF(curve=1,ci_man_eq_polymer,VLOOKUP(polymer_valve_size,ci_bfv_cost_cl,3)))</f>
        <v>NA</v>
      </c>
      <c r="J129" s="398" t="str">
        <f t="shared" si="68"/>
        <v>--</v>
      </c>
      <c r="K129" s="402" t="str">
        <f>IF(C129=0,"NA",VLOOKUP(polymer_valve_size,ci_bfv_cost_cl,IF(ss_cat="large",4,5)))</f>
        <v>NA</v>
      </c>
      <c r="L129" s="397"/>
      <c r="M129" s="34" t="str">
        <f t="shared" si="67"/>
        <v>Manual Valves - Polymer- Cast Iron</v>
      </c>
      <c r="N129" s="530">
        <f t="shared" si="69"/>
        <v>2</v>
      </c>
      <c r="O129" s="530">
        <f t="shared" si="69"/>
        <v>1</v>
      </c>
      <c r="P129" s="530">
        <f t="shared" si="69"/>
        <v>2</v>
      </c>
      <c r="Q129" s="530">
        <f t="shared" si="69"/>
        <v>2</v>
      </c>
      <c r="R129" s="530">
        <f t="shared" si="69"/>
        <v>1</v>
      </c>
      <c r="S129" s="530">
        <f t="shared" si="69"/>
        <v>2</v>
      </c>
      <c r="T129" s="530">
        <f t="shared" si="69"/>
        <v>2</v>
      </c>
      <c r="U129" s="530">
        <f t="shared" si="69"/>
        <v>1</v>
      </c>
      <c r="V129" s="530">
        <f t="shared" si="69"/>
        <v>2</v>
      </c>
      <c r="W129" s="573">
        <v>0</v>
      </c>
      <c r="X129" s="8">
        <v>2</v>
      </c>
      <c r="Y129" s="8">
        <v>1</v>
      </c>
      <c r="Z129" s="8">
        <v>2</v>
      </c>
      <c r="AA129" s="8">
        <v>2</v>
      </c>
      <c r="AB129" s="8">
        <v>1</v>
      </c>
      <c r="AC129" s="8">
        <v>2</v>
      </c>
      <c r="AD129" s="8">
        <v>2</v>
      </c>
      <c r="AE129" s="8">
        <v>1</v>
      </c>
      <c r="AF129" s="8">
        <v>2</v>
      </c>
      <c r="AG129">
        <f t="shared" si="37"/>
        <v>0</v>
      </c>
      <c r="AH129">
        <f t="shared" si="38"/>
        <v>0</v>
      </c>
      <c r="AI129" s="105"/>
      <c r="AJ129" s="105"/>
      <c r="AL129" s="105"/>
    </row>
    <row r="130" spans="1:38" customFormat="1">
      <c r="A130" s="399" t="s">
        <v>2419</v>
      </c>
      <c r="B130" s="413" t="s">
        <v>254</v>
      </c>
      <c r="C130" s="392">
        <f>IF(bp_pct&gt;0,tot_bp_man,0)</f>
        <v>0</v>
      </c>
      <c r="D130" s="413" t="s">
        <v>2305</v>
      </c>
      <c r="E130" s="402" t="str">
        <f>IF(bp_pct=0,"NA",bypass_valve_size)</f>
        <v>NA</v>
      </c>
      <c r="F130" s="189" t="str">
        <f>IF(bp_pct=0," ","in. diam")</f>
        <v xml:space="preserve"> </v>
      </c>
      <c r="G130" s="402" t="str">
        <f>IF(bp_pct=0,"NA",(IF(curve=1,bypass_valve_size,VLOOKUP(bypass_valve_size,pp_man_cost_cl,2))))</f>
        <v>NA</v>
      </c>
      <c r="H130" s="189" t="str">
        <f>IF(bp_pct=0," ","in. diam")</f>
        <v xml:space="preserve"> </v>
      </c>
      <c r="I130" s="401" t="str">
        <f>IF(bp_pct=0,"NA",(IF(curve=1,pp_man_eq_bp,VLOOKUP(bypass_valve_size,pp_man_cost_cl,3))))</f>
        <v>NA</v>
      </c>
      <c r="J130" s="398" t="str">
        <f t="shared" si="68"/>
        <v>--</v>
      </c>
      <c r="K130" s="402" t="str">
        <f>IF(C130=0,"NA",VLOOKUP(E130,pp_man_cost_cl,IF(ss_cat="large",4,5)))</f>
        <v>NA</v>
      </c>
      <c r="L130" s="397"/>
      <c r="M130" s="34" t="str">
        <f t="shared" si="67"/>
        <v>Manual Valves - Bypass - Polypropylene/PVC</v>
      </c>
      <c r="N130" s="530">
        <f t="shared" si="55"/>
        <v>1</v>
      </c>
      <c r="O130" s="530">
        <f t="shared" si="56"/>
        <v>2</v>
      </c>
      <c r="P130" s="530">
        <f t="shared" si="57"/>
        <v>3</v>
      </c>
      <c r="Q130" s="530">
        <f t="shared" si="58"/>
        <v>1</v>
      </c>
      <c r="R130" s="530">
        <f t="shared" si="59"/>
        <v>2</v>
      </c>
      <c r="S130" s="530">
        <f t="shared" si="60"/>
        <v>3</v>
      </c>
      <c r="T130" s="530">
        <f t="shared" si="61"/>
        <v>1</v>
      </c>
      <c r="U130" s="530">
        <f t="shared" si="62"/>
        <v>2</v>
      </c>
      <c r="V130" s="530">
        <f t="shared" si="63"/>
        <v>3</v>
      </c>
      <c r="W130" s="573">
        <v>0</v>
      </c>
      <c r="X130">
        <v>1</v>
      </c>
      <c r="Y130">
        <v>2</v>
      </c>
      <c r="Z130">
        <v>3</v>
      </c>
      <c r="AA130">
        <v>1</v>
      </c>
      <c r="AB130">
        <v>2</v>
      </c>
      <c r="AC130">
        <v>3</v>
      </c>
      <c r="AD130">
        <v>1</v>
      </c>
      <c r="AE130">
        <v>2</v>
      </c>
      <c r="AF130">
        <v>3</v>
      </c>
      <c r="AG130" s="537">
        <f t="shared" si="37"/>
        <v>0</v>
      </c>
      <c r="AH130" s="537">
        <f t="shared" si="38"/>
        <v>0</v>
      </c>
    </row>
    <row r="131" spans="1:38" customFormat="1">
      <c r="A131" s="399" t="s">
        <v>2419</v>
      </c>
      <c r="B131" s="413" t="s">
        <v>255</v>
      </c>
      <c r="C131" s="392">
        <f>IF(bp_pct&gt;0,tot_bp_man,0)</f>
        <v>0</v>
      </c>
      <c r="D131" s="413" t="s">
        <v>2305</v>
      </c>
      <c r="E131" s="402" t="str">
        <f>IF(bp_pct=0,"NA",bypass_valve_size)</f>
        <v>NA</v>
      </c>
      <c r="F131" s="189" t="str">
        <f>IF(bp_pct=0," ","in. diam")</f>
        <v xml:space="preserve"> </v>
      </c>
      <c r="G131" s="402" t="str">
        <f>IF(bp_pct=0,"NA",(IF(curve=1,bypass_valve_size,VLOOKUP(bypass_valve_size,ss_man_cost_cl,2))))</f>
        <v>NA</v>
      </c>
      <c r="H131" s="189" t="str">
        <f>IF(bp_pct=0," ","in. diam")</f>
        <v xml:space="preserve"> </v>
      </c>
      <c r="I131" s="401" t="str">
        <f>IF(bp_pct=0,"NA",(IF(curve=1,ss_man_eq_bp,VLOOKUP(bypass_valve_size,ss_man_cost_cl,3))))</f>
        <v>NA</v>
      </c>
      <c r="J131" s="398" t="str">
        <f t="shared" si="68"/>
        <v>--</v>
      </c>
      <c r="K131" s="402" t="str">
        <f>IF(C131=0,"NA",VLOOKUP(E131,ss_man_cost_cl,IF(ss_cat="large",4,5)))</f>
        <v>NA</v>
      </c>
      <c r="L131" s="397"/>
      <c r="M131" s="34" t="str">
        <f t="shared" si="67"/>
        <v>Manual Valves - Bypass - Stainless Steel</v>
      </c>
      <c r="N131" s="530">
        <f t="shared" si="55"/>
        <v>3</v>
      </c>
      <c r="O131" s="530">
        <f t="shared" si="56"/>
        <v>3</v>
      </c>
      <c r="P131" s="530">
        <f t="shared" si="57"/>
        <v>1</v>
      </c>
      <c r="Q131" s="530">
        <f t="shared" si="58"/>
        <v>3</v>
      </c>
      <c r="R131" s="530">
        <f t="shared" si="59"/>
        <v>3</v>
      </c>
      <c r="S131" s="530">
        <f t="shared" si="60"/>
        <v>1</v>
      </c>
      <c r="T131" s="530">
        <f t="shared" si="61"/>
        <v>3</v>
      </c>
      <c r="U131" s="530">
        <f t="shared" si="62"/>
        <v>3</v>
      </c>
      <c r="V131" s="530">
        <f t="shared" si="63"/>
        <v>1</v>
      </c>
      <c r="W131" s="573">
        <v>0</v>
      </c>
      <c r="X131">
        <v>3</v>
      </c>
      <c r="Y131">
        <v>3</v>
      </c>
      <c r="Z131">
        <v>1</v>
      </c>
      <c r="AA131">
        <v>3</v>
      </c>
      <c r="AB131">
        <v>3</v>
      </c>
      <c r="AC131">
        <v>1</v>
      </c>
      <c r="AD131">
        <v>3</v>
      </c>
      <c r="AE131">
        <v>3</v>
      </c>
      <c r="AF131">
        <v>1</v>
      </c>
      <c r="AG131" s="537">
        <f t="shared" si="37"/>
        <v>0</v>
      </c>
      <c r="AH131" s="537">
        <f t="shared" si="38"/>
        <v>0</v>
      </c>
    </row>
    <row r="132" spans="1:38" customFormat="1">
      <c r="A132" s="399" t="s">
        <v>2419</v>
      </c>
      <c r="B132" s="413" t="s">
        <v>256</v>
      </c>
      <c r="C132" s="392">
        <f>IF(bp_pct&gt;0,tot_bp_man,0)</f>
        <v>0</v>
      </c>
      <c r="D132" s="413" t="s">
        <v>2305</v>
      </c>
      <c r="E132" s="402" t="str">
        <f>IF(bp_pct=0,"NA",bypass_valve_size)</f>
        <v>NA</v>
      </c>
      <c r="F132" s="189" t="str">
        <f>IF(bp_pct=0," ","in. diam")</f>
        <v xml:space="preserve"> </v>
      </c>
      <c r="G132" s="415" t="str">
        <f>IF(bp_pct=0,"NA",(IF(curve=1,bypass_valve_size,VLOOKUP(bypass_valve_size,ci_bfv_cost_cl,2))))</f>
        <v>NA</v>
      </c>
      <c r="H132" s="189" t="str">
        <f>IF(bp_pct=0," ","in. diam")</f>
        <v xml:space="preserve"> </v>
      </c>
      <c r="I132" s="401" t="str">
        <f>IF(bp_pct=0,"NA",(IF(curve=1,ci_man_eq_bp,VLOOKUP(bypass_valve_size,ci_bfv_cost_cl,3))))</f>
        <v>NA</v>
      </c>
      <c r="J132" s="398" t="str">
        <f t="shared" si="68"/>
        <v>--</v>
      </c>
      <c r="K132" s="402" t="str">
        <f>IF(C132=0,"NA",VLOOKUP(E132,ci_bfv_cost_cl,IF(ss_cat="large",4,5)))</f>
        <v>NA</v>
      </c>
      <c r="L132" s="397"/>
      <c r="M132" s="34" t="str">
        <f>$B$114&amp;" "&amp;$B$97&amp;" - "&amp;B132</f>
        <v>Manual Valves - Bypass - Cast Iron</v>
      </c>
      <c r="N132" s="530">
        <f t="shared" si="55"/>
        <v>2</v>
      </c>
      <c r="O132" s="530">
        <f t="shared" si="56"/>
        <v>1</v>
      </c>
      <c r="P132" s="530">
        <f t="shared" si="57"/>
        <v>2</v>
      </c>
      <c r="Q132" s="530">
        <f t="shared" si="58"/>
        <v>2</v>
      </c>
      <c r="R132" s="530">
        <f t="shared" si="59"/>
        <v>1</v>
      </c>
      <c r="S132" s="530">
        <f t="shared" si="60"/>
        <v>2</v>
      </c>
      <c r="T132" s="530">
        <f t="shared" si="61"/>
        <v>2</v>
      </c>
      <c r="U132" s="530">
        <f t="shared" si="62"/>
        <v>1</v>
      </c>
      <c r="V132" s="530">
        <f t="shared" si="63"/>
        <v>2</v>
      </c>
      <c r="W132" s="573">
        <v>0</v>
      </c>
      <c r="X132">
        <v>2</v>
      </c>
      <c r="Y132">
        <v>1</v>
      </c>
      <c r="Z132">
        <v>2</v>
      </c>
      <c r="AA132">
        <v>2</v>
      </c>
      <c r="AB132">
        <v>1</v>
      </c>
      <c r="AC132">
        <v>2</v>
      </c>
      <c r="AD132">
        <v>2</v>
      </c>
      <c r="AE132">
        <v>1</v>
      </c>
      <c r="AF132">
        <v>2</v>
      </c>
      <c r="AG132" s="537">
        <f t="shared" si="37"/>
        <v>0</v>
      </c>
      <c r="AH132" s="537">
        <f t="shared" si="38"/>
        <v>0</v>
      </c>
    </row>
    <row r="133" spans="1:38" customFormat="1">
      <c r="A133" s="493" t="s">
        <v>885</v>
      </c>
      <c r="B133" s="239" t="s">
        <v>1640</v>
      </c>
      <c r="C133" s="216"/>
      <c r="D133" s="864"/>
      <c r="E133" s="216"/>
      <c r="F133" s="865"/>
      <c r="G133" s="216"/>
      <c r="H133" s="865"/>
      <c r="I133" s="216"/>
      <c r="J133" s="216"/>
      <c r="K133" s="216"/>
      <c r="L133" s="246"/>
      <c r="M133" s="34"/>
      <c r="AG133" s="537">
        <f t="shared" si="37"/>
        <v>0</v>
      </c>
      <c r="AH133" s="537">
        <f t="shared" si="38"/>
        <v>0</v>
      </c>
    </row>
    <row r="134" spans="1:38" customFormat="1">
      <c r="A134" s="399" t="s">
        <v>886</v>
      </c>
      <c r="B134" s="400" t="s">
        <v>734</v>
      </c>
      <c r="C134" s="392">
        <f>tot_back_chv</f>
        <v>1</v>
      </c>
      <c r="D134" s="392" t="s">
        <v>2305</v>
      </c>
      <c r="E134" s="402">
        <f>IF(C134=0,"NA",back_valve_size)</f>
        <v>6</v>
      </c>
      <c r="F134" s="189" t="str">
        <f t="shared" ref="F134:F145" si="70">IF(C134=0,"","in. diam")</f>
        <v>in. diam</v>
      </c>
      <c r="G134" s="402">
        <f>IF(C134=0,"NA",IF(curve=1,back_valve_size,VLOOKUP(back_valve_size,pp_chv_cost_cl,2)))</f>
        <v>6</v>
      </c>
      <c r="H134" s="189" t="str">
        <f t="shared" ref="H134:H145" si="71">IF(C134=0,"","in. diam")</f>
        <v>in. diam</v>
      </c>
      <c r="I134" s="401">
        <f>IF(C134=0,"NA",IF(curve=1,pp_chv_eq_back,VLOOKUP(back_valve_size,pp_chv_cost_cl,3)))</f>
        <v>1334.9986503970001</v>
      </c>
      <c r="J134" s="398">
        <f>IF(C134=0,0,IF(I134="contact vendor","--",C134*I134))</f>
        <v>1334.9986503970001</v>
      </c>
      <c r="K134" s="402">
        <f>IF(C134=0,"NA",VLOOKUP(back_valve_size,pp_chv_cost_cl,IF(ss_cat="large",4,5)))</f>
        <v>20</v>
      </c>
      <c r="L134" s="403">
        <v>1</v>
      </c>
      <c r="M134" s="34" t="str">
        <f t="shared" ref="M134:M148" si="72">$B$133&amp;" - "&amp;B134</f>
        <v>Check Valves - Backwash - Polypropylene/PVC</v>
      </c>
      <c r="N134" s="530">
        <f t="shared" ref="N134:N148" si="73">IF(retrofit=1,$W134*X134,IF(ISBLANK(X134),"",X134))</f>
        <v>1</v>
      </c>
      <c r="O134" s="530">
        <f t="shared" ref="O134:O148" si="74">IF(retrofit=1,$W134*Y134,IF(ISBLANK(Y134),"",Y134))</f>
        <v>2</v>
      </c>
      <c r="P134" s="530">
        <f t="shared" ref="P134:P148" si="75">IF(retrofit=1,$W134*Z134,IF(ISBLANK(Z134),"",Z134))</f>
        <v>3</v>
      </c>
      <c r="Q134" s="530">
        <f t="shared" ref="Q134:Q148" si="76">IF(retrofit=1,$W134*AA134,IF(ISBLANK(AA134),"",AA134))</f>
        <v>1</v>
      </c>
      <c r="R134" s="530">
        <f t="shared" ref="R134:R148" si="77">IF(retrofit=1,$W134*AB134,IF(ISBLANK(AB134),"",AB134))</f>
        <v>2</v>
      </c>
      <c r="S134" s="530">
        <f t="shared" ref="S134:S148" si="78">IF(retrofit=1,$W134*AC134,IF(ISBLANK(AC134),"",AC134))</f>
        <v>3</v>
      </c>
      <c r="T134" s="530">
        <f t="shared" ref="T134:T148" si="79">IF(retrofit=1,$W134*AD134,IF(ISBLANK(AD134),"",AD134))</f>
        <v>1</v>
      </c>
      <c r="U134" s="530">
        <f t="shared" ref="U134:U148" si="80">IF(retrofit=1,$W134*AE134,IF(ISBLANK(AE134),"",AE134))</f>
        <v>2</v>
      </c>
      <c r="V134" s="530">
        <f t="shared" ref="V134:V148" si="81">IF(retrofit=1,$W134*AF134,IF(ISBLANK(AF134),"",AF134))</f>
        <v>3</v>
      </c>
      <c r="W134" s="573">
        <v>0</v>
      </c>
      <c r="X134">
        <v>1</v>
      </c>
      <c r="Y134">
        <v>2</v>
      </c>
      <c r="Z134">
        <v>3</v>
      </c>
      <c r="AA134">
        <v>1</v>
      </c>
      <c r="AB134">
        <v>2</v>
      </c>
      <c r="AC134">
        <v>3</v>
      </c>
      <c r="AD134">
        <v>1</v>
      </c>
      <c r="AE134">
        <v>2</v>
      </c>
      <c r="AF134">
        <v>3</v>
      </c>
      <c r="AG134" s="537">
        <f t="shared" si="37"/>
        <v>1</v>
      </c>
      <c r="AH134" s="537">
        <f t="shared" si="38"/>
        <v>66.749932519850006</v>
      </c>
    </row>
    <row r="135" spans="1:38" customFormat="1">
      <c r="A135" s="399" t="s">
        <v>886</v>
      </c>
      <c r="B135" s="189" t="s">
        <v>733</v>
      </c>
      <c r="C135" s="392">
        <f>tot_back_chv</f>
        <v>1</v>
      </c>
      <c r="D135" s="392" t="s">
        <v>2305</v>
      </c>
      <c r="E135" s="402">
        <f>IF(C135=0,"NA",back_valve_size)</f>
        <v>6</v>
      </c>
      <c r="F135" s="189" t="str">
        <f t="shared" si="70"/>
        <v>in. diam</v>
      </c>
      <c r="G135" s="402">
        <f>IF(C135=0,"NA",IF(curve=1,back_valve_size,VLOOKUP(back_valve_size,ss_chv_cost_cl,2)))</f>
        <v>6</v>
      </c>
      <c r="H135" s="189" t="str">
        <f t="shared" si="71"/>
        <v>in. diam</v>
      </c>
      <c r="I135" s="401">
        <f>IF(C135=0,"NA",IF(curve=1,ss_chv_eq_back,VLOOKUP(back_valve_size,ss_chv_cost_cl,3)))</f>
        <v>3024.5856832219997</v>
      </c>
      <c r="J135" s="398">
        <f>IF(C135=0,0,IF(I135="contact vendor","--",C135*I135))</f>
        <v>3024.5856832219997</v>
      </c>
      <c r="K135" s="402">
        <f>IF(C135=0,"NA",VLOOKUP(back_valve_size,ss_chv_cost_cl,IF(ss_cat="large",4,5)))</f>
        <v>20</v>
      </c>
      <c r="L135" s="403">
        <v>0</v>
      </c>
      <c r="M135" s="34" t="str">
        <f t="shared" si="72"/>
        <v>Check Valves - Backwash - Stainless Steel</v>
      </c>
      <c r="N135" s="530">
        <f t="shared" si="73"/>
        <v>3</v>
      </c>
      <c r="O135" s="530">
        <f t="shared" si="74"/>
        <v>3</v>
      </c>
      <c r="P135" s="530">
        <f t="shared" si="75"/>
        <v>1</v>
      </c>
      <c r="Q135" s="530">
        <f t="shared" si="76"/>
        <v>3</v>
      </c>
      <c r="R135" s="530">
        <f t="shared" si="77"/>
        <v>3</v>
      </c>
      <c r="S135" s="530">
        <f t="shared" si="78"/>
        <v>1</v>
      </c>
      <c r="T135" s="530">
        <f t="shared" si="79"/>
        <v>3</v>
      </c>
      <c r="U135" s="530">
        <f t="shared" si="80"/>
        <v>3</v>
      </c>
      <c r="V135" s="530">
        <f t="shared" si="81"/>
        <v>1</v>
      </c>
      <c r="W135" s="573">
        <v>0</v>
      </c>
      <c r="X135">
        <v>3</v>
      </c>
      <c r="Y135">
        <v>3</v>
      </c>
      <c r="Z135">
        <v>1</v>
      </c>
      <c r="AA135">
        <v>3</v>
      </c>
      <c r="AB135">
        <v>3</v>
      </c>
      <c r="AC135">
        <v>1</v>
      </c>
      <c r="AD135">
        <v>3</v>
      </c>
      <c r="AE135">
        <v>3</v>
      </c>
      <c r="AF135">
        <v>1</v>
      </c>
      <c r="AG135" s="537">
        <f t="shared" si="37"/>
        <v>0</v>
      </c>
      <c r="AH135" s="537">
        <f t="shared" si="38"/>
        <v>0</v>
      </c>
    </row>
    <row r="136" spans="1:38" customFormat="1">
      <c r="A136" s="399" t="s">
        <v>886</v>
      </c>
      <c r="B136" s="189" t="s">
        <v>735</v>
      </c>
      <c r="C136" s="392">
        <f>tot_back_chv</f>
        <v>1</v>
      </c>
      <c r="D136" s="392" t="s">
        <v>2305</v>
      </c>
      <c r="E136" s="402">
        <f>IF(C136=0,"NA",back_valve_size)</f>
        <v>6</v>
      </c>
      <c r="F136" s="189" t="str">
        <f t="shared" si="70"/>
        <v>in. diam</v>
      </c>
      <c r="G136" s="402">
        <f>IF(C136=0,"NA",IF(curve=1,back_valve_size,VLOOKUP(back_valve_size,ci_bfv_cost_cl,2)))</f>
        <v>6</v>
      </c>
      <c r="H136" s="189" t="str">
        <f t="shared" si="71"/>
        <v>in. diam</v>
      </c>
      <c r="I136" s="401">
        <f>IF(C136=0,"NA",IF(curve=1,ci_chv_eq_back,VLOOKUP(back_valve_size,ci_bfv_cost_cl,3)))</f>
        <v>1904.2438319790003</v>
      </c>
      <c r="J136" s="398">
        <f>IF(C136=0,0,IF(I136="contact vendor","--",C136*I136))</f>
        <v>1904.2438319790003</v>
      </c>
      <c r="K136" s="402">
        <f>IF(C136=0,"NA",VLOOKUP(back_valve_size,ci_bfv_cost_cl,IF(ss_cat="large",4,5)))</f>
        <v>20</v>
      </c>
      <c r="L136" s="403">
        <v>0</v>
      </c>
      <c r="M136" s="34" t="str">
        <f t="shared" si="72"/>
        <v>Check Valves - Backwash - Cast Iron</v>
      </c>
      <c r="N136" s="530">
        <f t="shared" si="73"/>
        <v>2</v>
      </c>
      <c r="O136" s="530">
        <f t="shared" si="74"/>
        <v>1</v>
      </c>
      <c r="P136" s="530">
        <f t="shared" si="75"/>
        <v>2</v>
      </c>
      <c r="Q136" s="530">
        <f t="shared" si="76"/>
        <v>2</v>
      </c>
      <c r="R136" s="530">
        <f t="shared" si="77"/>
        <v>1</v>
      </c>
      <c r="S136" s="530">
        <f t="shared" si="78"/>
        <v>2</v>
      </c>
      <c r="T136" s="530">
        <f t="shared" si="79"/>
        <v>2</v>
      </c>
      <c r="U136" s="530">
        <f t="shared" si="80"/>
        <v>1</v>
      </c>
      <c r="V136" s="530">
        <f t="shared" si="81"/>
        <v>2</v>
      </c>
      <c r="W136" s="573">
        <v>0</v>
      </c>
      <c r="X136">
        <v>2</v>
      </c>
      <c r="Y136">
        <v>1</v>
      </c>
      <c r="Z136">
        <v>2</v>
      </c>
      <c r="AA136">
        <v>2</v>
      </c>
      <c r="AB136">
        <v>1</v>
      </c>
      <c r="AC136">
        <v>2</v>
      </c>
      <c r="AD136">
        <v>2</v>
      </c>
      <c r="AE136">
        <v>1</v>
      </c>
      <c r="AF136">
        <v>2</v>
      </c>
      <c r="AG136" s="537">
        <f t="shared" si="37"/>
        <v>0</v>
      </c>
      <c r="AH136" s="537">
        <f t="shared" si="38"/>
        <v>0</v>
      </c>
    </row>
    <row r="137" spans="1:38" customFormat="1">
      <c r="A137" s="399" t="s">
        <v>661</v>
      </c>
      <c r="B137" s="400" t="s">
        <v>2713</v>
      </c>
      <c r="C137" s="392">
        <f>tot_res_chv</f>
        <v>1</v>
      </c>
      <c r="D137" s="392" t="s">
        <v>2305</v>
      </c>
      <c r="E137" s="402">
        <f>IF(C137=0,"NA",res_valve_size)</f>
        <v>6</v>
      </c>
      <c r="F137" s="189" t="str">
        <f t="shared" si="70"/>
        <v>in. diam</v>
      </c>
      <c r="G137" s="402">
        <f>IF(C137=0,"NA",IF(curve=1,res_valve_size,VLOOKUP(res_valve_size,pp_chv_cost_cl,2)))</f>
        <v>6</v>
      </c>
      <c r="H137" s="189" t="str">
        <f t="shared" si="71"/>
        <v>in. diam</v>
      </c>
      <c r="I137" s="401">
        <f>IF(C137=0,0,IF(curve=1,pp_chv_eq_res,VLOOKUP(res_valve_size,pp_chv_cost_cl,3)))</f>
        <v>1334.9986503970001</v>
      </c>
      <c r="J137" s="398">
        <f>IF(I137=0,0,IF(I137="contact vendor","--",C137*I137))</f>
        <v>1334.9986503970001</v>
      </c>
      <c r="K137" s="402">
        <f>IF(C137=0,"NA",VLOOKUP(res_valve_size,pp_chv_cost_cl,IF(ss_cat="large",4,5)))</f>
        <v>20</v>
      </c>
      <c r="L137" s="403">
        <v>1</v>
      </c>
      <c r="M137" s="34" t="str">
        <f t="shared" ref="M137:M142" si="82">$B$133&amp;" - "&amp;B137</f>
        <v>Check Valves - Residuals - Polypropylene/PVC</v>
      </c>
      <c r="N137" s="530">
        <f t="shared" si="73"/>
        <v>1</v>
      </c>
      <c r="O137" s="530">
        <f t="shared" si="74"/>
        <v>2</v>
      </c>
      <c r="P137" s="530">
        <f t="shared" si="75"/>
        <v>3</v>
      </c>
      <c r="Q137" s="530">
        <f t="shared" si="76"/>
        <v>1</v>
      </c>
      <c r="R137" s="530">
        <f t="shared" si="77"/>
        <v>2</v>
      </c>
      <c r="S137" s="530">
        <f t="shared" si="78"/>
        <v>3</v>
      </c>
      <c r="T137" s="530">
        <f t="shared" si="79"/>
        <v>1</v>
      </c>
      <c r="U137" s="530">
        <f t="shared" si="80"/>
        <v>2</v>
      </c>
      <c r="V137" s="530">
        <f t="shared" si="81"/>
        <v>3</v>
      </c>
      <c r="W137" s="573">
        <v>0</v>
      </c>
      <c r="X137">
        <v>1</v>
      </c>
      <c r="Y137">
        <v>2</v>
      </c>
      <c r="Z137">
        <v>3</v>
      </c>
      <c r="AA137">
        <v>1</v>
      </c>
      <c r="AB137">
        <v>2</v>
      </c>
      <c r="AC137">
        <v>3</v>
      </c>
      <c r="AD137">
        <v>1</v>
      </c>
      <c r="AE137">
        <v>2</v>
      </c>
      <c r="AF137">
        <v>3</v>
      </c>
      <c r="AG137" s="537">
        <f t="shared" si="37"/>
        <v>1</v>
      </c>
      <c r="AH137" s="537">
        <f t="shared" si="38"/>
        <v>66.749932519850006</v>
      </c>
    </row>
    <row r="138" spans="1:38" customFormat="1">
      <c r="A138" s="399" t="s">
        <v>661</v>
      </c>
      <c r="B138" s="189" t="s">
        <v>2714</v>
      </c>
      <c r="C138" s="392">
        <f>tot_res_chv</f>
        <v>1</v>
      </c>
      <c r="D138" s="392" t="s">
        <v>2305</v>
      </c>
      <c r="E138" s="402">
        <f>IF(C138=0,"NA",res_valve_size)</f>
        <v>6</v>
      </c>
      <c r="F138" s="189" t="str">
        <f t="shared" si="70"/>
        <v>in. diam</v>
      </c>
      <c r="G138" s="402">
        <f>IF(C138=0,"NA",IF(curve=1,res_valve_size,VLOOKUP(res_valve_size,ss_chv_cost_cl,2)))</f>
        <v>6</v>
      </c>
      <c r="H138" s="189" t="str">
        <f t="shared" si="71"/>
        <v>in. diam</v>
      </c>
      <c r="I138" s="401">
        <f>IF(C138=0,0,IF(curve=1,ss_chv_eq_res,VLOOKUP(res_valve_size,ss_chv_cost_cl,3)))</f>
        <v>3024.5856832219997</v>
      </c>
      <c r="J138" s="398">
        <f>IF(I138=0,0,IF(I138="contact vendor","--",C138*I138))</f>
        <v>3024.5856832219997</v>
      </c>
      <c r="K138" s="392">
        <f>IF(C138=0,"NA",VLOOKUP(res_valve_size,ss_chv_cost_cl,IF(ss_cat="large",4,5)))</f>
        <v>20</v>
      </c>
      <c r="L138" s="397">
        <v>0</v>
      </c>
      <c r="M138" s="34" t="str">
        <f t="shared" si="82"/>
        <v>Check Valves - Residuals - Stainless Steel</v>
      </c>
      <c r="N138" s="530">
        <f t="shared" si="73"/>
        <v>3</v>
      </c>
      <c r="O138" s="530">
        <f t="shared" si="74"/>
        <v>3</v>
      </c>
      <c r="P138" s="530">
        <f t="shared" si="75"/>
        <v>1</v>
      </c>
      <c r="Q138" s="530">
        <f t="shared" si="76"/>
        <v>3</v>
      </c>
      <c r="R138" s="530">
        <f t="shared" si="77"/>
        <v>3</v>
      </c>
      <c r="S138" s="530">
        <f t="shared" si="78"/>
        <v>1</v>
      </c>
      <c r="T138" s="530">
        <f t="shared" si="79"/>
        <v>3</v>
      </c>
      <c r="U138" s="530">
        <f t="shared" si="80"/>
        <v>3</v>
      </c>
      <c r="V138" s="530">
        <f t="shared" si="81"/>
        <v>1</v>
      </c>
      <c r="W138" s="573">
        <v>0</v>
      </c>
      <c r="X138">
        <v>3</v>
      </c>
      <c r="Y138">
        <v>3</v>
      </c>
      <c r="Z138">
        <v>1</v>
      </c>
      <c r="AA138">
        <v>3</v>
      </c>
      <c r="AB138">
        <v>3</v>
      </c>
      <c r="AC138">
        <v>1</v>
      </c>
      <c r="AD138">
        <v>3</v>
      </c>
      <c r="AE138">
        <v>3</v>
      </c>
      <c r="AF138">
        <v>1</v>
      </c>
      <c r="AG138" s="537">
        <f t="shared" si="37"/>
        <v>0</v>
      </c>
      <c r="AH138" s="537">
        <f t="shared" si="38"/>
        <v>0</v>
      </c>
    </row>
    <row r="139" spans="1:38" customFormat="1">
      <c r="A139" s="399" t="s">
        <v>661</v>
      </c>
      <c r="B139" s="189" t="s">
        <v>2715</v>
      </c>
      <c r="C139" s="392">
        <f>tot_res_chv</f>
        <v>1</v>
      </c>
      <c r="D139" s="392" t="s">
        <v>2305</v>
      </c>
      <c r="E139" s="402">
        <f>IF(C139=0,"NA",res_valve_size)</f>
        <v>6</v>
      </c>
      <c r="F139" s="189" t="str">
        <f t="shared" si="70"/>
        <v>in. diam</v>
      </c>
      <c r="G139" s="402">
        <f>IF(C139=0,"NA",IF(curve=1,res_valve_size,VLOOKUP(res_valve_size,ci_chv_cost_cl,2)))</f>
        <v>6</v>
      </c>
      <c r="H139" s="189" t="str">
        <f t="shared" si="71"/>
        <v>in. diam</v>
      </c>
      <c r="I139" s="401">
        <f>IF(C139=0,0,IF(curve=1,ci_chv_eq_res,VLOOKUP(res_valve_size,ci_chv_cost_cl,3)))</f>
        <v>1904.2438319790003</v>
      </c>
      <c r="J139" s="398">
        <f>IF(I139=0,0,IF(I139="contact vendor","--",C139*I139))</f>
        <v>1904.2438319790003</v>
      </c>
      <c r="K139" s="415">
        <f>IF(C139=0,"NA",VLOOKUP(res_valve_size,ci_chv_cost_cl,IF(ss_cat="large",4,5)))</f>
        <v>20</v>
      </c>
      <c r="L139" s="417">
        <v>0</v>
      </c>
      <c r="M139" s="34" t="str">
        <f t="shared" si="82"/>
        <v>Check Valves - Residuals - Cast Iron</v>
      </c>
      <c r="N139" s="530">
        <f t="shared" si="73"/>
        <v>2</v>
      </c>
      <c r="O139" s="530">
        <f t="shared" si="74"/>
        <v>1</v>
      </c>
      <c r="P139" s="530">
        <f t="shared" si="75"/>
        <v>2</v>
      </c>
      <c r="Q139" s="530">
        <f t="shared" si="76"/>
        <v>2</v>
      </c>
      <c r="R139" s="530">
        <f t="shared" si="77"/>
        <v>1</v>
      </c>
      <c r="S139" s="530">
        <f t="shared" si="78"/>
        <v>2</v>
      </c>
      <c r="T139" s="530">
        <f t="shared" si="79"/>
        <v>2</v>
      </c>
      <c r="U139" s="530">
        <f t="shared" si="80"/>
        <v>1</v>
      </c>
      <c r="V139" s="530">
        <f t="shared" si="81"/>
        <v>2</v>
      </c>
      <c r="W139" s="573">
        <v>0</v>
      </c>
      <c r="X139">
        <v>2</v>
      </c>
      <c r="Y139">
        <v>1</v>
      </c>
      <c r="Z139">
        <v>2</v>
      </c>
      <c r="AA139">
        <v>2</v>
      </c>
      <c r="AB139">
        <v>1</v>
      </c>
      <c r="AC139">
        <v>2</v>
      </c>
      <c r="AD139">
        <v>2</v>
      </c>
      <c r="AE139">
        <v>1</v>
      </c>
      <c r="AF139">
        <v>2</v>
      </c>
      <c r="AG139" s="537">
        <f t="shared" si="37"/>
        <v>0</v>
      </c>
      <c r="AH139" s="537">
        <f t="shared" si="38"/>
        <v>0</v>
      </c>
    </row>
    <row r="140" spans="1:38" customFormat="1">
      <c r="A140" s="399" t="s">
        <v>662</v>
      </c>
      <c r="B140" s="400" t="s">
        <v>1866</v>
      </c>
      <c r="C140" s="392">
        <f>tot_polymer_chv</f>
        <v>0</v>
      </c>
      <c r="D140" s="392" t="s">
        <v>2305</v>
      </c>
      <c r="E140" s="402" t="str">
        <f>IF(C140=0,"NA",polymer_valve_size)</f>
        <v>NA</v>
      </c>
      <c r="F140" s="189" t="str">
        <f>IF(C140=0,"","in. diam")</f>
        <v/>
      </c>
      <c r="G140" s="402" t="str">
        <f>IF(C140=0,"NA",IF(curve=1,polymer_valve_size,VLOOKUP(polymer_valve_size,pp_chv_cost_cl,2)))</f>
        <v>NA</v>
      </c>
      <c r="H140" s="189" t="str">
        <f>IF(C140=0,"","in. diam")</f>
        <v/>
      </c>
      <c r="I140" s="401" t="str">
        <f>IF(C140=0,"NA",IF(curve=1,pp_chv_eq_polymer,VLOOKUP(polymer_valve_size,pp_chv_cost_cl,3)))</f>
        <v>NA</v>
      </c>
      <c r="J140" s="398" t="str">
        <f t="shared" ref="J140:J145" si="83">IF(OR(C140=0,I140="contact vendor"),"--",C140*I140)</f>
        <v>--</v>
      </c>
      <c r="K140" s="402" t="str">
        <f>IF(C140=0,"NA",VLOOKUP(polymer_valve_size,pp_chv_cost_cl,IF(ss_cat="large",4,5)))</f>
        <v>NA</v>
      </c>
      <c r="L140" s="403"/>
      <c r="M140" s="34" t="str">
        <f t="shared" si="82"/>
        <v>Check Valves - Polymer - Polypropylene/PVC</v>
      </c>
      <c r="N140" s="530">
        <f t="shared" ref="N140:V142" si="84">IF(retrofit=1,$W140*X140,IF(ISBLANK(X140),"",X140))</f>
        <v>1</v>
      </c>
      <c r="O140" s="530">
        <f t="shared" si="84"/>
        <v>2</v>
      </c>
      <c r="P140" s="530">
        <f t="shared" si="84"/>
        <v>3</v>
      </c>
      <c r="Q140" s="530">
        <f t="shared" si="84"/>
        <v>1</v>
      </c>
      <c r="R140" s="530">
        <f t="shared" si="84"/>
        <v>2</v>
      </c>
      <c r="S140" s="530">
        <f t="shared" si="84"/>
        <v>3</v>
      </c>
      <c r="T140" s="530">
        <f t="shared" si="84"/>
        <v>1</v>
      </c>
      <c r="U140" s="530">
        <f t="shared" si="84"/>
        <v>2</v>
      </c>
      <c r="V140" s="530">
        <f t="shared" si="84"/>
        <v>3</v>
      </c>
      <c r="W140" s="573">
        <v>0</v>
      </c>
      <c r="X140">
        <v>1</v>
      </c>
      <c r="Y140">
        <v>2</v>
      </c>
      <c r="Z140">
        <v>3</v>
      </c>
      <c r="AA140">
        <v>1</v>
      </c>
      <c r="AB140">
        <v>2</v>
      </c>
      <c r="AC140">
        <v>3</v>
      </c>
      <c r="AD140">
        <v>1</v>
      </c>
      <c r="AE140">
        <v>2</v>
      </c>
      <c r="AF140">
        <v>3</v>
      </c>
      <c r="AG140" s="537">
        <f t="shared" si="37"/>
        <v>0</v>
      </c>
      <c r="AH140" s="537">
        <f t="shared" si="38"/>
        <v>0</v>
      </c>
    </row>
    <row r="141" spans="1:38" customFormat="1">
      <c r="A141" s="399" t="s">
        <v>662</v>
      </c>
      <c r="B141" s="189" t="s">
        <v>1867</v>
      </c>
      <c r="C141" s="392">
        <f>tot_polymer_chv</f>
        <v>0</v>
      </c>
      <c r="D141" s="392" t="s">
        <v>2305</v>
      </c>
      <c r="E141" s="402" t="str">
        <f>IF(C141=0,"NA",polymer_valve_size)</f>
        <v>NA</v>
      </c>
      <c r="F141" s="189" t="str">
        <f>IF(C141=0,"","in. diam")</f>
        <v/>
      </c>
      <c r="G141" s="402" t="str">
        <f>IF(C141=0,"NA",IF(curve=1,polymer_valve_size,VLOOKUP(polymer_valve_size,ss_chv_cost_cl,2)))</f>
        <v>NA</v>
      </c>
      <c r="H141" s="189" t="str">
        <f>IF(C141=0,"","in. diam")</f>
        <v/>
      </c>
      <c r="I141" s="401" t="str">
        <f>IF(C141=0,"NA",IF(curve=1,ss_chv_eq_polymer,VLOOKUP(polymer_valve_size,ss_chv_cost_cl,3)))</f>
        <v>NA</v>
      </c>
      <c r="J141" s="398" t="str">
        <f t="shared" si="83"/>
        <v>--</v>
      </c>
      <c r="K141" s="402" t="str">
        <f>IF(C141=0,"NA",VLOOKUP(polymer_valve_size,ss_chv_cost_cl,IF(ss_cat="large",4,5)))</f>
        <v>NA</v>
      </c>
      <c r="L141" s="397"/>
      <c r="M141" s="34" t="str">
        <f t="shared" si="82"/>
        <v>Check Valves - Polymer - Stainless Steel</v>
      </c>
      <c r="N141" s="530">
        <f t="shared" si="84"/>
        <v>3</v>
      </c>
      <c r="O141" s="530">
        <f t="shared" si="84"/>
        <v>3</v>
      </c>
      <c r="P141" s="530">
        <f t="shared" si="84"/>
        <v>1</v>
      </c>
      <c r="Q141" s="530">
        <f t="shared" si="84"/>
        <v>3</v>
      </c>
      <c r="R141" s="530">
        <f t="shared" si="84"/>
        <v>3</v>
      </c>
      <c r="S141" s="530">
        <f t="shared" si="84"/>
        <v>1</v>
      </c>
      <c r="T141" s="530">
        <f t="shared" si="84"/>
        <v>3</v>
      </c>
      <c r="U141" s="530">
        <f t="shared" si="84"/>
        <v>3</v>
      </c>
      <c r="V141" s="530">
        <f t="shared" si="84"/>
        <v>1</v>
      </c>
      <c r="W141" s="573">
        <v>0</v>
      </c>
      <c r="X141">
        <v>3</v>
      </c>
      <c r="Y141">
        <v>3</v>
      </c>
      <c r="Z141">
        <v>1</v>
      </c>
      <c r="AA141">
        <v>3</v>
      </c>
      <c r="AB141">
        <v>3</v>
      </c>
      <c r="AC141">
        <v>1</v>
      </c>
      <c r="AD141">
        <v>3</v>
      </c>
      <c r="AE141">
        <v>3</v>
      </c>
      <c r="AF141">
        <v>1</v>
      </c>
      <c r="AG141" s="537">
        <f t="shared" si="37"/>
        <v>0</v>
      </c>
      <c r="AH141" s="537">
        <f t="shared" si="38"/>
        <v>0</v>
      </c>
    </row>
    <row r="142" spans="1:38" customFormat="1">
      <c r="A142" s="399" t="s">
        <v>662</v>
      </c>
      <c r="B142" s="189" t="s">
        <v>1868</v>
      </c>
      <c r="C142" s="392">
        <f>tot_polymer_chv</f>
        <v>0</v>
      </c>
      <c r="D142" s="392" t="s">
        <v>2305</v>
      </c>
      <c r="E142" s="402" t="str">
        <f>IF(C142=0,"NA",polymer_valve_size)</f>
        <v>NA</v>
      </c>
      <c r="F142" s="189" t="str">
        <f>IF(C142=0,"","in. diam")</f>
        <v/>
      </c>
      <c r="G142" s="402" t="str">
        <f>IF(C142=0,"NA",IF(curve=1,polymer_valve_size,VLOOKUP(polymer_valve_size,ci_chv_cost_cl,2)))</f>
        <v>NA</v>
      </c>
      <c r="H142" s="189" t="str">
        <f>IF(C142=0,"","in. diam")</f>
        <v/>
      </c>
      <c r="I142" s="401" t="str">
        <f>IF(C142=0,"NA",IF(curve=1,ci_chv_eq_polymer,VLOOKUP(polymer_valve_size,ci_chv_cost_cl,3)))</f>
        <v>NA</v>
      </c>
      <c r="J142" s="398" t="str">
        <f t="shared" si="83"/>
        <v>--</v>
      </c>
      <c r="K142" s="415" t="str">
        <f>IF(C142=0,"NA",VLOOKUP(polymer_valve_size,ci_chv_cost_cl,IF(ss_cat="large",4,5)))</f>
        <v>NA</v>
      </c>
      <c r="L142" s="417"/>
      <c r="M142" s="34" t="str">
        <f t="shared" si="82"/>
        <v>Check Valves - Polymer - Cast Iron</v>
      </c>
      <c r="N142" s="530">
        <f t="shared" si="84"/>
        <v>2</v>
      </c>
      <c r="O142" s="530">
        <f t="shared" si="84"/>
        <v>1</v>
      </c>
      <c r="P142" s="530">
        <f t="shared" si="84"/>
        <v>2</v>
      </c>
      <c r="Q142" s="530">
        <f t="shared" si="84"/>
        <v>2</v>
      </c>
      <c r="R142" s="530">
        <f t="shared" si="84"/>
        <v>1</v>
      </c>
      <c r="S142" s="530">
        <f t="shared" si="84"/>
        <v>2</v>
      </c>
      <c r="T142" s="530">
        <f t="shared" si="84"/>
        <v>2</v>
      </c>
      <c r="U142" s="530">
        <f t="shared" si="84"/>
        <v>1</v>
      </c>
      <c r="V142" s="530">
        <f t="shared" si="84"/>
        <v>2</v>
      </c>
      <c r="W142" s="573">
        <v>0</v>
      </c>
      <c r="X142">
        <v>2</v>
      </c>
      <c r="Y142">
        <v>1</v>
      </c>
      <c r="Z142">
        <v>2</v>
      </c>
      <c r="AA142">
        <v>2</v>
      </c>
      <c r="AB142">
        <v>1</v>
      </c>
      <c r="AC142">
        <v>2</v>
      </c>
      <c r="AD142">
        <v>2</v>
      </c>
      <c r="AE142">
        <v>1</v>
      </c>
      <c r="AF142">
        <v>2</v>
      </c>
      <c r="AG142" s="537">
        <f t="shared" si="37"/>
        <v>0</v>
      </c>
      <c r="AH142" s="537">
        <f t="shared" si="38"/>
        <v>0</v>
      </c>
    </row>
    <row r="143" spans="1:38" customFormat="1">
      <c r="A143" s="399" t="s">
        <v>663</v>
      </c>
      <c r="B143" s="400" t="s">
        <v>736</v>
      </c>
      <c r="C143" s="392">
        <f>tot_in_chv</f>
        <v>0</v>
      </c>
      <c r="D143" s="392" t="s">
        <v>2305</v>
      </c>
      <c r="E143" s="402" t="str">
        <f>IF(C143=0,"NA",in_valve_size)</f>
        <v>NA</v>
      </c>
      <c r="F143" s="189" t="str">
        <f t="shared" si="70"/>
        <v/>
      </c>
      <c r="G143" s="402" t="str">
        <f>IF(C143=0,"NA",IF(curve=1,in_valve_size,VLOOKUP(in_valve_size,pp_chv_cost_cl,2)))</f>
        <v>NA</v>
      </c>
      <c r="H143" s="189" t="str">
        <f t="shared" si="71"/>
        <v/>
      </c>
      <c r="I143" s="401" t="str">
        <f>IF(C143=0,"NA",IF(curve=1,pp_chv_eq_in,VLOOKUP(in_valve_size,pp_chv_cost_cl,3)))</f>
        <v>NA</v>
      </c>
      <c r="J143" s="398" t="str">
        <f t="shared" si="83"/>
        <v>--</v>
      </c>
      <c r="K143" s="402" t="str">
        <f>IF(C143=0,"NA",VLOOKUP(in_valve_size,pp_chv_cost_cl,IF(ss_cat="large",4,5)))</f>
        <v>NA</v>
      </c>
      <c r="L143" s="403"/>
      <c r="M143" s="34" t="str">
        <f t="shared" si="72"/>
        <v>Check Valves - Inlet - Polypropylene/PVC</v>
      </c>
      <c r="N143" s="530">
        <f t="shared" si="73"/>
        <v>1</v>
      </c>
      <c r="O143" s="530">
        <f t="shared" si="74"/>
        <v>2</v>
      </c>
      <c r="P143" s="530">
        <f t="shared" si="75"/>
        <v>3</v>
      </c>
      <c r="Q143" s="530">
        <f t="shared" si="76"/>
        <v>1</v>
      </c>
      <c r="R143" s="530">
        <f t="shared" si="77"/>
        <v>2</v>
      </c>
      <c r="S143" s="530">
        <f t="shared" si="78"/>
        <v>3</v>
      </c>
      <c r="T143" s="530">
        <f t="shared" si="79"/>
        <v>1</v>
      </c>
      <c r="U143" s="530">
        <f t="shared" si="80"/>
        <v>2</v>
      </c>
      <c r="V143" s="530">
        <f t="shared" si="81"/>
        <v>3</v>
      </c>
      <c r="W143" s="573">
        <v>0</v>
      </c>
      <c r="X143">
        <v>1</v>
      </c>
      <c r="Y143">
        <v>2</v>
      </c>
      <c r="Z143">
        <v>3</v>
      </c>
      <c r="AA143">
        <v>1</v>
      </c>
      <c r="AB143">
        <v>2</v>
      </c>
      <c r="AC143">
        <v>3</v>
      </c>
      <c r="AD143">
        <v>1</v>
      </c>
      <c r="AE143">
        <v>2</v>
      </c>
      <c r="AF143">
        <v>3</v>
      </c>
      <c r="AG143" s="537">
        <f t="shared" si="37"/>
        <v>0</v>
      </c>
      <c r="AH143" s="537">
        <f t="shared" si="38"/>
        <v>0</v>
      </c>
    </row>
    <row r="144" spans="1:38" customFormat="1">
      <c r="A144" s="399" t="s">
        <v>663</v>
      </c>
      <c r="B144" s="189" t="s">
        <v>737</v>
      </c>
      <c r="C144" s="392">
        <f>tot_in_chv</f>
        <v>0</v>
      </c>
      <c r="D144" s="392" t="s">
        <v>2305</v>
      </c>
      <c r="E144" s="402" t="str">
        <f>IF(C144=0,"NA",in_valve_size)</f>
        <v>NA</v>
      </c>
      <c r="F144" s="189" t="str">
        <f t="shared" si="70"/>
        <v/>
      </c>
      <c r="G144" s="402" t="str">
        <f>IF(C144=0,"NA",IF(curve=1,in_valve_size,VLOOKUP(in_valve_size,ss_chv_cost_cl,2)))</f>
        <v>NA</v>
      </c>
      <c r="H144" s="189" t="str">
        <f t="shared" si="71"/>
        <v/>
      </c>
      <c r="I144" s="401" t="str">
        <f>IF(C144=0,"NA",IF(curve=1,ss_chv_eq_in,VLOOKUP(in_valve_size,ss_chv_cost_cl,3)))</f>
        <v>NA</v>
      </c>
      <c r="J144" s="398" t="str">
        <f t="shared" si="83"/>
        <v>--</v>
      </c>
      <c r="K144" s="402" t="str">
        <f>IF(C144=0,"NA",VLOOKUP(in_valve_size,ss_chv_cost_cl,IF(ss_cat="large",4,5)))</f>
        <v>NA</v>
      </c>
      <c r="L144" s="397"/>
      <c r="M144" s="34" t="str">
        <f t="shared" si="72"/>
        <v>Check Valves - Inlet - Stainless Steel</v>
      </c>
      <c r="N144" s="530">
        <f t="shared" si="73"/>
        <v>3</v>
      </c>
      <c r="O144" s="530">
        <f t="shared" si="74"/>
        <v>3</v>
      </c>
      <c r="P144" s="530">
        <f t="shared" si="75"/>
        <v>1</v>
      </c>
      <c r="Q144" s="530">
        <f t="shared" si="76"/>
        <v>3</v>
      </c>
      <c r="R144" s="530">
        <f t="shared" si="77"/>
        <v>3</v>
      </c>
      <c r="S144" s="530">
        <f t="shared" si="78"/>
        <v>1</v>
      </c>
      <c r="T144" s="530">
        <f t="shared" si="79"/>
        <v>3</v>
      </c>
      <c r="U144" s="530">
        <f t="shared" si="80"/>
        <v>3</v>
      </c>
      <c r="V144" s="530">
        <f t="shared" si="81"/>
        <v>1</v>
      </c>
      <c r="W144" s="573">
        <v>0</v>
      </c>
      <c r="X144">
        <v>3</v>
      </c>
      <c r="Y144">
        <v>3</v>
      </c>
      <c r="Z144">
        <v>1</v>
      </c>
      <c r="AA144">
        <v>3</v>
      </c>
      <c r="AB144">
        <v>3</v>
      </c>
      <c r="AC144">
        <v>1</v>
      </c>
      <c r="AD144">
        <v>3</v>
      </c>
      <c r="AE144">
        <v>3</v>
      </c>
      <c r="AF144">
        <v>1</v>
      </c>
      <c r="AG144" s="537">
        <f t="shared" si="37"/>
        <v>0</v>
      </c>
      <c r="AH144" s="537">
        <f t="shared" si="38"/>
        <v>0</v>
      </c>
    </row>
    <row r="145" spans="1:38" customFormat="1">
      <c r="A145" s="399" t="s">
        <v>663</v>
      </c>
      <c r="B145" s="189" t="s">
        <v>738</v>
      </c>
      <c r="C145" s="392">
        <f>tot_in_chv</f>
        <v>0</v>
      </c>
      <c r="D145" s="392" t="s">
        <v>2305</v>
      </c>
      <c r="E145" s="402" t="str">
        <f>IF(C145=0,"NA",in_valve_size)</f>
        <v>NA</v>
      </c>
      <c r="F145" s="189" t="str">
        <f t="shared" si="70"/>
        <v/>
      </c>
      <c r="G145" s="402" t="str">
        <f>IF(C145=0,"NA",IF(curve=1,in_valve_size,VLOOKUP(in_valve_size,ci_chv_cost_cl,2)))</f>
        <v>NA</v>
      </c>
      <c r="H145" s="189" t="str">
        <f t="shared" si="71"/>
        <v/>
      </c>
      <c r="I145" s="401" t="str">
        <f>IF(C145=0,"NA",IF(curve=1,ci_chv_eq_in,VLOOKUP(in_valve_size,ci_chv_cost_cl,3)))</f>
        <v>NA</v>
      </c>
      <c r="J145" s="398" t="str">
        <f t="shared" si="83"/>
        <v>--</v>
      </c>
      <c r="K145" s="415" t="str">
        <f>IF(C145=0,"NA",VLOOKUP(in_valve_size,ci_chv_cost_cl,IF(ss_cat="large",4,5)))</f>
        <v>NA</v>
      </c>
      <c r="L145" s="417"/>
      <c r="M145" s="34" t="str">
        <f t="shared" si="72"/>
        <v>Check Valves - Inlet - Cast Iron</v>
      </c>
      <c r="N145" s="530">
        <f t="shared" si="73"/>
        <v>2</v>
      </c>
      <c r="O145" s="530">
        <f t="shared" si="74"/>
        <v>1</v>
      </c>
      <c r="P145" s="530">
        <f t="shared" si="75"/>
        <v>2</v>
      </c>
      <c r="Q145" s="530">
        <f t="shared" si="76"/>
        <v>2</v>
      </c>
      <c r="R145" s="530">
        <f t="shared" si="77"/>
        <v>1</v>
      </c>
      <c r="S145" s="530">
        <f t="shared" si="78"/>
        <v>2</v>
      </c>
      <c r="T145" s="530">
        <f t="shared" si="79"/>
        <v>2</v>
      </c>
      <c r="U145" s="530">
        <f t="shared" si="80"/>
        <v>1</v>
      </c>
      <c r="V145" s="530">
        <f t="shared" si="81"/>
        <v>2</v>
      </c>
      <c r="W145" s="573">
        <v>0</v>
      </c>
      <c r="X145">
        <v>2</v>
      </c>
      <c r="Y145">
        <v>1</v>
      </c>
      <c r="Z145">
        <v>2</v>
      </c>
      <c r="AA145">
        <v>2</v>
      </c>
      <c r="AB145">
        <v>1</v>
      </c>
      <c r="AC145">
        <v>2</v>
      </c>
      <c r="AD145">
        <v>2</v>
      </c>
      <c r="AE145">
        <v>1</v>
      </c>
      <c r="AF145">
        <v>2</v>
      </c>
      <c r="AG145" s="537">
        <f t="shared" si="37"/>
        <v>0</v>
      </c>
      <c r="AH145" s="537">
        <f t="shared" si="38"/>
        <v>0</v>
      </c>
    </row>
    <row r="146" spans="1:38" customFormat="1">
      <c r="A146" s="399" t="s">
        <v>1865</v>
      </c>
      <c r="B146" s="413" t="s">
        <v>254</v>
      </c>
      <c r="C146" s="392">
        <f>IF(bp_pct&gt;0,tot_bp_chv,0)</f>
        <v>0</v>
      </c>
      <c r="D146" s="392" t="s">
        <v>2305</v>
      </c>
      <c r="E146" s="402" t="str">
        <f>IF(bp_pct=0,"NA",bypass_valve_size)</f>
        <v>NA</v>
      </c>
      <c r="F146" s="189" t="str">
        <f>IF(bp_pct=0," ","in. diam")</f>
        <v xml:space="preserve"> </v>
      </c>
      <c r="G146" s="402" t="str">
        <f>IF(bp_pct=0,"NA",(IF(curve=1,bypass_valve_size,VLOOKUP(bypass_valve_size,pp_chv_cost_cl,2))))</f>
        <v>NA</v>
      </c>
      <c r="H146" s="189" t="str">
        <f>IF(bp_pct=0," ","in. diam")</f>
        <v xml:space="preserve"> </v>
      </c>
      <c r="I146" s="416" t="str">
        <f>IF(bp_pct=0,"NA",(IF(curve=1,pp_chv_eq_bp,VLOOKUP(bypass_valve_size,pp_chv_cost_cl,3))))</f>
        <v>NA</v>
      </c>
      <c r="J146" s="396" t="str">
        <f>IF(bp_pct=0,"--",IF(I146="contact vendor","--",C146*I146))</f>
        <v>--</v>
      </c>
      <c r="K146" s="402" t="str">
        <f>IF(C146=0,"NA",VLOOKUP(E146,pp_chv_cost_cl,IF(ss_cat="large",4,5)))</f>
        <v>NA</v>
      </c>
      <c r="L146" s="417"/>
      <c r="M146" s="34" t="str">
        <f t="shared" si="72"/>
        <v>Check Valves - Bypass - Polypropylene/PVC</v>
      </c>
      <c r="N146" s="530">
        <f t="shared" si="73"/>
        <v>1</v>
      </c>
      <c r="O146" s="530">
        <f t="shared" si="74"/>
        <v>2</v>
      </c>
      <c r="P146" s="530">
        <f t="shared" si="75"/>
        <v>3</v>
      </c>
      <c r="Q146" s="530">
        <f t="shared" si="76"/>
        <v>1</v>
      </c>
      <c r="R146" s="530">
        <f t="shared" si="77"/>
        <v>2</v>
      </c>
      <c r="S146" s="530">
        <f t="shared" si="78"/>
        <v>3</v>
      </c>
      <c r="T146" s="530">
        <f t="shared" si="79"/>
        <v>1</v>
      </c>
      <c r="U146" s="530">
        <f t="shared" si="80"/>
        <v>2</v>
      </c>
      <c r="V146" s="530">
        <f t="shared" si="81"/>
        <v>3</v>
      </c>
      <c r="W146" s="573">
        <v>0</v>
      </c>
      <c r="X146">
        <v>1</v>
      </c>
      <c r="Y146">
        <v>2</v>
      </c>
      <c r="Z146">
        <v>3</v>
      </c>
      <c r="AA146">
        <v>1</v>
      </c>
      <c r="AB146">
        <v>2</v>
      </c>
      <c r="AC146">
        <v>3</v>
      </c>
      <c r="AD146">
        <v>1</v>
      </c>
      <c r="AE146">
        <v>2</v>
      </c>
      <c r="AF146">
        <v>3</v>
      </c>
      <c r="AG146" s="537">
        <f t="shared" si="37"/>
        <v>0</v>
      </c>
      <c r="AH146" s="537">
        <f t="shared" si="38"/>
        <v>0</v>
      </c>
    </row>
    <row r="147" spans="1:38" customFormat="1">
      <c r="A147" s="399" t="s">
        <v>1865</v>
      </c>
      <c r="B147" s="413" t="s">
        <v>255</v>
      </c>
      <c r="C147" s="392">
        <f>IF(bp_pct&gt;0,tot_bp_chv,0)</f>
        <v>0</v>
      </c>
      <c r="D147" s="392" t="s">
        <v>2305</v>
      </c>
      <c r="E147" s="402" t="str">
        <f>IF(bp_pct=0,"NA",bypass_valve_size)</f>
        <v>NA</v>
      </c>
      <c r="F147" s="189" t="str">
        <f>IF(bp_pct=0," ","in. diam")</f>
        <v xml:space="preserve"> </v>
      </c>
      <c r="G147" s="402" t="str">
        <f>IF(bp_pct=0,"NA",(IF(curve=1,bypass_valve_size,VLOOKUP(bypass_valve_size,ss_chv_cost_cl,2))))</f>
        <v>NA</v>
      </c>
      <c r="H147" s="189" t="str">
        <f>IF(bp_pct=0," ","in. diam")</f>
        <v xml:space="preserve"> </v>
      </c>
      <c r="I147" s="416" t="str">
        <f>IF(bp_pct=0,"NA",(IF(curve=1,ss_chv_eq_bp,VLOOKUP(bypass_valve_size,ss_chv_cost_cl,3))))</f>
        <v>NA</v>
      </c>
      <c r="J147" s="396" t="str">
        <f>IF(bp_pct=0,"--",IF(I147="contact vendor","--",C147*I147))</f>
        <v>--</v>
      </c>
      <c r="K147" s="402" t="str">
        <f>IF(C147=0,"NA",VLOOKUP(E147,ss_chv_cost_cl,IF(ss_cat="large",4,5)))</f>
        <v>NA</v>
      </c>
      <c r="L147" s="417"/>
      <c r="M147" s="34" t="str">
        <f t="shared" si="72"/>
        <v>Check Valves - Bypass - Stainless Steel</v>
      </c>
      <c r="N147" s="530">
        <f t="shared" si="73"/>
        <v>3</v>
      </c>
      <c r="O147" s="530">
        <f t="shared" si="74"/>
        <v>3</v>
      </c>
      <c r="P147" s="530">
        <f t="shared" si="75"/>
        <v>1</v>
      </c>
      <c r="Q147" s="530">
        <f t="shared" si="76"/>
        <v>3</v>
      </c>
      <c r="R147" s="530">
        <f t="shared" si="77"/>
        <v>3</v>
      </c>
      <c r="S147" s="530">
        <f t="shared" si="78"/>
        <v>1</v>
      </c>
      <c r="T147" s="530">
        <f t="shared" si="79"/>
        <v>3</v>
      </c>
      <c r="U147" s="530">
        <f t="shared" si="80"/>
        <v>3</v>
      </c>
      <c r="V147" s="530">
        <f t="shared" si="81"/>
        <v>1</v>
      </c>
      <c r="W147" s="573">
        <v>0</v>
      </c>
      <c r="X147">
        <v>3</v>
      </c>
      <c r="Y147">
        <v>3</v>
      </c>
      <c r="Z147">
        <v>1</v>
      </c>
      <c r="AA147">
        <v>3</v>
      </c>
      <c r="AB147">
        <v>3</v>
      </c>
      <c r="AC147">
        <v>1</v>
      </c>
      <c r="AD147">
        <v>3</v>
      </c>
      <c r="AE147">
        <v>3</v>
      </c>
      <c r="AF147">
        <v>1</v>
      </c>
      <c r="AG147" s="537">
        <f t="shared" si="37"/>
        <v>0</v>
      </c>
      <c r="AH147" s="537">
        <f t="shared" si="38"/>
        <v>0</v>
      </c>
    </row>
    <row r="148" spans="1:38" customFormat="1">
      <c r="A148" s="399" t="s">
        <v>1865</v>
      </c>
      <c r="B148" s="413" t="s">
        <v>256</v>
      </c>
      <c r="C148" s="392">
        <f>IF(bp_pct&gt;0,tot_bp_chv,0)</f>
        <v>0</v>
      </c>
      <c r="D148" s="392" t="s">
        <v>2305</v>
      </c>
      <c r="E148" s="402" t="str">
        <f>IF(bp_pct=0,"NA",bypass_valve_size)</f>
        <v>NA</v>
      </c>
      <c r="F148" s="189" t="str">
        <f>IF(bp_pct=0," ","in. diam")</f>
        <v xml:space="preserve"> </v>
      </c>
      <c r="G148" s="402" t="str">
        <f>IF(bp_pct=0,"NA",(IF(curve=1,bypass_valve_size,VLOOKUP(bypass_valve_size,ci_chv_cost_cl,2))))</f>
        <v>NA</v>
      </c>
      <c r="H148" s="189" t="str">
        <f>IF(bp_pct=0," ","in. diam")</f>
        <v xml:space="preserve"> </v>
      </c>
      <c r="I148" s="416" t="str">
        <f>IF(bp_pct=0,"NA",(IF(curve=1,ci_chv_eq_bp,VLOOKUP(bypass_valve_size,ci_chv_cost_cl,3))))</f>
        <v>NA</v>
      </c>
      <c r="J148" s="396" t="str">
        <f>IF(bp_pct=0,"--",IF(I148="contact vendor","--",C148*I148))</f>
        <v>--</v>
      </c>
      <c r="K148" s="402" t="str">
        <f>IF(C148=0,"NA",VLOOKUP(E148,ci_chv_cost_cl,IF(ss_cat="large",4,5)))</f>
        <v>NA</v>
      </c>
      <c r="L148" s="417"/>
      <c r="M148" s="34" t="str">
        <f t="shared" si="72"/>
        <v>Check Valves - Bypass - Cast Iron</v>
      </c>
      <c r="N148" s="530">
        <f t="shared" si="73"/>
        <v>2</v>
      </c>
      <c r="O148" s="530">
        <f t="shared" si="74"/>
        <v>1</v>
      </c>
      <c r="P148" s="530">
        <f t="shared" si="75"/>
        <v>2</v>
      </c>
      <c r="Q148" s="530">
        <f t="shared" si="76"/>
        <v>2</v>
      </c>
      <c r="R148" s="530">
        <f t="shared" si="77"/>
        <v>1</v>
      </c>
      <c r="S148" s="530">
        <f t="shared" si="78"/>
        <v>2</v>
      </c>
      <c r="T148" s="530">
        <f t="shared" si="79"/>
        <v>2</v>
      </c>
      <c r="U148" s="530">
        <f t="shared" si="80"/>
        <v>1</v>
      </c>
      <c r="V148" s="530">
        <f t="shared" si="81"/>
        <v>2</v>
      </c>
      <c r="W148" s="573">
        <v>0</v>
      </c>
      <c r="X148">
        <v>2</v>
      </c>
      <c r="Y148">
        <v>1</v>
      </c>
      <c r="Z148">
        <v>2</v>
      </c>
      <c r="AA148">
        <v>2</v>
      </c>
      <c r="AB148">
        <v>1</v>
      </c>
      <c r="AC148">
        <v>2</v>
      </c>
      <c r="AD148">
        <v>2</v>
      </c>
      <c r="AE148">
        <v>1</v>
      </c>
      <c r="AF148">
        <v>2</v>
      </c>
      <c r="AG148" s="537">
        <f t="shared" si="37"/>
        <v>0</v>
      </c>
      <c r="AH148" s="537">
        <f t="shared" si="38"/>
        <v>0</v>
      </c>
    </row>
    <row r="149" spans="1:38" customFormat="1">
      <c r="A149" s="240" t="s">
        <v>664</v>
      </c>
      <c r="B149" s="236" t="s">
        <v>769</v>
      </c>
      <c r="C149" s="241"/>
      <c r="D149" s="241"/>
      <c r="E149" s="241"/>
      <c r="F149" s="236"/>
      <c r="G149" s="241"/>
      <c r="H149" s="236"/>
      <c r="I149" s="241"/>
      <c r="J149" s="241"/>
      <c r="K149" s="241"/>
      <c r="L149" s="243"/>
      <c r="M149" s="34"/>
      <c r="AG149" s="537">
        <f t="shared" si="37"/>
        <v>0</v>
      </c>
      <c r="AH149" s="537">
        <f t="shared" si="38"/>
        <v>0</v>
      </c>
    </row>
    <row r="150" spans="1:38" customFormat="1">
      <c r="A150" s="495" t="s">
        <v>665</v>
      </c>
      <c r="B150" s="377" t="s">
        <v>770</v>
      </c>
      <c r="C150" s="392">
        <f>total_booster_pumps</f>
        <v>0</v>
      </c>
      <c r="D150" s="392" t="s">
        <v>2305</v>
      </c>
      <c r="E150" s="394" t="str">
        <f>IF(C150=0,"NA",pump_rating)</f>
        <v>NA</v>
      </c>
      <c r="F150" s="392" t="str">
        <f>IF(C150=0,"","gpm")</f>
        <v/>
      </c>
      <c r="G150" s="394" t="str">
        <f>IF(C150=0,"NA",IF(curve=1,pump_rating,VLOOKUP(pump_rating,pump_cost_cl,2)))</f>
        <v>NA</v>
      </c>
      <c r="H150" s="392" t="str">
        <f>IF(C150=0,"","gpm")</f>
        <v/>
      </c>
      <c r="I150" s="401" t="str">
        <f>IF(C150=0,"NA",IF(curve=1,pump_eq,VLOOKUP(pump_rating,pump_cost_cl,3)))</f>
        <v>NA</v>
      </c>
      <c r="J150" s="398" t="str">
        <f>IF(C150=0,"--",IF(I150="contact vendor","--",C150*I150))</f>
        <v>--</v>
      </c>
      <c r="K150" s="402" t="str">
        <f>IF(C150=0,"NA",VLOOKUP(pump_rating,pump_cost_cl,IF(ss_cat="large",4,5)))</f>
        <v>NA</v>
      </c>
      <c r="L150" s="397"/>
      <c r="M150" s="34" t="str">
        <f>$B$149&amp;" - "&amp;B150</f>
        <v>Pumps - Booster</v>
      </c>
      <c r="N150" s="530">
        <f t="shared" ref="N150:T152" si="85">IF(retrofit=1,$W150*X150,IF(ISBLANK(X150),"",X150))</f>
        <v>1</v>
      </c>
      <c r="O150" s="530">
        <f t="shared" si="85"/>
        <v>1</v>
      </c>
      <c r="P150" s="530">
        <f t="shared" si="85"/>
        <v>1</v>
      </c>
      <c r="Q150" s="530">
        <f t="shared" si="85"/>
        <v>1</v>
      </c>
      <c r="R150" s="530">
        <f t="shared" si="85"/>
        <v>1</v>
      </c>
      <c r="S150" s="530">
        <f t="shared" si="85"/>
        <v>1</v>
      </c>
      <c r="T150" s="530">
        <f t="shared" si="85"/>
        <v>1</v>
      </c>
      <c r="U150" s="530">
        <f t="shared" ref="U150:V152" si="86">IF(retrofit=1,$W150*AE150,IF(ISBLANK(AE150),"",AE150))</f>
        <v>1</v>
      </c>
      <c r="V150" s="530">
        <f t="shared" si="86"/>
        <v>1</v>
      </c>
      <c r="W150" s="573">
        <v>0</v>
      </c>
      <c r="X150" s="23">
        <v>1</v>
      </c>
      <c r="Y150" s="23">
        <v>1</v>
      </c>
      <c r="Z150" s="23">
        <v>1</v>
      </c>
      <c r="AA150" s="23">
        <v>1</v>
      </c>
      <c r="AB150" s="23">
        <v>1</v>
      </c>
      <c r="AC150" s="23">
        <v>1</v>
      </c>
      <c r="AD150" s="23">
        <v>1</v>
      </c>
      <c r="AE150" s="23">
        <v>1</v>
      </c>
      <c r="AF150" s="23">
        <v>1</v>
      </c>
      <c r="AG150" s="537">
        <f t="shared" si="37"/>
        <v>0</v>
      </c>
      <c r="AH150" s="537">
        <f t="shared" si="38"/>
        <v>0</v>
      </c>
    </row>
    <row r="151" spans="1:38" customFormat="1">
      <c r="A151" s="495" t="s">
        <v>666</v>
      </c>
      <c r="B151" s="377" t="s">
        <v>771</v>
      </c>
      <c r="C151" s="189">
        <f>backwash_pumps</f>
        <v>0</v>
      </c>
      <c r="D151" s="189" t="s">
        <v>2305</v>
      </c>
      <c r="E151" s="394" t="str">
        <f>IF(C151=0,"NA",back_pump_rating)</f>
        <v>NA</v>
      </c>
      <c r="F151" s="189" t="str">
        <f>IF(C151=0,"","gpm")</f>
        <v/>
      </c>
      <c r="G151" s="394" t="str">
        <f>IF(C151=0,"NA",IF(curve=1,back_pump_rating,VLOOKUP(back_pump_rating,back_pump_cost_cl,2)))</f>
        <v>NA</v>
      </c>
      <c r="H151" s="189" t="str">
        <f>IF(C151=0,"","gpm")</f>
        <v/>
      </c>
      <c r="I151" s="401" t="str">
        <f>IF(C151=0,"NA",IF(curve=1,pump_eq_back,VLOOKUP(back_pump_rating,back_pump_cost_cl,3)))</f>
        <v>NA</v>
      </c>
      <c r="J151" s="398" t="str">
        <f>IF(C151=0,"--",(IF(I151="contact vendor","--",C151*I151)))</f>
        <v>--</v>
      </c>
      <c r="K151" s="190" t="str">
        <f>IF(C151=0,"NA",VLOOKUP(back_pump_rating,back_pump_cost_cl,IF(ss_cat="large",4,5)))</f>
        <v>NA</v>
      </c>
      <c r="L151" s="411"/>
      <c r="M151" s="34" t="str">
        <f>$B$149&amp;" - "&amp;B151</f>
        <v>Pumps - Backwash</v>
      </c>
      <c r="N151" s="530">
        <f t="shared" si="85"/>
        <v>1</v>
      </c>
      <c r="O151" s="530">
        <f t="shared" si="85"/>
        <v>1</v>
      </c>
      <c r="P151" s="530">
        <f t="shared" si="85"/>
        <v>1</v>
      </c>
      <c r="Q151" s="530">
        <f t="shared" si="85"/>
        <v>1</v>
      </c>
      <c r="R151" s="530">
        <f t="shared" si="85"/>
        <v>1</v>
      </c>
      <c r="S151" s="530">
        <f t="shared" si="85"/>
        <v>1</v>
      </c>
      <c r="T151" s="530">
        <f t="shared" si="85"/>
        <v>1</v>
      </c>
      <c r="U151" s="530">
        <f t="shared" si="86"/>
        <v>1</v>
      </c>
      <c r="V151" s="530">
        <f t="shared" si="86"/>
        <v>1</v>
      </c>
      <c r="W151" s="573">
        <v>0</v>
      </c>
      <c r="X151" s="23">
        <v>1</v>
      </c>
      <c r="Y151" s="23">
        <v>1</v>
      </c>
      <c r="Z151" s="23">
        <v>1</v>
      </c>
      <c r="AA151" s="23">
        <v>1</v>
      </c>
      <c r="AB151" s="23">
        <v>1</v>
      </c>
      <c r="AC151" s="23">
        <v>1</v>
      </c>
      <c r="AD151" s="23">
        <v>1</v>
      </c>
      <c r="AE151" s="23">
        <v>1</v>
      </c>
      <c r="AF151" s="23">
        <v>1</v>
      </c>
      <c r="AG151" s="537">
        <f t="shared" si="37"/>
        <v>0</v>
      </c>
      <c r="AH151" s="537">
        <f t="shared" si="38"/>
        <v>0</v>
      </c>
    </row>
    <row r="152" spans="1:38" customFormat="1">
      <c r="A152" s="495" t="s">
        <v>667</v>
      </c>
      <c r="B152" s="418" t="s">
        <v>2710</v>
      </c>
      <c r="C152" s="392">
        <f>res_pumps</f>
        <v>0</v>
      </c>
      <c r="D152" s="392" t="s">
        <v>2305</v>
      </c>
      <c r="E152" s="394" t="str">
        <f>IF(res_pumps=0,"NA",res_pump_rating)</f>
        <v>NA</v>
      </c>
      <c r="F152" s="392" t="str">
        <f>IF(C152=0,"","gpm")</f>
        <v/>
      </c>
      <c r="G152" s="394" t="str">
        <f>IF(res_pumps=0,"NA",IF(curve=1,res_pump_rating,VLOOKUP(res_pump_rating,pump_cost_cl,2)))</f>
        <v>NA</v>
      </c>
      <c r="H152" s="392" t="str">
        <f>IF(C152=0,"","gpm")</f>
        <v/>
      </c>
      <c r="I152" s="401" t="str">
        <f>IF(res_pumps=0,"NA",IF(curve=1,res_pump_eq,VLOOKUP(res_pump_rating,pump_cost_cl,3)))</f>
        <v>NA</v>
      </c>
      <c r="J152" s="396" t="str">
        <f>IF(OR(C152=0,I152="contact vendor"),"--",C152*I152)</f>
        <v>--</v>
      </c>
      <c r="K152" s="190" t="str">
        <f>IF(res_pumps=0,"NA",VLOOKUP(res_pump_rating,pump_cost_cl,IF(ss_cat="large",4,5)))</f>
        <v>NA</v>
      </c>
      <c r="L152" s="411"/>
      <c r="M152" s="34" t="str">
        <f>$B$149&amp;" - "&amp;B152</f>
        <v>Pumps - Residuals</v>
      </c>
      <c r="N152" s="530">
        <f t="shared" si="85"/>
        <v>1</v>
      </c>
      <c r="O152" s="530">
        <f t="shared" si="85"/>
        <v>1</v>
      </c>
      <c r="P152" s="530">
        <f t="shared" si="85"/>
        <v>1</v>
      </c>
      <c r="Q152" s="530">
        <f t="shared" si="85"/>
        <v>1</v>
      </c>
      <c r="R152" s="530">
        <f t="shared" si="85"/>
        <v>1</v>
      </c>
      <c r="S152" s="530">
        <f t="shared" si="85"/>
        <v>1</v>
      </c>
      <c r="T152" s="530">
        <f t="shared" si="85"/>
        <v>1</v>
      </c>
      <c r="U152" s="530">
        <f t="shared" si="86"/>
        <v>1</v>
      </c>
      <c r="V152" s="530">
        <f t="shared" si="86"/>
        <v>1</v>
      </c>
      <c r="W152" s="573">
        <v>0</v>
      </c>
      <c r="X152" s="23">
        <v>1</v>
      </c>
      <c r="Y152" s="23">
        <v>1</v>
      </c>
      <c r="Z152" s="23">
        <v>1</v>
      </c>
      <c r="AA152" s="23">
        <v>1</v>
      </c>
      <c r="AB152" s="23">
        <v>1</v>
      </c>
      <c r="AC152" s="23">
        <v>1</v>
      </c>
      <c r="AD152" s="23">
        <v>1</v>
      </c>
      <c r="AE152" s="23">
        <v>1</v>
      </c>
      <c r="AF152" s="23">
        <v>1</v>
      </c>
      <c r="AG152" s="537">
        <f t="shared" si="37"/>
        <v>0</v>
      </c>
      <c r="AH152" s="537">
        <f t="shared" si="38"/>
        <v>0</v>
      </c>
    </row>
    <row r="153" spans="1:38" customFormat="1">
      <c r="A153" s="636">
        <v>5.4</v>
      </c>
      <c r="B153" s="218" t="s">
        <v>2421</v>
      </c>
      <c r="C153" s="651"/>
      <c r="D153" s="864"/>
      <c r="E153" s="652"/>
      <c r="F153" s="870"/>
      <c r="G153" s="653"/>
      <c r="H153" s="870"/>
      <c r="I153" s="654"/>
      <c r="J153" s="655"/>
      <c r="K153" s="292"/>
      <c r="L153" s="656"/>
      <c r="M153" s="38"/>
      <c r="X153" s="23"/>
      <c r="Y153" s="23"/>
      <c r="Z153" s="23"/>
      <c r="AA153" s="23"/>
      <c r="AB153" s="23"/>
      <c r="AC153" s="23"/>
      <c r="AD153" s="23"/>
      <c r="AE153" s="23"/>
      <c r="AF153" s="23"/>
      <c r="AG153">
        <f t="shared" si="37"/>
        <v>0</v>
      </c>
      <c r="AH153">
        <f t="shared" si="38"/>
        <v>0</v>
      </c>
      <c r="AI153" s="24"/>
      <c r="AJ153" s="24"/>
      <c r="AL153" s="24"/>
    </row>
    <row r="154" spans="1:38" s="1" customFormat="1">
      <c r="A154" s="399" t="s">
        <v>2422</v>
      </c>
      <c r="B154" s="189" t="s">
        <v>2402</v>
      </c>
      <c r="C154" s="392">
        <f>cm_pumps_polymer</f>
        <v>0</v>
      </c>
      <c r="D154" s="1" t="s">
        <v>2305</v>
      </c>
      <c r="E154" s="639" t="str">
        <f>IF(C154=0,"NA",IF(C154=0,"NA",cm_pump_rating_polymer))</f>
        <v>NA</v>
      </c>
      <c r="F154" s="189" t="str">
        <f>IF(C154=0,"","gph")</f>
        <v/>
      </c>
      <c r="G154" s="639" t="str">
        <f>IF(C154=0,"NA",IF(curve=1,cm_pump_rating_polymer,VLOOKUP(cm_pump_rating_polymer,pvc_mmpump_cost_cl,2)))</f>
        <v>NA</v>
      </c>
      <c r="H154" s="623" t="str">
        <f>IF(C154=0,"","gph")</f>
        <v/>
      </c>
      <c r="I154" s="640" t="str">
        <f>IF(C154=0,"NA",IF(curve=1,pvc_polymer_mmpump_eq,VLOOKUP(cm_pump_rating_polymer,pvc_mmpump_cost_cl,3)))</f>
        <v>NA</v>
      </c>
      <c r="J154" s="641" t="str">
        <f>IF(C154=0,"--",(IF(I154="contact vendor","--",C154*I154)))</f>
        <v>--</v>
      </c>
      <c r="K154" s="642" t="str">
        <f>IF(C154=0,"NA",VLOOKUP(cm_pump_rating_polymer,pvc_mmpump_cost_cl,IF(ss_cat="large",4,5)))</f>
        <v>NA</v>
      </c>
      <c r="L154" s="411"/>
      <c r="M154" s="38" t="str">
        <f>$B$149&amp;" - "&amp;$B$153&amp;" - "&amp;B154</f>
        <v>Pumps - Polymer Metering - PVC - Motor Driven</v>
      </c>
      <c r="N154" s="530">
        <f t="shared" ref="N154:V157" si="87">IF(retrofit=1,$W154*X154,IF(ISBLANK(X154),"",X154))</f>
        <v>3</v>
      </c>
      <c r="O154" s="530">
        <f t="shared" si="87"/>
        <v>3</v>
      </c>
      <c r="P154" s="530">
        <f t="shared" si="87"/>
        <v>2</v>
      </c>
      <c r="Q154" s="530">
        <f t="shared" si="87"/>
        <v>4</v>
      </c>
      <c r="R154" s="530">
        <f t="shared" si="87"/>
        <v>4</v>
      </c>
      <c r="S154" s="530">
        <f t="shared" si="87"/>
        <v>1</v>
      </c>
      <c r="T154" s="530">
        <f t="shared" si="87"/>
        <v>4</v>
      </c>
      <c r="U154" s="530">
        <f t="shared" si="87"/>
        <v>4</v>
      </c>
      <c r="V154" s="530">
        <f t="shared" si="87"/>
        <v>1</v>
      </c>
      <c r="W154" s="573">
        <v>0</v>
      </c>
      <c r="X154" s="657">
        <v>3</v>
      </c>
      <c r="Y154" s="657">
        <v>3</v>
      </c>
      <c r="Z154" s="657">
        <v>2</v>
      </c>
      <c r="AA154" s="657">
        <v>4</v>
      </c>
      <c r="AB154" s="657">
        <v>4</v>
      </c>
      <c r="AC154" s="657">
        <v>1</v>
      </c>
      <c r="AD154" s="657">
        <v>4</v>
      </c>
      <c r="AE154" s="657">
        <v>4</v>
      </c>
      <c r="AF154" s="657">
        <v>1</v>
      </c>
      <c r="AG154">
        <f t="shared" si="37"/>
        <v>0</v>
      </c>
      <c r="AH154">
        <f t="shared" si="38"/>
        <v>0</v>
      </c>
      <c r="AI154" s="643"/>
      <c r="AJ154" s="643"/>
      <c r="AL154" s="643"/>
    </row>
    <row r="155" spans="1:38" s="1" customFormat="1">
      <c r="A155" s="399" t="s">
        <v>2422</v>
      </c>
      <c r="B155" s="189" t="s">
        <v>2405</v>
      </c>
      <c r="C155" s="392">
        <f>cm_pumps_polymer</f>
        <v>0</v>
      </c>
      <c r="D155" s="1" t="s">
        <v>2305</v>
      </c>
      <c r="E155" s="639" t="str">
        <f>IF(C155=0,"NA",IF(C155=0,"NA",cm_pump_rating_polymer))</f>
        <v>NA</v>
      </c>
      <c r="F155" s="189" t="str">
        <f>IF(C155=0,"","gph")</f>
        <v/>
      </c>
      <c r="G155" s="639" t="str">
        <f>IF(C155=0,"NA",IF(curve=1,cm_pump_rating_polymer,VLOOKUP(cm_pump_rating_polymer,ss_mmpump_cost_cl,2)))</f>
        <v>NA</v>
      </c>
      <c r="H155" s="623" t="str">
        <f>IF(C155=0,"","gph")</f>
        <v/>
      </c>
      <c r="I155" s="640" t="str">
        <f>IF(C155=0,"NA",IF(curve=1,ss_polymer_mmpump_eq,VLOOKUP(cm_pump_rating_polymer,ss_mmpump_cost_cl,3)))</f>
        <v>NA</v>
      </c>
      <c r="J155" s="641" t="str">
        <f>IF(C155=0,"--",(IF(I155="contact vendor","--",C155*I155)))</f>
        <v>--</v>
      </c>
      <c r="K155" s="642" t="str">
        <f>IF(C155=0,"NA",VLOOKUP(cm_pump_rating_polymer,ss_mmpump_cost_cl,IF(ss_cat="large",4,5)))</f>
        <v>NA</v>
      </c>
      <c r="L155" s="411"/>
      <c r="M155" s="38" t="str">
        <f>$B$149&amp;" - "&amp;$B$153&amp;" - "&amp;B155</f>
        <v>Pumps - Polymer Metering - Stainless Steel - Motor Driven</v>
      </c>
      <c r="N155" s="530">
        <f t="shared" si="87"/>
        <v>4</v>
      </c>
      <c r="O155" s="530">
        <f t="shared" si="87"/>
        <v>4</v>
      </c>
      <c r="P155" s="530">
        <f t="shared" si="87"/>
        <v>1</v>
      </c>
      <c r="Q155" s="530">
        <f t="shared" si="87"/>
        <v>3</v>
      </c>
      <c r="R155" s="530">
        <f t="shared" si="87"/>
        <v>3</v>
      </c>
      <c r="S155" s="530">
        <f t="shared" si="87"/>
        <v>2</v>
      </c>
      <c r="T155" s="530">
        <f t="shared" si="87"/>
        <v>3</v>
      </c>
      <c r="U155" s="530">
        <f t="shared" si="87"/>
        <v>3</v>
      </c>
      <c r="V155" s="530">
        <f t="shared" si="87"/>
        <v>2</v>
      </c>
      <c r="W155" s="573">
        <v>0</v>
      </c>
      <c r="X155" s="657">
        <v>4</v>
      </c>
      <c r="Y155" s="657">
        <v>4</v>
      </c>
      <c r="Z155" s="657">
        <v>1</v>
      </c>
      <c r="AA155" s="657">
        <v>3</v>
      </c>
      <c r="AB155" s="657">
        <v>3</v>
      </c>
      <c r="AC155" s="657">
        <v>2</v>
      </c>
      <c r="AD155" s="657">
        <v>3</v>
      </c>
      <c r="AE155" s="657">
        <v>3</v>
      </c>
      <c r="AF155" s="657">
        <v>2</v>
      </c>
      <c r="AG155">
        <f t="shared" si="37"/>
        <v>0</v>
      </c>
      <c r="AH155">
        <f t="shared" si="38"/>
        <v>0</v>
      </c>
      <c r="AI155" s="643"/>
      <c r="AJ155" s="643"/>
      <c r="AL155" s="643"/>
    </row>
    <row r="156" spans="1:38" s="1" customFormat="1">
      <c r="A156" s="399" t="s">
        <v>2422</v>
      </c>
      <c r="B156" s="189" t="s">
        <v>2408</v>
      </c>
      <c r="C156" s="392">
        <f>cm_pumps_polymer</f>
        <v>0</v>
      </c>
      <c r="D156" s="1" t="s">
        <v>2305</v>
      </c>
      <c r="E156" s="639" t="str">
        <f>IF(C156=0,"NA",IF(C156=0,"NA",cm_pump_rating_polymer))</f>
        <v>NA</v>
      </c>
      <c r="F156" s="189" t="str">
        <f>IF(C156=0,"","gph")</f>
        <v/>
      </c>
      <c r="G156" s="639" t="str">
        <f>IF(C156=0,"NA",IF(curve=1,cm_pump_rating_polymer,VLOOKUP(cm_pump_rating_polymer,pvc_empump_cost_cl,2)))</f>
        <v>NA</v>
      </c>
      <c r="H156" s="623" t="str">
        <f>IF(C156=0,"","gph")</f>
        <v/>
      </c>
      <c r="I156" s="640" t="str">
        <f>IF(C156=0,"NA",IF(curve=1,pvc_polymer_empump_eq,VLOOKUP(cm_pump_rating_polymer,pvc_empump_cost_cl,3)))</f>
        <v>NA</v>
      </c>
      <c r="J156" s="641" t="str">
        <f>IF(C156=0,"--",(IF(I156="contact vendor","--",C156*I156)))</f>
        <v>--</v>
      </c>
      <c r="K156" s="642" t="str">
        <f>IF(C156=0,"NA",VLOOKUP(cm_pump_rating_polymer,pvc_empump_cost_cl,IF(ss_cat="large",4,5)))</f>
        <v>NA</v>
      </c>
      <c r="L156" s="411"/>
      <c r="M156" s="38" t="str">
        <f>$B$149&amp;" - "&amp;$B$153&amp;" - "&amp;B156</f>
        <v>Pumps - Polymer Metering - PVC - Electric</v>
      </c>
      <c r="N156" s="530">
        <f t="shared" si="87"/>
        <v>1</v>
      </c>
      <c r="O156" s="530">
        <f t="shared" si="87"/>
        <v>2</v>
      </c>
      <c r="P156" s="530">
        <f t="shared" si="87"/>
        <v>4</v>
      </c>
      <c r="Q156" s="530">
        <f t="shared" si="87"/>
        <v>1</v>
      </c>
      <c r="R156" s="530">
        <f t="shared" si="87"/>
        <v>2</v>
      </c>
      <c r="S156" s="530">
        <f t="shared" si="87"/>
        <v>4</v>
      </c>
      <c r="T156" s="530">
        <f t="shared" si="87"/>
        <v>1</v>
      </c>
      <c r="U156" s="530">
        <f t="shared" si="87"/>
        <v>2</v>
      </c>
      <c r="V156" s="530">
        <f t="shared" si="87"/>
        <v>4</v>
      </c>
      <c r="W156" s="573">
        <v>0</v>
      </c>
      <c r="X156" s="657">
        <v>1</v>
      </c>
      <c r="Y156" s="657">
        <v>2</v>
      </c>
      <c r="Z156" s="657">
        <v>4</v>
      </c>
      <c r="AA156" s="657">
        <v>1</v>
      </c>
      <c r="AB156" s="657">
        <v>2</v>
      </c>
      <c r="AC156" s="657">
        <v>4</v>
      </c>
      <c r="AD156" s="657">
        <v>1</v>
      </c>
      <c r="AE156" s="657">
        <v>2</v>
      </c>
      <c r="AF156" s="657">
        <v>4</v>
      </c>
      <c r="AG156">
        <f t="shared" si="37"/>
        <v>0</v>
      </c>
      <c r="AH156">
        <f t="shared" si="38"/>
        <v>0</v>
      </c>
      <c r="AI156" s="643"/>
      <c r="AJ156" s="643"/>
      <c r="AL156" s="643"/>
    </row>
    <row r="157" spans="1:38" s="1" customFormat="1">
      <c r="A157" s="399" t="s">
        <v>2422</v>
      </c>
      <c r="B157" s="189" t="s">
        <v>2411</v>
      </c>
      <c r="C157" s="392">
        <f>cm_pumps_polymer</f>
        <v>0</v>
      </c>
      <c r="D157" s="1" t="s">
        <v>2305</v>
      </c>
      <c r="E157" s="639" t="str">
        <f>IF(C157=0,"NA",IF(C157=0,"NA",cm_pump_rating_polymer))</f>
        <v>NA</v>
      </c>
      <c r="F157" s="189" t="str">
        <f>IF(C157=0,"","gph")</f>
        <v/>
      </c>
      <c r="G157" s="639" t="str">
        <f>IF(C157=0,"NA",IF(curve=1,cm_pump_rating_polymer,VLOOKUP(cm_pump_rating_polymer,ss_empump_cost_cl,2)))</f>
        <v>NA</v>
      </c>
      <c r="H157" s="623" t="str">
        <f>IF(C157=0,"","gph")</f>
        <v/>
      </c>
      <c r="I157" s="640" t="str">
        <f>IF(C157=0,"NA",IF(curve=1,ss_polymer_empump_eq,VLOOKUP(cm_pump_rating_polymer,ss_empump_cost_cl,3)))</f>
        <v>NA</v>
      </c>
      <c r="J157" s="641" t="str">
        <f>IF(C157=0,"--",(IF(I157="contact vendor","--",C157*I157)))</f>
        <v>--</v>
      </c>
      <c r="K157" s="642" t="str">
        <f>IF(C157=0,"NA",VLOOKUP(cm_pump_rating_polymer,ss_empump_cost_cl,IF(ss_cat="large",4,5)))</f>
        <v>NA</v>
      </c>
      <c r="L157" s="411"/>
      <c r="M157" s="38" t="str">
        <f>$B$149&amp;" - "&amp;$B$153&amp;" - "&amp;B157</f>
        <v>Pumps - Polymer Metering - Stainless Steel - Electric</v>
      </c>
      <c r="N157" s="530">
        <f t="shared" si="87"/>
        <v>2</v>
      </c>
      <c r="O157" s="530">
        <f t="shared" si="87"/>
        <v>1</v>
      </c>
      <c r="P157" s="530">
        <f t="shared" si="87"/>
        <v>3</v>
      </c>
      <c r="Q157" s="530">
        <f t="shared" si="87"/>
        <v>2</v>
      </c>
      <c r="R157" s="530">
        <f t="shared" si="87"/>
        <v>1</v>
      </c>
      <c r="S157" s="530">
        <f t="shared" si="87"/>
        <v>3</v>
      </c>
      <c r="T157" s="530">
        <f t="shared" si="87"/>
        <v>2</v>
      </c>
      <c r="U157" s="530">
        <f t="shared" si="87"/>
        <v>1</v>
      </c>
      <c r="V157" s="530">
        <f t="shared" si="87"/>
        <v>3</v>
      </c>
      <c r="W157" s="573">
        <v>0</v>
      </c>
      <c r="X157" s="657">
        <v>2</v>
      </c>
      <c r="Y157" s="657">
        <v>1</v>
      </c>
      <c r="Z157" s="657">
        <v>3</v>
      </c>
      <c r="AA157" s="657">
        <v>2</v>
      </c>
      <c r="AB157" s="657">
        <v>1</v>
      </c>
      <c r="AC157" s="657">
        <v>3</v>
      </c>
      <c r="AD157" s="657">
        <v>2</v>
      </c>
      <c r="AE157" s="657">
        <v>1</v>
      </c>
      <c r="AF157" s="657">
        <v>3</v>
      </c>
      <c r="AG157">
        <f t="shared" si="37"/>
        <v>0</v>
      </c>
      <c r="AH157">
        <f t="shared" si="38"/>
        <v>0</v>
      </c>
      <c r="AI157" s="643"/>
      <c r="AJ157" s="643"/>
      <c r="AL157" s="643"/>
    </row>
    <row r="158" spans="1:38" customFormat="1">
      <c r="A158" s="240" t="s">
        <v>668</v>
      </c>
      <c r="B158" s="236" t="s">
        <v>772</v>
      </c>
      <c r="C158" s="241"/>
      <c r="D158" s="241"/>
      <c r="E158" s="241"/>
      <c r="F158" s="236"/>
      <c r="G158" s="241"/>
      <c r="H158" s="236"/>
      <c r="I158" s="241"/>
      <c r="J158" s="241"/>
      <c r="K158" s="241"/>
      <c r="L158" s="243"/>
      <c r="M158" s="34"/>
      <c r="AG158" s="537">
        <f t="shared" si="37"/>
        <v>0</v>
      </c>
      <c r="AH158" s="537">
        <f t="shared" si="38"/>
        <v>0</v>
      </c>
    </row>
    <row r="159" spans="1:38" customFormat="1">
      <c r="A159" s="493" t="s">
        <v>669</v>
      </c>
      <c r="B159" s="499" t="s">
        <v>66</v>
      </c>
      <c r="C159" s="216"/>
      <c r="D159" s="864"/>
      <c r="E159" s="222"/>
      <c r="F159" s="864"/>
      <c r="G159" s="222"/>
      <c r="H159" s="864"/>
      <c r="I159" s="222"/>
      <c r="J159" s="222"/>
      <c r="K159" s="500"/>
      <c r="L159" s="501"/>
      <c r="M159" s="34"/>
      <c r="N159" s="23"/>
      <c r="O159" s="23"/>
      <c r="P159" s="23"/>
      <c r="Q159" s="23"/>
      <c r="R159" s="23"/>
      <c r="S159" s="23"/>
      <c r="T159" s="23"/>
      <c r="U159" s="23"/>
      <c r="V159" s="23"/>
      <c r="X159" s="23"/>
      <c r="Y159" s="23"/>
      <c r="Z159" s="23"/>
      <c r="AA159" s="23"/>
      <c r="AB159" s="23"/>
      <c r="AC159" s="23"/>
      <c r="AD159" s="23"/>
      <c r="AE159" s="23"/>
      <c r="AF159" s="23"/>
      <c r="AG159" s="537">
        <f t="shared" si="37"/>
        <v>0</v>
      </c>
      <c r="AH159" s="537">
        <f t="shared" si="38"/>
        <v>0</v>
      </c>
    </row>
    <row r="160" spans="1:38" customFormat="1">
      <c r="A160" s="399" t="s">
        <v>1363</v>
      </c>
      <c r="B160" s="503" t="s">
        <v>67</v>
      </c>
      <c r="C160" s="392">
        <f>tot_fm_in</f>
        <v>0</v>
      </c>
      <c r="D160" s="392" t="s">
        <v>2305</v>
      </c>
      <c r="E160" s="402" t="str">
        <f>IF(C160=0,"NA",in_meter_size)</f>
        <v>NA</v>
      </c>
      <c r="F160" s="189" t="str">
        <f>IF(C160=0,"","in. diam")</f>
        <v/>
      </c>
      <c r="G160" s="402" t="str">
        <f>IF(C160=0,"NA",IF(curve=1,in_meter_size,VLOOKUP(in_meter_size,op_fm_cost_cl,2)))</f>
        <v>NA</v>
      </c>
      <c r="H160" s="189" t="str">
        <f>IF(C160=0,"","in. diam")</f>
        <v/>
      </c>
      <c r="I160" s="401" t="str">
        <f>IF(C160=0,"NA",IF(curve=1,op_fm_eq_in,VLOOKUP(in_meter_size,op_fm_cost_cl,3)))</f>
        <v>NA</v>
      </c>
      <c r="J160" s="398" t="str">
        <f>IF(OR(C160=0,I160="contact vendor"),"--",C160*I160)</f>
        <v>--</v>
      </c>
      <c r="K160" s="402" t="str">
        <f>IF(C160=0,"NA",VLOOKUP(in_meter_size,op_fm_cost_cl,IF(ss_cat="large",4,5)))</f>
        <v>NA</v>
      </c>
      <c r="L160" s="505"/>
      <c r="M160" s="34" t="str">
        <f>$B$158&amp;" - "&amp;$B$159&amp;" - "&amp;B160</f>
        <v>Instrumentation - Flow Meters - Inlet and Outlet - Orifice Plate</v>
      </c>
      <c r="N160" s="530">
        <f t="shared" ref="N160:T163" si="88">IF(retrofit=1,$W160*X160,IF(ISBLANK(X160),"",X160))</f>
        <v>3</v>
      </c>
      <c r="O160" s="530">
        <f t="shared" si="88"/>
        <v>4</v>
      </c>
      <c r="P160" s="530">
        <f t="shared" si="88"/>
        <v>4</v>
      </c>
      <c r="Q160" s="530">
        <f t="shared" si="88"/>
        <v>3</v>
      </c>
      <c r="R160" s="530">
        <f t="shared" si="88"/>
        <v>4</v>
      </c>
      <c r="S160" s="530">
        <f t="shared" si="88"/>
        <v>4</v>
      </c>
      <c r="T160" s="530">
        <f t="shared" si="88"/>
        <v>3</v>
      </c>
      <c r="U160" s="530">
        <f t="shared" ref="U160:V163" si="89">IF(retrofit=1,$W160*AE160,IF(ISBLANK(AE160),"",AE160))</f>
        <v>3</v>
      </c>
      <c r="V160" s="530">
        <f t="shared" si="89"/>
        <v>4</v>
      </c>
      <c r="W160" s="573">
        <v>0</v>
      </c>
      <c r="X160" s="506">
        <v>3</v>
      </c>
      <c r="Y160" s="506">
        <v>4</v>
      </c>
      <c r="Z160" s="506">
        <v>4</v>
      </c>
      <c r="AA160" s="506">
        <v>3</v>
      </c>
      <c r="AB160" s="506">
        <v>4</v>
      </c>
      <c r="AC160" s="506">
        <v>4</v>
      </c>
      <c r="AD160" s="506">
        <v>3</v>
      </c>
      <c r="AE160" s="506">
        <v>3</v>
      </c>
      <c r="AF160" s="506">
        <v>4</v>
      </c>
      <c r="AG160" s="537">
        <f t="shared" si="37"/>
        <v>0</v>
      </c>
      <c r="AH160" s="537">
        <f t="shared" si="38"/>
        <v>0</v>
      </c>
    </row>
    <row r="161" spans="1:34" customFormat="1">
      <c r="A161" s="399" t="s">
        <v>1363</v>
      </c>
      <c r="B161" s="503" t="s">
        <v>68</v>
      </c>
      <c r="C161" s="392">
        <f>tot_fm_in</f>
        <v>0</v>
      </c>
      <c r="D161" s="392" t="s">
        <v>2305</v>
      </c>
      <c r="E161" s="402" t="str">
        <f>IF(C161=0,"NA",in_meter_size)</f>
        <v>NA</v>
      </c>
      <c r="F161" s="189" t="str">
        <f>IF(C161=0,"","in. diam")</f>
        <v/>
      </c>
      <c r="G161" s="402" t="str">
        <f>IF(C161=0,"NA",IF(curve=1,in_meter_size,VLOOKUP(in_meter_size,prop_fm_cost_cl,2)))</f>
        <v>NA</v>
      </c>
      <c r="H161" s="189" t="str">
        <f>IF(C161=0,"","in. diam")</f>
        <v/>
      </c>
      <c r="I161" s="401" t="str">
        <f>IF(C161=0,"NA",IF(curve=1,prop_fm_eq_in,VLOOKUP(in_meter_size,prop_fm_cost_cl,3)))</f>
        <v>NA</v>
      </c>
      <c r="J161" s="398" t="str">
        <f>IF(OR(C161=0,I161="contact vendor"),"--",C161*I161)</f>
        <v>--</v>
      </c>
      <c r="K161" s="402" t="str">
        <f>IF(C161=0,"NA",VLOOKUP(in_meter_size,prop_fm_cost_cl,IF(ss_cat="large",4,5)))</f>
        <v>NA</v>
      </c>
      <c r="L161" s="505"/>
      <c r="M161" s="34" t="str">
        <f>$B$158&amp;" - "&amp;$B$159&amp;" - "&amp;B161</f>
        <v>Instrumentation - Flow Meters - Inlet and Outlet - Propeller</v>
      </c>
      <c r="N161" s="530">
        <f t="shared" si="88"/>
        <v>1</v>
      </c>
      <c r="O161" s="530">
        <f t="shared" si="88"/>
        <v>2</v>
      </c>
      <c r="P161" s="530">
        <f t="shared" si="88"/>
        <v>3</v>
      </c>
      <c r="Q161" s="530">
        <f t="shared" si="88"/>
        <v>1</v>
      </c>
      <c r="R161" s="530">
        <f t="shared" si="88"/>
        <v>2</v>
      </c>
      <c r="S161" s="530">
        <f t="shared" si="88"/>
        <v>3</v>
      </c>
      <c r="T161" s="530">
        <f t="shared" si="88"/>
        <v>4</v>
      </c>
      <c r="U161" s="530">
        <f t="shared" si="89"/>
        <v>4</v>
      </c>
      <c r="V161" s="530">
        <f t="shared" si="89"/>
        <v>2</v>
      </c>
      <c r="W161" s="573">
        <v>0</v>
      </c>
      <c r="X161" s="506">
        <v>1</v>
      </c>
      <c r="Y161" s="506">
        <v>2</v>
      </c>
      <c r="Z161" s="506">
        <v>3</v>
      </c>
      <c r="AA161" s="506">
        <v>1</v>
      </c>
      <c r="AB161" s="506">
        <v>2</v>
      </c>
      <c r="AC161" s="506">
        <v>3</v>
      </c>
      <c r="AD161" s="506">
        <v>4</v>
      </c>
      <c r="AE161" s="506">
        <v>4</v>
      </c>
      <c r="AF161" s="506">
        <v>2</v>
      </c>
      <c r="AG161" s="537">
        <f t="shared" si="37"/>
        <v>0</v>
      </c>
      <c r="AH161" s="537">
        <f t="shared" si="38"/>
        <v>0</v>
      </c>
    </row>
    <row r="162" spans="1:34" customFormat="1">
      <c r="A162" s="399" t="s">
        <v>1363</v>
      </c>
      <c r="B162" s="503" t="s">
        <v>71</v>
      </c>
      <c r="C162" s="392">
        <f>tot_fm_in</f>
        <v>0</v>
      </c>
      <c r="D162" s="392" t="s">
        <v>2305</v>
      </c>
      <c r="E162" s="402" t="str">
        <f>IF(C162=0,"NA",in_meter_size)</f>
        <v>NA</v>
      </c>
      <c r="F162" s="189" t="str">
        <f>IF(C162=0,"","in. diam")</f>
        <v/>
      </c>
      <c r="G162" s="402" t="str">
        <f>IF(C162=0,"NA",IF(curve=1,in_meter_size,VLOOKUP(in_meter_size,ven_fm_cost_cl,2)))</f>
        <v>NA</v>
      </c>
      <c r="H162" s="189" t="str">
        <f>IF(C162=0,"","in. diam")</f>
        <v/>
      </c>
      <c r="I162" s="401" t="str">
        <f>IF(C162=0,"NA",IF(curve=1,ven_fm_eq_in,VLOOKUP(in_meter_size,ven_fm_cost_cl,3)))</f>
        <v>NA</v>
      </c>
      <c r="J162" s="398" t="str">
        <f>IF(OR(C162=0,I162="contact vendor"),"--",C162*I162)</f>
        <v>--</v>
      </c>
      <c r="K162" s="402" t="str">
        <f>IF(C162=0,"NA",VLOOKUP(in_meter_size,ven_fm_cost_cl,IF(ss_cat="large",4,5)))</f>
        <v>NA</v>
      </c>
      <c r="L162" s="505"/>
      <c r="M162" s="34" t="str">
        <f>$B$158&amp;" - "&amp;$B$159&amp;" - "&amp;B162</f>
        <v>Instrumentation - Flow Meters - Inlet and Outlet - Venturi</v>
      </c>
      <c r="N162" s="530">
        <f t="shared" si="88"/>
        <v>2</v>
      </c>
      <c r="O162" s="530">
        <f t="shared" si="88"/>
        <v>1</v>
      </c>
      <c r="P162" s="530">
        <f t="shared" si="88"/>
        <v>2</v>
      </c>
      <c r="Q162" s="530">
        <f t="shared" si="88"/>
        <v>2</v>
      </c>
      <c r="R162" s="530">
        <f t="shared" si="88"/>
        <v>1</v>
      </c>
      <c r="S162" s="530">
        <f t="shared" si="88"/>
        <v>2</v>
      </c>
      <c r="T162" s="530">
        <f t="shared" si="88"/>
        <v>1</v>
      </c>
      <c r="U162" s="530">
        <f t="shared" si="89"/>
        <v>2</v>
      </c>
      <c r="V162" s="530">
        <f t="shared" si="89"/>
        <v>3</v>
      </c>
      <c r="W162" s="573">
        <v>0</v>
      </c>
      <c r="X162" s="506">
        <v>2</v>
      </c>
      <c r="Y162" s="506">
        <v>1</v>
      </c>
      <c r="Z162" s="506">
        <v>2</v>
      </c>
      <c r="AA162" s="506">
        <v>2</v>
      </c>
      <c r="AB162" s="506">
        <v>1</v>
      </c>
      <c r="AC162" s="506">
        <v>2</v>
      </c>
      <c r="AD162" s="506">
        <v>1</v>
      </c>
      <c r="AE162" s="506">
        <v>2</v>
      </c>
      <c r="AF162" s="506">
        <v>3</v>
      </c>
      <c r="AG162" s="537">
        <f t="shared" ref="AG162:AG228" si="90">IF(ISERROR(K162*L162),0,IF(K162&lt;1,0,L162))</f>
        <v>0</v>
      </c>
      <c r="AH162" s="537">
        <f t="shared" ref="AH162:AH228" si="91">IF(AG162,J162/K162,0)</f>
        <v>0</v>
      </c>
    </row>
    <row r="163" spans="1:34" customFormat="1">
      <c r="A163" s="399" t="s">
        <v>1363</v>
      </c>
      <c r="B163" s="503" t="s">
        <v>74</v>
      </c>
      <c r="C163" s="392">
        <f>tot_fm_in</f>
        <v>0</v>
      </c>
      <c r="D163" s="392" t="s">
        <v>2305</v>
      </c>
      <c r="E163" s="402" t="str">
        <f>IF(C163=0,"NA",in_meter_size)</f>
        <v>NA</v>
      </c>
      <c r="F163" s="189" t="str">
        <f>IF(C163=0,"","in. diam")</f>
        <v/>
      </c>
      <c r="G163" s="402" t="str">
        <f>IF(C163=0,"NA",IF(curve=1,in_meter_size,VLOOKUP(in_meter_size,mag_fm_cost_cl,2)))</f>
        <v>NA</v>
      </c>
      <c r="H163" s="189" t="str">
        <f>IF(C163=0,"","in. diam")</f>
        <v/>
      </c>
      <c r="I163" s="401" t="str">
        <f>IF(C163=0,"NA",IF(curve=1,mag_fm_eq_in,VLOOKUP(in_meter_size,mag_fm_cost_cl,3)))</f>
        <v>NA</v>
      </c>
      <c r="J163" s="398" t="str">
        <f>IF(OR(C163=0,I163="contact vendor"),"--",C163*I163)</f>
        <v>--</v>
      </c>
      <c r="K163" s="402" t="str">
        <f>IF(C163=0,"NA",VLOOKUP(in_meter_size,mag_fm_cost_cl,IF(ss_cat="large",4,5)))</f>
        <v>NA</v>
      </c>
      <c r="L163" s="505"/>
      <c r="M163" s="34" t="str">
        <f>$B$158&amp;" - "&amp;$B$159&amp;" - "&amp;B163</f>
        <v>Instrumentation - Flow Meters - Inlet and Outlet - Magnetic</v>
      </c>
      <c r="N163" s="530">
        <f t="shared" si="88"/>
        <v>4</v>
      </c>
      <c r="O163" s="530">
        <f t="shared" si="88"/>
        <v>3</v>
      </c>
      <c r="P163" s="530">
        <f t="shared" si="88"/>
        <v>1</v>
      </c>
      <c r="Q163" s="530">
        <f t="shared" si="88"/>
        <v>4</v>
      </c>
      <c r="R163" s="530">
        <f t="shared" si="88"/>
        <v>3</v>
      </c>
      <c r="S163" s="530">
        <f t="shared" si="88"/>
        <v>1</v>
      </c>
      <c r="T163" s="530">
        <f t="shared" si="88"/>
        <v>2</v>
      </c>
      <c r="U163" s="530">
        <f t="shared" si="89"/>
        <v>1</v>
      </c>
      <c r="V163" s="530">
        <f t="shared" si="89"/>
        <v>1</v>
      </c>
      <c r="W163" s="573">
        <v>0</v>
      </c>
      <c r="X163" s="506">
        <v>4</v>
      </c>
      <c r="Y163" s="506">
        <v>3</v>
      </c>
      <c r="Z163" s="506">
        <v>1</v>
      </c>
      <c r="AA163" s="506">
        <v>4</v>
      </c>
      <c r="AB163" s="506">
        <v>3</v>
      </c>
      <c r="AC163" s="506">
        <v>1</v>
      </c>
      <c r="AD163" s="506">
        <v>2</v>
      </c>
      <c r="AE163" s="506">
        <v>1</v>
      </c>
      <c r="AF163" s="506">
        <v>1</v>
      </c>
      <c r="AG163" s="537">
        <f t="shared" si="90"/>
        <v>0</v>
      </c>
      <c r="AH163" s="537">
        <f t="shared" si="91"/>
        <v>0</v>
      </c>
    </row>
    <row r="164" spans="1:34" customFormat="1">
      <c r="A164" s="498" t="s">
        <v>1364</v>
      </c>
      <c r="B164" s="499" t="s">
        <v>77</v>
      </c>
      <c r="C164" s="216"/>
      <c r="D164" s="864"/>
      <c r="E164" s="222"/>
      <c r="F164" s="864"/>
      <c r="G164" s="222"/>
      <c r="H164" s="864"/>
      <c r="I164" s="222"/>
      <c r="J164" s="222"/>
      <c r="K164" s="500"/>
      <c r="L164" s="501"/>
      <c r="M164" s="34"/>
      <c r="N164" s="23"/>
      <c r="O164" s="23"/>
      <c r="P164" s="23"/>
      <c r="Q164" s="23"/>
      <c r="R164" s="23"/>
      <c r="S164" s="23"/>
      <c r="T164" s="23"/>
      <c r="U164" s="23"/>
      <c r="V164" s="23"/>
      <c r="X164" s="23"/>
      <c r="Y164" s="23"/>
      <c r="Z164" s="23"/>
      <c r="AA164" s="23"/>
      <c r="AB164" s="23"/>
      <c r="AC164" s="23"/>
      <c r="AD164" s="23"/>
      <c r="AE164" s="23"/>
      <c r="AF164" s="23"/>
      <c r="AG164" s="537">
        <f t="shared" si="90"/>
        <v>0</v>
      </c>
      <c r="AH164" s="537">
        <f t="shared" si="91"/>
        <v>0</v>
      </c>
    </row>
    <row r="165" spans="1:34" customFormat="1">
      <c r="A165" s="502" t="s">
        <v>89</v>
      </c>
      <c r="B165" s="503" t="s">
        <v>67</v>
      </c>
      <c r="C165" s="392">
        <f>tot_fm_proc</f>
        <v>0</v>
      </c>
      <c r="D165" s="392" t="s">
        <v>2305</v>
      </c>
      <c r="E165" s="402" t="str">
        <f>IF(C165=0,"NA",proc_meter_size)</f>
        <v>NA</v>
      </c>
      <c r="F165" s="189" t="str">
        <f>IF(C165=0,"","in. diam")</f>
        <v/>
      </c>
      <c r="G165" s="402" t="str">
        <f>IF(C165=0,"NA",IF(curve=1,proc_meter_size,VLOOKUP(proc_meter_size,op_fm_cost_cl,2)))</f>
        <v>NA</v>
      </c>
      <c r="H165" s="189" t="str">
        <f>IF(C165=0,"","in. diam")</f>
        <v/>
      </c>
      <c r="I165" s="401" t="str">
        <f>IF(C165=0,"NA",IF(curve=1,op_fm_eq_proc,VLOOKUP(proc_meter_size,op_fm_cost_cl,3)))</f>
        <v>NA</v>
      </c>
      <c r="J165" s="398" t="str">
        <f>IF(OR(C165=0,I165="contact vendor"),"--",C165*I165)</f>
        <v>--</v>
      </c>
      <c r="K165" s="402" t="str">
        <f>IF(C165=0,"NA",VLOOKUP(proc_meter_size,op_fm_cost_cl,IF(ss_cat="large",4,5)))</f>
        <v>NA</v>
      </c>
      <c r="L165" s="505"/>
      <c r="M165" s="34" t="str">
        <f>$B$158&amp;" - "&amp;$B$164&amp;" - "&amp;B165</f>
        <v>Instrumentation - Flow Meters - Process - Orifice Plate</v>
      </c>
      <c r="N165" s="530">
        <f t="shared" ref="N165:T168" si="92">IF(retrofit=1,$W165*X165,IF(ISBLANK(X165),"",X165))</f>
        <v>3</v>
      </c>
      <c r="O165" s="530">
        <f t="shared" si="92"/>
        <v>4</v>
      </c>
      <c r="P165" s="530">
        <f t="shared" si="92"/>
        <v>4</v>
      </c>
      <c r="Q165" s="530">
        <f t="shared" si="92"/>
        <v>3</v>
      </c>
      <c r="R165" s="530">
        <f t="shared" si="92"/>
        <v>4</v>
      </c>
      <c r="S165" s="530">
        <f t="shared" si="92"/>
        <v>4</v>
      </c>
      <c r="T165" s="530">
        <f t="shared" si="92"/>
        <v>3</v>
      </c>
      <c r="U165" s="530">
        <f t="shared" ref="U165:V168" si="93">IF(retrofit=1,$W165*AE165,IF(ISBLANK(AE165),"",AE165))</f>
        <v>3</v>
      </c>
      <c r="V165" s="530">
        <f t="shared" si="93"/>
        <v>4</v>
      </c>
      <c r="W165" s="573">
        <v>0</v>
      </c>
      <c r="X165" s="506">
        <v>3</v>
      </c>
      <c r="Y165" s="506">
        <v>4</v>
      </c>
      <c r="Z165" s="506">
        <v>4</v>
      </c>
      <c r="AA165" s="506">
        <v>3</v>
      </c>
      <c r="AB165" s="506">
        <v>4</v>
      </c>
      <c r="AC165" s="506">
        <v>4</v>
      </c>
      <c r="AD165" s="506">
        <v>3</v>
      </c>
      <c r="AE165" s="506">
        <v>3</v>
      </c>
      <c r="AF165" s="506">
        <v>4</v>
      </c>
      <c r="AG165" s="537">
        <f t="shared" si="90"/>
        <v>0</v>
      </c>
      <c r="AH165" s="537">
        <f t="shared" si="91"/>
        <v>0</v>
      </c>
    </row>
    <row r="166" spans="1:34" customFormat="1">
      <c r="A166" s="502" t="s">
        <v>89</v>
      </c>
      <c r="B166" s="503" t="s">
        <v>68</v>
      </c>
      <c r="C166" s="392">
        <f>tot_fm_proc</f>
        <v>0</v>
      </c>
      <c r="D166" s="392" t="s">
        <v>2305</v>
      </c>
      <c r="E166" s="402" t="str">
        <f>IF(C166=0,"NA",proc_meter_size)</f>
        <v>NA</v>
      </c>
      <c r="F166" s="189" t="str">
        <f>IF(C166=0,"","in. diam")</f>
        <v/>
      </c>
      <c r="G166" s="402" t="str">
        <f>IF(C166=0,"NA",IF(curve=1,proc_meter_size,VLOOKUP(proc_meter_size,prop_fm_cost_cl,2)))</f>
        <v>NA</v>
      </c>
      <c r="H166" s="189" t="str">
        <f>IF(C166=0,"","in. diam")</f>
        <v/>
      </c>
      <c r="I166" s="401" t="str">
        <f>IF(C166=0,"NA",IF(curve=1,prop_fm_eq_proc,VLOOKUP(proc_meter_size,prop_fm_cost_cl,3)))</f>
        <v>NA</v>
      </c>
      <c r="J166" s="398" t="str">
        <f>IF(OR(C166=0,I166="contact vendor"),"--",C166*I166)</f>
        <v>--</v>
      </c>
      <c r="K166" s="402" t="str">
        <f>IF(C166=0,"NA",VLOOKUP(proc_meter_size,prop_fm_cost_cl,IF(ss_cat="large",4,5)))</f>
        <v>NA</v>
      </c>
      <c r="L166" s="505"/>
      <c r="M166" s="34" t="str">
        <f>$B$158&amp;" - "&amp;$B$164&amp;" - "&amp;B166</f>
        <v>Instrumentation - Flow Meters - Process - Propeller</v>
      </c>
      <c r="N166" s="530">
        <f t="shared" si="92"/>
        <v>1</v>
      </c>
      <c r="O166" s="530">
        <f t="shared" si="92"/>
        <v>2</v>
      </c>
      <c r="P166" s="530">
        <f t="shared" si="92"/>
        <v>3</v>
      </c>
      <c r="Q166" s="530">
        <f t="shared" si="92"/>
        <v>1</v>
      </c>
      <c r="R166" s="530">
        <f t="shared" si="92"/>
        <v>2</v>
      </c>
      <c r="S166" s="530">
        <f t="shared" si="92"/>
        <v>3</v>
      </c>
      <c r="T166" s="530">
        <f t="shared" si="92"/>
        <v>4</v>
      </c>
      <c r="U166" s="530">
        <f t="shared" si="93"/>
        <v>4</v>
      </c>
      <c r="V166" s="530">
        <f t="shared" si="93"/>
        <v>2</v>
      </c>
      <c r="W166" s="573">
        <v>0</v>
      </c>
      <c r="X166" s="506">
        <v>1</v>
      </c>
      <c r="Y166" s="506">
        <v>2</v>
      </c>
      <c r="Z166" s="506">
        <v>3</v>
      </c>
      <c r="AA166" s="506">
        <v>1</v>
      </c>
      <c r="AB166" s="506">
        <v>2</v>
      </c>
      <c r="AC166" s="506">
        <v>3</v>
      </c>
      <c r="AD166" s="506">
        <v>4</v>
      </c>
      <c r="AE166" s="506">
        <v>4</v>
      </c>
      <c r="AF166" s="506">
        <v>2</v>
      </c>
      <c r="AG166" s="537">
        <f t="shared" si="90"/>
        <v>0</v>
      </c>
      <c r="AH166" s="537">
        <f t="shared" si="91"/>
        <v>0</v>
      </c>
    </row>
    <row r="167" spans="1:34" customFormat="1">
      <c r="A167" s="502" t="s">
        <v>89</v>
      </c>
      <c r="B167" s="503" t="s">
        <v>71</v>
      </c>
      <c r="C167" s="392">
        <f>tot_fm_proc</f>
        <v>0</v>
      </c>
      <c r="D167" s="392" t="s">
        <v>2305</v>
      </c>
      <c r="E167" s="402" t="str">
        <f>IF(C167=0,"NA",proc_meter_size)</f>
        <v>NA</v>
      </c>
      <c r="F167" s="189" t="str">
        <f>IF(C167=0,"","in. diam")</f>
        <v/>
      </c>
      <c r="G167" s="402" t="str">
        <f>IF(C167=0,"NA",IF(curve=1,proc_meter_size,VLOOKUP(proc_meter_size,ven_fm_cost_cl,2)))</f>
        <v>NA</v>
      </c>
      <c r="H167" s="189" t="str">
        <f>IF(C167=0,"","in. diam")</f>
        <v/>
      </c>
      <c r="I167" s="401" t="str">
        <f>IF(C167=0,"NA",IF(curve=1,ven_fm_eq_proc,VLOOKUP(proc_meter_size,ven_fm_cost_cl,3)))</f>
        <v>NA</v>
      </c>
      <c r="J167" s="398" t="str">
        <f>IF(OR(C167=0,I167="contact vendor"),"--",C167*I167)</f>
        <v>--</v>
      </c>
      <c r="K167" s="402" t="str">
        <f>IF(C167=0,"NA",VLOOKUP(proc_meter_size,ven_fm_cost_cl,IF(ss_cat="large",4,5)))</f>
        <v>NA</v>
      </c>
      <c r="L167" s="505"/>
      <c r="M167" s="34" t="str">
        <f>$B$158&amp;" - "&amp;$B$164&amp;" - "&amp;B167</f>
        <v>Instrumentation - Flow Meters - Process - Venturi</v>
      </c>
      <c r="N167" s="530">
        <f t="shared" si="92"/>
        <v>2</v>
      </c>
      <c r="O167" s="530">
        <f t="shared" si="92"/>
        <v>1</v>
      </c>
      <c r="P167" s="530">
        <f t="shared" si="92"/>
        <v>2</v>
      </c>
      <c r="Q167" s="530">
        <f t="shared" si="92"/>
        <v>2</v>
      </c>
      <c r="R167" s="530">
        <f t="shared" si="92"/>
        <v>1</v>
      </c>
      <c r="S167" s="530">
        <f t="shared" si="92"/>
        <v>2</v>
      </c>
      <c r="T167" s="530">
        <f t="shared" si="92"/>
        <v>1</v>
      </c>
      <c r="U167" s="530">
        <f t="shared" si="93"/>
        <v>2</v>
      </c>
      <c r="V167" s="530">
        <f t="shared" si="93"/>
        <v>3</v>
      </c>
      <c r="W167" s="573">
        <v>0</v>
      </c>
      <c r="X167" s="506">
        <v>2</v>
      </c>
      <c r="Y167" s="506">
        <v>1</v>
      </c>
      <c r="Z167" s="506">
        <v>2</v>
      </c>
      <c r="AA167" s="506">
        <v>2</v>
      </c>
      <c r="AB167" s="506">
        <v>1</v>
      </c>
      <c r="AC167" s="506">
        <v>2</v>
      </c>
      <c r="AD167" s="506">
        <v>1</v>
      </c>
      <c r="AE167" s="506">
        <v>2</v>
      </c>
      <c r="AF167" s="506">
        <v>3</v>
      </c>
      <c r="AG167" s="537">
        <f t="shared" si="90"/>
        <v>0</v>
      </c>
      <c r="AH167" s="537">
        <f t="shared" si="91"/>
        <v>0</v>
      </c>
    </row>
    <row r="168" spans="1:34" customFormat="1">
      <c r="A168" s="502" t="s">
        <v>89</v>
      </c>
      <c r="B168" s="503" t="s">
        <v>74</v>
      </c>
      <c r="C168" s="392">
        <f>tot_fm_proc</f>
        <v>0</v>
      </c>
      <c r="D168" s="392" t="s">
        <v>2305</v>
      </c>
      <c r="E168" s="402" t="str">
        <f>IF(C168=0,"NA",proc_meter_size)</f>
        <v>NA</v>
      </c>
      <c r="F168" s="189" t="str">
        <f>IF(C168=0,"","in. diam")</f>
        <v/>
      </c>
      <c r="G168" s="402" t="str">
        <f>IF(C168=0,"NA",IF(curve=1,proc_meter_size,VLOOKUP(proc_meter_size,mag_fm_cost_cl,2)))</f>
        <v>NA</v>
      </c>
      <c r="H168" s="189" t="str">
        <f>IF(C168=0,"","in. diam")</f>
        <v/>
      </c>
      <c r="I168" s="401" t="str">
        <f>IF(C168=0,"NA",IF(curve=1,mag_fm_eq_proc,VLOOKUP(proc_meter_size,mag_fm_cost_cl,3)))</f>
        <v>NA</v>
      </c>
      <c r="J168" s="398" t="str">
        <f>IF(OR(C168=0,I168="contact vendor"),"--",C168*I168)</f>
        <v>--</v>
      </c>
      <c r="K168" s="402" t="str">
        <f>IF(C168=0,"NA",VLOOKUP(proc_meter_size,mag_fm_cost_cl,IF(ss_cat="large",4,5)))</f>
        <v>NA</v>
      </c>
      <c r="L168" s="505"/>
      <c r="M168" s="34" t="str">
        <f>$B$158&amp;" - "&amp;$B$164&amp;" - "&amp;B168</f>
        <v>Instrumentation - Flow Meters - Process - Magnetic</v>
      </c>
      <c r="N168" s="530">
        <f t="shared" si="92"/>
        <v>4</v>
      </c>
      <c r="O168" s="530">
        <f t="shared" si="92"/>
        <v>3</v>
      </c>
      <c r="P168" s="530">
        <f t="shared" si="92"/>
        <v>1</v>
      </c>
      <c r="Q168" s="530">
        <f t="shared" si="92"/>
        <v>4</v>
      </c>
      <c r="R168" s="530">
        <f t="shared" si="92"/>
        <v>3</v>
      </c>
      <c r="S168" s="530">
        <f t="shared" si="92"/>
        <v>1</v>
      </c>
      <c r="T168" s="530">
        <f t="shared" si="92"/>
        <v>2</v>
      </c>
      <c r="U168" s="530">
        <f t="shared" si="93"/>
        <v>1</v>
      </c>
      <c r="V168" s="530">
        <f t="shared" si="93"/>
        <v>1</v>
      </c>
      <c r="W168" s="573">
        <v>0</v>
      </c>
      <c r="X168" s="506">
        <v>4</v>
      </c>
      <c r="Y168" s="506">
        <v>3</v>
      </c>
      <c r="Z168" s="506">
        <v>1</v>
      </c>
      <c r="AA168" s="506">
        <v>4</v>
      </c>
      <c r="AB168" s="506">
        <v>3</v>
      </c>
      <c r="AC168" s="506">
        <v>1</v>
      </c>
      <c r="AD168" s="506">
        <v>2</v>
      </c>
      <c r="AE168" s="506">
        <v>1</v>
      </c>
      <c r="AF168" s="506">
        <v>1</v>
      </c>
      <c r="AG168" s="537">
        <f t="shared" si="90"/>
        <v>0</v>
      </c>
      <c r="AH168" s="537">
        <f t="shared" si="91"/>
        <v>0</v>
      </c>
    </row>
    <row r="169" spans="1:34" customFormat="1">
      <c r="A169" s="498" t="s">
        <v>1365</v>
      </c>
      <c r="B169" s="499" t="s">
        <v>81</v>
      </c>
      <c r="C169" s="216"/>
      <c r="D169" s="864"/>
      <c r="E169" s="222"/>
      <c r="F169" s="864"/>
      <c r="G169" s="222"/>
      <c r="H169" s="864"/>
      <c r="I169" s="222"/>
      <c r="J169" s="222"/>
      <c r="K169" s="500"/>
      <c r="L169" s="501"/>
      <c r="M169" s="34"/>
      <c r="N169" s="23"/>
      <c r="O169" s="23"/>
      <c r="P169" s="23"/>
      <c r="Q169" s="23"/>
      <c r="R169" s="23"/>
      <c r="S169" s="23"/>
      <c r="T169" s="23"/>
      <c r="U169" s="23"/>
      <c r="V169" s="23"/>
      <c r="X169" s="23"/>
      <c r="Y169" s="23"/>
      <c r="Z169" s="23"/>
      <c r="AA169" s="23"/>
      <c r="AB169" s="23"/>
      <c r="AC169" s="23"/>
      <c r="AD169" s="23"/>
      <c r="AE169" s="23"/>
      <c r="AF169" s="23"/>
      <c r="AG169" s="537">
        <f t="shared" si="90"/>
        <v>0</v>
      </c>
      <c r="AH169" s="537">
        <f t="shared" si="91"/>
        <v>0</v>
      </c>
    </row>
    <row r="170" spans="1:34" customFormat="1">
      <c r="A170" s="502" t="s">
        <v>90</v>
      </c>
      <c r="B170" s="503" t="s">
        <v>67</v>
      </c>
      <c r="C170" s="392">
        <f>tot_fm_back</f>
        <v>1</v>
      </c>
      <c r="D170" s="392" t="s">
        <v>2305</v>
      </c>
      <c r="E170" s="402">
        <f>back_meter_size</f>
        <v>6</v>
      </c>
      <c r="F170" s="504" t="s">
        <v>2626</v>
      </c>
      <c r="G170" s="402">
        <f>IF(curve=1,back_meter_size,VLOOKUP(back_meter_size,op_fm_cost_cl,2))</f>
        <v>6</v>
      </c>
      <c r="H170" s="504" t="s">
        <v>2626</v>
      </c>
      <c r="I170" s="401">
        <f>IF(curve=1,op_fm_eq_back,VLOOKUP(back_meter_size,op_fm_cost_cl,3))</f>
        <v>4551.1897718580003</v>
      </c>
      <c r="J170" s="398">
        <f>IF(I170="contact vendor","--",C170*I170)</f>
        <v>4551.1897718580003</v>
      </c>
      <c r="K170" s="402">
        <f>VLOOKUP(back_meter_size,op_fm_cost_cl,IF(ss_cat="large",4,5))</f>
        <v>14</v>
      </c>
      <c r="L170" s="505">
        <v>0</v>
      </c>
      <c r="M170" s="34" t="str">
        <f>$B$158&amp;" - "&amp;$B$169&amp;" - "&amp;B170</f>
        <v>Instrumentation - Flow Meters - Backwash - Orifice Plate</v>
      </c>
      <c r="N170" s="530">
        <f t="shared" ref="N170:T173" si="94">IF(retrofit=1,$W170*X170,IF(ISBLANK(X170),"",X170))</f>
        <v>3</v>
      </c>
      <c r="O170" s="530">
        <f t="shared" si="94"/>
        <v>4</v>
      </c>
      <c r="P170" s="530">
        <f t="shared" si="94"/>
        <v>4</v>
      </c>
      <c r="Q170" s="530">
        <f t="shared" si="94"/>
        <v>3</v>
      </c>
      <c r="R170" s="530">
        <f t="shared" si="94"/>
        <v>4</v>
      </c>
      <c r="S170" s="530">
        <f t="shared" si="94"/>
        <v>4</v>
      </c>
      <c r="T170" s="530">
        <f t="shared" si="94"/>
        <v>3</v>
      </c>
      <c r="U170" s="530">
        <f t="shared" ref="U170:V173" si="95">IF(retrofit=1,$W170*AE170,IF(ISBLANK(AE170),"",AE170))</f>
        <v>3</v>
      </c>
      <c r="V170" s="530">
        <f t="shared" si="95"/>
        <v>4</v>
      </c>
      <c r="W170" s="573">
        <v>0</v>
      </c>
      <c r="X170" s="506">
        <v>3</v>
      </c>
      <c r="Y170" s="506">
        <v>4</v>
      </c>
      <c r="Z170" s="506">
        <v>4</v>
      </c>
      <c r="AA170" s="506">
        <v>3</v>
      </c>
      <c r="AB170" s="506">
        <v>4</v>
      </c>
      <c r="AC170" s="506">
        <v>4</v>
      </c>
      <c r="AD170" s="506">
        <v>3</v>
      </c>
      <c r="AE170" s="506">
        <v>3</v>
      </c>
      <c r="AF170" s="506">
        <v>4</v>
      </c>
      <c r="AG170" s="537">
        <f t="shared" si="90"/>
        <v>0</v>
      </c>
      <c r="AH170" s="537">
        <f t="shared" si="91"/>
        <v>0</v>
      </c>
    </row>
    <row r="171" spans="1:34" customFormat="1">
      <c r="A171" s="502" t="s">
        <v>90</v>
      </c>
      <c r="B171" s="503" t="s">
        <v>68</v>
      </c>
      <c r="C171" s="392">
        <f>tot_fm_back</f>
        <v>1</v>
      </c>
      <c r="D171" s="392" t="s">
        <v>2305</v>
      </c>
      <c r="E171" s="402">
        <f>back_meter_size</f>
        <v>6</v>
      </c>
      <c r="F171" s="504" t="s">
        <v>2626</v>
      </c>
      <c r="G171" s="402">
        <f>IF(curve=1,back_meter_size,VLOOKUP(back_meter_size,prop_fm_cost_cl,2))</f>
        <v>6</v>
      </c>
      <c r="H171" s="504" t="s">
        <v>2626</v>
      </c>
      <c r="I171" s="401">
        <f>IF(curve=1,prop_fm_eq_back,VLOOKUP(back_meter_size,prop_fm_cost_cl,3))</f>
        <v>4056.6381057109988</v>
      </c>
      <c r="J171" s="398">
        <f>IF(I171="contact vendor","--",C171*I171)</f>
        <v>4056.6381057109988</v>
      </c>
      <c r="K171" s="402">
        <f>VLOOKUP(back_meter_size,prop_fm_cost_cl,IF(ss_cat="large",4,5))</f>
        <v>14</v>
      </c>
      <c r="L171" s="505">
        <v>1</v>
      </c>
      <c r="M171" s="34" t="str">
        <f>$B$158&amp;" - "&amp;$B$169&amp;" - "&amp;B171</f>
        <v>Instrumentation - Flow Meters - Backwash - Propeller</v>
      </c>
      <c r="N171" s="530">
        <f t="shared" si="94"/>
        <v>1</v>
      </c>
      <c r="O171" s="530">
        <f t="shared" si="94"/>
        <v>2</v>
      </c>
      <c r="P171" s="530">
        <f t="shared" si="94"/>
        <v>3</v>
      </c>
      <c r="Q171" s="530">
        <f t="shared" si="94"/>
        <v>1</v>
      </c>
      <c r="R171" s="530">
        <f t="shared" si="94"/>
        <v>2</v>
      </c>
      <c r="S171" s="530">
        <f t="shared" si="94"/>
        <v>3</v>
      </c>
      <c r="T171" s="530">
        <f t="shared" si="94"/>
        <v>4</v>
      </c>
      <c r="U171" s="530">
        <f t="shared" si="95"/>
        <v>4</v>
      </c>
      <c r="V171" s="530">
        <f t="shared" si="95"/>
        <v>2</v>
      </c>
      <c r="W171" s="573">
        <v>0</v>
      </c>
      <c r="X171" s="506">
        <v>1</v>
      </c>
      <c r="Y171" s="506">
        <v>2</v>
      </c>
      <c r="Z171" s="506">
        <v>3</v>
      </c>
      <c r="AA171" s="506">
        <v>1</v>
      </c>
      <c r="AB171" s="506">
        <v>2</v>
      </c>
      <c r="AC171" s="506">
        <v>3</v>
      </c>
      <c r="AD171" s="506">
        <v>4</v>
      </c>
      <c r="AE171" s="506">
        <v>4</v>
      </c>
      <c r="AF171" s="506">
        <v>2</v>
      </c>
      <c r="AG171" s="537">
        <f t="shared" si="90"/>
        <v>1</v>
      </c>
      <c r="AH171" s="537">
        <f t="shared" si="91"/>
        <v>289.75986469364278</v>
      </c>
    </row>
    <row r="172" spans="1:34" customFormat="1">
      <c r="A172" s="502" t="s">
        <v>90</v>
      </c>
      <c r="B172" s="503" t="s">
        <v>71</v>
      </c>
      <c r="C172" s="392">
        <f>tot_fm_back</f>
        <v>1</v>
      </c>
      <c r="D172" s="392" t="s">
        <v>2305</v>
      </c>
      <c r="E172" s="402">
        <f>back_meter_size</f>
        <v>6</v>
      </c>
      <c r="F172" s="504" t="s">
        <v>2626</v>
      </c>
      <c r="G172" s="402">
        <f>IF(curve=1,back_meter_size,VLOOKUP(back_meter_size,ven_fm_cost_cl,2))</f>
        <v>6</v>
      </c>
      <c r="H172" s="504" t="s">
        <v>2626</v>
      </c>
      <c r="I172" s="401">
        <f>IF(curve=1,ven_fm_eq_back,VLOOKUP(back_meter_size,ven_fm_cost_cl,3))</f>
        <v>12235.568062914001</v>
      </c>
      <c r="J172" s="398">
        <f>IF(I172="contact vendor","--",C172*I172)</f>
        <v>12235.568062914001</v>
      </c>
      <c r="K172" s="402">
        <f>VLOOKUP(back_meter_size,ven_fm_cost_cl,IF(ss_cat="large",4,5))</f>
        <v>14</v>
      </c>
      <c r="L172" s="505">
        <v>0</v>
      </c>
      <c r="M172" s="34" t="str">
        <f>$B$158&amp;" - "&amp;$B$169&amp;" - "&amp;B172</f>
        <v>Instrumentation - Flow Meters - Backwash - Venturi</v>
      </c>
      <c r="N172" s="530">
        <f t="shared" si="94"/>
        <v>2</v>
      </c>
      <c r="O172" s="530">
        <f t="shared" si="94"/>
        <v>1</v>
      </c>
      <c r="P172" s="530">
        <f t="shared" si="94"/>
        <v>2</v>
      </c>
      <c r="Q172" s="530">
        <f t="shared" si="94"/>
        <v>2</v>
      </c>
      <c r="R172" s="530">
        <f t="shared" si="94"/>
        <v>1</v>
      </c>
      <c r="S172" s="530">
        <f t="shared" si="94"/>
        <v>2</v>
      </c>
      <c r="T172" s="530">
        <f t="shared" si="94"/>
        <v>1</v>
      </c>
      <c r="U172" s="530">
        <f t="shared" si="95"/>
        <v>2</v>
      </c>
      <c r="V172" s="530">
        <f t="shared" si="95"/>
        <v>3</v>
      </c>
      <c r="W172" s="573">
        <v>0</v>
      </c>
      <c r="X172" s="506">
        <v>2</v>
      </c>
      <c r="Y172" s="506">
        <v>1</v>
      </c>
      <c r="Z172" s="506">
        <v>2</v>
      </c>
      <c r="AA172" s="506">
        <v>2</v>
      </c>
      <c r="AB172" s="506">
        <v>1</v>
      </c>
      <c r="AC172" s="506">
        <v>2</v>
      </c>
      <c r="AD172" s="506">
        <v>1</v>
      </c>
      <c r="AE172" s="506">
        <v>2</v>
      </c>
      <c r="AF172" s="506">
        <v>3</v>
      </c>
      <c r="AG172" s="537">
        <f t="shared" si="90"/>
        <v>0</v>
      </c>
      <c r="AH172" s="537">
        <f t="shared" si="91"/>
        <v>0</v>
      </c>
    </row>
    <row r="173" spans="1:34" customFormat="1">
      <c r="A173" s="502" t="s">
        <v>90</v>
      </c>
      <c r="B173" s="503" t="s">
        <v>74</v>
      </c>
      <c r="C173" s="392">
        <f>tot_fm_back</f>
        <v>1</v>
      </c>
      <c r="D173" s="392" t="s">
        <v>2305</v>
      </c>
      <c r="E173" s="402">
        <f>back_meter_size</f>
        <v>6</v>
      </c>
      <c r="F173" s="504" t="s">
        <v>2626</v>
      </c>
      <c r="G173" s="402">
        <f>IF(curve=1,back_meter_size,VLOOKUP(back_meter_size,mag_fm_cost_cl,2))</f>
        <v>6</v>
      </c>
      <c r="H173" s="504" t="s">
        <v>2626</v>
      </c>
      <c r="I173" s="401">
        <f>IF(curve=1,mag_fm_eq_back,VLOOKUP(back_meter_size,mag_fm_cost_cl,3))</f>
        <v>6693.381779976</v>
      </c>
      <c r="J173" s="398">
        <f>IF(I173="contact vendor","--",C173*I173)</f>
        <v>6693.381779976</v>
      </c>
      <c r="K173" s="402">
        <f>VLOOKUP(back_meter_size,mag_fm_cost_cl,IF(ss_cat="large",4,5))</f>
        <v>14</v>
      </c>
      <c r="L173" s="505">
        <v>0</v>
      </c>
      <c r="M173" s="34" t="str">
        <f>$B$158&amp;" - "&amp;$B$169&amp;" - "&amp;B173</f>
        <v>Instrumentation - Flow Meters - Backwash - Magnetic</v>
      </c>
      <c r="N173" s="530">
        <f t="shared" si="94"/>
        <v>4</v>
      </c>
      <c r="O173" s="530">
        <f t="shared" si="94"/>
        <v>3</v>
      </c>
      <c r="P173" s="530">
        <f t="shared" si="94"/>
        <v>1</v>
      </c>
      <c r="Q173" s="530">
        <f t="shared" si="94"/>
        <v>4</v>
      </c>
      <c r="R173" s="530">
        <f t="shared" si="94"/>
        <v>3</v>
      </c>
      <c r="S173" s="530">
        <f t="shared" si="94"/>
        <v>1</v>
      </c>
      <c r="T173" s="530">
        <f t="shared" si="94"/>
        <v>2</v>
      </c>
      <c r="U173" s="530">
        <f t="shared" si="95"/>
        <v>1</v>
      </c>
      <c r="V173" s="530">
        <f t="shared" si="95"/>
        <v>1</v>
      </c>
      <c r="W173" s="573">
        <v>0</v>
      </c>
      <c r="X173" s="506">
        <v>4</v>
      </c>
      <c r="Y173" s="506">
        <v>3</v>
      </c>
      <c r="Z173" s="506">
        <v>1</v>
      </c>
      <c r="AA173" s="506">
        <v>4</v>
      </c>
      <c r="AB173" s="506">
        <v>3</v>
      </c>
      <c r="AC173" s="506">
        <v>1</v>
      </c>
      <c r="AD173" s="506">
        <v>2</v>
      </c>
      <c r="AE173" s="506">
        <v>1</v>
      </c>
      <c r="AF173" s="506">
        <v>1</v>
      </c>
      <c r="AG173" s="537">
        <f t="shared" si="90"/>
        <v>0</v>
      </c>
      <c r="AH173" s="537">
        <f t="shared" si="91"/>
        <v>0</v>
      </c>
    </row>
    <row r="174" spans="1:34" customFormat="1">
      <c r="A174" s="498" t="s">
        <v>1391</v>
      </c>
      <c r="B174" s="499" t="s">
        <v>85</v>
      </c>
      <c r="C174" s="216"/>
      <c r="D174" s="864"/>
      <c r="E174" s="222"/>
      <c r="F174" s="864"/>
      <c r="G174" s="222"/>
      <c r="H174" s="864"/>
      <c r="I174" s="222"/>
      <c r="J174" s="222"/>
      <c r="K174" s="500"/>
      <c r="L174" s="501"/>
      <c r="M174" s="34"/>
      <c r="N174" s="23"/>
      <c r="O174" s="23"/>
      <c r="P174" s="23"/>
      <c r="Q174" s="23"/>
      <c r="R174" s="23"/>
      <c r="S174" s="23"/>
      <c r="T174" s="23"/>
      <c r="U174" s="23"/>
      <c r="V174" s="23"/>
      <c r="X174" s="23"/>
      <c r="Y174" s="23"/>
      <c r="Z174" s="23"/>
      <c r="AA174" s="23"/>
      <c r="AB174" s="23"/>
      <c r="AC174" s="23"/>
      <c r="AD174" s="23"/>
      <c r="AE174" s="23"/>
      <c r="AF174" s="23"/>
      <c r="AG174" s="537">
        <f t="shared" si="90"/>
        <v>0</v>
      </c>
      <c r="AH174" s="537">
        <f t="shared" si="91"/>
        <v>0</v>
      </c>
    </row>
    <row r="175" spans="1:34" customFormat="1">
      <c r="A175" s="502" t="s">
        <v>91</v>
      </c>
      <c r="B175" s="503" t="s">
        <v>67</v>
      </c>
      <c r="C175" s="392">
        <f>tot_fm_res</f>
        <v>1</v>
      </c>
      <c r="D175" s="392" t="s">
        <v>2305</v>
      </c>
      <c r="E175" s="402">
        <f>res_meter_size</f>
        <v>6</v>
      </c>
      <c r="F175" s="504" t="s">
        <v>2626</v>
      </c>
      <c r="G175" s="402">
        <f>IF(curve=1,res_meter_size,VLOOKUP(res_meter_size,op_fm_cost_cl,2))</f>
        <v>6</v>
      </c>
      <c r="H175" s="504" t="s">
        <v>2626</v>
      </c>
      <c r="I175" s="401">
        <f>IF(curve=1,op_fm_eq_res,VLOOKUP(res_meter_size,op_fm_cost_cl,3))</f>
        <v>4551.1897718580003</v>
      </c>
      <c r="J175" s="398">
        <f>IF(I175="contact vendor","--",C175*I175)</f>
        <v>4551.1897718580003</v>
      </c>
      <c r="K175" s="402">
        <f>VLOOKUP(res_meter_size,op_fm_cost_cl,IF(ss_cat="large",4,5))</f>
        <v>14</v>
      </c>
      <c r="L175" s="505">
        <v>0</v>
      </c>
      <c r="M175" s="34" t="str">
        <f>$B$158&amp;" - "&amp;$B$174&amp;" - "&amp;B175</f>
        <v>Instrumentation - Flow Meters - Residuals - Orifice Plate</v>
      </c>
      <c r="N175" s="530">
        <f t="shared" ref="N175:N185" si="96">IF(retrofit=1,$W175*X175,IF(ISBLANK(X175),"",X175))</f>
        <v>3</v>
      </c>
      <c r="O175" s="530">
        <f t="shared" ref="O175:O185" si="97">IF(retrofit=1,$W175*Y175,IF(ISBLANK(Y175),"",Y175))</f>
        <v>4</v>
      </c>
      <c r="P175" s="530">
        <f t="shared" ref="P175:P185" si="98">IF(retrofit=1,$W175*Z175,IF(ISBLANK(Z175),"",Z175))</f>
        <v>4</v>
      </c>
      <c r="Q175" s="530">
        <f t="shared" ref="Q175:Q185" si="99">IF(retrofit=1,$W175*AA175,IF(ISBLANK(AA175),"",AA175))</f>
        <v>3</v>
      </c>
      <c r="R175" s="530">
        <f t="shared" ref="R175:R185" si="100">IF(retrofit=1,$W175*AB175,IF(ISBLANK(AB175),"",AB175))</f>
        <v>4</v>
      </c>
      <c r="S175" s="530">
        <f t="shared" ref="S175:S185" si="101">IF(retrofit=1,$W175*AC175,IF(ISBLANK(AC175),"",AC175))</f>
        <v>4</v>
      </c>
      <c r="T175" s="530">
        <f t="shared" ref="T175:T185" si="102">IF(retrofit=1,$W175*AD175,IF(ISBLANK(AD175),"",AD175))</f>
        <v>3</v>
      </c>
      <c r="U175" s="530">
        <f t="shared" ref="U175:U185" si="103">IF(retrofit=1,$W175*AE175,IF(ISBLANK(AE175),"",AE175))</f>
        <v>3</v>
      </c>
      <c r="V175" s="530">
        <f t="shared" ref="V175:V185" si="104">IF(retrofit=1,$W175*AF175,IF(ISBLANK(AF175),"",AF175))</f>
        <v>4</v>
      </c>
      <c r="W175" s="573">
        <v>0</v>
      </c>
      <c r="X175" s="506">
        <v>3</v>
      </c>
      <c r="Y175" s="506">
        <v>4</v>
      </c>
      <c r="Z175" s="506">
        <v>4</v>
      </c>
      <c r="AA175" s="506">
        <v>3</v>
      </c>
      <c r="AB175" s="506">
        <v>4</v>
      </c>
      <c r="AC175" s="506">
        <v>4</v>
      </c>
      <c r="AD175" s="506">
        <v>3</v>
      </c>
      <c r="AE175" s="506">
        <v>3</v>
      </c>
      <c r="AF175" s="506">
        <v>4</v>
      </c>
      <c r="AG175" s="537">
        <f t="shared" si="90"/>
        <v>0</v>
      </c>
      <c r="AH175" s="537">
        <f t="shared" si="91"/>
        <v>0</v>
      </c>
    </row>
    <row r="176" spans="1:34" customFormat="1">
      <c r="A176" s="502" t="s">
        <v>91</v>
      </c>
      <c r="B176" s="503" t="s">
        <v>68</v>
      </c>
      <c r="C176" s="392">
        <f>tot_fm_res</f>
        <v>1</v>
      </c>
      <c r="D176" s="392" t="s">
        <v>2305</v>
      </c>
      <c r="E176" s="402">
        <f>res_meter_size</f>
        <v>6</v>
      </c>
      <c r="F176" s="504" t="s">
        <v>2626</v>
      </c>
      <c r="G176" s="402">
        <f>IF(curve=1,res_meter_size,VLOOKUP(res_meter_size,prop_fm_cost_cl,2))</f>
        <v>6</v>
      </c>
      <c r="H176" s="504" t="s">
        <v>2626</v>
      </c>
      <c r="I176" s="401">
        <f>IF(curve=1,prop_fm_eq_res,VLOOKUP(res_meter_size,prop_fm_cost_cl,3))</f>
        <v>4056.6381057109988</v>
      </c>
      <c r="J176" s="398">
        <f>IF(I176="contact vendor","--",C176*I176)</f>
        <v>4056.6381057109988</v>
      </c>
      <c r="K176" s="402">
        <f>VLOOKUP(res_meter_size,prop_fm_cost_cl,IF(ss_cat="large",4,5))</f>
        <v>14</v>
      </c>
      <c r="L176" s="505">
        <v>1</v>
      </c>
      <c r="M176" s="34" t="str">
        <f>$B$158&amp;" - "&amp;$B$174&amp;" - "&amp;B176</f>
        <v>Instrumentation - Flow Meters - Residuals - Propeller</v>
      </c>
      <c r="N176" s="530">
        <f t="shared" si="96"/>
        <v>1</v>
      </c>
      <c r="O176" s="530">
        <f t="shared" si="97"/>
        <v>2</v>
      </c>
      <c r="P176" s="530">
        <f t="shared" si="98"/>
        <v>3</v>
      </c>
      <c r="Q176" s="530">
        <f t="shared" si="99"/>
        <v>1</v>
      </c>
      <c r="R176" s="530">
        <f t="shared" si="100"/>
        <v>2</v>
      </c>
      <c r="S176" s="530">
        <f t="shared" si="101"/>
        <v>3</v>
      </c>
      <c r="T176" s="530">
        <f t="shared" si="102"/>
        <v>4</v>
      </c>
      <c r="U176" s="530">
        <f t="shared" si="103"/>
        <v>4</v>
      </c>
      <c r="V176" s="530">
        <f t="shared" si="104"/>
        <v>2</v>
      </c>
      <c r="W176" s="573">
        <v>0</v>
      </c>
      <c r="X176" s="506">
        <v>1</v>
      </c>
      <c r="Y176" s="506">
        <v>2</v>
      </c>
      <c r="Z176" s="506">
        <v>3</v>
      </c>
      <c r="AA176" s="506">
        <v>1</v>
      </c>
      <c r="AB176" s="506">
        <v>2</v>
      </c>
      <c r="AC176" s="506">
        <v>3</v>
      </c>
      <c r="AD176" s="506">
        <v>4</v>
      </c>
      <c r="AE176" s="506">
        <v>4</v>
      </c>
      <c r="AF176" s="506">
        <v>2</v>
      </c>
      <c r="AG176" s="537">
        <f t="shared" si="90"/>
        <v>1</v>
      </c>
      <c r="AH176" s="537">
        <f t="shared" si="91"/>
        <v>289.75986469364278</v>
      </c>
    </row>
    <row r="177" spans="1:34" customFormat="1">
      <c r="A177" s="502" t="s">
        <v>91</v>
      </c>
      <c r="B177" s="503" t="s">
        <v>71</v>
      </c>
      <c r="C177" s="392">
        <f>tot_fm_res</f>
        <v>1</v>
      </c>
      <c r="D177" s="392" t="s">
        <v>2305</v>
      </c>
      <c r="E177" s="402">
        <f>res_meter_size</f>
        <v>6</v>
      </c>
      <c r="F177" s="504" t="s">
        <v>2626</v>
      </c>
      <c r="G177" s="402">
        <f>IF(curve=1,res_meter_size,VLOOKUP(res_meter_size,ven_fm_cost_cl,2))</f>
        <v>6</v>
      </c>
      <c r="H177" s="504" t="s">
        <v>2626</v>
      </c>
      <c r="I177" s="401">
        <f>IF(curve=1,ven_fm_eq_res,VLOOKUP(res_meter_size,ven_fm_cost_cl,3))</f>
        <v>12235.568062914001</v>
      </c>
      <c r="J177" s="398">
        <f>IF(I177="contact vendor","--",C177*I177)</f>
        <v>12235.568062914001</v>
      </c>
      <c r="K177" s="402">
        <f>VLOOKUP(res_meter_size,ven_fm_cost_cl,IF(ss_cat="large",4,5))</f>
        <v>14</v>
      </c>
      <c r="L177" s="505">
        <v>0</v>
      </c>
      <c r="M177" s="34" t="str">
        <f>$B$158&amp;" - "&amp;$B$174&amp;" - "&amp;B177</f>
        <v>Instrumentation - Flow Meters - Residuals - Venturi</v>
      </c>
      <c r="N177" s="530">
        <f t="shared" si="96"/>
        <v>2</v>
      </c>
      <c r="O177" s="530">
        <f t="shared" si="97"/>
        <v>1</v>
      </c>
      <c r="P177" s="530">
        <f t="shared" si="98"/>
        <v>2</v>
      </c>
      <c r="Q177" s="530">
        <f t="shared" si="99"/>
        <v>2</v>
      </c>
      <c r="R177" s="530">
        <f t="shared" si="100"/>
        <v>1</v>
      </c>
      <c r="S177" s="530">
        <f t="shared" si="101"/>
        <v>2</v>
      </c>
      <c r="T177" s="530">
        <f t="shared" si="102"/>
        <v>1</v>
      </c>
      <c r="U177" s="530">
        <f t="shared" si="103"/>
        <v>2</v>
      </c>
      <c r="V177" s="530">
        <f t="shared" si="104"/>
        <v>3</v>
      </c>
      <c r="W177" s="573">
        <v>0</v>
      </c>
      <c r="X177" s="506">
        <v>2</v>
      </c>
      <c r="Y177" s="506">
        <v>1</v>
      </c>
      <c r="Z177" s="506">
        <v>2</v>
      </c>
      <c r="AA177" s="506">
        <v>2</v>
      </c>
      <c r="AB177" s="506">
        <v>1</v>
      </c>
      <c r="AC177" s="506">
        <v>2</v>
      </c>
      <c r="AD177" s="506">
        <v>1</v>
      </c>
      <c r="AE177" s="506">
        <v>2</v>
      </c>
      <c r="AF177" s="506">
        <v>3</v>
      </c>
      <c r="AG177" s="537">
        <f t="shared" si="90"/>
        <v>0</v>
      </c>
      <c r="AH177" s="537">
        <f t="shared" si="91"/>
        <v>0</v>
      </c>
    </row>
    <row r="178" spans="1:34" customFormat="1">
      <c r="A178" s="502" t="s">
        <v>91</v>
      </c>
      <c r="B178" s="503" t="s">
        <v>74</v>
      </c>
      <c r="C178" s="392">
        <f>tot_fm_res</f>
        <v>1</v>
      </c>
      <c r="D178" s="392" t="s">
        <v>2305</v>
      </c>
      <c r="E178" s="402">
        <f>res_meter_size</f>
        <v>6</v>
      </c>
      <c r="F178" s="504" t="s">
        <v>2626</v>
      </c>
      <c r="G178" s="402">
        <f>IF(curve=1,res_meter_size,VLOOKUP(res_meter_size,mag_fm_cost_cl,2))</f>
        <v>6</v>
      </c>
      <c r="H178" s="504" t="s">
        <v>2626</v>
      </c>
      <c r="I178" s="401">
        <f>IF(curve=1,mag_fm_eq_res,VLOOKUP(res_meter_size,mag_fm_cost_cl,3))</f>
        <v>6693.381779976</v>
      </c>
      <c r="J178" s="398">
        <f>IF(I178="contact vendor","--",C178*I178)</f>
        <v>6693.381779976</v>
      </c>
      <c r="K178" s="402">
        <f>VLOOKUP(res_meter_size,mag_fm_cost_cl,IF(ss_cat="large",4,5))</f>
        <v>14</v>
      </c>
      <c r="L178" s="505">
        <v>0</v>
      </c>
      <c r="M178" s="34" t="str">
        <f>$B$158&amp;" - "&amp;$B$174&amp;" - "&amp;B178</f>
        <v>Instrumentation - Flow Meters - Residuals - Magnetic</v>
      </c>
      <c r="N178" s="530">
        <f t="shared" si="96"/>
        <v>4</v>
      </c>
      <c r="O178" s="530">
        <f t="shared" si="97"/>
        <v>3</v>
      </c>
      <c r="P178" s="530">
        <f t="shared" si="98"/>
        <v>1</v>
      </c>
      <c r="Q178" s="530">
        <f t="shared" si="99"/>
        <v>4</v>
      </c>
      <c r="R178" s="530">
        <f t="shared" si="100"/>
        <v>3</v>
      </c>
      <c r="S178" s="530">
        <f t="shared" si="101"/>
        <v>1</v>
      </c>
      <c r="T178" s="530">
        <f t="shared" si="102"/>
        <v>2</v>
      </c>
      <c r="U178" s="530">
        <f t="shared" si="103"/>
        <v>1</v>
      </c>
      <c r="V178" s="530">
        <f t="shared" si="104"/>
        <v>1</v>
      </c>
      <c r="W178" s="573">
        <v>0</v>
      </c>
      <c r="X178" s="506">
        <v>4</v>
      </c>
      <c r="Y178" s="506">
        <v>3</v>
      </c>
      <c r="Z178" s="506">
        <v>1</v>
      </c>
      <c r="AA178" s="506">
        <v>4</v>
      </c>
      <c r="AB178" s="506">
        <v>3</v>
      </c>
      <c r="AC178" s="506">
        <v>1</v>
      </c>
      <c r="AD178" s="506">
        <v>2</v>
      </c>
      <c r="AE178" s="506">
        <v>1</v>
      </c>
      <c r="AF178" s="506">
        <v>1</v>
      </c>
      <c r="AG178" s="537">
        <f t="shared" si="90"/>
        <v>0</v>
      </c>
      <c r="AH178" s="537">
        <f t="shared" si="91"/>
        <v>0</v>
      </c>
    </row>
    <row r="179" spans="1:34" customFormat="1">
      <c r="A179" s="495" t="s">
        <v>3244</v>
      </c>
      <c r="B179" s="377" t="s">
        <v>1047</v>
      </c>
      <c r="C179" s="392">
        <f>tot_level_switch</f>
        <v>0</v>
      </c>
      <c r="D179" s="392" t="s">
        <v>2305</v>
      </c>
      <c r="E179" s="402" t="s">
        <v>774</v>
      </c>
      <c r="F179" s="189"/>
      <c r="G179" s="402" t="s">
        <v>774</v>
      </c>
      <c r="H179" s="189"/>
      <c r="I179" s="401" t="str">
        <f>IF(C179=0,"NA",VLOOKUP(0,alarm_cost_cl,3))</f>
        <v>NA</v>
      </c>
      <c r="J179" s="398" t="str">
        <f>IF(C179=0,"--",IF(I179="contact vendor","--",C179*I179))</f>
        <v>--</v>
      </c>
      <c r="K179" s="402" t="str">
        <f>IF(C179=0,"NA",VLOOKUP(0,alarm_cost_cl,IF(ss_cat="large",4,5)))</f>
        <v>NA</v>
      </c>
      <c r="L179" s="397"/>
      <c r="M179" s="34" t="str">
        <f t="shared" ref="M179:M185" si="105">B179</f>
        <v>Level Switches/Alarms (for vessels)</v>
      </c>
      <c r="N179" s="530">
        <f t="shared" si="96"/>
        <v>1</v>
      </c>
      <c r="O179" s="530">
        <f t="shared" si="97"/>
        <v>1</v>
      </c>
      <c r="P179" s="530">
        <f t="shared" si="98"/>
        <v>1</v>
      </c>
      <c r="Q179" s="530">
        <f t="shared" si="99"/>
        <v>1</v>
      </c>
      <c r="R179" s="530">
        <f t="shared" si="100"/>
        <v>1</v>
      </c>
      <c r="S179" s="530">
        <f t="shared" si="101"/>
        <v>1</v>
      </c>
      <c r="T179" s="530">
        <f t="shared" si="102"/>
        <v>1</v>
      </c>
      <c r="U179" s="530">
        <f t="shared" si="103"/>
        <v>1</v>
      </c>
      <c r="V179" s="530">
        <f t="shared" si="104"/>
        <v>1</v>
      </c>
      <c r="W179" s="573">
        <v>0</v>
      </c>
      <c r="X179" s="23">
        <v>1</v>
      </c>
      <c r="Y179" s="23">
        <v>1</v>
      </c>
      <c r="Z179" s="23">
        <v>1</v>
      </c>
      <c r="AA179" s="23">
        <v>1</v>
      </c>
      <c r="AB179" s="23">
        <v>1</v>
      </c>
      <c r="AC179" s="23">
        <v>1</v>
      </c>
      <c r="AD179" s="23">
        <v>1</v>
      </c>
      <c r="AE179" s="23">
        <v>1</v>
      </c>
      <c r="AF179" s="23">
        <v>1</v>
      </c>
      <c r="AG179" s="537">
        <f t="shared" si="90"/>
        <v>0</v>
      </c>
      <c r="AH179" s="537">
        <f t="shared" si="91"/>
        <v>0</v>
      </c>
    </row>
    <row r="180" spans="1:34" customFormat="1">
      <c r="A180" s="495" t="s">
        <v>1045</v>
      </c>
      <c r="B180" s="377" t="s">
        <v>1048</v>
      </c>
      <c r="C180" s="392">
        <f>tot_back_alarm</f>
        <v>0</v>
      </c>
      <c r="D180" s="392" t="s">
        <v>2305</v>
      </c>
      <c r="E180" s="402" t="s">
        <v>774</v>
      </c>
      <c r="F180" s="402"/>
      <c r="G180" s="402" t="s">
        <v>774</v>
      </c>
      <c r="H180" s="392"/>
      <c r="I180" s="401" t="str">
        <f>IF(C180=0,"NA",VLOOKUP(0,alarm_cost_cl,3))</f>
        <v>NA</v>
      </c>
      <c r="J180" s="398" t="str">
        <f>IF(OR(I180="contact vendor",I180="NA"),"--",C180*I180)</f>
        <v>--</v>
      </c>
      <c r="K180" s="402" t="str">
        <f>IF(C180=0,"NA",VLOOKUP(0,alarm_cost_cl,IF(ss_cat="large",4,5)))</f>
        <v>NA</v>
      </c>
      <c r="L180" s="397"/>
      <c r="M180" s="34" t="str">
        <f t="shared" si="105"/>
        <v>High/Low Alarms (for backwash tanks)</v>
      </c>
      <c r="N180" s="530">
        <f t="shared" si="96"/>
        <v>1</v>
      </c>
      <c r="O180" s="530">
        <f t="shared" si="97"/>
        <v>1</v>
      </c>
      <c r="P180" s="530">
        <f t="shared" si="98"/>
        <v>1</v>
      </c>
      <c r="Q180" s="530">
        <f t="shared" si="99"/>
        <v>1</v>
      </c>
      <c r="R180" s="530">
        <f t="shared" si="100"/>
        <v>1</v>
      </c>
      <c r="S180" s="530">
        <f t="shared" si="101"/>
        <v>1</v>
      </c>
      <c r="T180" s="530">
        <f t="shared" si="102"/>
        <v>1</v>
      </c>
      <c r="U180" s="530">
        <f t="shared" si="103"/>
        <v>1</v>
      </c>
      <c r="V180" s="530">
        <f t="shared" si="104"/>
        <v>1</v>
      </c>
      <c r="W180" s="573">
        <v>0</v>
      </c>
      <c r="X180" s="23">
        <v>1</v>
      </c>
      <c r="Y180" s="23">
        <v>1</v>
      </c>
      <c r="Z180" s="23">
        <v>1</v>
      </c>
      <c r="AA180" s="23">
        <v>1</v>
      </c>
      <c r="AB180" s="23">
        <v>1</v>
      </c>
      <c r="AC180" s="23">
        <v>1</v>
      </c>
      <c r="AD180" s="23">
        <v>1</v>
      </c>
      <c r="AE180" s="23">
        <v>1</v>
      </c>
      <c r="AF180" s="23">
        <v>1</v>
      </c>
      <c r="AG180" s="537">
        <f t="shared" si="90"/>
        <v>0</v>
      </c>
      <c r="AH180" s="537">
        <f t="shared" si="91"/>
        <v>0</v>
      </c>
    </row>
    <row r="181" spans="1:34" customFormat="1">
      <c r="A181" s="495" t="s">
        <v>3245</v>
      </c>
      <c r="B181" s="418" t="s">
        <v>890</v>
      </c>
      <c r="C181" s="392">
        <f>tot_res_alarm</f>
        <v>0</v>
      </c>
      <c r="D181" s="392" t="s">
        <v>2305</v>
      </c>
      <c r="E181" s="402" t="s">
        <v>774</v>
      </c>
      <c r="F181" s="392"/>
      <c r="G181" s="402" t="s">
        <v>774</v>
      </c>
      <c r="H181" s="392"/>
      <c r="I181" s="401" t="str">
        <f>IF(C181=0,"NA",VLOOKUP(0,alarm_cost_cl,3))</f>
        <v>NA</v>
      </c>
      <c r="J181" s="398" t="str">
        <f>IF(OR(I181="contact vendor",I181="NA"),"--",C181*I181)</f>
        <v>--</v>
      </c>
      <c r="K181" s="402" t="str">
        <f>IF(C181=0,"NA",VLOOKUP(0,alarm_cost_cl,IF(ss_cat="large",4,5)))</f>
        <v>NA</v>
      </c>
      <c r="L181" s="419"/>
      <c r="M181" s="34" t="str">
        <f>B181</f>
        <v>High/Low Alarm (for holding tanks)</v>
      </c>
      <c r="N181" s="530">
        <f t="shared" si="96"/>
        <v>1</v>
      </c>
      <c r="O181" s="530">
        <f t="shared" si="97"/>
        <v>1</v>
      </c>
      <c r="P181" s="530">
        <f t="shared" si="98"/>
        <v>1</v>
      </c>
      <c r="Q181" s="530">
        <f t="shared" si="99"/>
        <v>1</v>
      </c>
      <c r="R181" s="530">
        <f t="shared" si="100"/>
        <v>1</v>
      </c>
      <c r="S181" s="530">
        <f t="shared" si="101"/>
        <v>1</v>
      </c>
      <c r="T181" s="530">
        <f t="shared" si="102"/>
        <v>1</v>
      </c>
      <c r="U181" s="530">
        <f t="shared" si="103"/>
        <v>1</v>
      </c>
      <c r="V181" s="530">
        <f t="shared" si="104"/>
        <v>1</v>
      </c>
      <c r="W181" s="573">
        <v>0</v>
      </c>
      <c r="X181" s="23">
        <v>1</v>
      </c>
      <c r="Y181" s="23">
        <v>1</v>
      </c>
      <c r="Z181" s="23">
        <v>1</v>
      </c>
      <c r="AA181" s="23">
        <v>1</v>
      </c>
      <c r="AB181" s="23">
        <v>1</v>
      </c>
      <c r="AC181" s="23">
        <v>1</v>
      </c>
      <c r="AD181" s="23">
        <v>1</v>
      </c>
      <c r="AE181" s="23">
        <v>1</v>
      </c>
      <c r="AF181" s="23">
        <v>1</v>
      </c>
      <c r="AG181" s="537">
        <f t="shared" si="90"/>
        <v>0</v>
      </c>
      <c r="AH181" s="537">
        <f t="shared" si="91"/>
        <v>0</v>
      </c>
    </row>
    <row r="182" spans="1:34" customFormat="1">
      <c r="A182" s="495" t="s">
        <v>1046</v>
      </c>
      <c r="B182" s="377" t="s">
        <v>1049</v>
      </c>
      <c r="C182" s="392">
        <f>pH_controls</f>
        <v>0</v>
      </c>
      <c r="D182" s="392" t="s">
        <v>2305</v>
      </c>
      <c r="E182" s="402" t="s">
        <v>774</v>
      </c>
      <c r="F182" s="189"/>
      <c r="G182" s="402" t="s">
        <v>774</v>
      </c>
      <c r="H182" s="189"/>
      <c r="I182" s="401" t="str">
        <f>IF(C182=0,"NA",VLOOKUP(0,pH_meter_cost_cl,3))</f>
        <v>NA</v>
      </c>
      <c r="J182" s="398" t="str">
        <f>IF(OR(C182=0,I182="contact vendor"),"--",C182*I182)</f>
        <v>--</v>
      </c>
      <c r="K182" s="402" t="str">
        <f>IF(C182=0,"NA",VLOOKUP(0,pH_meter_cost_cl,IF(ss_cat="large",4,5)))</f>
        <v>NA</v>
      </c>
      <c r="L182" s="397"/>
      <c r="M182" s="34" t="str">
        <f t="shared" si="105"/>
        <v>pH Meters</v>
      </c>
      <c r="N182" s="530">
        <f t="shared" si="96"/>
        <v>1</v>
      </c>
      <c r="O182" s="530">
        <f t="shared" si="97"/>
        <v>1</v>
      </c>
      <c r="P182" s="530">
        <f t="shared" si="98"/>
        <v>1</v>
      </c>
      <c r="Q182" s="530">
        <f t="shared" si="99"/>
        <v>1</v>
      </c>
      <c r="R182" s="530">
        <f t="shared" si="100"/>
        <v>1</v>
      </c>
      <c r="S182" s="530">
        <f t="shared" si="101"/>
        <v>1</v>
      </c>
      <c r="T182" s="530">
        <f t="shared" si="102"/>
        <v>1</v>
      </c>
      <c r="U182" s="530">
        <f t="shared" si="103"/>
        <v>1</v>
      </c>
      <c r="V182" s="530">
        <f t="shared" si="104"/>
        <v>1</v>
      </c>
      <c r="W182" s="573">
        <v>0</v>
      </c>
      <c r="X182" s="23">
        <v>1</v>
      </c>
      <c r="Y182" s="23">
        <v>1</v>
      </c>
      <c r="Z182" s="23">
        <v>1</v>
      </c>
      <c r="AA182" s="23">
        <v>1</v>
      </c>
      <c r="AB182" s="23">
        <v>1</v>
      </c>
      <c r="AC182" s="23">
        <v>1</v>
      </c>
      <c r="AD182" s="23">
        <v>1</v>
      </c>
      <c r="AE182" s="23">
        <v>1</v>
      </c>
      <c r="AF182" s="23">
        <v>1</v>
      </c>
      <c r="AG182" s="537">
        <f t="shared" si="90"/>
        <v>0</v>
      </c>
      <c r="AH182" s="537">
        <f t="shared" si="91"/>
        <v>0</v>
      </c>
    </row>
    <row r="183" spans="1:34" customFormat="1">
      <c r="A183" s="493" t="s">
        <v>3246</v>
      </c>
      <c r="B183" s="377" t="s">
        <v>2527</v>
      </c>
      <c r="C183" s="392">
        <f>tot_temp_meters</f>
        <v>0</v>
      </c>
      <c r="D183" s="392" t="s">
        <v>2305</v>
      </c>
      <c r="E183" s="402" t="s">
        <v>774</v>
      </c>
      <c r="F183" s="189"/>
      <c r="G183" s="402" t="s">
        <v>774</v>
      </c>
      <c r="H183" s="189"/>
      <c r="I183" s="401" t="str">
        <f>IF(C183=0,"NA",VLOOKUP(0,temp_meter_cost_cl,3))</f>
        <v>NA</v>
      </c>
      <c r="J183" s="398" t="str">
        <f>IF(OR(C183=0,I183="contact vendor"),"--",C183*I183)</f>
        <v>--</v>
      </c>
      <c r="K183" s="402" t="str">
        <f>IF(C183=0,"NA",VLOOKUP(0,temp_meter_cost_cl,IF(ss_cat="large",4,5)))</f>
        <v>NA</v>
      </c>
      <c r="L183" s="397"/>
      <c r="M183" s="34" t="str">
        <f t="shared" si="105"/>
        <v>Temperature meters</v>
      </c>
      <c r="N183" s="530">
        <f t="shared" si="96"/>
        <v>1</v>
      </c>
      <c r="O183" s="530">
        <f t="shared" si="97"/>
        <v>1</v>
      </c>
      <c r="P183" s="530">
        <f t="shared" si="98"/>
        <v>1</v>
      </c>
      <c r="Q183" s="530">
        <f t="shared" si="99"/>
        <v>1</v>
      </c>
      <c r="R183" s="530">
        <f t="shared" si="100"/>
        <v>1</v>
      </c>
      <c r="S183" s="530">
        <f t="shared" si="101"/>
        <v>1</v>
      </c>
      <c r="T183" s="530">
        <f t="shared" si="102"/>
        <v>1</v>
      </c>
      <c r="U183" s="530">
        <f t="shared" si="103"/>
        <v>1</v>
      </c>
      <c r="V183" s="530">
        <f t="shared" si="104"/>
        <v>1</v>
      </c>
      <c r="W183" s="573">
        <v>0</v>
      </c>
      <c r="X183" s="23">
        <v>1</v>
      </c>
      <c r="Y183" s="23">
        <v>1</v>
      </c>
      <c r="Z183" s="23">
        <v>1</v>
      </c>
      <c r="AA183" s="23">
        <v>1</v>
      </c>
      <c r="AB183" s="23">
        <v>1</v>
      </c>
      <c r="AC183" s="23">
        <v>1</v>
      </c>
      <c r="AD183" s="23">
        <v>1</v>
      </c>
      <c r="AE183" s="23">
        <v>1</v>
      </c>
      <c r="AF183" s="23">
        <v>1</v>
      </c>
      <c r="AG183" s="537">
        <f t="shared" si="90"/>
        <v>0</v>
      </c>
      <c r="AH183" s="537">
        <f t="shared" si="91"/>
        <v>0</v>
      </c>
    </row>
    <row r="184" spans="1:34" customFormat="1">
      <c r="A184" s="495" t="s">
        <v>3247</v>
      </c>
      <c r="B184" s="377" t="s">
        <v>1836</v>
      </c>
      <c r="C184" s="392">
        <f>tot_turb_meters</f>
        <v>0</v>
      </c>
      <c r="D184" s="392" t="s">
        <v>2305</v>
      </c>
      <c r="E184" s="402" t="s">
        <v>774</v>
      </c>
      <c r="F184" s="189"/>
      <c r="G184" s="402" t="s">
        <v>774</v>
      </c>
      <c r="H184" s="189"/>
      <c r="I184" s="401" t="str">
        <f>IF(C184=0,"NA",VLOOKUP(0,turbidimeter_cost_cl,3))</f>
        <v>NA</v>
      </c>
      <c r="J184" s="398" t="str">
        <f>IF(OR(C184=0,I184="contact vendor"),"--",C184*I184)</f>
        <v>--</v>
      </c>
      <c r="K184" s="402" t="str">
        <f>IF(C184=0,"NA",VLOOKUP(0,turbidimeter_cost_cl,IF(ss_cat="large",4,5)))</f>
        <v>NA</v>
      </c>
      <c r="L184" s="397"/>
      <c r="M184" s="34" t="str">
        <f t="shared" si="105"/>
        <v>Turbidity meters</v>
      </c>
      <c r="N184" s="530">
        <f t="shared" si="96"/>
        <v>1</v>
      </c>
      <c r="O184" s="530">
        <f t="shared" si="97"/>
        <v>1</v>
      </c>
      <c r="P184" s="530">
        <f t="shared" si="98"/>
        <v>1</v>
      </c>
      <c r="Q184" s="530">
        <f t="shared" si="99"/>
        <v>1</v>
      </c>
      <c r="R184" s="530">
        <f t="shared" si="100"/>
        <v>1</v>
      </c>
      <c r="S184" s="530">
        <f t="shared" si="101"/>
        <v>1</v>
      </c>
      <c r="T184" s="530">
        <f t="shared" si="102"/>
        <v>1</v>
      </c>
      <c r="U184" s="530">
        <f t="shared" si="103"/>
        <v>1</v>
      </c>
      <c r="V184" s="530">
        <f t="shared" si="104"/>
        <v>1</v>
      </c>
      <c r="W184" s="573">
        <v>0</v>
      </c>
      <c r="X184" s="23">
        <v>1</v>
      </c>
      <c r="Y184" s="23">
        <v>1</v>
      </c>
      <c r="Z184" s="23">
        <v>1</v>
      </c>
      <c r="AA184" s="23">
        <v>1</v>
      </c>
      <c r="AB184" s="23">
        <v>1</v>
      </c>
      <c r="AC184" s="23">
        <v>1</v>
      </c>
      <c r="AD184" s="23">
        <v>1</v>
      </c>
      <c r="AE184" s="23">
        <v>1</v>
      </c>
      <c r="AF184" s="23">
        <v>1</v>
      </c>
      <c r="AG184" s="537">
        <f t="shared" si="90"/>
        <v>0</v>
      </c>
      <c r="AH184" s="537">
        <f t="shared" si="91"/>
        <v>0</v>
      </c>
    </row>
    <row r="185" spans="1:34" customFormat="1">
      <c r="A185" s="495" t="s">
        <v>92</v>
      </c>
      <c r="B185" s="377" t="s">
        <v>1837</v>
      </c>
      <c r="C185" s="392">
        <f>tot_head_sens</f>
        <v>0</v>
      </c>
      <c r="D185" s="392" t="s">
        <v>2305</v>
      </c>
      <c r="E185" s="402" t="s">
        <v>774</v>
      </c>
      <c r="F185" s="189"/>
      <c r="G185" s="402" t="s">
        <v>774</v>
      </c>
      <c r="H185" s="189"/>
      <c r="I185" s="401" t="str">
        <f>IF(C185=0,"NA",VLOOKUP(0,headloss_cost_cl,3))</f>
        <v>NA</v>
      </c>
      <c r="J185" s="398" t="str">
        <f>IF(OR(C185=0,I185="contact vendor"),"--",C185*I185)</f>
        <v>--</v>
      </c>
      <c r="K185" s="402" t="str">
        <f>IF(C185=0,"NA",VLOOKUP(0,headloss_cost_cl,IF(ss_cat="large",4,5)))</f>
        <v>NA</v>
      </c>
      <c r="L185" s="397"/>
      <c r="M185" s="34" t="str">
        <f t="shared" si="105"/>
        <v>Head loss sensors</v>
      </c>
      <c r="N185" s="530">
        <f t="shared" si="96"/>
        <v>1</v>
      </c>
      <c r="O185" s="530">
        <f t="shared" si="97"/>
        <v>1</v>
      </c>
      <c r="P185" s="530">
        <f t="shared" si="98"/>
        <v>1</v>
      </c>
      <c r="Q185" s="530">
        <f t="shared" si="99"/>
        <v>1</v>
      </c>
      <c r="R185" s="530">
        <f t="shared" si="100"/>
        <v>1</v>
      </c>
      <c r="S185" s="530">
        <f t="shared" si="101"/>
        <v>1</v>
      </c>
      <c r="T185" s="530">
        <f t="shared" si="102"/>
        <v>1</v>
      </c>
      <c r="U185" s="530">
        <f t="shared" si="103"/>
        <v>1</v>
      </c>
      <c r="V185" s="530">
        <f t="shared" si="104"/>
        <v>1</v>
      </c>
      <c r="W185" s="573">
        <v>0</v>
      </c>
      <c r="X185" s="23">
        <v>1</v>
      </c>
      <c r="Y185" s="23">
        <v>1</v>
      </c>
      <c r="Z185" s="23">
        <v>1</v>
      </c>
      <c r="AA185" s="23">
        <v>1</v>
      </c>
      <c r="AB185" s="23">
        <v>1</v>
      </c>
      <c r="AC185" s="23">
        <v>1</v>
      </c>
      <c r="AD185" s="23">
        <v>1</v>
      </c>
      <c r="AE185" s="23">
        <v>1</v>
      </c>
      <c r="AF185" s="23">
        <v>1</v>
      </c>
      <c r="AG185" s="537">
        <f t="shared" si="90"/>
        <v>0</v>
      </c>
      <c r="AH185" s="537">
        <f t="shared" si="91"/>
        <v>0</v>
      </c>
    </row>
    <row r="186" spans="1:34" customFormat="1">
      <c r="A186" s="493" t="s">
        <v>93</v>
      </c>
      <c r="B186" s="239" t="s">
        <v>2244</v>
      </c>
      <c r="C186" s="216"/>
      <c r="D186" s="864"/>
      <c r="E186" s="216"/>
      <c r="F186" s="865"/>
      <c r="G186" s="216"/>
      <c r="H186" s="865"/>
      <c r="I186" s="216"/>
      <c r="J186" s="216"/>
      <c r="K186" s="216"/>
      <c r="L186" s="246"/>
      <c r="M186" s="34"/>
      <c r="AG186" s="537">
        <f t="shared" si="90"/>
        <v>0</v>
      </c>
      <c r="AH186" s="537">
        <f t="shared" si="91"/>
        <v>0</v>
      </c>
    </row>
    <row r="187" spans="1:34" customFormat="1">
      <c r="A187" s="399" t="s">
        <v>94</v>
      </c>
      <c r="B187" s="189" t="s">
        <v>18</v>
      </c>
      <c r="C187" s="392">
        <f>ports</f>
        <v>4</v>
      </c>
      <c r="D187" s="392" t="s">
        <v>2305</v>
      </c>
      <c r="E187" s="402" t="s">
        <v>774</v>
      </c>
      <c r="F187" s="189"/>
      <c r="G187" s="402" t="s">
        <v>774</v>
      </c>
      <c r="H187" s="189"/>
      <c r="I187" s="395">
        <v>50</v>
      </c>
      <c r="J187" s="396">
        <f>IF(I187="contact vendor","--",C187*I187)</f>
        <v>200</v>
      </c>
      <c r="K187" s="392">
        <f>IF(ss_cat="large",35,30)</f>
        <v>30</v>
      </c>
      <c r="L187" s="397">
        <v>0</v>
      </c>
      <c r="M187" s="34" t="str">
        <f>$B$186&amp;" - "&amp;B187</f>
        <v>Sampling Ports - Stainless Steel</v>
      </c>
      <c r="N187" s="530">
        <f t="shared" ref="N187:T189" si="106">IF(retrofit=1,$W187*X187,IF(ISBLANK(X187),"",X187))</f>
        <v>2</v>
      </c>
      <c r="O187" s="530">
        <f t="shared" si="106"/>
        <v>1</v>
      </c>
      <c r="P187" s="530">
        <f t="shared" si="106"/>
        <v>1</v>
      </c>
      <c r="Q187" s="530">
        <f t="shared" si="106"/>
        <v>2</v>
      </c>
      <c r="R187" s="530">
        <f t="shared" si="106"/>
        <v>1</v>
      </c>
      <c r="S187" s="530">
        <f t="shared" si="106"/>
        <v>1</v>
      </c>
      <c r="T187" s="530">
        <f t="shared" si="106"/>
        <v>2</v>
      </c>
      <c r="U187" s="530">
        <f t="shared" ref="U187:V189" si="107">IF(retrofit=1,$W187*AE187,IF(ISBLANK(AE187),"",AE187))</f>
        <v>1</v>
      </c>
      <c r="V187" s="530">
        <f t="shared" si="107"/>
        <v>1</v>
      </c>
      <c r="W187" s="573">
        <v>0</v>
      </c>
      <c r="X187">
        <v>2</v>
      </c>
      <c r="Y187">
        <v>1</v>
      </c>
      <c r="Z187">
        <v>1</v>
      </c>
      <c r="AA187">
        <v>2</v>
      </c>
      <c r="AB187">
        <v>1</v>
      </c>
      <c r="AC187">
        <v>1</v>
      </c>
      <c r="AD187">
        <v>2</v>
      </c>
      <c r="AE187">
        <v>1</v>
      </c>
      <c r="AF187">
        <v>1</v>
      </c>
      <c r="AG187" s="537">
        <f t="shared" si="90"/>
        <v>0</v>
      </c>
      <c r="AH187" s="537">
        <f t="shared" si="91"/>
        <v>0</v>
      </c>
    </row>
    <row r="188" spans="1:34" customFormat="1">
      <c r="A188" s="399" t="s">
        <v>94</v>
      </c>
      <c r="B188" s="400" t="s">
        <v>19</v>
      </c>
      <c r="C188" s="392">
        <f>ports</f>
        <v>4</v>
      </c>
      <c r="D188" s="392" t="s">
        <v>2305</v>
      </c>
      <c r="E188" s="402" t="s">
        <v>774</v>
      </c>
      <c r="F188" s="189"/>
      <c r="G188" s="402" t="s">
        <v>774</v>
      </c>
      <c r="H188" s="189"/>
      <c r="I188" s="395">
        <v>50</v>
      </c>
      <c r="J188" s="398">
        <f>IF(I188="contact vendor","--",C188*I188)</f>
        <v>200</v>
      </c>
      <c r="K188" s="392">
        <f>IF(ss_cat="large",25,22)</f>
        <v>22</v>
      </c>
      <c r="L188" s="397">
        <v>1</v>
      </c>
      <c r="M188" s="34" t="str">
        <f>$B$186&amp;" - "&amp;B188</f>
        <v>Sampling Ports - Carbon Steel</v>
      </c>
      <c r="N188" s="530">
        <f t="shared" si="106"/>
        <v>1</v>
      </c>
      <c r="O188" s="530">
        <f t="shared" si="106"/>
        <v>2</v>
      </c>
      <c r="P188" s="530">
        <f t="shared" si="106"/>
        <v>2</v>
      </c>
      <c r="Q188" s="530">
        <f t="shared" si="106"/>
        <v>1</v>
      </c>
      <c r="R188" s="530">
        <f t="shared" si="106"/>
        <v>2</v>
      </c>
      <c r="S188" s="530">
        <f t="shared" si="106"/>
        <v>2</v>
      </c>
      <c r="T188" s="530">
        <f t="shared" si="106"/>
        <v>1</v>
      </c>
      <c r="U188" s="530">
        <f t="shared" si="107"/>
        <v>2</v>
      </c>
      <c r="V188" s="530">
        <f t="shared" si="107"/>
        <v>2</v>
      </c>
      <c r="W188" s="573">
        <v>0</v>
      </c>
      <c r="X188">
        <v>1</v>
      </c>
      <c r="Y188">
        <v>2</v>
      </c>
      <c r="Z188">
        <v>2</v>
      </c>
      <c r="AA188">
        <v>1</v>
      </c>
      <c r="AB188">
        <v>2</v>
      </c>
      <c r="AC188">
        <v>2</v>
      </c>
      <c r="AD188">
        <v>1</v>
      </c>
      <c r="AE188">
        <v>2</v>
      </c>
      <c r="AF188">
        <v>2</v>
      </c>
      <c r="AG188" s="537">
        <f t="shared" si="90"/>
        <v>1</v>
      </c>
      <c r="AH188" s="537">
        <f t="shared" si="91"/>
        <v>9.0909090909090917</v>
      </c>
    </row>
    <row r="189" spans="1:34" customFormat="1">
      <c r="A189" s="495" t="s">
        <v>95</v>
      </c>
      <c r="B189" s="377" t="s">
        <v>1838</v>
      </c>
      <c r="C189" s="392">
        <f>elec_encl</f>
        <v>0</v>
      </c>
      <c r="D189" s="392" t="s">
        <v>2305</v>
      </c>
      <c r="E189" s="402" t="s">
        <v>774</v>
      </c>
      <c r="F189" s="189"/>
      <c r="G189" s="402" t="s">
        <v>774</v>
      </c>
      <c r="H189" s="189"/>
      <c r="I189" s="401" t="str">
        <f>IF(C189=0,"NA",VLOOKUP(0,elec_encl_cost_cl,3))</f>
        <v>NA</v>
      </c>
      <c r="J189" s="398" t="str">
        <f>IF(OR(C189=0,I189="contact vendor"),"--",C189*I189)</f>
        <v>--</v>
      </c>
      <c r="K189" s="402" t="str">
        <f>IF(C189=0,"NA",VLOOKUP(0,elec_encl_cost_cl,IF(ss_cat="large",4,5)))</f>
        <v>NA</v>
      </c>
      <c r="L189" s="397"/>
      <c r="M189" s="34" t="str">
        <f>B189</f>
        <v>Electrical enclosure</v>
      </c>
      <c r="N189" s="530">
        <f t="shared" si="106"/>
        <v>1</v>
      </c>
      <c r="O189" s="530">
        <f t="shared" si="106"/>
        <v>1</v>
      </c>
      <c r="P189" s="530">
        <f t="shared" si="106"/>
        <v>1</v>
      </c>
      <c r="Q189" s="530">
        <f t="shared" si="106"/>
        <v>1</v>
      </c>
      <c r="R189" s="530">
        <f t="shared" si="106"/>
        <v>1</v>
      </c>
      <c r="S189" s="530">
        <f t="shared" si="106"/>
        <v>1</v>
      </c>
      <c r="T189" s="530">
        <f t="shared" si="106"/>
        <v>1</v>
      </c>
      <c r="U189" s="530">
        <f t="shared" si="107"/>
        <v>1</v>
      </c>
      <c r="V189" s="530">
        <f t="shared" si="107"/>
        <v>1</v>
      </c>
      <c r="W189" s="573">
        <v>0</v>
      </c>
      <c r="X189" s="23">
        <v>1</v>
      </c>
      <c r="Y189" s="23">
        <v>1</v>
      </c>
      <c r="Z189" s="23">
        <v>1</v>
      </c>
      <c r="AA189" s="23">
        <v>1</v>
      </c>
      <c r="AB189" s="23">
        <v>1</v>
      </c>
      <c r="AC189" s="23">
        <v>1</v>
      </c>
      <c r="AD189" s="23">
        <v>1</v>
      </c>
      <c r="AE189" s="23">
        <v>1</v>
      </c>
      <c r="AF189" s="23">
        <v>1</v>
      </c>
      <c r="AG189" s="537">
        <f t="shared" si="90"/>
        <v>0</v>
      </c>
      <c r="AH189" s="537">
        <f t="shared" si="91"/>
        <v>0</v>
      </c>
    </row>
    <row r="190" spans="1:34">
      <c r="A190" s="251" t="s">
        <v>671</v>
      </c>
      <c r="B190" s="241" t="s">
        <v>900</v>
      </c>
      <c r="C190" s="252"/>
      <c r="D190" s="866"/>
      <c r="E190" s="253"/>
      <c r="F190" s="866"/>
      <c r="G190" s="253"/>
      <c r="H190" s="866"/>
      <c r="I190" s="253"/>
      <c r="J190" s="253"/>
      <c r="K190" s="253"/>
      <c r="L190" s="254"/>
      <c r="AG190" s="537">
        <f t="shared" si="90"/>
        <v>0</v>
      </c>
      <c r="AH190" s="537">
        <f t="shared" si="91"/>
        <v>0</v>
      </c>
    </row>
    <row r="191" spans="1:34" customFormat="1">
      <c r="A191" s="494" t="s">
        <v>670</v>
      </c>
      <c r="B191" s="219" t="s">
        <v>901</v>
      </c>
      <c r="C191" s="216"/>
      <c r="D191" s="865"/>
      <c r="E191" s="255"/>
      <c r="F191" s="871"/>
      <c r="G191" s="255"/>
      <c r="H191" s="871"/>
      <c r="I191" s="292"/>
      <c r="J191" s="245"/>
      <c r="K191" s="245"/>
      <c r="L191" s="250"/>
      <c r="AG191" s="537">
        <f t="shared" si="90"/>
        <v>0</v>
      </c>
      <c r="AH191" s="537">
        <f t="shared" si="91"/>
        <v>0</v>
      </c>
    </row>
    <row r="192" spans="1:34" customFormat="1">
      <c r="A192" s="414" t="s">
        <v>672</v>
      </c>
      <c r="B192" s="413" t="s">
        <v>1050</v>
      </c>
      <c r="C192" s="392">
        <f>IF(manual=1,0,plc_rack)</f>
        <v>0</v>
      </c>
      <c r="D192" s="392" t="s">
        <v>2305</v>
      </c>
      <c r="E192" s="402" t="s">
        <v>774</v>
      </c>
      <c r="F192" s="392"/>
      <c r="G192" s="402" t="s">
        <v>774</v>
      </c>
      <c r="H192" s="392"/>
      <c r="I192" s="401" t="str">
        <f>IF(C192=0,"NA",VLOOKUP(0,plc_rack_cost_cl,3))</f>
        <v>NA</v>
      </c>
      <c r="J192" s="398" t="str">
        <f>IF(OR(C192=0,I192="contact vendor"),"--",C192*I192)</f>
        <v>--</v>
      </c>
      <c r="K192" s="420" t="str">
        <f>IF(C192=0,"NA",VLOOKUP(0,plc_rack_cost_cl,IF(ss_cat="large",4,5)))</f>
        <v>NA</v>
      </c>
      <c r="L192" s="397"/>
      <c r="M192" t="str">
        <f t="shared" ref="M192:M200" si="108">$B$190&amp;" - "&amp;$B$191&amp;" - "&amp;B192</f>
        <v>System Controls - PLC Units - PLC racks/power supplies</v>
      </c>
      <c r="N192" s="530">
        <f t="shared" ref="N192:N200" si="109">IF(retrofit=1,$W192*X192,IF(ISBLANK(X192),"",X192))</f>
        <v>1</v>
      </c>
      <c r="O192" s="530">
        <f t="shared" ref="O192:O200" si="110">IF(retrofit=1,$W192*Y192,IF(ISBLANK(Y192),"",Y192))</f>
        <v>1</v>
      </c>
      <c r="P192" s="530">
        <f t="shared" ref="P192:P200" si="111">IF(retrofit=1,$W192*Z192,IF(ISBLANK(Z192),"",Z192))</f>
        <v>1</v>
      </c>
      <c r="Q192" s="530">
        <f t="shared" ref="Q192:Q200" si="112">IF(retrofit=1,$W192*AA192,IF(ISBLANK(AA192),"",AA192))</f>
        <v>1</v>
      </c>
      <c r="R192" s="530">
        <f t="shared" ref="R192:R200" si="113">IF(retrofit=1,$W192*AB192,IF(ISBLANK(AB192),"",AB192))</f>
        <v>1</v>
      </c>
      <c r="S192" s="530">
        <f t="shared" ref="S192:S200" si="114">IF(retrofit=1,$W192*AC192,IF(ISBLANK(AC192),"",AC192))</f>
        <v>1</v>
      </c>
      <c r="T192" s="530">
        <f t="shared" ref="T192:T200" si="115">IF(retrofit=1,$W192*AD192,IF(ISBLANK(AD192),"",AD192))</f>
        <v>1</v>
      </c>
      <c r="U192" s="530">
        <f t="shared" ref="U192:U200" si="116">IF(retrofit=1,$W192*AE192,IF(ISBLANK(AE192),"",AE192))</f>
        <v>1</v>
      </c>
      <c r="V192" s="530">
        <f t="shared" ref="V192:V200" si="117">IF(retrofit=1,$W192*AF192,IF(ISBLANK(AF192),"",AF192))</f>
        <v>1</v>
      </c>
      <c r="W192" s="573">
        <v>0</v>
      </c>
      <c r="X192" s="23">
        <v>1</v>
      </c>
      <c r="Y192" s="23">
        <v>1</v>
      </c>
      <c r="Z192" s="23">
        <v>1</v>
      </c>
      <c r="AA192" s="23">
        <v>1</v>
      </c>
      <c r="AB192" s="23">
        <v>1</v>
      </c>
      <c r="AC192" s="23">
        <v>1</v>
      </c>
      <c r="AD192" s="23">
        <v>1</v>
      </c>
      <c r="AE192" s="23">
        <v>1</v>
      </c>
      <c r="AF192" s="23">
        <v>1</v>
      </c>
      <c r="AG192" s="537">
        <f t="shared" si="90"/>
        <v>0</v>
      </c>
      <c r="AH192" s="537">
        <f t="shared" si="91"/>
        <v>0</v>
      </c>
    </row>
    <row r="193" spans="1:34" customFormat="1">
      <c r="A193" s="414" t="s">
        <v>673</v>
      </c>
      <c r="B193" s="413" t="s">
        <v>703</v>
      </c>
      <c r="C193" s="392">
        <f>IF(manual=1,0,plc_cpu)</f>
        <v>0</v>
      </c>
      <c r="D193" s="392" t="s">
        <v>2305</v>
      </c>
      <c r="E193" s="402" t="s">
        <v>774</v>
      </c>
      <c r="F193" s="392"/>
      <c r="G193" s="402" t="s">
        <v>774</v>
      </c>
      <c r="H193" s="392"/>
      <c r="I193" s="401" t="str">
        <f>IF(C193=0,"NA",VLOOKUP(0,plc_cpu_cost_cl,3))</f>
        <v>NA</v>
      </c>
      <c r="J193" s="398" t="str">
        <f t="shared" ref="J193:J211" si="118">IF(OR(C193=0,I193="contact vendor"),"--",C193*I193)</f>
        <v>--</v>
      </c>
      <c r="K193" s="420" t="str">
        <f>IF(C193=0,"NA",VLOOKUP(0,plc_cpu_cost_cl,IF(ss_cat="large",4,5)))</f>
        <v>NA</v>
      </c>
      <c r="L193" s="397"/>
      <c r="M193" t="str">
        <f t="shared" si="108"/>
        <v>System Controls - PLC Units - CPUs</v>
      </c>
      <c r="N193" s="530">
        <f t="shared" si="109"/>
        <v>1</v>
      </c>
      <c r="O193" s="530">
        <f t="shared" si="110"/>
        <v>1</v>
      </c>
      <c r="P193" s="530">
        <f t="shared" si="111"/>
        <v>1</v>
      </c>
      <c r="Q193" s="530">
        <f t="shared" si="112"/>
        <v>1</v>
      </c>
      <c r="R193" s="530">
        <f t="shared" si="113"/>
        <v>1</v>
      </c>
      <c r="S193" s="530">
        <f t="shared" si="114"/>
        <v>1</v>
      </c>
      <c r="T193" s="530">
        <f t="shared" si="115"/>
        <v>1</v>
      </c>
      <c r="U193" s="530">
        <f t="shared" si="116"/>
        <v>1</v>
      </c>
      <c r="V193" s="530">
        <f t="shared" si="117"/>
        <v>1</v>
      </c>
      <c r="W193" s="573">
        <v>0</v>
      </c>
      <c r="X193" s="23">
        <v>1</v>
      </c>
      <c r="Y193" s="23">
        <v>1</v>
      </c>
      <c r="Z193" s="23">
        <v>1</v>
      </c>
      <c r="AA193" s="23">
        <v>1</v>
      </c>
      <c r="AB193" s="23">
        <v>1</v>
      </c>
      <c r="AC193" s="23">
        <v>1</v>
      </c>
      <c r="AD193" s="23">
        <v>1</v>
      </c>
      <c r="AE193" s="23">
        <v>1</v>
      </c>
      <c r="AF193" s="23">
        <v>1</v>
      </c>
      <c r="AG193" s="537">
        <f t="shared" si="90"/>
        <v>0</v>
      </c>
      <c r="AH193" s="537">
        <f t="shared" si="91"/>
        <v>0</v>
      </c>
    </row>
    <row r="194" spans="1:34" customFormat="1">
      <c r="A194" s="414" t="s">
        <v>674</v>
      </c>
      <c r="B194" s="413" t="s">
        <v>704</v>
      </c>
      <c r="C194" s="392">
        <f>IF(manual=1,0,plc_discrete_input)</f>
        <v>1</v>
      </c>
      <c r="D194" s="392" t="s">
        <v>2305</v>
      </c>
      <c r="E194" s="402" t="s">
        <v>774</v>
      </c>
      <c r="F194" s="392"/>
      <c r="G194" s="402" t="s">
        <v>774</v>
      </c>
      <c r="H194" s="392"/>
      <c r="I194" s="401">
        <f>IF(C194=0,"NA",VLOOKUP(0,plc_discrete_input_cost_cl,3))</f>
        <v>301.96506666689612</v>
      </c>
      <c r="J194" s="398">
        <f t="shared" si="118"/>
        <v>301.96506666689612</v>
      </c>
      <c r="K194" s="420">
        <f>IF(C194=0,"NA",VLOOKUP(0,plc_discrete_input_cost_cl,IF(ss_cat="large",4,5)))</f>
        <v>8</v>
      </c>
      <c r="L194" s="397">
        <v>1</v>
      </c>
      <c r="M194" t="str">
        <f t="shared" si="108"/>
        <v>System Controls - PLC Units - I/O discrete input modules</v>
      </c>
      <c r="N194" s="530">
        <f t="shared" si="109"/>
        <v>1</v>
      </c>
      <c r="O194" s="530">
        <f t="shared" si="110"/>
        <v>1</v>
      </c>
      <c r="P194" s="530">
        <f t="shared" si="111"/>
        <v>1</v>
      </c>
      <c r="Q194" s="530">
        <f t="shared" si="112"/>
        <v>1</v>
      </c>
      <c r="R194" s="530">
        <f t="shared" si="113"/>
        <v>1</v>
      </c>
      <c r="S194" s="530">
        <f t="shared" si="114"/>
        <v>1</v>
      </c>
      <c r="T194" s="530">
        <f t="shared" si="115"/>
        <v>1</v>
      </c>
      <c r="U194" s="530">
        <f t="shared" si="116"/>
        <v>1</v>
      </c>
      <c r="V194" s="530">
        <f t="shared" si="117"/>
        <v>1</v>
      </c>
      <c r="W194" s="573">
        <v>0</v>
      </c>
      <c r="X194" s="23">
        <v>1</v>
      </c>
      <c r="Y194" s="23">
        <v>1</v>
      </c>
      <c r="Z194" s="23">
        <v>1</v>
      </c>
      <c r="AA194" s="23">
        <v>1</v>
      </c>
      <c r="AB194" s="23">
        <v>1</v>
      </c>
      <c r="AC194" s="23">
        <v>1</v>
      </c>
      <c r="AD194" s="23">
        <v>1</v>
      </c>
      <c r="AE194" s="23">
        <v>1</v>
      </c>
      <c r="AF194" s="23">
        <v>1</v>
      </c>
      <c r="AG194" s="537">
        <f t="shared" si="90"/>
        <v>1</v>
      </c>
      <c r="AH194" s="537">
        <f t="shared" si="91"/>
        <v>37.745633333362015</v>
      </c>
    </row>
    <row r="195" spans="1:34" customFormat="1">
      <c r="A195" s="414" t="s">
        <v>675</v>
      </c>
      <c r="B195" s="413" t="s">
        <v>705</v>
      </c>
      <c r="C195" s="392">
        <f>IF(manual=1,0,plc_discrete_output)</f>
        <v>0</v>
      </c>
      <c r="D195" s="392" t="s">
        <v>2305</v>
      </c>
      <c r="E195" s="402" t="s">
        <v>774</v>
      </c>
      <c r="F195" s="392"/>
      <c r="G195" s="402" t="s">
        <v>774</v>
      </c>
      <c r="H195" s="392"/>
      <c r="I195" s="401" t="str">
        <f>IF(C195=0,"NA",VLOOKUP(0,plc_discrete_output_cost_cl,3))</f>
        <v>NA</v>
      </c>
      <c r="J195" s="398" t="str">
        <f t="shared" si="118"/>
        <v>--</v>
      </c>
      <c r="K195" s="420" t="str">
        <f>IF(C195=0,"NA",VLOOKUP(0,plc_discrete_output_cost_cl,IF(ss_cat="large",4,5)))</f>
        <v>NA</v>
      </c>
      <c r="L195" s="397"/>
      <c r="M195" t="str">
        <f t="shared" si="108"/>
        <v>System Controls - PLC Units - I/O discrete output modules</v>
      </c>
      <c r="N195" s="530">
        <f t="shared" si="109"/>
        <v>1</v>
      </c>
      <c r="O195" s="530">
        <f t="shared" si="110"/>
        <v>1</v>
      </c>
      <c r="P195" s="530">
        <f t="shared" si="111"/>
        <v>1</v>
      </c>
      <c r="Q195" s="530">
        <f t="shared" si="112"/>
        <v>1</v>
      </c>
      <c r="R195" s="530">
        <f t="shared" si="113"/>
        <v>1</v>
      </c>
      <c r="S195" s="530">
        <f t="shared" si="114"/>
        <v>1</v>
      </c>
      <c r="T195" s="530">
        <f t="shared" si="115"/>
        <v>1</v>
      </c>
      <c r="U195" s="530">
        <f t="shared" si="116"/>
        <v>1</v>
      </c>
      <c r="V195" s="530">
        <f t="shared" si="117"/>
        <v>1</v>
      </c>
      <c r="W195" s="573">
        <v>0</v>
      </c>
      <c r="X195" s="23">
        <v>1</v>
      </c>
      <c r="Y195" s="23">
        <v>1</v>
      </c>
      <c r="Z195" s="23">
        <v>1</v>
      </c>
      <c r="AA195" s="23">
        <v>1</v>
      </c>
      <c r="AB195" s="23">
        <v>1</v>
      </c>
      <c r="AC195" s="23">
        <v>1</v>
      </c>
      <c r="AD195" s="23">
        <v>1</v>
      </c>
      <c r="AE195" s="23">
        <v>1</v>
      </c>
      <c r="AF195" s="23">
        <v>1</v>
      </c>
      <c r="AG195" s="537">
        <f t="shared" si="90"/>
        <v>0</v>
      </c>
      <c r="AH195" s="537">
        <f t="shared" si="91"/>
        <v>0</v>
      </c>
    </row>
    <row r="196" spans="1:34" customFormat="1">
      <c r="A196" s="414" t="s">
        <v>676</v>
      </c>
      <c r="B196" s="413" t="s">
        <v>1481</v>
      </c>
      <c r="C196" s="392">
        <f>IF(manual=1,0,plc_combination_analog)</f>
        <v>1</v>
      </c>
      <c r="D196" s="392" t="s">
        <v>2305</v>
      </c>
      <c r="E196" s="402" t="s">
        <v>774</v>
      </c>
      <c r="F196" s="392"/>
      <c r="G196" s="402" t="s">
        <v>774</v>
      </c>
      <c r="H196" s="392"/>
      <c r="I196" s="401">
        <f>IF(C196=0,"NA",VLOOKUP(0,plc_combination_analog_cost_cl,3))</f>
        <v>642.24196698280605</v>
      </c>
      <c r="J196" s="398">
        <f t="shared" si="118"/>
        <v>642.24196698280605</v>
      </c>
      <c r="K196" s="420">
        <f>IF(C196=0,"NA",VLOOKUP(0,plc_combination_analog_cost_cl,IF(ss_cat="large",4,5)))</f>
        <v>8</v>
      </c>
      <c r="L196" s="397">
        <v>1</v>
      </c>
      <c r="M196" t="str">
        <f t="shared" si="108"/>
        <v>System Controls - PLC Units - I/O combination analog modules</v>
      </c>
      <c r="N196" s="530">
        <f t="shared" si="109"/>
        <v>1</v>
      </c>
      <c r="O196" s="530">
        <f t="shared" si="110"/>
        <v>1</v>
      </c>
      <c r="P196" s="530">
        <f t="shared" si="111"/>
        <v>1</v>
      </c>
      <c r="Q196" s="530">
        <f t="shared" si="112"/>
        <v>1</v>
      </c>
      <c r="R196" s="530">
        <f t="shared" si="113"/>
        <v>1</v>
      </c>
      <c r="S196" s="530">
        <f t="shared" si="114"/>
        <v>1</v>
      </c>
      <c r="T196" s="530">
        <f t="shared" si="115"/>
        <v>1</v>
      </c>
      <c r="U196" s="530">
        <f t="shared" si="116"/>
        <v>1</v>
      </c>
      <c r="V196" s="530">
        <f t="shared" si="117"/>
        <v>1</v>
      </c>
      <c r="W196" s="573">
        <v>0</v>
      </c>
      <c r="X196" s="23">
        <v>1</v>
      </c>
      <c r="Y196" s="23">
        <v>1</v>
      </c>
      <c r="Z196" s="23">
        <v>1</v>
      </c>
      <c r="AA196" s="23">
        <v>1</v>
      </c>
      <c r="AB196" s="23">
        <v>1</v>
      </c>
      <c r="AC196" s="23">
        <v>1</v>
      </c>
      <c r="AD196" s="23">
        <v>1</v>
      </c>
      <c r="AE196" s="23">
        <v>1</v>
      </c>
      <c r="AF196" s="23">
        <v>1</v>
      </c>
      <c r="AG196" s="537">
        <f t="shared" si="90"/>
        <v>1</v>
      </c>
      <c r="AH196" s="537">
        <f t="shared" si="91"/>
        <v>80.280245872850756</v>
      </c>
    </row>
    <row r="197" spans="1:34" customFormat="1">
      <c r="A197" s="414" t="s">
        <v>677</v>
      </c>
      <c r="B197" s="413" t="s">
        <v>975</v>
      </c>
      <c r="C197" s="392">
        <f>IF(manual=1,0,plc_ethernet)</f>
        <v>0</v>
      </c>
      <c r="D197" s="392" t="s">
        <v>2305</v>
      </c>
      <c r="E197" s="402" t="s">
        <v>774</v>
      </c>
      <c r="F197" s="392"/>
      <c r="G197" s="402" t="s">
        <v>774</v>
      </c>
      <c r="H197" s="392"/>
      <c r="I197" s="401" t="str">
        <f>IF(C197=0,"NA",VLOOKUP(0,plc_ethernet_cost_cl,3))</f>
        <v>NA</v>
      </c>
      <c r="J197" s="398" t="str">
        <f t="shared" si="118"/>
        <v>--</v>
      </c>
      <c r="K197" s="420" t="str">
        <f>IF(C197=0,"NA",VLOOKUP(0,plc_ethernet_cost_cl,IF(ss_cat="large",4,5)))</f>
        <v>NA</v>
      </c>
      <c r="L197" s="397"/>
      <c r="M197" t="str">
        <f t="shared" si="108"/>
        <v>System Controls - PLC Units - Ethernet modules</v>
      </c>
      <c r="N197" s="530">
        <f t="shared" si="109"/>
        <v>1</v>
      </c>
      <c r="O197" s="530">
        <f t="shared" si="110"/>
        <v>1</v>
      </c>
      <c r="P197" s="530">
        <f t="shared" si="111"/>
        <v>1</v>
      </c>
      <c r="Q197" s="530">
        <f t="shared" si="112"/>
        <v>1</v>
      </c>
      <c r="R197" s="530">
        <f t="shared" si="113"/>
        <v>1</v>
      </c>
      <c r="S197" s="530">
        <f t="shared" si="114"/>
        <v>1</v>
      </c>
      <c r="T197" s="530">
        <f t="shared" si="115"/>
        <v>1</v>
      </c>
      <c r="U197" s="530">
        <f t="shared" si="116"/>
        <v>1</v>
      </c>
      <c r="V197" s="530">
        <f t="shared" si="117"/>
        <v>1</v>
      </c>
      <c r="W197" s="573">
        <v>0</v>
      </c>
      <c r="X197" s="23">
        <v>1</v>
      </c>
      <c r="Y197" s="23">
        <v>1</v>
      </c>
      <c r="Z197" s="23">
        <v>1</v>
      </c>
      <c r="AA197" s="23">
        <v>1</v>
      </c>
      <c r="AB197" s="23">
        <v>1</v>
      </c>
      <c r="AC197" s="23">
        <v>1</v>
      </c>
      <c r="AD197" s="23">
        <v>1</v>
      </c>
      <c r="AE197" s="23">
        <v>1</v>
      </c>
      <c r="AF197" s="23">
        <v>1</v>
      </c>
      <c r="AG197" s="537">
        <f t="shared" si="90"/>
        <v>0</v>
      </c>
      <c r="AH197" s="537">
        <f t="shared" si="91"/>
        <v>0</v>
      </c>
    </row>
    <row r="198" spans="1:34" customFormat="1">
      <c r="A198" s="414" t="s">
        <v>678</v>
      </c>
      <c r="B198" s="413" t="s">
        <v>976</v>
      </c>
      <c r="C198" s="392">
        <f>IF(manual=1,0,plc_base_expansion)</f>
        <v>0</v>
      </c>
      <c r="D198" s="392" t="s">
        <v>2305</v>
      </c>
      <c r="E198" s="402" t="s">
        <v>774</v>
      </c>
      <c r="F198" s="392"/>
      <c r="G198" s="402" t="s">
        <v>774</v>
      </c>
      <c r="H198" s="392"/>
      <c r="I198" s="401" t="str">
        <f>IF(C198=0,"NA",VLOOKUP(0,plc_base_expansion_cost_cl,3))</f>
        <v>NA</v>
      </c>
      <c r="J198" s="398" t="str">
        <f t="shared" si="118"/>
        <v>--</v>
      </c>
      <c r="K198" s="420" t="str">
        <f>IF(C198=0,"NA",VLOOKUP(0,plc_base_expansion_cost_cl,IF(ss_cat="large",4,5)))</f>
        <v>NA</v>
      </c>
      <c r="L198" s="397"/>
      <c r="M198" t="str">
        <f t="shared" si="108"/>
        <v>System Controls - PLC Units - Base expansion modules</v>
      </c>
      <c r="N198" s="530">
        <f t="shared" si="109"/>
        <v>1</v>
      </c>
      <c r="O198" s="530">
        <f t="shared" si="110"/>
        <v>1</v>
      </c>
      <c r="P198" s="530">
        <f t="shared" si="111"/>
        <v>1</v>
      </c>
      <c r="Q198" s="530">
        <f t="shared" si="112"/>
        <v>1</v>
      </c>
      <c r="R198" s="530">
        <f t="shared" si="113"/>
        <v>1</v>
      </c>
      <c r="S198" s="530">
        <f t="shared" si="114"/>
        <v>1</v>
      </c>
      <c r="T198" s="530">
        <f t="shared" si="115"/>
        <v>1</v>
      </c>
      <c r="U198" s="530">
        <f t="shared" si="116"/>
        <v>1</v>
      </c>
      <c r="V198" s="530">
        <f t="shared" si="117"/>
        <v>1</v>
      </c>
      <c r="W198" s="573">
        <v>0</v>
      </c>
      <c r="X198" s="23">
        <v>1</v>
      </c>
      <c r="Y198" s="23">
        <v>1</v>
      </c>
      <c r="Z198" s="23">
        <v>1</v>
      </c>
      <c r="AA198" s="23">
        <v>1</v>
      </c>
      <c r="AB198" s="23">
        <v>1</v>
      </c>
      <c r="AC198" s="23">
        <v>1</v>
      </c>
      <c r="AD198" s="23">
        <v>1</v>
      </c>
      <c r="AE198" s="23">
        <v>1</v>
      </c>
      <c r="AF198" s="23">
        <v>1</v>
      </c>
      <c r="AG198" s="537">
        <f t="shared" si="90"/>
        <v>0</v>
      </c>
      <c r="AH198" s="537">
        <f t="shared" si="91"/>
        <v>0</v>
      </c>
    </row>
    <row r="199" spans="1:34" customFormat="1">
      <c r="A199" s="414" t="s">
        <v>679</v>
      </c>
      <c r="B199" s="413" t="s">
        <v>977</v>
      </c>
      <c r="C199" s="392">
        <f>IF(manual=1,0,plc_base_expansion_controller)</f>
        <v>0</v>
      </c>
      <c r="D199" s="392" t="s">
        <v>2305</v>
      </c>
      <c r="E199" s="402" t="s">
        <v>774</v>
      </c>
      <c r="F199" s="392"/>
      <c r="G199" s="402" t="s">
        <v>774</v>
      </c>
      <c r="H199" s="392"/>
      <c r="I199" s="401" t="str">
        <f>IF(C199=0,"NA",VLOOKUP(0,plc_base_expansion_controller_cost_cl,3))</f>
        <v>NA</v>
      </c>
      <c r="J199" s="398" t="str">
        <f t="shared" si="118"/>
        <v>--</v>
      </c>
      <c r="K199" s="420" t="str">
        <f>IF(C199=0,"NA",VLOOKUP(0,plc_base_expansion_controller_cost_cl,IF(ss_cat="large",4,5)))</f>
        <v>NA</v>
      </c>
      <c r="L199" s="397"/>
      <c r="M199" t="str">
        <f t="shared" si="108"/>
        <v>System Controls - PLC Units - Base expansion controller modules</v>
      </c>
      <c r="N199" s="530">
        <f t="shared" si="109"/>
        <v>1</v>
      </c>
      <c r="O199" s="530">
        <f t="shared" si="110"/>
        <v>1</v>
      </c>
      <c r="P199" s="530">
        <f t="shared" si="111"/>
        <v>1</v>
      </c>
      <c r="Q199" s="530">
        <f t="shared" si="112"/>
        <v>1</v>
      </c>
      <c r="R199" s="530">
        <f t="shared" si="113"/>
        <v>1</v>
      </c>
      <c r="S199" s="530">
        <f t="shared" si="114"/>
        <v>1</v>
      </c>
      <c r="T199" s="530">
        <f t="shared" si="115"/>
        <v>1</v>
      </c>
      <c r="U199" s="530">
        <f t="shared" si="116"/>
        <v>1</v>
      </c>
      <c r="V199" s="530">
        <f t="shared" si="117"/>
        <v>1</v>
      </c>
      <c r="W199" s="573">
        <v>0</v>
      </c>
      <c r="X199" s="23">
        <v>1</v>
      </c>
      <c r="Y199" s="23">
        <v>1</v>
      </c>
      <c r="Z199" s="23">
        <v>1</v>
      </c>
      <c r="AA199" s="23">
        <v>1</v>
      </c>
      <c r="AB199" s="23">
        <v>1</v>
      </c>
      <c r="AC199" s="23">
        <v>1</v>
      </c>
      <c r="AD199" s="23">
        <v>1</v>
      </c>
      <c r="AE199" s="23">
        <v>1</v>
      </c>
      <c r="AF199" s="23">
        <v>1</v>
      </c>
      <c r="AG199" s="537">
        <f t="shared" si="90"/>
        <v>0</v>
      </c>
      <c r="AH199" s="537">
        <f t="shared" si="91"/>
        <v>0</v>
      </c>
    </row>
    <row r="200" spans="1:34" customFormat="1">
      <c r="A200" s="414" t="s">
        <v>680</v>
      </c>
      <c r="B200" s="413" t="s">
        <v>978</v>
      </c>
      <c r="C200" s="392">
        <f>IF(manual=1,0,ups)</f>
        <v>0</v>
      </c>
      <c r="D200" s="392" t="s">
        <v>2305</v>
      </c>
      <c r="E200" s="402" t="s">
        <v>774</v>
      </c>
      <c r="F200" s="392"/>
      <c r="G200" s="402" t="s">
        <v>774</v>
      </c>
      <c r="H200" s="392"/>
      <c r="I200" s="401" t="str">
        <f>IF(C200=0,"NA",VLOOKUP(0,ups_cost_cl,3))</f>
        <v>NA</v>
      </c>
      <c r="J200" s="398" t="str">
        <f t="shared" si="118"/>
        <v>--</v>
      </c>
      <c r="K200" s="420" t="str">
        <f>IF(C200=0,"NA",VLOOKUP(0,ups_cost_cl,IF(ss_cat="large",4,5)))</f>
        <v>NA</v>
      </c>
      <c r="L200" s="397"/>
      <c r="M200" t="str">
        <f t="shared" si="108"/>
        <v>System Controls - PLC Units - UPSs</v>
      </c>
      <c r="N200" s="530">
        <f t="shared" si="109"/>
        <v>1</v>
      </c>
      <c r="O200" s="530">
        <f t="shared" si="110"/>
        <v>1</v>
      </c>
      <c r="P200" s="530">
        <f t="shared" si="111"/>
        <v>1</v>
      </c>
      <c r="Q200" s="530">
        <f t="shared" si="112"/>
        <v>1</v>
      </c>
      <c r="R200" s="530">
        <f t="shared" si="113"/>
        <v>1</v>
      </c>
      <c r="S200" s="530">
        <f t="shared" si="114"/>
        <v>1</v>
      </c>
      <c r="T200" s="530">
        <f t="shared" si="115"/>
        <v>1</v>
      </c>
      <c r="U200" s="530">
        <f t="shared" si="116"/>
        <v>1</v>
      </c>
      <c r="V200" s="530">
        <f t="shared" si="117"/>
        <v>1</v>
      </c>
      <c r="W200" s="573">
        <v>0</v>
      </c>
      <c r="X200" s="23">
        <v>1</v>
      </c>
      <c r="Y200" s="23">
        <v>1</v>
      </c>
      <c r="Z200" s="23">
        <v>1</v>
      </c>
      <c r="AA200" s="23">
        <v>1</v>
      </c>
      <c r="AB200" s="23">
        <v>1</v>
      </c>
      <c r="AC200" s="23">
        <v>1</v>
      </c>
      <c r="AD200" s="23">
        <v>1</v>
      </c>
      <c r="AE200" s="23">
        <v>1</v>
      </c>
      <c r="AF200" s="23">
        <v>1</v>
      </c>
      <c r="AG200" s="537">
        <f t="shared" si="90"/>
        <v>0</v>
      </c>
      <c r="AH200" s="537">
        <f t="shared" si="91"/>
        <v>0</v>
      </c>
    </row>
    <row r="201" spans="1:34" customFormat="1">
      <c r="A201" s="494" t="s">
        <v>681</v>
      </c>
      <c r="B201" s="216" t="s">
        <v>979</v>
      </c>
      <c r="C201" s="216"/>
      <c r="D201" s="865"/>
      <c r="E201" s="255"/>
      <c r="F201" s="871"/>
      <c r="G201" s="255"/>
      <c r="H201" s="871"/>
      <c r="I201" s="292"/>
      <c r="J201" s="245"/>
      <c r="K201" s="245"/>
      <c r="L201" s="250"/>
      <c r="AG201" s="537">
        <f t="shared" si="90"/>
        <v>0</v>
      </c>
      <c r="AH201" s="537">
        <f t="shared" si="91"/>
        <v>0</v>
      </c>
    </row>
    <row r="202" spans="1:34" customFormat="1">
      <c r="A202" s="414" t="s">
        <v>682</v>
      </c>
      <c r="B202" s="413" t="s">
        <v>3135</v>
      </c>
      <c r="C202" s="413">
        <f>IF(manual=1,0,tot_switches)</f>
        <v>0</v>
      </c>
      <c r="D202" s="413" t="s">
        <v>2305</v>
      </c>
      <c r="E202" s="415" t="s">
        <v>774</v>
      </c>
      <c r="F202" s="413"/>
      <c r="G202" s="415" t="s">
        <v>774</v>
      </c>
      <c r="H202" s="413"/>
      <c r="I202" s="416">
        <f>IF(manual=1,"NA",VLOOKUP(0,switch_cost_cl,3))</f>
        <v>1050.7602875287325</v>
      </c>
      <c r="J202" s="398" t="str">
        <f t="shared" si="118"/>
        <v>--</v>
      </c>
      <c r="K202" s="421" t="str">
        <f>IF(C202=0,"NA",VLOOKUP(0,switch_cost_cl,IF(ss_cat="large",4,5)))</f>
        <v>NA</v>
      </c>
      <c r="L202" s="422"/>
      <c r="M202" t="str">
        <f>$B$190&amp;" - "&amp;$B$201&amp;" - "&amp;B202</f>
        <v>System Controls - Operator Equipment - Drive controllers</v>
      </c>
      <c r="N202" s="530">
        <f t="shared" ref="N202:T206" si="119">IF(retrofit=1,$W202*X202,IF(ISBLANK(X202),"",X202))</f>
        <v>1</v>
      </c>
      <c r="O202" s="530">
        <f t="shared" si="119"/>
        <v>1</v>
      </c>
      <c r="P202" s="530">
        <f t="shared" si="119"/>
        <v>1</v>
      </c>
      <c r="Q202" s="530">
        <f t="shared" si="119"/>
        <v>1</v>
      </c>
      <c r="R202" s="530">
        <f t="shared" si="119"/>
        <v>1</v>
      </c>
      <c r="S202" s="530">
        <f t="shared" si="119"/>
        <v>1</v>
      </c>
      <c r="T202" s="530">
        <f t="shared" si="119"/>
        <v>1</v>
      </c>
      <c r="U202" s="530">
        <f t="shared" ref="U202:V206" si="120">IF(retrofit=1,$W202*AE202,IF(ISBLANK(AE202),"",AE202))</f>
        <v>1</v>
      </c>
      <c r="V202" s="530">
        <f t="shared" si="120"/>
        <v>1</v>
      </c>
      <c r="W202" s="573">
        <v>0</v>
      </c>
      <c r="X202" s="224">
        <v>1</v>
      </c>
      <c r="Y202" s="224">
        <v>1</v>
      </c>
      <c r="Z202" s="224">
        <v>1</v>
      </c>
      <c r="AA202" s="224">
        <v>1</v>
      </c>
      <c r="AB202" s="224">
        <v>1</v>
      </c>
      <c r="AC202" s="224">
        <v>1</v>
      </c>
      <c r="AD202" s="224">
        <v>1</v>
      </c>
      <c r="AE202" s="224">
        <v>1</v>
      </c>
      <c r="AF202" s="224">
        <v>1</v>
      </c>
      <c r="AG202" s="537">
        <f t="shared" si="90"/>
        <v>0</v>
      </c>
      <c r="AH202" s="537">
        <f t="shared" si="91"/>
        <v>0</v>
      </c>
    </row>
    <row r="203" spans="1:34" customFormat="1">
      <c r="A203" s="414" t="s">
        <v>683</v>
      </c>
      <c r="B203" s="413" t="s">
        <v>1051</v>
      </c>
      <c r="C203" s="392">
        <f>IF(manual=1,0,plc_interface)</f>
        <v>0</v>
      </c>
      <c r="D203" s="392" t="s">
        <v>2305</v>
      </c>
      <c r="E203" s="402" t="s">
        <v>774</v>
      </c>
      <c r="F203" s="392"/>
      <c r="G203" s="402" t="s">
        <v>774</v>
      </c>
      <c r="H203" s="392"/>
      <c r="I203" s="401" t="str">
        <f>IF(C203=0,"NA",VLOOKUP(ss_cat,plc_op_interface_cost_cl,3,FALSE))</f>
        <v>NA</v>
      </c>
      <c r="J203" s="398" t="str">
        <f t="shared" si="118"/>
        <v>--</v>
      </c>
      <c r="K203" s="420" t="str">
        <f>IF(C203=0,"NA",VLOOKUP(ss_cat,plc_op_interface_cost_cl,IF(ss_cat="large",4,5),FALSE))</f>
        <v>NA</v>
      </c>
      <c r="L203" s="397"/>
      <c r="M203" t="str">
        <f>$B$190&amp;" - "&amp;$B$201&amp;" - "&amp;B203</f>
        <v>System Controls - Operator Equipment - Operator interface units</v>
      </c>
      <c r="N203" s="530">
        <f t="shared" si="119"/>
        <v>1</v>
      </c>
      <c r="O203" s="530">
        <f t="shared" si="119"/>
        <v>1</v>
      </c>
      <c r="P203" s="530">
        <f t="shared" si="119"/>
        <v>1</v>
      </c>
      <c r="Q203" s="530">
        <f t="shared" si="119"/>
        <v>1</v>
      </c>
      <c r="R203" s="530">
        <f t="shared" si="119"/>
        <v>1</v>
      </c>
      <c r="S203" s="530">
        <f t="shared" si="119"/>
        <v>1</v>
      </c>
      <c r="T203" s="530">
        <f t="shared" si="119"/>
        <v>1</v>
      </c>
      <c r="U203" s="530">
        <f t="shared" si="120"/>
        <v>1</v>
      </c>
      <c r="V203" s="530">
        <f t="shared" si="120"/>
        <v>1</v>
      </c>
      <c r="W203" s="573">
        <v>0</v>
      </c>
      <c r="X203" s="23">
        <v>1</v>
      </c>
      <c r="Y203" s="23">
        <v>1</v>
      </c>
      <c r="Z203" s="23">
        <v>1</v>
      </c>
      <c r="AA203" s="23">
        <v>1</v>
      </c>
      <c r="AB203" s="23">
        <v>1</v>
      </c>
      <c r="AC203" s="23">
        <v>1</v>
      </c>
      <c r="AD203" s="23">
        <v>1</v>
      </c>
      <c r="AE203" s="23">
        <v>1</v>
      </c>
      <c r="AF203" s="23">
        <v>1</v>
      </c>
      <c r="AG203" s="537">
        <f t="shared" si="90"/>
        <v>0</v>
      </c>
      <c r="AH203" s="537">
        <f t="shared" si="91"/>
        <v>0</v>
      </c>
    </row>
    <row r="204" spans="1:34" customFormat="1">
      <c r="A204" s="414" t="s">
        <v>684</v>
      </c>
      <c r="B204" s="413" t="s">
        <v>1043</v>
      </c>
      <c r="C204" s="392">
        <f>IF(OR(manual=1,ss_cat="small"),0,workstations)</f>
        <v>0</v>
      </c>
      <c r="D204" s="392" t="s">
        <v>2305</v>
      </c>
      <c r="E204" s="402" t="s">
        <v>774</v>
      </c>
      <c r="F204" s="392"/>
      <c r="G204" s="402" t="s">
        <v>774</v>
      </c>
      <c r="H204" s="392"/>
      <c r="I204" s="401" t="str">
        <f>IF(C204=0,"NA",VLOOKUP(0,pc_workstation_cost_cl,3))</f>
        <v>NA</v>
      </c>
      <c r="J204" s="398" t="str">
        <f t="shared" si="118"/>
        <v>--</v>
      </c>
      <c r="K204" s="420" t="str">
        <f>IF(C204=0,"NA",VLOOKUP(0,pc_workstation_cost_cl,IF(ss_cat="large",4,5)))</f>
        <v>NA</v>
      </c>
      <c r="L204" s="397"/>
      <c r="M204" t="str">
        <f>$B$190&amp;" - "&amp;$B$201&amp;" - "&amp;B204</f>
        <v>System Controls - Operator Equipment - PC Workstations</v>
      </c>
      <c r="N204" s="530">
        <f t="shared" si="119"/>
        <v>1</v>
      </c>
      <c r="O204" s="530">
        <f t="shared" si="119"/>
        <v>1</v>
      </c>
      <c r="P204" s="530">
        <f t="shared" si="119"/>
        <v>1</v>
      </c>
      <c r="Q204" s="530">
        <f t="shared" si="119"/>
        <v>1</v>
      </c>
      <c r="R204" s="530">
        <f t="shared" si="119"/>
        <v>1</v>
      </c>
      <c r="S204" s="530">
        <f t="shared" si="119"/>
        <v>1</v>
      </c>
      <c r="T204" s="530">
        <f t="shared" si="119"/>
        <v>1</v>
      </c>
      <c r="U204" s="530">
        <f t="shared" si="120"/>
        <v>1</v>
      </c>
      <c r="V204" s="530">
        <f t="shared" si="120"/>
        <v>1</v>
      </c>
      <c r="W204" s="573">
        <v>0</v>
      </c>
      <c r="X204" s="23">
        <v>1</v>
      </c>
      <c r="Y204" s="23">
        <v>1</v>
      </c>
      <c r="Z204" s="23">
        <v>1</v>
      </c>
      <c r="AA204" s="23">
        <v>1</v>
      </c>
      <c r="AB204" s="23">
        <v>1</v>
      </c>
      <c r="AC204" s="23">
        <v>1</v>
      </c>
      <c r="AD204" s="23">
        <v>1</v>
      </c>
      <c r="AE204" s="23">
        <v>1</v>
      </c>
      <c r="AF204" s="23">
        <v>1</v>
      </c>
      <c r="AG204" s="537">
        <f t="shared" si="90"/>
        <v>0</v>
      </c>
      <c r="AH204" s="537">
        <f t="shared" si="91"/>
        <v>0</v>
      </c>
    </row>
    <row r="205" spans="1:34" customFormat="1">
      <c r="A205" s="414" t="s">
        <v>685</v>
      </c>
      <c r="B205" s="413" t="s">
        <v>1042</v>
      </c>
      <c r="C205" s="392">
        <f>IF(OR(manual=1,ss_cat="small"),0,printers)</f>
        <v>0</v>
      </c>
      <c r="D205" s="392" t="s">
        <v>2305</v>
      </c>
      <c r="E205" s="402" t="s">
        <v>774</v>
      </c>
      <c r="F205" s="392"/>
      <c r="G205" s="402" t="s">
        <v>774</v>
      </c>
      <c r="H205" s="392"/>
      <c r="I205" s="401" t="str">
        <f>IF(C205=0,"NA",VLOOKUP(0,laser_printer_cost_cl,3))</f>
        <v>NA</v>
      </c>
      <c r="J205" s="398" t="str">
        <f t="shared" si="118"/>
        <v>--</v>
      </c>
      <c r="K205" s="420" t="str">
        <f>IF(C205=0,"NA",VLOOKUP(0,laser_printer_cost_cl,IF(ss_cat="large",4,5)))</f>
        <v>NA</v>
      </c>
      <c r="L205" s="397"/>
      <c r="M205" t="str">
        <f>$B$190&amp;" - "&amp;$B$201&amp;" - "&amp;B205</f>
        <v>System Controls - Operator Equipment - Printers - laser jet</v>
      </c>
      <c r="N205" s="530">
        <f t="shared" si="119"/>
        <v>1</v>
      </c>
      <c r="O205" s="530">
        <f t="shared" si="119"/>
        <v>1</v>
      </c>
      <c r="P205" s="530">
        <f t="shared" si="119"/>
        <v>1</v>
      </c>
      <c r="Q205" s="530">
        <f t="shared" si="119"/>
        <v>1</v>
      </c>
      <c r="R205" s="530">
        <f t="shared" si="119"/>
        <v>1</v>
      </c>
      <c r="S205" s="530">
        <f t="shared" si="119"/>
        <v>1</v>
      </c>
      <c r="T205" s="530">
        <f t="shared" si="119"/>
        <v>1</v>
      </c>
      <c r="U205" s="530">
        <f t="shared" si="120"/>
        <v>1</v>
      </c>
      <c r="V205" s="530">
        <f t="shared" si="120"/>
        <v>1</v>
      </c>
      <c r="W205" s="573">
        <v>0</v>
      </c>
      <c r="X205" s="23">
        <v>1</v>
      </c>
      <c r="Y205" s="23">
        <v>1</v>
      </c>
      <c r="Z205" s="23">
        <v>1</v>
      </c>
      <c r="AA205" s="23">
        <v>1</v>
      </c>
      <c r="AB205" s="23">
        <v>1</v>
      </c>
      <c r="AC205" s="23">
        <v>1</v>
      </c>
      <c r="AD205" s="23">
        <v>1</v>
      </c>
      <c r="AE205" s="23">
        <v>1</v>
      </c>
      <c r="AF205" s="23">
        <v>1</v>
      </c>
      <c r="AG205" s="537">
        <f t="shared" si="90"/>
        <v>0</v>
      </c>
      <c r="AH205" s="537">
        <f t="shared" si="91"/>
        <v>0</v>
      </c>
    </row>
    <row r="206" spans="1:34" customFormat="1">
      <c r="A206" s="414" t="s">
        <v>686</v>
      </c>
      <c r="B206" s="413" t="s">
        <v>980</v>
      </c>
      <c r="C206" s="392">
        <f>IF(OR(manual=1,ss_cat="small"),0,printers)</f>
        <v>0</v>
      </c>
      <c r="D206" s="392" t="s">
        <v>2305</v>
      </c>
      <c r="E206" s="402" t="s">
        <v>774</v>
      </c>
      <c r="F206" s="392"/>
      <c r="G206" s="402" t="s">
        <v>774</v>
      </c>
      <c r="H206" s="392"/>
      <c r="I206" s="401" t="str">
        <f>IF(C206=0,"NA",VLOOKUP(0,dotmatrix_printer_cost_cl,3))</f>
        <v>NA</v>
      </c>
      <c r="J206" s="398" t="str">
        <f t="shared" si="118"/>
        <v>--</v>
      </c>
      <c r="K206" s="420" t="str">
        <f>IF(C206=0,"NA",VLOOKUP(0,dotmatrix_printer_cost_cl,IF(ss_cat="large",4,5)))</f>
        <v>NA</v>
      </c>
      <c r="L206" s="397"/>
      <c r="M206" t="str">
        <f>$B$190&amp;" - "&amp;$B$201&amp;" - "&amp;B206</f>
        <v>System Controls - Operator Equipment - Printers - dot matrix</v>
      </c>
      <c r="N206" s="530">
        <f t="shared" si="119"/>
        <v>1</v>
      </c>
      <c r="O206" s="530">
        <f t="shared" si="119"/>
        <v>1</v>
      </c>
      <c r="P206" s="530">
        <f t="shared" si="119"/>
        <v>1</v>
      </c>
      <c r="Q206" s="530">
        <f t="shared" si="119"/>
        <v>1</v>
      </c>
      <c r="R206" s="530">
        <f t="shared" si="119"/>
        <v>1</v>
      </c>
      <c r="S206" s="530">
        <f t="shared" si="119"/>
        <v>1</v>
      </c>
      <c r="T206" s="530">
        <f t="shared" si="119"/>
        <v>1</v>
      </c>
      <c r="U206" s="530">
        <f t="shared" si="120"/>
        <v>1</v>
      </c>
      <c r="V206" s="530">
        <f t="shared" si="120"/>
        <v>1</v>
      </c>
      <c r="W206" s="573">
        <v>0</v>
      </c>
      <c r="X206" s="23">
        <v>1</v>
      </c>
      <c r="Y206" s="23">
        <v>1</v>
      </c>
      <c r="Z206" s="23">
        <v>1</v>
      </c>
      <c r="AA206" s="23">
        <v>1</v>
      </c>
      <c r="AB206" s="23">
        <v>1</v>
      </c>
      <c r="AC206" s="23">
        <v>1</v>
      </c>
      <c r="AD206" s="23">
        <v>1</v>
      </c>
      <c r="AE206" s="23">
        <v>1</v>
      </c>
      <c r="AF206" s="23">
        <v>1</v>
      </c>
      <c r="AG206" s="537">
        <f t="shared" si="90"/>
        <v>0</v>
      </c>
      <c r="AH206" s="537">
        <f t="shared" si="91"/>
        <v>0</v>
      </c>
    </row>
    <row r="207" spans="1:34" customFormat="1">
      <c r="A207" s="494" t="s">
        <v>687</v>
      </c>
      <c r="B207" s="219" t="s">
        <v>2310</v>
      </c>
      <c r="C207" s="216"/>
      <c r="D207" s="865"/>
      <c r="E207" s="255"/>
      <c r="F207" s="871"/>
      <c r="G207" s="255"/>
      <c r="H207" s="871"/>
      <c r="I207" s="292"/>
      <c r="J207" s="245"/>
      <c r="K207" s="245"/>
      <c r="L207" s="250"/>
      <c r="AG207" s="537">
        <f t="shared" si="90"/>
        <v>0</v>
      </c>
      <c r="AH207" s="537">
        <f t="shared" si="91"/>
        <v>0</v>
      </c>
    </row>
    <row r="208" spans="1:34" customFormat="1">
      <c r="A208" s="414" t="s">
        <v>688</v>
      </c>
      <c r="B208" s="413" t="s">
        <v>2311</v>
      </c>
      <c r="C208" s="392">
        <f>IF(OR(manual=1,ss_cat="small"),0,plc_interface)</f>
        <v>0</v>
      </c>
      <c r="D208" s="392" t="s">
        <v>2305</v>
      </c>
      <c r="E208" s="402" t="s">
        <v>774</v>
      </c>
      <c r="F208" s="392"/>
      <c r="G208" s="402" t="s">
        <v>774</v>
      </c>
      <c r="H208" s="392"/>
      <c r="I208" s="401" t="str">
        <f>IF(C208=0,"NA",VLOOKUP(0,op_interface_software_cost_cl,3))</f>
        <v>NA</v>
      </c>
      <c r="J208" s="398" t="str">
        <f t="shared" si="118"/>
        <v>--</v>
      </c>
      <c r="K208" s="420" t="str">
        <f>IF(C208=0,"NA",VLOOKUP(0,op_interface_software_cost_cl,IF(ss_cat="large",4,5)))</f>
        <v>NA</v>
      </c>
      <c r="L208" s="397"/>
      <c r="M208" t="str">
        <f>$B$190&amp;" - "&amp;$B$207&amp;" - "&amp;B208</f>
        <v>System Controls - Controls Software - Operator interface software</v>
      </c>
      <c r="N208" s="530">
        <f t="shared" ref="N208:T211" si="121">IF(retrofit=1,$W208*X208,IF(ISBLANK(X208),"",X208))</f>
        <v>1</v>
      </c>
      <c r="O208" s="530">
        <f t="shared" si="121"/>
        <v>1</v>
      </c>
      <c r="P208" s="530">
        <f t="shared" si="121"/>
        <v>1</v>
      </c>
      <c r="Q208" s="530">
        <f t="shared" si="121"/>
        <v>1</v>
      </c>
      <c r="R208" s="530">
        <f t="shared" si="121"/>
        <v>1</v>
      </c>
      <c r="S208" s="530">
        <f t="shared" si="121"/>
        <v>1</v>
      </c>
      <c r="T208" s="530">
        <f t="shared" si="121"/>
        <v>1</v>
      </c>
      <c r="U208" s="530">
        <f t="shared" ref="U208:V211" si="122">IF(retrofit=1,$W208*AE208,IF(ISBLANK(AE208),"",AE208))</f>
        <v>1</v>
      </c>
      <c r="V208" s="530">
        <f t="shared" si="122"/>
        <v>1</v>
      </c>
      <c r="W208" s="573">
        <v>0</v>
      </c>
      <c r="X208" s="23">
        <v>1</v>
      </c>
      <c r="Y208" s="23">
        <v>1</v>
      </c>
      <c r="Z208" s="23">
        <v>1</v>
      </c>
      <c r="AA208" s="23">
        <v>1</v>
      </c>
      <c r="AB208" s="23">
        <v>1</v>
      </c>
      <c r="AC208" s="23">
        <v>1</v>
      </c>
      <c r="AD208" s="23">
        <v>1</v>
      </c>
      <c r="AE208" s="23">
        <v>1</v>
      </c>
      <c r="AF208" s="23">
        <v>1</v>
      </c>
      <c r="AG208" s="537">
        <f t="shared" si="90"/>
        <v>0</v>
      </c>
      <c r="AH208" s="537">
        <f t="shared" si="91"/>
        <v>0</v>
      </c>
    </row>
    <row r="209" spans="1:34" customFormat="1">
      <c r="A209" s="414" t="s">
        <v>689</v>
      </c>
      <c r="B209" s="413" t="s">
        <v>981</v>
      </c>
      <c r="C209" s="392">
        <f>IF(OR(manual=1,ss_cat="small"),0,workstations)</f>
        <v>0</v>
      </c>
      <c r="D209" s="392" t="s">
        <v>2305</v>
      </c>
      <c r="E209" s="402" t="s">
        <v>774</v>
      </c>
      <c r="F209" s="392"/>
      <c r="G209" s="402" t="s">
        <v>774</v>
      </c>
      <c r="H209" s="392"/>
      <c r="I209" s="401" t="str">
        <f>IF(C209=0,"NA",VLOOKUP(0,plc_software_cost_cl,3))</f>
        <v>NA</v>
      </c>
      <c r="J209" s="398" t="str">
        <f t="shared" si="118"/>
        <v>--</v>
      </c>
      <c r="K209" s="420" t="str">
        <f>IF(C209=0,"NA",VLOOKUP(0,plc_software_cost_cl,IF(ss_cat="large",4,5)))</f>
        <v>NA</v>
      </c>
      <c r="L209" s="397"/>
      <c r="M209" t="str">
        <f>$B$190&amp;" - "&amp;$B$207&amp;" - "&amp;B209</f>
        <v>System Controls - Controls Software - PLC programming software</v>
      </c>
      <c r="N209" s="530">
        <f t="shared" si="121"/>
        <v>1</v>
      </c>
      <c r="O209" s="530">
        <f t="shared" si="121"/>
        <v>1</v>
      </c>
      <c r="P209" s="530">
        <f t="shared" si="121"/>
        <v>1</v>
      </c>
      <c r="Q209" s="530">
        <f t="shared" si="121"/>
        <v>1</v>
      </c>
      <c r="R209" s="530">
        <f t="shared" si="121"/>
        <v>1</v>
      </c>
      <c r="S209" s="530">
        <f t="shared" si="121"/>
        <v>1</v>
      </c>
      <c r="T209" s="530">
        <f t="shared" si="121"/>
        <v>1</v>
      </c>
      <c r="U209" s="530">
        <f t="shared" si="122"/>
        <v>1</v>
      </c>
      <c r="V209" s="530">
        <f t="shared" si="122"/>
        <v>1</v>
      </c>
      <c r="W209" s="573">
        <v>0</v>
      </c>
      <c r="X209" s="23">
        <v>1</v>
      </c>
      <c r="Y209" s="23">
        <v>1</v>
      </c>
      <c r="Z209" s="23">
        <v>1</v>
      </c>
      <c r="AA209" s="23">
        <v>1</v>
      </c>
      <c r="AB209" s="23">
        <v>1</v>
      </c>
      <c r="AC209" s="23">
        <v>1</v>
      </c>
      <c r="AD209" s="23">
        <v>1</v>
      </c>
      <c r="AE209" s="23">
        <v>1</v>
      </c>
      <c r="AF209" s="23">
        <v>1</v>
      </c>
      <c r="AG209" s="537">
        <f t="shared" si="90"/>
        <v>0</v>
      </c>
      <c r="AH209" s="537">
        <f t="shared" si="91"/>
        <v>0</v>
      </c>
    </row>
    <row r="210" spans="1:34" customFormat="1">
      <c r="A210" s="414" t="s">
        <v>690</v>
      </c>
      <c r="B210" s="413" t="s">
        <v>982</v>
      </c>
      <c r="C210" s="392">
        <f>IF(OR(manual=1,ss_cat="small"),0,workstations)</f>
        <v>0</v>
      </c>
      <c r="D210" s="392" t="s">
        <v>2305</v>
      </c>
      <c r="E210" s="402" t="s">
        <v>774</v>
      </c>
      <c r="F210" s="392"/>
      <c r="G210" s="402" t="s">
        <v>774</v>
      </c>
      <c r="H210" s="392"/>
      <c r="I210" s="401" t="str">
        <f>IF(C210=0,"NA",VLOOKUP(0,plc_data_software_cost_cl,3))</f>
        <v>NA</v>
      </c>
      <c r="J210" s="398" t="str">
        <f t="shared" si="118"/>
        <v>--</v>
      </c>
      <c r="K210" s="420" t="str">
        <f>IF(C210=0,"NA",VLOOKUP(0,plc_data_software_cost_cl,IF(ss_cat="large",4,5)))</f>
        <v>NA</v>
      </c>
      <c r="L210" s="397"/>
      <c r="M210" t="str">
        <f>$B$190&amp;" - "&amp;$B$207&amp;" - "&amp;B210</f>
        <v>System Controls - Controls Software - PLC data collection software</v>
      </c>
      <c r="N210" s="530">
        <f t="shared" si="121"/>
        <v>1</v>
      </c>
      <c r="O210" s="530">
        <f t="shared" si="121"/>
        <v>1</v>
      </c>
      <c r="P210" s="530">
        <f t="shared" si="121"/>
        <v>1</v>
      </c>
      <c r="Q210" s="530">
        <f t="shared" si="121"/>
        <v>1</v>
      </c>
      <c r="R210" s="530">
        <f t="shared" si="121"/>
        <v>1</v>
      </c>
      <c r="S210" s="530">
        <f t="shared" si="121"/>
        <v>1</v>
      </c>
      <c r="T210" s="530">
        <f t="shared" si="121"/>
        <v>1</v>
      </c>
      <c r="U210" s="530">
        <f t="shared" si="122"/>
        <v>1</v>
      </c>
      <c r="V210" s="530">
        <f t="shared" si="122"/>
        <v>1</v>
      </c>
      <c r="W210" s="573">
        <v>0</v>
      </c>
      <c r="X210" s="23">
        <v>1</v>
      </c>
      <c r="Y210" s="23">
        <v>1</v>
      </c>
      <c r="Z210" s="23">
        <v>1</v>
      </c>
      <c r="AA210" s="23">
        <v>1</v>
      </c>
      <c r="AB210" s="23">
        <v>1</v>
      </c>
      <c r="AC210" s="23">
        <v>1</v>
      </c>
      <c r="AD210" s="23">
        <v>1</v>
      </c>
      <c r="AE210" s="23">
        <v>1</v>
      </c>
      <c r="AF210" s="23">
        <v>1</v>
      </c>
      <c r="AG210" s="537">
        <f t="shared" si="90"/>
        <v>0</v>
      </c>
      <c r="AH210" s="537">
        <f t="shared" si="91"/>
        <v>0</v>
      </c>
    </row>
    <row r="211" spans="1:34" customFormat="1">
      <c r="A211" s="414" t="s">
        <v>691</v>
      </c>
      <c r="B211" s="413" t="s">
        <v>999</v>
      </c>
      <c r="C211" s="392">
        <f>IF(OR(manual=1,ss_cat="small"),0,workstations)</f>
        <v>0</v>
      </c>
      <c r="D211" s="392" t="s">
        <v>2305</v>
      </c>
      <c r="E211" s="402" t="s">
        <v>774</v>
      </c>
      <c r="F211" s="392"/>
      <c r="G211" s="402" t="s">
        <v>774</v>
      </c>
      <c r="H211" s="392"/>
      <c r="I211" s="401" t="str">
        <f>IF(C211=0,"NA",VLOOKUP(0,plant_intel_software_cost_cl,3))</f>
        <v>NA</v>
      </c>
      <c r="J211" s="398" t="str">
        <f t="shared" si="118"/>
        <v>--</v>
      </c>
      <c r="K211" s="420" t="str">
        <f>IF(C211=0,"NA",VLOOKUP(0,plant_intel_software_cost_cl,IF(ss_cat="large",4,5)))</f>
        <v>NA</v>
      </c>
      <c r="L211" s="397"/>
      <c r="M211" t="str">
        <f>$B$190&amp;" - "&amp;$B$207&amp;" - "&amp;B211</f>
        <v>System Controls - Controls Software - Plant intelligence software</v>
      </c>
      <c r="N211" s="530">
        <f t="shared" si="121"/>
        <v>1</v>
      </c>
      <c r="O211" s="530">
        <f t="shared" si="121"/>
        <v>1</v>
      </c>
      <c r="P211" s="530">
        <f t="shared" si="121"/>
        <v>1</v>
      </c>
      <c r="Q211" s="530">
        <f t="shared" si="121"/>
        <v>1</v>
      </c>
      <c r="R211" s="530">
        <f t="shared" si="121"/>
        <v>1</v>
      </c>
      <c r="S211" s="530">
        <f t="shared" si="121"/>
        <v>1</v>
      </c>
      <c r="T211" s="530">
        <f t="shared" si="121"/>
        <v>1</v>
      </c>
      <c r="U211" s="530">
        <f t="shared" si="122"/>
        <v>1</v>
      </c>
      <c r="V211" s="530">
        <f t="shared" si="122"/>
        <v>1</v>
      </c>
      <c r="W211" s="573">
        <v>0</v>
      </c>
      <c r="X211" s="23">
        <v>1</v>
      </c>
      <c r="Y211" s="23">
        <v>1</v>
      </c>
      <c r="Z211" s="23">
        <v>1</v>
      </c>
      <c r="AA211" s="23">
        <v>1</v>
      </c>
      <c r="AB211" s="23">
        <v>1</v>
      </c>
      <c r="AC211" s="23">
        <v>1</v>
      </c>
      <c r="AD211" s="23">
        <v>1</v>
      </c>
      <c r="AE211" s="23">
        <v>1</v>
      </c>
      <c r="AF211" s="23">
        <v>1</v>
      </c>
      <c r="AG211" s="537">
        <f t="shared" si="90"/>
        <v>0</v>
      </c>
      <c r="AH211" s="537">
        <f t="shared" si="91"/>
        <v>0</v>
      </c>
    </row>
    <row r="212" spans="1:34" customFormat="1">
      <c r="A212" s="240" t="s">
        <v>692</v>
      </c>
      <c r="B212" s="236" t="s">
        <v>2559</v>
      </c>
      <c r="C212" s="241"/>
      <c r="D212" s="241"/>
      <c r="E212" s="241"/>
      <c r="F212" s="236"/>
      <c r="G212" s="241"/>
      <c r="H212" s="236"/>
      <c r="I212" s="241"/>
      <c r="J212" s="241"/>
      <c r="K212" s="241"/>
      <c r="L212" s="243"/>
      <c r="M212" s="34"/>
      <c r="AG212" s="537">
        <f t="shared" si="90"/>
        <v>0</v>
      </c>
      <c r="AH212" s="537">
        <f t="shared" si="91"/>
        <v>0</v>
      </c>
    </row>
    <row r="213" spans="1:34" customFormat="1">
      <c r="A213" s="493" t="s">
        <v>693</v>
      </c>
      <c r="B213" s="239" t="s">
        <v>1702</v>
      </c>
      <c r="C213" s="376"/>
      <c r="D213" s="376"/>
      <c r="E213" s="376"/>
      <c r="F213" s="377"/>
      <c r="G213" s="376"/>
      <c r="H213" s="377"/>
      <c r="I213" s="376"/>
      <c r="J213" s="376"/>
      <c r="K213" s="376"/>
      <c r="L213" s="378"/>
      <c r="M213" s="34"/>
      <c r="AG213" s="537">
        <f t="shared" si="90"/>
        <v>0</v>
      </c>
      <c r="AH213" s="537">
        <f t="shared" si="91"/>
        <v>0</v>
      </c>
    </row>
    <row r="214" spans="1:34" customFormat="1">
      <c r="A214" s="423" t="s">
        <v>694</v>
      </c>
      <c r="B214" s="400" t="str">
        <f>CHOOSE(transfer_method,"Slurry Pump System for GAC Transfer","Eductors for GAC Transfer","Manual GAC transfer, no equipment needed")</f>
        <v>Manual GAC transfer, no equipment needed</v>
      </c>
      <c r="C214" s="424">
        <f>CHOOSE(transfer_method,1,eductors,0)</f>
        <v>0</v>
      </c>
      <c r="D214" s="392" t="s">
        <v>2305</v>
      </c>
      <c r="E214" s="394" t="str">
        <f>CHOOSE(transfer_method,transfer_rate,eductor_size,"NA")</f>
        <v>NA</v>
      </c>
      <c r="F214" s="189" t="str">
        <f>CHOOSE(transfer_method,"lbs/hr","in. diam","")</f>
        <v/>
      </c>
      <c r="G214" s="394" t="str">
        <f>CHOOSE(transfer_method,IF(curve=1,transfer_rate,VLOOKUP(transfer_rate,gac_slurry_cost_cl,2)),IF(curve=1,eductor_size,VLOOKUP(eductor_size,seductor_cost_cl,2)),"NA")</f>
        <v>NA</v>
      </c>
      <c r="H214" s="189" t="str">
        <f>CHOOSE(transfer_method,"lbs/hr","in. diam","")</f>
        <v/>
      </c>
      <c r="I214" s="401" t="str">
        <f>CHOOSE(transfer_method,IF(curve=1,slurry_eq,VLOOKUP(transfer_rate,gac_slurry_cost_cl,3)),IF(curve=1,seductor_eq,VLOOKUP(eductor_size,seductor_cost_cl,3)),"NA")</f>
        <v>NA</v>
      </c>
      <c r="J214" s="398" t="str">
        <f>CHOOSE(transfer_method,IF(OR(C214=0,I214="contact vendor"),"--",C214*I214),IF(OR(C214=0,I214="contact vendor"),"--",C214*I214),"--")</f>
        <v>--</v>
      </c>
      <c r="K214" s="402" t="str">
        <f>CHOOSE(transfer_method,VLOOKUP(transfer_rate,gac_slurry_cost_cl,IF(ss_cat="large",4,5)),VLOOKUP(eductor_size,seductor_cost_cl,IF(ss_cat="large",4,5)),"NA")</f>
        <v>NA</v>
      </c>
      <c r="L214" s="397"/>
      <c r="M214" s="34" t="str">
        <f>$B$213&amp;" - "&amp;B214</f>
        <v>Solids Transfer - Manual GAC transfer, no equipment needed</v>
      </c>
      <c r="N214" s="530">
        <f t="shared" ref="N214:V215" si="123">IF(retrofit=1,$W214*X214,IF(ISBLANK(X214),"",X214))</f>
        <v>1</v>
      </c>
      <c r="O214" s="530">
        <f t="shared" si="123"/>
        <v>1</v>
      </c>
      <c r="P214" s="530">
        <f t="shared" si="123"/>
        <v>1</v>
      </c>
      <c r="Q214" s="530">
        <f t="shared" si="123"/>
        <v>1</v>
      </c>
      <c r="R214" s="530">
        <f t="shared" si="123"/>
        <v>1</v>
      </c>
      <c r="S214" s="530">
        <f t="shared" si="123"/>
        <v>1</v>
      </c>
      <c r="T214" s="530">
        <f t="shared" si="123"/>
        <v>1</v>
      </c>
      <c r="U214" s="530">
        <f t="shared" si="123"/>
        <v>1</v>
      </c>
      <c r="V214" s="530">
        <f t="shared" si="123"/>
        <v>1</v>
      </c>
      <c r="W214" s="573">
        <v>0</v>
      </c>
      <c r="X214" s="23">
        <v>1</v>
      </c>
      <c r="Y214" s="23">
        <v>1</v>
      </c>
      <c r="Z214" s="23">
        <v>1</v>
      </c>
      <c r="AA214" s="23">
        <v>1</v>
      </c>
      <c r="AB214" s="23">
        <v>1</v>
      </c>
      <c r="AC214" s="23">
        <v>1</v>
      </c>
      <c r="AD214" s="23">
        <v>1</v>
      </c>
      <c r="AE214" s="23">
        <v>1</v>
      </c>
      <c r="AF214" s="23">
        <v>1</v>
      </c>
      <c r="AG214" s="537">
        <f t="shared" si="90"/>
        <v>0</v>
      </c>
      <c r="AH214" s="537">
        <f t="shared" si="91"/>
        <v>0</v>
      </c>
    </row>
    <row r="215" spans="1:34" customFormat="1">
      <c r="A215" s="412" t="s">
        <v>695</v>
      </c>
      <c r="B215" s="400" t="str">
        <f>CHOOSE(res_transfer_method,"Slurry Pump System for Holding Tanks","Eductors for Holding Tanks","Manual holding tank solids transfer, no equipment needed")</f>
        <v>Manual holding tank solids transfer, no equipment needed</v>
      </c>
      <c r="C215" s="392">
        <f>IF(res_holding="none",0,CHOOSE(res_transfer_method,res_slurry_pumps,res_eductors,0))</f>
        <v>0</v>
      </c>
      <c r="D215" s="392" t="s">
        <v>2305</v>
      </c>
      <c r="E215" s="394" t="str">
        <f>IF(C215=0,"NA",CHOOSE(res_transfer_method,res_transfer_rate,res_eductor_size,"NA"))</f>
        <v>NA</v>
      </c>
      <c r="F215" s="392" t="str">
        <f>IF(C215=0,"",CHOOSE(res_transfer_method,"lbs/hr","in. diam",""))</f>
        <v/>
      </c>
      <c r="G215" s="394" t="str">
        <f>IF(C215=0,"NA",CHOOSE(res_transfer_method,IF(curve=1,res_transfer_rate,VLOOKUP(res_transfer_rate,gac_slurry_cost_cl,2)),IF(curve=1,res_eductor_size,VLOOKUP(res_eductor_size,seductor_cost_cl,2)),"NA"))</f>
        <v>NA</v>
      </c>
      <c r="H215" s="392" t="str">
        <f>IF(C215=0,"",CHOOSE(res_transfer_method,"lbs/hr","in. diam",""))</f>
        <v/>
      </c>
      <c r="I215" s="401" t="str">
        <f>IF(C215=0,"NA",CHOOSE(res_transfer_method,IF(curve=1,res_slurry_eq,VLOOKUP(res_transfer_rate,gac_slurry_cost_cl,3)),IF(curve=1,res_seductor_eq,VLOOKUP(res_eductor_size,seductor_cost_cl,3)),"NA"))</f>
        <v>NA</v>
      </c>
      <c r="J215" s="396" t="str">
        <f>IF(C215=0,"--",CHOOSE(res_transfer_method,IF(I215="contact vendor","--",C215*I215),IF(I215="contact vendor","--",C215*I215),"--"))</f>
        <v>--</v>
      </c>
      <c r="K215" s="420" t="str">
        <f>IF(C215=0,"NA",VLOOKUP(E215,CHOOSE(res_transfer_method,gac_slurry_cost_cl,seductor_cost_cl),IF(ss_cat="large",4,5)))</f>
        <v>NA</v>
      </c>
      <c r="L215" s="397"/>
      <c r="M215" s="34" t="str">
        <f>$B$213&amp;" - "&amp;B215</f>
        <v>Solids Transfer - Manual holding tank solids transfer, no equipment needed</v>
      </c>
      <c r="N215" s="530">
        <f t="shared" si="123"/>
        <v>1</v>
      </c>
      <c r="O215" s="530">
        <f t="shared" si="123"/>
        <v>1</v>
      </c>
      <c r="P215" s="530">
        <f t="shared" si="123"/>
        <v>1</v>
      </c>
      <c r="Q215" s="530">
        <f t="shared" si="123"/>
        <v>1</v>
      </c>
      <c r="R215" s="530">
        <f t="shared" si="123"/>
        <v>1</v>
      </c>
      <c r="S215" s="530">
        <f t="shared" si="123"/>
        <v>1</v>
      </c>
      <c r="T215" s="530">
        <f t="shared" si="123"/>
        <v>1</v>
      </c>
      <c r="U215" s="530">
        <f t="shared" si="123"/>
        <v>1</v>
      </c>
      <c r="V215" s="530">
        <f t="shared" si="123"/>
        <v>1</v>
      </c>
      <c r="W215" s="573">
        <v>0</v>
      </c>
      <c r="X215" s="23">
        <v>1</v>
      </c>
      <c r="Y215" s="23">
        <v>1</v>
      </c>
      <c r="Z215" s="23">
        <v>1</v>
      </c>
      <c r="AA215" s="23">
        <v>1</v>
      </c>
      <c r="AB215" s="23">
        <v>1</v>
      </c>
      <c r="AC215" s="23">
        <v>1</v>
      </c>
      <c r="AD215" s="23">
        <v>1</v>
      </c>
      <c r="AE215" s="23">
        <v>1</v>
      </c>
      <c r="AF215" s="23">
        <v>1</v>
      </c>
      <c r="AG215" s="537">
        <f t="shared" si="90"/>
        <v>0</v>
      </c>
      <c r="AH215" s="537">
        <f t="shared" si="91"/>
        <v>0</v>
      </c>
    </row>
    <row r="216" spans="1:34" customFormat="1">
      <c r="A216" s="494" t="s">
        <v>696</v>
      </c>
      <c r="B216" s="219" t="s">
        <v>2567</v>
      </c>
      <c r="C216" s="216"/>
      <c r="D216" s="864"/>
      <c r="E216" s="216"/>
      <c r="F216" s="864"/>
      <c r="G216" s="216"/>
      <c r="H216" s="864"/>
      <c r="I216" s="216"/>
      <c r="J216" s="216"/>
      <c r="K216" s="216"/>
      <c r="L216" s="223"/>
      <c r="M216" s="34"/>
      <c r="N216" s="23"/>
      <c r="O216" s="23"/>
      <c r="P216" s="23"/>
      <c r="Q216" s="23"/>
      <c r="R216" s="23"/>
      <c r="S216" s="23"/>
      <c r="T216" s="23"/>
      <c r="U216" s="23"/>
      <c r="V216" s="23"/>
      <c r="X216" s="23"/>
      <c r="Y216" s="23"/>
      <c r="Z216" s="23"/>
      <c r="AA216" s="23"/>
      <c r="AB216" s="23"/>
      <c r="AC216" s="23"/>
      <c r="AD216" s="23"/>
      <c r="AE216" s="23"/>
      <c r="AF216" s="23"/>
      <c r="AG216" s="537">
        <f t="shared" si="90"/>
        <v>0</v>
      </c>
      <c r="AH216" s="537">
        <f t="shared" si="91"/>
        <v>0</v>
      </c>
    </row>
    <row r="217" spans="1:34" customFormat="1">
      <c r="A217" s="423" t="s">
        <v>697</v>
      </c>
      <c r="B217" s="425" t="s">
        <v>2565</v>
      </c>
      <c r="C217" s="392">
        <f>IF(grav_feed_rate=0,0,IF(res_holding="tanks",htanks,IF(res_holding="basins",hbasins,0)))</f>
        <v>0</v>
      </c>
      <c r="D217" s="392" t="s">
        <v>2305</v>
      </c>
      <c r="E217" s="426" t="str">
        <f>IF(C217=0,"NA",vol_feed_rate)</f>
        <v>NA</v>
      </c>
      <c r="F217" s="392" t="str">
        <f>IF(C217=0,"","cfm")</f>
        <v/>
      </c>
      <c r="G217" s="427" t="str">
        <f>IF(C217=0,"NA",VLOOKUP(vol_feed_rate,vol_feed_cost_cl,2))</f>
        <v>NA</v>
      </c>
      <c r="H217" s="392" t="str">
        <f>IF(C217=0,"","cfm")</f>
        <v/>
      </c>
      <c r="I217" s="401" t="str">
        <f>IF(C217=0,"NA",VLOOKUP(vol_feed_rate,vol_feed_cost_cl,3))</f>
        <v>NA</v>
      </c>
      <c r="J217" s="396" t="str">
        <f>IF(OR(I217="contact vendor",C217=0),"--",C217*I217)</f>
        <v>--</v>
      </c>
      <c r="K217" s="402" t="str">
        <f>IF(C217=0,"NA",VLOOKUP(vol_feed_rate,vol_feed_cost_cl,IF(ss_cat="large",4,5)))</f>
        <v>NA</v>
      </c>
      <c r="L217" s="397"/>
      <c r="M217" s="34" t="str">
        <f>$B$216&amp;" - "&amp;B217</f>
        <v>Dry Feeders for Residuals Coagulant - Volumetric Feeder</v>
      </c>
      <c r="N217" s="530">
        <f t="shared" ref="N217:V218" si="124">IF(retrofit=1,$W217*X217,IF(ISBLANK(X217),"",X217))</f>
        <v>1</v>
      </c>
      <c r="O217" s="530">
        <f t="shared" si="124"/>
        <v>1</v>
      </c>
      <c r="P217" s="530">
        <f t="shared" si="124"/>
        <v>1</v>
      </c>
      <c r="Q217" s="530">
        <f t="shared" si="124"/>
        <v>1</v>
      </c>
      <c r="R217" s="530">
        <f t="shared" si="124"/>
        <v>1</v>
      </c>
      <c r="S217" s="530">
        <f t="shared" si="124"/>
        <v>1</v>
      </c>
      <c r="T217" s="530">
        <f t="shared" si="124"/>
        <v>1</v>
      </c>
      <c r="U217" s="530">
        <f t="shared" si="124"/>
        <v>1</v>
      </c>
      <c r="V217" s="530">
        <f t="shared" si="124"/>
        <v>1</v>
      </c>
      <c r="W217" s="573">
        <v>0</v>
      </c>
      <c r="X217" s="5">
        <v>1</v>
      </c>
      <c r="Y217" s="5">
        <v>1</v>
      </c>
      <c r="Z217" s="5">
        <v>1</v>
      </c>
      <c r="AA217" s="5">
        <v>1</v>
      </c>
      <c r="AB217" s="5">
        <v>1</v>
      </c>
      <c r="AC217" s="5">
        <v>1</v>
      </c>
      <c r="AD217" s="5">
        <v>1</v>
      </c>
      <c r="AE217" s="5">
        <v>1</v>
      </c>
      <c r="AF217" s="5">
        <v>1</v>
      </c>
      <c r="AG217" s="537">
        <f t="shared" si="90"/>
        <v>0</v>
      </c>
      <c r="AH217" s="537">
        <f t="shared" si="91"/>
        <v>0</v>
      </c>
    </row>
    <row r="218" spans="1:34" customFormat="1">
      <c r="A218" s="423" t="s">
        <v>697</v>
      </c>
      <c r="B218" s="425" t="s">
        <v>2566</v>
      </c>
      <c r="C218" s="392">
        <f>IF(grav_feed_rate=0,0,IF(res_holding="tanks",htanks,IF(res_holding="basins",hbasins,0)))</f>
        <v>0</v>
      </c>
      <c r="D218" s="392" t="s">
        <v>2305</v>
      </c>
      <c r="E218" s="428" t="str">
        <f>IF(C218=0,"NA",grav_feed_rate)</f>
        <v>NA</v>
      </c>
      <c r="F218" s="392" t="str">
        <f>IF(C218=0,"","lbs/min")</f>
        <v/>
      </c>
      <c r="G218" s="429" t="str">
        <f>IF(C218=0,"NA",VLOOKUP(grav_feed_rate,grav_feed_cost_cl,2))</f>
        <v>NA</v>
      </c>
      <c r="H218" s="392" t="str">
        <f>IF(C218=0,"","lbs/min")</f>
        <v/>
      </c>
      <c r="I218" s="401" t="str">
        <f>IF(C218=0,"NA",VLOOKUP(grav_feed_rate,grav_feed_cost_cl,3))</f>
        <v>NA</v>
      </c>
      <c r="J218" s="396" t="str">
        <f>IF(OR(I218="contact vendor",C218=0),"--",C218*I218)</f>
        <v>--</v>
      </c>
      <c r="K218" s="402" t="str">
        <f>IF(C218=0,"NA",VLOOKUP(grav_feed_rate,grav_feed_cost_cl,IF(ss_cat="large",4,5)))</f>
        <v>NA</v>
      </c>
      <c r="L218" s="397"/>
      <c r="M218" s="34" t="str">
        <f>$B$216&amp;" - "&amp;B218</f>
        <v>Dry Feeders for Residuals Coagulant - Gravimetric Feeder</v>
      </c>
      <c r="N218" s="530">
        <f t="shared" si="124"/>
        <v>2</v>
      </c>
      <c r="O218" s="530">
        <f t="shared" si="124"/>
        <v>2</v>
      </c>
      <c r="P218" s="530">
        <f t="shared" si="124"/>
        <v>2</v>
      </c>
      <c r="Q218" s="530">
        <f t="shared" si="124"/>
        <v>2</v>
      </c>
      <c r="R218" s="530">
        <f t="shared" si="124"/>
        <v>2</v>
      </c>
      <c r="S218" s="530">
        <f t="shared" si="124"/>
        <v>2</v>
      </c>
      <c r="T218" s="530">
        <f t="shared" si="124"/>
        <v>2</v>
      </c>
      <c r="U218" s="530">
        <f t="shared" si="124"/>
        <v>2</v>
      </c>
      <c r="V218" s="530">
        <f t="shared" si="124"/>
        <v>2</v>
      </c>
      <c r="W218" s="573">
        <v>0</v>
      </c>
      <c r="X218" s="5">
        <v>2</v>
      </c>
      <c r="Y218" s="5">
        <v>2</v>
      </c>
      <c r="Z218" s="5">
        <v>2</v>
      </c>
      <c r="AA218" s="5">
        <v>2</v>
      </c>
      <c r="AB218" s="5">
        <v>2</v>
      </c>
      <c r="AC218" s="5">
        <v>2</v>
      </c>
      <c r="AD218" s="5">
        <v>2</v>
      </c>
      <c r="AE218" s="5">
        <v>2</v>
      </c>
      <c r="AF218" s="5">
        <v>2</v>
      </c>
      <c r="AG218" s="537">
        <f t="shared" si="90"/>
        <v>0</v>
      </c>
      <c r="AH218" s="537">
        <f t="shared" si="91"/>
        <v>0</v>
      </c>
    </row>
    <row r="219" spans="1:34" customFormat="1">
      <c r="A219" s="494" t="s">
        <v>698</v>
      </c>
      <c r="B219" s="219" t="s">
        <v>2568</v>
      </c>
      <c r="C219" s="216"/>
      <c r="D219" s="864"/>
      <c r="E219" s="216"/>
      <c r="F219" s="864"/>
      <c r="G219" s="216"/>
      <c r="H219" s="864"/>
      <c r="I219" s="216"/>
      <c r="J219" s="216"/>
      <c r="K219" s="216"/>
      <c r="L219" s="223"/>
      <c r="M219" s="34"/>
      <c r="N219" s="23"/>
      <c r="O219" s="23"/>
      <c r="P219" s="23"/>
      <c r="Q219" s="23"/>
      <c r="R219" s="23"/>
      <c r="S219" s="23"/>
      <c r="T219" s="23"/>
      <c r="U219" s="23"/>
      <c r="V219" s="23"/>
      <c r="X219" s="23"/>
      <c r="Y219" s="23"/>
      <c r="Z219" s="23"/>
      <c r="AA219" s="23"/>
      <c r="AB219" s="23"/>
      <c r="AC219" s="23"/>
      <c r="AD219" s="23"/>
      <c r="AE219" s="23"/>
      <c r="AF219" s="23"/>
      <c r="AG219" s="537">
        <f t="shared" si="90"/>
        <v>0</v>
      </c>
      <c r="AH219" s="537">
        <f t="shared" si="91"/>
        <v>0</v>
      </c>
    </row>
    <row r="220" spans="1:34" customFormat="1">
      <c r="A220" s="423" t="s">
        <v>699</v>
      </c>
      <c r="B220" s="425" t="s">
        <v>2561</v>
      </c>
      <c r="C220" s="392">
        <f>hmixers</f>
        <v>0</v>
      </c>
      <c r="D220" s="392" t="s">
        <v>2305</v>
      </c>
      <c r="E220" s="402" t="str">
        <f>IF(C220=0,"NA",hmix_size)</f>
        <v>NA</v>
      </c>
      <c r="F220" s="392" t="str">
        <f>IF(C220=0,"","hp")</f>
        <v/>
      </c>
      <c r="G220" s="939" t="str">
        <f>IF(C220=0,"NA",VLOOKUP(hmix_size,port_mix_cost_cl,2))</f>
        <v>NA</v>
      </c>
      <c r="H220" s="392" t="str">
        <f>IF(C220=0,"","hp")</f>
        <v/>
      </c>
      <c r="I220" s="401" t="str">
        <f>IF(C220=0,"NA",VLOOKUP(hmix_size,port_mix_cost_cl,3))</f>
        <v>NA</v>
      </c>
      <c r="J220" s="396" t="str">
        <f>IF(C220=0,"--",IF(I220="contact vendor","--",C220*I220))</f>
        <v>--</v>
      </c>
      <c r="K220" s="402" t="str">
        <f>IF(C220=0,"NA",VLOOKUP(hmix_size,port_mix_cost_cl,IF(ss_cat="large",4,5)))</f>
        <v>NA</v>
      </c>
      <c r="L220" s="397"/>
      <c r="M220" s="34" t="str">
        <f>$B$219&amp;" - "&amp;B220</f>
        <v>Residuals Mixers - Portable</v>
      </c>
      <c r="N220" s="530">
        <f t="shared" ref="N220:T222" si="125">IF(retrofit=1,$W220*X220,IF(ISBLANK(X220),"",X220))</f>
        <v>3</v>
      </c>
      <c r="O220" s="530">
        <f t="shared" si="125"/>
        <v>3</v>
      </c>
      <c r="P220" s="530">
        <f t="shared" si="125"/>
        <v>3</v>
      </c>
      <c r="Q220" s="530">
        <f t="shared" si="125"/>
        <v>3</v>
      </c>
      <c r="R220" s="530">
        <f t="shared" si="125"/>
        <v>3</v>
      </c>
      <c r="S220" s="530">
        <f t="shared" si="125"/>
        <v>3</v>
      </c>
      <c r="T220" s="530">
        <f t="shared" si="125"/>
        <v>3</v>
      </c>
      <c r="U220" s="530">
        <f t="shared" ref="U220:V222" si="126">IF(retrofit=1,$W220*AE220,IF(ISBLANK(AE220),"",AE220))</f>
        <v>3</v>
      </c>
      <c r="V220" s="530">
        <f t="shared" si="126"/>
        <v>3</v>
      </c>
      <c r="W220" s="573">
        <v>0</v>
      </c>
      <c r="X220" s="5">
        <v>3</v>
      </c>
      <c r="Y220" s="5">
        <v>3</v>
      </c>
      <c r="Z220" s="5">
        <v>3</v>
      </c>
      <c r="AA220" s="5">
        <v>3</v>
      </c>
      <c r="AB220" s="5">
        <v>3</v>
      </c>
      <c r="AC220" s="5">
        <v>3</v>
      </c>
      <c r="AD220" s="5">
        <v>3</v>
      </c>
      <c r="AE220" s="5">
        <v>3</v>
      </c>
      <c r="AF220" s="5">
        <v>3</v>
      </c>
      <c r="AG220" s="537">
        <f t="shared" si="90"/>
        <v>0</v>
      </c>
      <c r="AH220" s="537">
        <f t="shared" si="91"/>
        <v>0</v>
      </c>
    </row>
    <row r="221" spans="1:34" customFormat="1">
      <c r="A221" s="423" t="s">
        <v>699</v>
      </c>
      <c r="B221" s="425" t="s">
        <v>2562</v>
      </c>
      <c r="C221" s="392">
        <f>hmixers</f>
        <v>0</v>
      </c>
      <c r="D221" s="392" t="s">
        <v>2305</v>
      </c>
      <c r="E221" s="402" t="str">
        <f>IF(C221=0,"NA",hmix_size)</f>
        <v>NA</v>
      </c>
      <c r="F221" s="392" t="str">
        <f>IF(C221=0,"","hp")</f>
        <v/>
      </c>
      <c r="G221" s="939" t="str">
        <f>IF(C221=0,"NA",IF(curve=1,hmix_size,VLOOKUP(hmix_size,mount_mix_cost_cl,2)))</f>
        <v>NA</v>
      </c>
      <c r="H221" s="392" t="str">
        <f>IF(C221=0,"","hp")</f>
        <v/>
      </c>
      <c r="I221" s="401" t="str">
        <f>IF(C221=0,"NA",IF(curve=1,hmount_mix_eq,VLOOKUP(hmix_size,mount_mix_cost_cl,3)))</f>
        <v>NA</v>
      </c>
      <c r="J221" s="398" t="str">
        <f>IF(C221=0,"--",IF(I221="contact vendor","--",C221*I221))</f>
        <v>--</v>
      </c>
      <c r="K221" s="402" t="str">
        <f>IF(C221=0,"NA",VLOOKUP(hmix_size,mount_mix_cost_cl,IF(ss_cat="large",4,5)))</f>
        <v>NA</v>
      </c>
      <c r="L221" s="397"/>
      <c r="M221" s="34" t="str">
        <f>$B$219&amp;" - "&amp;B221</f>
        <v>Residuals Mixers - Mounted</v>
      </c>
      <c r="N221" s="530">
        <f t="shared" si="125"/>
        <v>1</v>
      </c>
      <c r="O221" s="530">
        <f t="shared" si="125"/>
        <v>1</v>
      </c>
      <c r="P221" s="530">
        <f t="shared" si="125"/>
        <v>1</v>
      </c>
      <c r="Q221" s="530">
        <f t="shared" si="125"/>
        <v>1</v>
      </c>
      <c r="R221" s="530">
        <f t="shared" si="125"/>
        <v>1</v>
      </c>
      <c r="S221" s="530">
        <f t="shared" si="125"/>
        <v>1</v>
      </c>
      <c r="T221" s="530">
        <f t="shared" si="125"/>
        <v>1</v>
      </c>
      <c r="U221" s="530">
        <f t="shared" si="126"/>
        <v>1</v>
      </c>
      <c r="V221" s="530">
        <f t="shared" si="126"/>
        <v>1</v>
      </c>
      <c r="W221" s="573">
        <v>0</v>
      </c>
      <c r="X221" s="5">
        <v>1</v>
      </c>
      <c r="Y221" s="5">
        <v>1</v>
      </c>
      <c r="Z221" s="5">
        <v>1</v>
      </c>
      <c r="AA221" s="5">
        <v>1</v>
      </c>
      <c r="AB221" s="5">
        <v>1</v>
      </c>
      <c r="AC221" s="5">
        <v>1</v>
      </c>
      <c r="AD221" s="5">
        <v>1</v>
      </c>
      <c r="AE221" s="5">
        <v>1</v>
      </c>
      <c r="AF221" s="5">
        <v>1</v>
      </c>
      <c r="AG221" s="537">
        <f t="shared" si="90"/>
        <v>0</v>
      </c>
      <c r="AH221" s="537">
        <f t="shared" si="91"/>
        <v>0</v>
      </c>
    </row>
    <row r="222" spans="1:34" customFormat="1">
      <c r="A222" s="423" t="s">
        <v>699</v>
      </c>
      <c r="B222" s="413" t="s">
        <v>2646</v>
      </c>
      <c r="C222" s="392">
        <f>hmixers</f>
        <v>0</v>
      </c>
      <c r="D222" s="392" t="s">
        <v>2305</v>
      </c>
      <c r="E222" s="402" t="str">
        <f>IF(C222=0,"NA",hmix_size)</f>
        <v>NA</v>
      </c>
      <c r="F222" s="392" t="str">
        <f>IF(C222=0,"","hp")</f>
        <v/>
      </c>
      <c r="G222" s="939" t="str">
        <f>IF(C222=0,"NA",IF(curve=1,hmix_size,VLOOKUP(hmix_size,imp_mix_cost_cl,2)))</f>
        <v>NA</v>
      </c>
      <c r="H222" s="392" t="str">
        <f>IF(C222=0,"","hp")</f>
        <v/>
      </c>
      <c r="I222" s="401" t="str">
        <f>IF(C222=0,"NA",IF(curve=1,himp_mix_eq,VLOOKUP(hmix_size,imp_mix_cost_cl,3)))</f>
        <v>NA</v>
      </c>
      <c r="J222" s="398" t="str">
        <f>IF(C222=0,"--",IF(I222="contact vendor","--",C222*I222))</f>
        <v>--</v>
      </c>
      <c r="K222" s="420" t="str">
        <f>IF(C222=0,"NA",VLOOKUP(hmix_size,imp_mix_cost_cl,IF(ss_cat="large",4,5)))</f>
        <v>NA</v>
      </c>
      <c r="L222" s="397"/>
      <c r="M222" s="34" t="str">
        <f>$B$219&amp;" - "&amp;B222</f>
        <v>Residuals Mixers - Impeller</v>
      </c>
      <c r="N222" s="530">
        <f t="shared" si="125"/>
        <v>2</v>
      </c>
      <c r="O222" s="530">
        <f t="shared" si="125"/>
        <v>2</v>
      </c>
      <c r="P222" s="530">
        <f t="shared" si="125"/>
        <v>2</v>
      </c>
      <c r="Q222" s="530">
        <f t="shared" si="125"/>
        <v>2</v>
      </c>
      <c r="R222" s="530">
        <f t="shared" si="125"/>
        <v>2</v>
      </c>
      <c r="S222" s="530">
        <f t="shared" si="125"/>
        <v>2</v>
      </c>
      <c r="T222" s="530">
        <f t="shared" si="125"/>
        <v>2</v>
      </c>
      <c r="U222" s="530">
        <f t="shared" si="126"/>
        <v>2</v>
      </c>
      <c r="V222" s="530">
        <f t="shared" si="126"/>
        <v>2</v>
      </c>
      <c r="W222" s="573">
        <v>0</v>
      </c>
      <c r="X222" s="5">
        <v>2</v>
      </c>
      <c r="Y222" s="5">
        <v>2</v>
      </c>
      <c r="Z222" s="5">
        <v>2</v>
      </c>
      <c r="AA222" s="5">
        <v>2</v>
      </c>
      <c r="AB222" s="5">
        <v>2</v>
      </c>
      <c r="AC222" s="5">
        <v>2</v>
      </c>
      <c r="AD222" s="5">
        <v>2</v>
      </c>
      <c r="AE222" s="5">
        <v>2</v>
      </c>
      <c r="AF222" s="5">
        <v>2</v>
      </c>
      <c r="AG222" s="537">
        <f t="shared" si="90"/>
        <v>0</v>
      </c>
      <c r="AH222" s="537">
        <f t="shared" si="91"/>
        <v>0</v>
      </c>
    </row>
    <row r="223" spans="1:34" customFormat="1">
      <c r="A223" s="938" t="s">
        <v>3445</v>
      </c>
      <c r="B223" s="864" t="s">
        <v>3447</v>
      </c>
      <c r="C223" s="216"/>
      <c r="D223" s="864"/>
      <c r="E223" s="216"/>
      <c r="F223" s="864"/>
      <c r="G223" s="216"/>
      <c r="H223" s="864"/>
      <c r="I223" s="216"/>
      <c r="J223" s="216"/>
      <c r="K223" s="216"/>
      <c r="L223" s="223"/>
      <c r="M223" s="34"/>
      <c r="N223" s="23"/>
      <c r="O223" s="23"/>
      <c r="P223" s="23"/>
      <c r="Q223" s="23"/>
      <c r="R223" s="23"/>
      <c r="S223" s="23"/>
      <c r="T223" s="23"/>
      <c r="U223" s="23"/>
      <c r="V223" s="23"/>
      <c r="X223" s="23"/>
      <c r="Y223" s="23"/>
      <c r="Z223" s="23"/>
      <c r="AA223" s="23"/>
      <c r="AB223" s="23"/>
      <c r="AC223" s="23"/>
      <c r="AD223" s="23"/>
      <c r="AE223" s="23"/>
      <c r="AF223" s="23"/>
      <c r="AG223" s="537">
        <f t="shared" ref="AG223:AG226" si="127">IF(ISERROR(K223*L223),0,IF(K223&lt;1,0,L223))</f>
        <v>0</v>
      </c>
      <c r="AH223" s="537">
        <f t="shared" ref="AH223:AH226" si="128">IF(AG223,J223/K223,0)</f>
        <v>0</v>
      </c>
    </row>
    <row r="224" spans="1:34" customFormat="1">
      <c r="A224" s="423" t="s">
        <v>3446</v>
      </c>
      <c r="B224" s="425" t="s">
        <v>2561</v>
      </c>
      <c r="C224" s="392">
        <f>polymer_cmixers</f>
        <v>0</v>
      </c>
      <c r="D224" s="392" t="s">
        <v>2305</v>
      </c>
      <c r="E224" s="402" t="str">
        <f>IF(C224=0,"NA",polymer_cmix_size)</f>
        <v>NA</v>
      </c>
      <c r="F224" s="392" t="str">
        <f>IF(C224=0,"","hp")</f>
        <v/>
      </c>
      <c r="G224" s="939" t="str">
        <f>IF(C224=0,"NA",VLOOKUP(polymer_cmix_size,port_mix_cost_cl,2))</f>
        <v>NA</v>
      </c>
      <c r="H224" s="392" t="str">
        <f>IF(C224=0,"","hp")</f>
        <v/>
      </c>
      <c r="I224" s="401" t="str">
        <f>IF(C224=0,"NA",VLOOKUP(polymer_cmix_size,port_mix_cost_cl,3))</f>
        <v>NA</v>
      </c>
      <c r="J224" s="396" t="str">
        <f>IF(C224=0,"--",IF(I224="contact vendor","--",C224*I224))</f>
        <v>--</v>
      </c>
      <c r="K224" s="402" t="str">
        <f>IF(C224=0,"NA",VLOOKUP(polymer_cmix_size,port_mix_cost_cl,IF(ss_cat="large",4,5)))</f>
        <v>NA</v>
      </c>
      <c r="L224" s="397"/>
      <c r="M224" s="34" t="str">
        <f>$B$223&amp;" - "&amp;B224</f>
        <v>Polymer Storage Tank Mixers - Portable</v>
      </c>
      <c r="N224" s="530">
        <f t="shared" ref="N224:N226" si="129">IF(retrofit=1,$W224*X224,IF(ISBLANK(X224),"",X224))</f>
        <v>3</v>
      </c>
      <c r="O224" s="530">
        <f t="shared" ref="O224:O226" si="130">IF(retrofit=1,$W224*Y224,IF(ISBLANK(Y224),"",Y224))</f>
        <v>3</v>
      </c>
      <c r="P224" s="530">
        <f t="shared" ref="P224:P226" si="131">IF(retrofit=1,$W224*Z224,IF(ISBLANK(Z224),"",Z224))</f>
        <v>3</v>
      </c>
      <c r="Q224" s="530">
        <f t="shared" ref="Q224:Q226" si="132">IF(retrofit=1,$W224*AA224,IF(ISBLANK(AA224),"",AA224))</f>
        <v>3</v>
      </c>
      <c r="R224" s="530">
        <f t="shared" ref="R224:R226" si="133">IF(retrofit=1,$W224*AB224,IF(ISBLANK(AB224),"",AB224))</f>
        <v>3</v>
      </c>
      <c r="S224" s="530">
        <f t="shared" ref="S224:S226" si="134">IF(retrofit=1,$W224*AC224,IF(ISBLANK(AC224),"",AC224))</f>
        <v>3</v>
      </c>
      <c r="T224" s="530">
        <f t="shared" ref="T224:T226" si="135">IF(retrofit=1,$W224*AD224,IF(ISBLANK(AD224),"",AD224))</f>
        <v>3</v>
      </c>
      <c r="U224" s="530">
        <f t="shared" ref="U224:U226" si="136">IF(retrofit=1,$W224*AE224,IF(ISBLANK(AE224),"",AE224))</f>
        <v>3</v>
      </c>
      <c r="V224" s="530">
        <f t="shared" ref="V224:V226" si="137">IF(retrofit=1,$W224*AF224,IF(ISBLANK(AF224),"",AF224))</f>
        <v>3</v>
      </c>
      <c r="W224" s="573">
        <v>0</v>
      </c>
      <c r="X224" s="5">
        <v>3</v>
      </c>
      <c r="Y224" s="5">
        <v>3</v>
      </c>
      <c r="Z224" s="5">
        <v>3</v>
      </c>
      <c r="AA224" s="5">
        <v>3</v>
      </c>
      <c r="AB224" s="5">
        <v>3</v>
      </c>
      <c r="AC224" s="5">
        <v>3</v>
      </c>
      <c r="AD224" s="5">
        <v>3</v>
      </c>
      <c r="AE224" s="5">
        <v>3</v>
      </c>
      <c r="AF224" s="5">
        <v>3</v>
      </c>
      <c r="AG224" s="537">
        <f t="shared" si="127"/>
        <v>0</v>
      </c>
      <c r="AH224" s="537">
        <f t="shared" si="128"/>
        <v>0</v>
      </c>
    </row>
    <row r="225" spans="1:34" customFormat="1">
      <c r="A225" s="423" t="s">
        <v>3446</v>
      </c>
      <c r="B225" s="425" t="s">
        <v>2562</v>
      </c>
      <c r="C225" s="392">
        <f>polymer_cmixers</f>
        <v>0</v>
      </c>
      <c r="D225" s="392" t="s">
        <v>2305</v>
      </c>
      <c r="E225" s="402" t="str">
        <f>IF(C225=0,"NA",polymer_cmix_size)</f>
        <v>NA</v>
      </c>
      <c r="F225" s="392" t="str">
        <f>IF(C225=0,"","hp")</f>
        <v/>
      </c>
      <c r="G225" s="939" t="str">
        <f>IF(C225=0,"NA",IF(curve=1,polymer_cmix_size,VLOOKUP(polymer_cmix_size,mount_mix_cost_cl,2)))</f>
        <v>NA</v>
      </c>
      <c r="H225" s="392" t="str">
        <f>IF(C225=0,"","hp")</f>
        <v/>
      </c>
      <c r="I225" s="401" t="str">
        <f>IF(C225=0,"NA",IF(curve=1,cmount_mix_eq_polymer,VLOOKUP(polymer_cmix_size,mount_mix_cost_cl,3)))</f>
        <v>NA</v>
      </c>
      <c r="J225" s="398" t="str">
        <f>IF(C225=0,"--",IF(I225="contact vendor","--",C225*I225))</f>
        <v>--</v>
      </c>
      <c r="K225" s="402" t="str">
        <f>IF(C225=0,"NA",VLOOKUP(polymer_cmix_size,mount_mix_cost_cl,IF(ss_cat="large",4,5)))</f>
        <v>NA</v>
      </c>
      <c r="L225" s="397"/>
      <c r="M225" s="34" t="str">
        <f t="shared" ref="M225:M226" si="138">$B$223&amp;" - "&amp;B225</f>
        <v>Polymer Storage Tank Mixers - Mounted</v>
      </c>
      <c r="N225" s="530">
        <f t="shared" si="129"/>
        <v>1</v>
      </c>
      <c r="O225" s="530">
        <f t="shared" si="130"/>
        <v>1</v>
      </c>
      <c r="P225" s="530">
        <f t="shared" si="131"/>
        <v>1</v>
      </c>
      <c r="Q225" s="530">
        <f t="shared" si="132"/>
        <v>1</v>
      </c>
      <c r="R225" s="530">
        <f t="shared" si="133"/>
        <v>1</v>
      </c>
      <c r="S225" s="530">
        <f t="shared" si="134"/>
        <v>1</v>
      </c>
      <c r="T225" s="530">
        <f t="shared" si="135"/>
        <v>1</v>
      </c>
      <c r="U225" s="530">
        <f t="shared" si="136"/>
        <v>1</v>
      </c>
      <c r="V225" s="530">
        <f t="shared" si="137"/>
        <v>1</v>
      </c>
      <c r="W225" s="573">
        <v>0</v>
      </c>
      <c r="X225" s="5">
        <v>1</v>
      </c>
      <c r="Y225" s="5">
        <v>1</v>
      </c>
      <c r="Z225" s="5">
        <v>1</v>
      </c>
      <c r="AA225" s="5">
        <v>1</v>
      </c>
      <c r="AB225" s="5">
        <v>1</v>
      </c>
      <c r="AC225" s="5">
        <v>1</v>
      </c>
      <c r="AD225" s="5">
        <v>1</v>
      </c>
      <c r="AE225" s="5">
        <v>1</v>
      </c>
      <c r="AF225" s="5">
        <v>1</v>
      </c>
      <c r="AG225" s="537">
        <f t="shared" si="127"/>
        <v>0</v>
      </c>
      <c r="AH225" s="537">
        <f t="shared" si="128"/>
        <v>0</v>
      </c>
    </row>
    <row r="226" spans="1:34" customFormat="1">
      <c r="A226" s="423" t="s">
        <v>3446</v>
      </c>
      <c r="B226" s="413" t="s">
        <v>2646</v>
      </c>
      <c r="C226" s="392">
        <f>polymer_cmixers</f>
        <v>0</v>
      </c>
      <c r="D226" s="392" t="s">
        <v>2305</v>
      </c>
      <c r="E226" s="402" t="str">
        <f>IF(C226=0,"NA",polymer_cmix_size)</f>
        <v>NA</v>
      </c>
      <c r="F226" s="392" t="str">
        <f>IF(C226=0,"","hp")</f>
        <v/>
      </c>
      <c r="G226" s="939" t="str">
        <f>IF(C226=0,"NA",IF(curve=1,polymer_cmix_size,VLOOKUP(polymer_cmix_size,imp_mix_cost_cl,2)))</f>
        <v>NA</v>
      </c>
      <c r="H226" s="392" t="str">
        <f>IF(C226=0,"","hp")</f>
        <v/>
      </c>
      <c r="I226" s="401" t="str">
        <f>IF(C226=0,"NA",IF(curve=1,cimp_mix_eq_polymer,VLOOKUP(polymer_cmix_size,imp_mix_cost_cl,3)))</f>
        <v>NA</v>
      </c>
      <c r="J226" s="398" t="str">
        <f>IF(C226=0,"--",IF(I226="contact vendor","--",C226*I226))</f>
        <v>--</v>
      </c>
      <c r="K226" s="420" t="str">
        <f>IF(C226=0,"NA",VLOOKUP(polymer_cmix_size,imp_mix_cost_cl,IF(ss_cat="large",4,5)))</f>
        <v>NA</v>
      </c>
      <c r="L226" s="397"/>
      <c r="M226" s="34" t="str">
        <f t="shared" si="138"/>
        <v>Polymer Storage Tank Mixers - Impeller</v>
      </c>
      <c r="N226" s="530">
        <f t="shared" si="129"/>
        <v>2</v>
      </c>
      <c r="O226" s="530">
        <f t="shared" si="130"/>
        <v>2</v>
      </c>
      <c r="P226" s="530">
        <f t="shared" si="131"/>
        <v>2</v>
      </c>
      <c r="Q226" s="530">
        <f t="shared" si="132"/>
        <v>2</v>
      </c>
      <c r="R226" s="530">
        <f t="shared" si="133"/>
        <v>2</v>
      </c>
      <c r="S226" s="530">
        <f t="shared" si="134"/>
        <v>2</v>
      </c>
      <c r="T226" s="530">
        <f t="shared" si="135"/>
        <v>2</v>
      </c>
      <c r="U226" s="530">
        <f t="shared" si="136"/>
        <v>2</v>
      </c>
      <c r="V226" s="530">
        <f t="shared" si="137"/>
        <v>2</v>
      </c>
      <c r="W226" s="573">
        <v>0</v>
      </c>
      <c r="X226" s="5">
        <v>2</v>
      </c>
      <c r="Y226" s="5">
        <v>2</v>
      </c>
      <c r="Z226" s="5">
        <v>2</v>
      </c>
      <c r="AA226" s="5">
        <v>2</v>
      </c>
      <c r="AB226" s="5">
        <v>2</v>
      </c>
      <c r="AC226" s="5">
        <v>2</v>
      </c>
      <c r="AD226" s="5">
        <v>2</v>
      </c>
      <c r="AE226" s="5">
        <v>2</v>
      </c>
      <c r="AF226" s="5">
        <v>2</v>
      </c>
      <c r="AG226" s="537">
        <f t="shared" si="127"/>
        <v>0</v>
      </c>
      <c r="AH226" s="537">
        <f t="shared" si="128"/>
        <v>0</v>
      </c>
    </row>
    <row r="227" spans="1:34" customFormat="1">
      <c r="A227" s="240" t="s">
        <v>700</v>
      </c>
      <c r="B227" s="236" t="s">
        <v>3640</v>
      </c>
      <c r="C227" s="241"/>
      <c r="D227" s="241"/>
      <c r="E227" s="241"/>
      <c r="F227" s="236"/>
      <c r="G227" s="241"/>
      <c r="H227" s="236"/>
      <c r="I227" s="241"/>
      <c r="J227" s="241"/>
      <c r="K227" s="241"/>
      <c r="L227" s="243"/>
      <c r="M227" s="34"/>
      <c r="AG227" s="537">
        <f t="shared" si="90"/>
        <v>0</v>
      </c>
      <c r="AH227" s="537">
        <f t="shared" si="91"/>
        <v>0</v>
      </c>
    </row>
    <row r="228" spans="1:34" customFormat="1">
      <c r="A228" s="495" t="s">
        <v>701</v>
      </c>
      <c r="B228" s="376" t="s">
        <v>3248</v>
      </c>
      <c r="C228" s="430">
        <f>GAC</f>
        <v>8341.5175439034501</v>
      </c>
      <c r="D228" s="413" t="s">
        <v>2338</v>
      </c>
      <c r="E228" s="402" t="s">
        <v>774</v>
      </c>
      <c r="F228" s="392"/>
      <c r="G228" s="402" t="s">
        <v>774</v>
      </c>
      <c r="H228" s="413"/>
      <c r="I228" s="431">
        <f>IF(curve=1,gac_eq,VLOOKUP(GAC,gac_cost_cl,3))</f>
        <v>1.8519306702541083</v>
      </c>
      <c r="J228" s="398">
        <f>IF(I228="contact vendor","--",C228*I228)</f>
        <v>15447.91217601752</v>
      </c>
      <c r="K228" s="432" t="str">
        <f>VLOOKUP(GAC,gac_cost_cl,IF(ss_cat="large",4,5))</f>
        <v>N/A</v>
      </c>
      <c r="L228" s="433">
        <v>1</v>
      </c>
      <c r="M228" s="34" t="str">
        <f>$B$227&amp;" - "&amp;B228</f>
        <v>Media - Initial GAC Charge</v>
      </c>
      <c r="N228" s="530">
        <f t="shared" ref="N228:V228" si="139">IF(retrofit=1,$W228*X228,IF(ISBLANK(X228),"",X228))</f>
        <v>1</v>
      </c>
      <c r="O228" s="530">
        <f t="shared" si="139"/>
        <v>1</v>
      </c>
      <c r="P228" s="530">
        <f t="shared" si="139"/>
        <v>1</v>
      </c>
      <c r="Q228" s="530">
        <f t="shared" si="139"/>
        <v>1</v>
      </c>
      <c r="R228" s="530">
        <f t="shared" si="139"/>
        <v>1</v>
      </c>
      <c r="S228" s="530">
        <f t="shared" si="139"/>
        <v>1</v>
      </c>
      <c r="T228" s="530">
        <f t="shared" si="139"/>
        <v>1</v>
      </c>
      <c r="U228" s="530">
        <f t="shared" si="139"/>
        <v>1</v>
      </c>
      <c r="V228" s="530">
        <f t="shared" si="139"/>
        <v>1</v>
      </c>
      <c r="W228" s="573">
        <v>0</v>
      </c>
      <c r="X228" s="23">
        <v>1</v>
      </c>
      <c r="Y228" s="23">
        <v>1</v>
      </c>
      <c r="Z228" s="23">
        <v>1</v>
      </c>
      <c r="AA228" s="23">
        <v>1</v>
      </c>
      <c r="AB228" s="23">
        <v>1</v>
      </c>
      <c r="AC228" s="23">
        <v>1</v>
      </c>
      <c r="AD228" s="23">
        <v>1</v>
      </c>
      <c r="AE228" s="23">
        <v>1</v>
      </c>
      <c r="AF228" s="23">
        <v>1</v>
      </c>
      <c r="AG228" s="537">
        <f t="shared" si="90"/>
        <v>0</v>
      </c>
      <c r="AH228" s="537">
        <f t="shared" si="91"/>
        <v>0</v>
      </c>
    </row>
    <row r="229" spans="1:34" customFormat="1">
      <c r="A229" s="240" t="s">
        <v>1113</v>
      </c>
      <c r="B229" s="241" t="s">
        <v>1016</v>
      </c>
      <c r="C229" s="241"/>
      <c r="D229" s="241"/>
      <c r="E229" s="256"/>
      <c r="F229" s="256"/>
      <c r="G229" s="256"/>
      <c r="H229" s="241"/>
      <c r="I229" s="241"/>
      <c r="J229" s="241"/>
      <c r="K229" s="241"/>
      <c r="L229" s="243"/>
      <c r="M229" s="34"/>
      <c r="N229" s="34"/>
      <c r="O229" s="34"/>
      <c r="P229" s="34"/>
      <c r="Q229" s="34"/>
      <c r="R229" s="34"/>
      <c r="S229" s="34"/>
      <c r="T229" s="34"/>
      <c r="U229" s="34"/>
      <c r="V229" s="34"/>
      <c r="X229" s="34"/>
      <c r="Y229" s="34"/>
      <c r="Z229" s="34"/>
      <c r="AA229" s="34"/>
      <c r="AB229" s="34"/>
      <c r="AC229" s="34"/>
      <c r="AD229" s="34"/>
      <c r="AE229" s="34"/>
      <c r="AF229" s="34"/>
      <c r="AG229" s="537">
        <f t="shared" ref="AG229:AG294" si="140">IF(ISERROR(K229*L229),0,IF(K229&lt;1,0,L229))</f>
        <v>0</v>
      </c>
      <c r="AH229" s="537">
        <f t="shared" ref="AH229:AH291" si="141">IF(AG229,J229/K229,0)</f>
        <v>0</v>
      </c>
    </row>
    <row r="230" spans="1:34" customFormat="1">
      <c r="A230" s="495" t="s">
        <v>1114</v>
      </c>
      <c r="B230" s="376" t="s">
        <v>3250</v>
      </c>
      <c r="C230" s="393">
        <f>num_furnaces</f>
        <v>0</v>
      </c>
      <c r="D230" s="392" t="s">
        <v>2305</v>
      </c>
      <c r="E230" s="394" t="str">
        <f>IF(C230&lt;&gt;0,furnace_size,"NA")</f>
        <v>NA</v>
      </c>
      <c r="F230" s="435" t="str">
        <f>IF(C230=0,"","lb/day")</f>
        <v/>
      </c>
      <c r="G230" s="394" t="str">
        <f>IF(C230=0,"NA",IF(curve=1,furnace_size,VLOOKUP(furnace_size,on_regen_cost_cl,2)))</f>
        <v>NA</v>
      </c>
      <c r="H230" s="435" t="str">
        <f>IF(C230=0,"","lb/day")</f>
        <v/>
      </c>
      <c r="I230" s="401" t="str">
        <f>IF(C230=0,"NA",IF(curve=1,on_regen_eq,VLOOKUP(regen_capacity,on_regen_cost_cl,3)))</f>
        <v>NA</v>
      </c>
      <c r="J230" s="396" t="str">
        <f>IF(OR(C230=0,I230="contact vendor"),"--",C230*I230)</f>
        <v>--</v>
      </c>
      <c r="K230" s="402" t="str">
        <f>IF(C230=0,"NA",VLOOKUP(regen_capacity,on_regen_cost_cl,IF(ss_cat="large",4,5)))</f>
        <v>NA</v>
      </c>
      <c r="L230" s="403"/>
      <c r="M230" s="38" t="str">
        <f>B229&amp;" - "&amp;B230</f>
        <v>On-site GAC Regeneration - Multiple Hearth Furnace System</v>
      </c>
      <c r="N230" s="530">
        <f t="shared" ref="N230:V230" si="142">IF(retrofit=1,$W230*X230,IF(ISBLANK(X230),"",X230))</f>
        <v>1</v>
      </c>
      <c r="O230" s="530">
        <f t="shared" si="142"/>
        <v>1</v>
      </c>
      <c r="P230" s="530">
        <f t="shared" si="142"/>
        <v>1</v>
      </c>
      <c r="Q230" s="530">
        <f t="shared" si="142"/>
        <v>1</v>
      </c>
      <c r="R230" s="530">
        <f t="shared" si="142"/>
        <v>1</v>
      </c>
      <c r="S230" s="530">
        <f t="shared" si="142"/>
        <v>1</v>
      </c>
      <c r="T230" s="530">
        <f t="shared" si="142"/>
        <v>1</v>
      </c>
      <c r="U230" s="530">
        <f t="shared" si="142"/>
        <v>1</v>
      </c>
      <c r="V230" s="530">
        <f t="shared" si="142"/>
        <v>1</v>
      </c>
      <c r="W230" s="573">
        <v>0</v>
      </c>
      <c r="X230" s="23">
        <v>1</v>
      </c>
      <c r="Y230" s="23">
        <v>1</v>
      </c>
      <c r="Z230" s="23">
        <v>1</v>
      </c>
      <c r="AA230" s="23">
        <v>1</v>
      </c>
      <c r="AB230" s="23">
        <v>1</v>
      </c>
      <c r="AC230" s="23">
        <v>1</v>
      </c>
      <c r="AD230" s="23">
        <v>1</v>
      </c>
      <c r="AE230" s="23">
        <v>1</v>
      </c>
      <c r="AF230" s="23">
        <v>1</v>
      </c>
      <c r="AG230" s="537">
        <f t="shared" si="140"/>
        <v>0</v>
      </c>
      <c r="AH230" s="537">
        <f t="shared" si="141"/>
        <v>0</v>
      </c>
    </row>
    <row r="231" spans="1:34" customFormat="1">
      <c r="A231" s="495" t="s">
        <v>1115</v>
      </c>
      <c r="B231" s="376" t="s">
        <v>592</v>
      </c>
      <c r="C231" s="393">
        <f>IF(r_new_furnace=1,1,0)</f>
        <v>0</v>
      </c>
      <c r="D231" s="392" t="s">
        <v>2305</v>
      </c>
      <c r="E231" s="394" t="str">
        <f>IF(AND(retrofit=1,regen_type=1),r_inc_regen_capacity,"NA")</f>
        <v>NA</v>
      </c>
      <c r="F231" s="435" t="str">
        <f>IF(OR(retrofit&lt;&gt;1,regen_type&lt;&gt;1),"","lb/day")</f>
        <v/>
      </c>
      <c r="G231" s="394" t="str">
        <f>IF(OR(retrofit&lt;&gt;1,regen_type&lt;&gt;1),"NA",IF(curve=1,r_inc_regen_capacity,VLOOKUP(r_regen_capacity,on_regen_cost_cl,2)-G230))</f>
        <v>NA</v>
      </c>
      <c r="H231" s="435" t="str">
        <f>IF(OR(retrofit&lt;&gt;1,regen_type&lt;&gt;1),"","lb/day")</f>
        <v/>
      </c>
      <c r="I231" s="401" t="str">
        <f>IF(C231=0,"NA",IF(curve=1,r_on_regen_eq-J230,VLOOKUP(r_regen_capacity,on_regen_cost_cl,3)-J230))</f>
        <v>NA</v>
      </c>
      <c r="J231" s="396" t="str">
        <f>IF(OR(C231=0,I231="contact vendor"),"--",C231*I231)</f>
        <v>--</v>
      </c>
      <c r="K231" s="402" t="str">
        <f>IF(C231=0,"NA",VLOOKUP(regen_capacity,on_regen_cost_cl,IF(ss_cat="large",4,5)))</f>
        <v>NA</v>
      </c>
      <c r="L231" s="403"/>
      <c r="M231" s="38" t="str">
        <f>B229&amp;" - "&amp;B231</f>
        <v>On-site GAC Regeneration - Additional Furnace Capacity (Retrofit)</v>
      </c>
      <c r="N231" s="530">
        <f t="shared" ref="N231:V231" si="143">IF(retrofit=1,$W231*X231,IF(ISBLANK(X231),"",X231))</f>
        <v>1</v>
      </c>
      <c r="O231" s="530">
        <f t="shared" si="143"/>
        <v>1</v>
      </c>
      <c r="P231" s="530">
        <f t="shared" si="143"/>
        <v>1</v>
      </c>
      <c r="Q231" s="530">
        <f t="shared" si="143"/>
        <v>1</v>
      </c>
      <c r="R231" s="530">
        <f t="shared" si="143"/>
        <v>1</v>
      </c>
      <c r="S231" s="530">
        <f t="shared" si="143"/>
        <v>1</v>
      </c>
      <c r="T231" s="530">
        <f t="shared" si="143"/>
        <v>1</v>
      </c>
      <c r="U231" s="530">
        <f t="shared" si="143"/>
        <v>1</v>
      </c>
      <c r="V231" s="530">
        <f t="shared" si="143"/>
        <v>1</v>
      </c>
      <c r="W231" s="573">
        <v>1</v>
      </c>
      <c r="X231" s="23">
        <v>1</v>
      </c>
      <c r="Y231" s="23">
        <v>1</v>
      </c>
      <c r="Z231" s="23">
        <v>1</v>
      </c>
      <c r="AA231" s="23">
        <v>1</v>
      </c>
      <c r="AB231" s="23">
        <v>1</v>
      </c>
      <c r="AC231" s="23">
        <v>1</v>
      </c>
      <c r="AD231" s="23">
        <v>1</v>
      </c>
      <c r="AE231" s="23">
        <v>1</v>
      </c>
      <c r="AF231" s="23">
        <v>1</v>
      </c>
      <c r="AG231" s="537">
        <f t="shared" si="140"/>
        <v>0</v>
      </c>
      <c r="AH231" s="537">
        <f t="shared" si="141"/>
        <v>0</v>
      </c>
    </row>
    <row r="232" spans="1:34" customFormat="1">
      <c r="A232" s="493" t="s">
        <v>1116</v>
      </c>
      <c r="B232" s="219" t="s">
        <v>3252</v>
      </c>
      <c r="C232" s="244"/>
      <c r="D232" s="864"/>
      <c r="E232" s="222"/>
      <c r="F232" s="864"/>
      <c r="G232" s="222"/>
      <c r="H232" s="864"/>
      <c r="I232" s="257"/>
      <c r="J232" s="249"/>
      <c r="K232" s="258"/>
      <c r="L232" s="259"/>
      <c r="M232" s="34"/>
      <c r="N232" s="23"/>
      <c r="O232" s="23"/>
      <c r="P232" s="23"/>
      <c r="Q232" s="23"/>
      <c r="R232" s="23"/>
      <c r="S232" s="23"/>
      <c r="T232" s="23"/>
      <c r="U232" s="23"/>
      <c r="V232" s="23"/>
      <c r="X232" s="23"/>
      <c r="Y232" s="23"/>
      <c r="Z232" s="23"/>
      <c r="AA232" s="23"/>
      <c r="AB232" s="23"/>
      <c r="AC232" s="23"/>
      <c r="AD232" s="23"/>
      <c r="AE232" s="23"/>
      <c r="AF232" s="23"/>
      <c r="AG232" s="537">
        <f t="shared" si="140"/>
        <v>0</v>
      </c>
      <c r="AH232" s="537">
        <f t="shared" si="141"/>
        <v>0</v>
      </c>
    </row>
    <row r="233" spans="1:34" customFormat="1">
      <c r="A233" s="412" t="s">
        <v>1117</v>
      </c>
      <c r="B233" s="436" t="s">
        <v>1044</v>
      </c>
      <c r="C233" s="393">
        <f>IF(regen_type&lt;&gt;1,0,storage_basins)</f>
        <v>0</v>
      </c>
      <c r="D233" s="392" t="s">
        <v>2305</v>
      </c>
      <c r="E233" s="394" t="str">
        <f>IF(regen_type&lt;&gt;1,"NA",virgin_basin_vol)</f>
        <v>NA</v>
      </c>
      <c r="F233" s="392" t="str">
        <f>IF(regen_type&lt;&gt;1,"","gal")</f>
        <v/>
      </c>
      <c r="G233" s="394" t="str">
        <f>IF(regen_type&lt;&gt;1,"NA",virgin_basin_vol)</f>
        <v>NA</v>
      </c>
      <c r="H233" s="392" t="str">
        <f>IF(regen_type&lt;&gt;1,"","gal")</f>
        <v/>
      </c>
      <c r="I233" s="395">
        <f>IF(regen_type&lt;&gt;1,0,J233/storage_basins)</f>
        <v>0</v>
      </c>
      <c r="J233" s="395">
        <f>IF(regen_type&lt;&gt;1,0,virgin_conc_vol*VLOOKUP(0,conc_basin_cost_cl,3)+virgin_excavation_vol*VLOOKUP(0,excavate_cost_cl,3)+virgin_backfill_vol*VLOOKUP(0,backfill_cost_cl,3)+virgin_railing*VLOOKUP("aluminum railing",metal_cost_cl,3))</f>
        <v>0</v>
      </c>
      <c r="K233" s="190" t="str">
        <f>IF(regen_type&lt;&gt;1,"NA",VLOOKUP(0,conc_basin_cost_cl,IF(ss_cat="large",4,5)))</f>
        <v>NA</v>
      </c>
      <c r="L233" s="411"/>
      <c r="M233" s="38" t="str">
        <f>$B$232&amp;" - "&amp;B233</f>
        <v>Virgin GAC Storage - Concrete Basins (includes Excavation, Backfill, and Compaction)</v>
      </c>
      <c r="N233" s="530">
        <f t="shared" ref="N233:V234" si="144">IF(retrofit=1,$W233*X233,IF(ISBLANK(X233),"",X233))</f>
        <v>1</v>
      </c>
      <c r="O233" s="530">
        <f t="shared" si="144"/>
        <v>1</v>
      </c>
      <c r="P233" s="530">
        <f t="shared" si="144"/>
        <v>2</v>
      </c>
      <c r="Q233" s="530">
        <f t="shared" si="144"/>
        <v>1</v>
      </c>
      <c r="R233" s="530">
        <f t="shared" si="144"/>
        <v>1</v>
      </c>
      <c r="S233" s="530">
        <f t="shared" si="144"/>
        <v>2</v>
      </c>
      <c r="T233" s="530">
        <f t="shared" si="144"/>
        <v>1</v>
      </c>
      <c r="U233" s="530">
        <f t="shared" si="144"/>
        <v>1</v>
      </c>
      <c r="V233" s="530">
        <f t="shared" si="144"/>
        <v>2</v>
      </c>
      <c r="W233" s="573">
        <v>0</v>
      </c>
      <c r="X233" s="23">
        <v>1</v>
      </c>
      <c r="Y233" s="23">
        <v>1</v>
      </c>
      <c r="Z233" s="23">
        <v>2</v>
      </c>
      <c r="AA233" s="23">
        <v>1</v>
      </c>
      <c r="AB233" s="23">
        <v>1</v>
      </c>
      <c r="AC233" s="23">
        <v>2</v>
      </c>
      <c r="AD233" s="23">
        <v>1</v>
      </c>
      <c r="AE233" s="23">
        <v>1</v>
      </c>
      <c r="AF233" s="23">
        <v>2</v>
      </c>
      <c r="AG233" s="537">
        <f t="shared" si="140"/>
        <v>0</v>
      </c>
      <c r="AH233" s="537">
        <f t="shared" si="141"/>
        <v>0</v>
      </c>
    </row>
    <row r="234" spans="1:34" customFormat="1">
      <c r="A234" s="412" t="s">
        <v>1117</v>
      </c>
      <c r="B234" s="400" t="s">
        <v>3254</v>
      </c>
      <c r="C234" s="393">
        <f>IF(regen_type&lt;&gt;1,0,virgin_tanks)</f>
        <v>0</v>
      </c>
      <c r="D234" s="392" t="s">
        <v>2305</v>
      </c>
      <c r="E234" s="394" t="str">
        <f>IF(regen_type&lt;&gt;1,"NA",virgin_tank_vol)</f>
        <v>NA</v>
      </c>
      <c r="F234" s="392" t="str">
        <f>IF(regen_type&lt;&gt;1,"","gal")</f>
        <v/>
      </c>
      <c r="G234" s="394" t="str">
        <f>IF(regen_type&lt;&gt;1,"NA",IF(curve=1,virgin_tank_vol,VLOOKUP(virgin_tank_vol,st_bwt_cost_cl,2)))</f>
        <v>NA</v>
      </c>
      <c r="H234" s="392" t="str">
        <f>IF(regen_type&lt;&gt;1,"","gal")</f>
        <v/>
      </c>
      <c r="I234" s="395">
        <f>IF(regen_type&lt;&gt;1,0,IF(curve=1,st_vt_eq,VLOOKUP(virgin_tank_vol,st_bwt_cost_cl,3)))</f>
        <v>0</v>
      </c>
      <c r="J234" s="396">
        <f>IF(I234="contact vendor","--",C234*I234)</f>
        <v>0</v>
      </c>
      <c r="K234" s="405" t="str">
        <f>IF(regen_type&lt;&gt;1,"NA",VLOOKUP(virgin_tank_vol,st_bwt_cost_cl,IF(ss_cat="large",4,5)))</f>
        <v>NA</v>
      </c>
      <c r="L234" s="406"/>
      <c r="M234" s="38" t="str">
        <f>$B$232&amp;" - "&amp;B234</f>
        <v>Virgin GAC Storage - Steel Tanks</v>
      </c>
      <c r="N234" s="530">
        <f t="shared" si="144"/>
        <v>2</v>
      </c>
      <c r="O234" s="530">
        <f t="shared" si="144"/>
        <v>2</v>
      </c>
      <c r="P234" s="530">
        <f t="shared" si="144"/>
        <v>1</v>
      </c>
      <c r="Q234" s="530">
        <f t="shared" si="144"/>
        <v>2</v>
      </c>
      <c r="R234" s="530">
        <f t="shared" si="144"/>
        <v>2</v>
      </c>
      <c r="S234" s="530">
        <f t="shared" si="144"/>
        <v>1</v>
      </c>
      <c r="T234" s="530">
        <f t="shared" si="144"/>
        <v>2</v>
      </c>
      <c r="U234" s="530">
        <f t="shared" si="144"/>
        <v>2</v>
      </c>
      <c r="V234" s="530">
        <f t="shared" si="144"/>
        <v>1</v>
      </c>
      <c r="W234" s="573">
        <v>0</v>
      </c>
      <c r="X234" s="23">
        <v>2</v>
      </c>
      <c r="Y234" s="23">
        <v>2</v>
      </c>
      <c r="Z234" s="23">
        <v>1</v>
      </c>
      <c r="AA234" s="23">
        <v>2</v>
      </c>
      <c r="AB234" s="23">
        <v>2</v>
      </c>
      <c r="AC234" s="23">
        <v>1</v>
      </c>
      <c r="AD234" s="23">
        <v>2</v>
      </c>
      <c r="AE234" s="23">
        <v>2</v>
      </c>
      <c r="AF234" s="23">
        <v>1</v>
      </c>
      <c r="AG234" s="537">
        <f t="shared" si="140"/>
        <v>0</v>
      </c>
      <c r="AH234" s="537">
        <f t="shared" si="141"/>
        <v>0</v>
      </c>
    </row>
    <row r="235" spans="1:34" customFormat="1">
      <c r="A235" s="493" t="s">
        <v>1118</v>
      </c>
      <c r="B235" s="219" t="s">
        <v>3255</v>
      </c>
      <c r="C235" s="244"/>
      <c r="D235" s="864"/>
      <c r="E235" s="222"/>
      <c r="F235" s="864"/>
      <c r="G235" s="222"/>
      <c r="H235" s="864"/>
      <c r="I235" s="257"/>
      <c r="J235" s="249"/>
      <c r="K235" s="258"/>
      <c r="L235" s="259"/>
      <c r="M235" s="34"/>
      <c r="N235" s="23"/>
      <c r="O235" s="23"/>
      <c r="P235" s="23"/>
      <c r="Q235" s="23"/>
      <c r="R235" s="23"/>
      <c r="S235" s="23"/>
      <c r="T235" s="23"/>
      <c r="U235" s="23"/>
      <c r="V235" s="23"/>
      <c r="X235" s="23"/>
      <c r="Y235" s="23"/>
      <c r="Z235" s="23"/>
      <c r="AA235" s="23"/>
      <c r="AB235" s="23"/>
      <c r="AC235" s="23"/>
      <c r="AD235" s="23"/>
      <c r="AE235" s="23"/>
      <c r="AF235" s="23"/>
      <c r="AG235" s="537">
        <f t="shared" si="140"/>
        <v>0</v>
      </c>
      <c r="AH235" s="537">
        <f t="shared" si="141"/>
        <v>0</v>
      </c>
    </row>
    <row r="236" spans="1:34" customFormat="1">
      <c r="A236" s="412" t="s">
        <v>1119</v>
      </c>
      <c r="B236" s="436" t="s">
        <v>1044</v>
      </c>
      <c r="C236" s="393">
        <f>IF(regen_type&lt;&gt;1,0,storage_basins)</f>
        <v>0</v>
      </c>
      <c r="D236" s="392" t="s">
        <v>2305</v>
      </c>
      <c r="E236" s="394" t="str">
        <f>IF(regen_type&lt;&gt;1,"NA",spent_basin_vol)</f>
        <v>NA</v>
      </c>
      <c r="F236" s="392" t="str">
        <f>IF(regen_type&lt;&gt;1,"","gal")</f>
        <v/>
      </c>
      <c r="G236" s="394" t="str">
        <f>IF(regen_type&lt;&gt;1,"NA",spent_basin_vol)</f>
        <v>NA</v>
      </c>
      <c r="H236" s="392" t="str">
        <f>IF(regen_type&lt;&gt;1,"","gal")</f>
        <v/>
      </c>
      <c r="I236" s="395">
        <f>IF(regen_type&lt;&gt;1,0,J236/storage_basins)</f>
        <v>0</v>
      </c>
      <c r="J236" s="395">
        <f>IF(regen_type&lt;&gt;1,0,spent_conc_vol*VLOOKUP(0,conc_basin_cost_cl,3)+spent_excavation_vol*VLOOKUP(0,excavate_cost_cl,3)+spent_backfill_vol*VLOOKUP(0,backfill_cost_cl,3)+spent_railing*VLOOKUP("aluminum railing",metal_cost_cl,3))</f>
        <v>0</v>
      </c>
      <c r="K236" s="190" t="str">
        <f>IF(regen_type&lt;&gt;1,"NA",VLOOKUP(0,conc_basin_cost_cl,IF(ss_cat="large",4,5)))</f>
        <v>NA</v>
      </c>
      <c r="L236" s="411"/>
      <c r="M236" s="38" t="str">
        <f>$B$235&amp;" - "&amp;B236</f>
        <v>Spent GAC Storage - Concrete Basins (includes Excavation, Backfill, and Compaction)</v>
      </c>
      <c r="N236" s="530">
        <f t="shared" ref="N236:V237" si="145">IF(retrofit=1,$W236*X236,IF(ISBLANK(X236),"",X236))</f>
        <v>1</v>
      </c>
      <c r="O236" s="530">
        <f t="shared" si="145"/>
        <v>1</v>
      </c>
      <c r="P236" s="530">
        <f t="shared" si="145"/>
        <v>2</v>
      </c>
      <c r="Q236" s="530">
        <f t="shared" si="145"/>
        <v>1</v>
      </c>
      <c r="R236" s="530">
        <f t="shared" si="145"/>
        <v>1</v>
      </c>
      <c r="S236" s="530">
        <f t="shared" si="145"/>
        <v>2</v>
      </c>
      <c r="T236" s="530">
        <f t="shared" si="145"/>
        <v>1</v>
      </c>
      <c r="U236" s="530">
        <f t="shared" si="145"/>
        <v>1</v>
      </c>
      <c r="V236" s="530">
        <f t="shared" si="145"/>
        <v>2</v>
      </c>
      <c r="W236" s="573">
        <v>0</v>
      </c>
      <c r="X236" s="23">
        <v>1</v>
      </c>
      <c r="Y236" s="23">
        <v>1</v>
      </c>
      <c r="Z236" s="23">
        <v>2</v>
      </c>
      <c r="AA236" s="23">
        <v>1</v>
      </c>
      <c r="AB236" s="23">
        <v>1</v>
      </c>
      <c r="AC236" s="23">
        <v>2</v>
      </c>
      <c r="AD236" s="23">
        <v>1</v>
      </c>
      <c r="AE236" s="23">
        <v>1</v>
      </c>
      <c r="AF236" s="23">
        <v>2</v>
      </c>
      <c r="AG236" s="537">
        <f t="shared" si="140"/>
        <v>0</v>
      </c>
      <c r="AH236" s="537">
        <f t="shared" si="141"/>
        <v>0</v>
      </c>
    </row>
    <row r="237" spans="1:34" customFormat="1">
      <c r="A237" s="412" t="s">
        <v>1119</v>
      </c>
      <c r="B237" s="400" t="s">
        <v>3254</v>
      </c>
      <c r="C237" s="393">
        <f>IF(regen_type&lt;&gt;1,0,spent_tanks)</f>
        <v>0</v>
      </c>
      <c r="D237" s="392" t="s">
        <v>2305</v>
      </c>
      <c r="E237" s="394" t="str">
        <f>IF(regen_type&lt;&gt;1,"NA",spent_tank_vol)</f>
        <v>NA</v>
      </c>
      <c r="F237" s="392" t="str">
        <f>IF(regen_type&lt;&gt;1,"","gal")</f>
        <v/>
      </c>
      <c r="G237" s="394" t="str">
        <f>IF(regen_type&lt;&gt;1,"NA",IF(curve=1,spent_tank_vol,VLOOKUP(spent_tank_vol,st_bwt_cost_cl,2)))</f>
        <v>NA</v>
      </c>
      <c r="H237" s="392" t="str">
        <f>IF(regen_type&lt;&gt;1,"","gal")</f>
        <v/>
      </c>
      <c r="I237" s="395">
        <f>IF(regen_type&lt;&gt;1,0,IF(curve=1,st_st_eq,VLOOKUP(spent_tank_vol,st_bwt_cost_cl,3)))</f>
        <v>0</v>
      </c>
      <c r="J237" s="396">
        <f>IF(I237="contact vendor","--",C237*I237)</f>
        <v>0</v>
      </c>
      <c r="K237" s="405" t="str">
        <f>IF(regen_type&lt;&gt;1,"NA",VLOOKUP(spent_tank_vol,st_bwt_cost_cl,IF(ss_cat="large",4,5)))</f>
        <v>NA</v>
      </c>
      <c r="L237" s="406"/>
      <c r="M237" s="38" t="str">
        <f>$B$235&amp;" - "&amp;B237</f>
        <v>Spent GAC Storage - Steel Tanks</v>
      </c>
      <c r="N237" s="530">
        <f t="shared" si="145"/>
        <v>2</v>
      </c>
      <c r="O237" s="530">
        <f t="shared" si="145"/>
        <v>2</v>
      </c>
      <c r="P237" s="530">
        <f t="shared" si="145"/>
        <v>1</v>
      </c>
      <c r="Q237" s="530">
        <f t="shared" si="145"/>
        <v>2</v>
      </c>
      <c r="R237" s="530">
        <f t="shared" si="145"/>
        <v>2</v>
      </c>
      <c r="S237" s="530">
        <f t="shared" si="145"/>
        <v>1</v>
      </c>
      <c r="T237" s="530">
        <f t="shared" si="145"/>
        <v>2</v>
      </c>
      <c r="U237" s="530">
        <f t="shared" si="145"/>
        <v>2</v>
      </c>
      <c r="V237" s="530">
        <f t="shared" si="145"/>
        <v>1</v>
      </c>
      <c r="W237" s="573">
        <v>0</v>
      </c>
      <c r="X237" s="23">
        <v>2</v>
      </c>
      <c r="Y237" s="23">
        <v>2</v>
      </c>
      <c r="Z237" s="23">
        <v>1</v>
      </c>
      <c r="AA237" s="23">
        <v>2</v>
      </c>
      <c r="AB237" s="23">
        <v>2</v>
      </c>
      <c r="AC237" s="23">
        <v>1</v>
      </c>
      <c r="AD237" s="23">
        <v>2</v>
      </c>
      <c r="AE237" s="23">
        <v>2</v>
      </c>
      <c r="AF237" s="23">
        <v>1</v>
      </c>
      <c r="AG237" s="537">
        <f t="shared" si="140"/>
        <v>0</v>
      </c>
      <c r="AH237" s="537">
        <f t="shared" si="141"/>
        <v>0</v>
      </c>
    </row>
    <row r="238" spans="1:34" customFormat="1">
      <c r="A238" s="493" t="s">
        <v>814</v>
      </c>
      <c r="B238" s="219" t="s">
        <v>3256</v>
      </c>
      <c r="C238" s="244"/>
      <c r="D238" s="864"/>
      <c r="E238" s="222"/>
      <c r="F238" s="864"/>
      <c r="G238" s="222"/>
      <c r="H238" s="864"/>
      <c r="I238" s="257"/>
      <c r="J238" s="249"/>
      <c r="K238" s="258"/>
      <c r="L238" s="259"/>
      <c r="M238" s="34"/>
      <c r="N238" s="23"/>
      <c r="O238" s="23"/>
      <c r="P238" s="23"/>
      <c r="Q238" s="23"/>
      <c r="R238" s="23"/>
      <c r="S238" s="23"/>
      <c r="T238" s="23"/>
      <c r="U238" s="23"/>
      <c r="V238" s="23"/>
      <c r="X238" s="23"/>
      <c r="Y238" s="23"/>
      <c r="Z238" s="23"/>
      <c r="AA238" s="23"/>
      <c r="AB238" s="23"/>
      <c r="AC238" s="23"/>
      <c r="AD238" s="23"/>
      <c r="AE238" s="23"/>
      <c r="AF238" s="23"/>
      <c r="AG238" s="537">
        <f t="shared" si="140"/>
        <v>0</v>
      </c>
      <c r="AH238" s="537">
        <f t="shared" si="141"/>
        <v>0</v>
      </c>
    </row>
    <row r="239" spans="1:34" customFormat="1">
      <c r="A239" s="412" t="s">
        <v>815</v>
      </c>
      <c r="B239" s="436" t="s">
        <v>1044</v>
      </c>
      <c r="C239" s="393">
        <f>IF(regen_type&lt;&gt;1,0,storage_basins)</f>
        <v>0</v>
      </c>
      <c r="D239" s="392" t="s">
        <v>2305</v>
      </c>
      <c r="E239" s="394" t="str">
        <f>IF(regen_type&lt;&gt;1,"NA",regen_basin_vol)</f>
        <v>NA</v>
      </c>
      <c r="F239" s="392" t="str">
        <f>IF(regen_type&lt;&gt;1,"","gal")</f>
        <v/>
      </c>
      <c r="G239" s="394" t="str">
        <f>IF(regen_type&lt;&gt;1,"NA",regen_basin_vol)</f>
        <v>NA</v>
      </c>
      <c r="H239" s="392" t="str">
        <f>IF(regen_type&lt;&gt;1,"","gal")</f>
        <v/>
      </c>
      <c r="I239" s="395">
        <f>IF(regen_type&lt;&gt;1,0,J239/storage_basins)</f>
        <v>0</v>
      </c>
      <c r="J239" s="395">
        <f>IF(regen_type&lt;&gt;1,0,regen_conc_vol*VLOOKUP(0,conc_basin_cost_cl,3)+regen_excavation_vol*VLOOKUP(0,excavate_cost_cl,3)+regen_backfill_vol*VLOOKUP(0,backfill_cost_cl,3)+regen_railing*VLOOKUP("aluminum railing",metal_cost_cl,3))</f>
        <v>0</v>
      </c>
      <c r="K239" s="190" t="str">
        <f>IF(regen_type&lt;&gt;1,"NA",VLOOKUP(0,conc_basin_cost_cl,IF(ss_cat="large",4,5)))</f>
        <v>NA</v>
      </c>
      <c r="L239" s="411"/>
      <c r="M239" s="38" t="str">
        <f>$B$238&amp;" - "&amp;B239</f>
        <v>Regenerated GAC Storage - Concrete Basins (includes Excavation, Backfill, and Compaction)</v>
      </c>
      <c r="N239" s="530">
        <f t="shared" ref="N239:V240" si="146">IF(retrofit=1,$W239*X239,IF(ISBLANK(X239),"",X239))</f>
        <v>1</v>
      </c>
      <c r="O239" s="530">
        <f t="shared" si="146"/>
        <v>1</v>
      </c>
      <c r="P239" s="530">
        <f t="shared" si="146"/>
        <v>2</v>
      </c>
      <c r="Q239" s="530">
        <f t="shared" si="146"/>
        <v>1</v>
      </c>
      <c r="R239" s="530">
        <f t="shared" si="146"/>
        <v>1</v>
      </c>
      <c r="S239" s="530">
        <f t="shared" si="146"/>
        <v>2</v>
      </c>
      <c r="T239" s="530">
        <f t="shared" si="146"/>
        <v>1</v>
      </c>
      <c r="U239" s="530">
        <f t="shared" si="146"/>
        <v>1</v>
      </c>
      <c r="V239" s="530">
        <f t="shared" si="146"/>
        <v>2</v>
      </c>
      <c r="W239" s="573">
        <v>0</v>
      </c>
      <c r="X239" s="23">
        <v>1</v>
      </c>
      <c r="Y239" s="23">
        <v>1</v>
      </c>
      <c r="Z239" s="23">
        <v>2</v>
      </c>
      <c r="AA239" s="23">
        <v>1</v>
      </c>
      <c r="AB239" s="23">
        <v>1</v>
      </c>
      <c r="AC239" s="23">
        <v>2</v>
      </c>
      <c r="AD239" s="23">
        <v>1</v>
      </c>
      <c r="AE239" s="23">
        <v>1</v>
      </c>
      <c r="AF239" s="23">
        <v>2</v>
      </c>
      <c r="AG239" s="537">
        <f t="shared" si="140"/>
        <v>0</v>
      </c>
      <c r="AH239" s="537">
        <f t="shared" si="141"/>
        <v>0</v>
      </c>
    </row>
    <row r="240" spans="1:34" customFormat="1">
      <c r="A240" s="412" t="s">
        <v>815</v>
      </c>
      <c r="B240" s="400" t="s">
        <v>3254</v>
      </c>
      <c r="C240" s="393">
        <f>IF(regen_type&lt;&gt;1,0,regen_tanks)</f>
        <v>0</v>
      </c>
      <c r="D240" s="392" t="s">
        <v>2305</v>
      </c>
      <c r="E240" s="394" t="str">
        <f>IF(regen_type&lt;&gt;1,"NA",regen_tank_vol)</f>
        <v>NA</v>
      </c>
      <c r="F240" s="392" t="str">
        <f>IF(regen_type&lt;&gt;1,"","gal")</f>
        <v/>
      </c>
      <c r="G240" s="394" t="str">
        <f>IF(regen_type&lt;&gt;1,"NA",IF(curve=1,regen_tank_vol,VLOOKUP(regen_tank_vol,st_bwt_cost_cl,2)))</f>
        <v>NA</v>
      </c>
      <c r="H240" s="392" t="str">
        <f>IF(regen_type&lt;&gt;1,"","gal")</f>
        <v/>
      </c>
      <c r="I240" s="395">
        <f>IF(regen_type&lt;&gt;1,0,IF(curve=1,st_rt_eq,VLOOKUP(regen_tank_vol,st_bwt_cost_cl,3)))</f>
        <v>0</v>
      </c>
      <c r="J240" s="396">
        <f>IF(I240="contact vendor","--",C240*I240)</f>
        <v>0</v>
      </c>
      <c r="K240" s="405" t="str">
        <f>IF(regen_type&lt;&gt;1,"NA",VLOOKUP(regen_tank_vol,st_bwt_cost_cl,IF(ss_cat="large",4,5)))</f>
        <v>NA</v>
      </c>
      <c r="L240" s="406"/>
      <c r="M240" s="38" t="str">
        <f>$B$238&amp;" - "&amp;B240</f>
        <v>Regenerated GAC Storage - Steel Tanks</v>
      </c>
      <c r="N240" s="530">
        <f t="shared" si="146"/>
        <v>2</v>
      </c>
      <c r="O240" s="530">
        <f t="shared" si="146"/>
        <v>2</v>
      </c>
      <c r="P240" s="530">
        <f t="shared" si="146"/>
        <v>1</v>
      </c>
      <c r="Q240" s="530">
        <f t="shared" si="146"/>
        <v>2</v>
      </c>
      <c r="R240" s="530">
        <f t="shared" si="146"/>
        <v>2</v>
      </c>
      <c r="S240" s="530">
        <f t="shared" si="146"/>
        <v>1</v>
      </c>
      <c r="T240" s="530">
        <f t="shared" si="146"/>
        <v>2</v>
      </c>
      <c r="U240" s="530">
        <f t="shared" si="146"/>
        <v>2</v>
      </c>
      <c r="V240" s="530">
        <f t="shared" si="146"/>
        <v>1</v>
      </c>
      <c r="W240" s="573">
        <v>0</v>
      </c>
      <c r="X240" s="23">
        <v>2</v>
      </c>
      <c r="Y240" s="23">
        <v>2</v>
      </c>
      <c r="Z240" s="23">
        <v>1</v>
      </c>
      <c r="AA240" s="23">
        <v>2</v>
      </c>
      <c r="AB240" s="23">
        <v>2</v>
      </c>
      <c r="AC240" s="23">
        <v>1</v>
      </c>
      <c r="AD240" s="23">
        <v>2</v>
      </c>
      <c r="AE240" s="23">
        <v>2</v>
      </c>
      <c r="AF240" s="23">
        <v>1</v>
      </c>
      <c r="AG240" s="537">
        <f t="shared" si="140"/>
        <v>0</v>
      </c>
      <c r="AH240" s="537">
        <f t="shared" si="141"/>
        <v>0</v>
      </c>
    </row>
    <row r="241" spans="1:34" customFormat="1">
      <c r="A241" s="235" t="s">
        <v>1120</v>
      </c>
      <c r="B241" s="236" t="s">
        <v>556</v>
      </c>
      <c r="C241" s="241"/>
      <c r="D241" s="241"/>
      <c r="E241" s="241"/>
      <c r="F241" s="236"/>
      <c r="G241" s="241"/>
      <c r="H241" s="236"/>
      <c r="I241" s="256"/>
      <c r="J241" s="241"/>
      <c r="K241" s="241"/>
      <c r="L241" s="243"/>
      <c r="M241" s="34"/>
      <c r="N241" s="23"/>
      <c r="O241" s="23"/>
      <c r="P241" s="23"/>
      <c r="Q241" s="23"/>
      <c r="R241" s="23"/>
      <c r="S241" s="23"/>
      <c r="T241" s="23"/>
      <c r="U241" s="23"/>
      <c r="V241" s="23"/>
      <c r="X241" s="23"/>
      <c r="Y241" s="23"/>
      <c r="Z241" s="23"/>
      <c r="AA241" s="23"/>
      <c r="AB241" s="23"/>
      <c r="AC241" s="23"/>
      <c r="AD241" s="23"/>
      <c r="AE241" s="23"/>
      <c r="AF241" s="23"/>
      <c r="AG241" s="537">
        <f t="shared" si="140"/>
        <v>0</v>
      </c>
      <c r="AH241" s="537">
        <f t="shared" si="141"/>
        <v>0</v>
      </c>
    </row>
    <row r="242" spans="1:34" customFormat="1">
      <c r="A242" s="495" t="s">
        <v>1121</v>
      </c>
      <c r="B242" s="418" t="s">
        <v>3068</v>
      </c>
      <c r="C242" s="393">
        <f>num_sept_tanks</f>
        <v>0</v>
      </c>
      <c r="D242" s="392" t="s">
        <v>2305</v>
      </c>
      <c r="E242" s="394" t="str">
        <f>IF(C242=0,"NA",sept_tank_vol)</f>
        <v>NA</v>
      </c>
      <c r="F242" s="189" t="str">
        <f>IF(C242=0,"","gal")</f>
        <v/>
      </c>
      <c r="G242" s="394" t="str">
        <f>IF(C242=0,"NA",IF(curve=1,sept_tank_vol,VLOOKUP(sept_tank_vol,septic_tank_cost_cl,2)))</f>
        <v>NA</v>
      </c>
      <c r="H242" s="189" t="str">
        <f>IF(C242=0,"","gal")</f>
        <v/>
      </c>
      <c r="I242" s="401" t="str">
        <f>IF(C242=0,"NA",IF(curve=1,septic_tank_eq,VLOOKUP(sept_tank_vol,septic_tank_cost_cl,3)))</f>
        <v>NA</v>
      </c>
      <c r="J242" s="398" t="str">
        <f t="shared" ref="J242:J247" si="147">IF(OR(I242="contact vendor",C242=0),"--",C242*I242)</f>
        <v>--</v>
      </c>
      <c r="K242" s="420" t="str">
        <f>IF(C242=0,"NA",VLOOKUP(sept_tank_vol,septic_tank_cost_cl,IF(ss_cat="large",4,5)))</f>
        <v>NA</v>
      </c>
      <c r="L242" s="397"/>
      <c r="M242" s="34" t="str">
        <f t="shared" ref="M242:M247" si="148">$B$241&amp;" - "&amp;B242</f>
        <v>Septic System - Septic Tanks</v>
      </c>
      <c r="N242" s="530">
        <f t="shared" ref="N242:T247" si="149">IF(retrofit=1,$W242*X242,IF(ISBLANK(X242),"",X242))</f>
        <v>1</v>
      </c>
      <c r="O242" s="530">
        <f t="shared" si="149"/>
        <v>1</v>
      </c>
      <c r="P242" s="530">
        <f t="shared" si="149"/>
        <v>1</v>
      </c>
      <c r="Q242" s="530">
        <f t="shared" si="149"/>
        <v>1</v>
      </c>
      <c r="R242" s="530">
        <f t="shared" si="149"/>
        <v>1</v>
      </c>
      <c r="S242" s="530">
        <f t="shared" si="149"/>
        <v>1</v>
      </c>
      <c r="T242" s="530">
        <f t="shared" si="149"/>
        <v>1</v>
      </c>
      <c r="U242" s="530">
        <f t="shared" ref="U242:U247" si="150">IF(retrofit=1,$W242*AE242,IF(ISBLANK(AE242),"",AE242))</f>
        <v>1</v>
      </c>
      <c r="V242" s="530">
        <f t="shared" ref="V242:V247" si="151">IF(retrofit=1,$W242*AF242,IF(ISBLANK(AF242),"",AF242))</f>
        <v>1</v>
      </c>
      <c r="W242" s="573">
        <v>0</v>
      </c>
      <c r="X242" s="23">
        <v>1</v>
      </c>
      <c r="Y242" s="23">
        <v>1</v>
      </c>
      <c r="Z242" s="23">
        <v>1</v>
      </c>
      <c r="AA242" s="23">
        <v>1</v>
      </c>
      <c r="AB242" s="23">
        <v>1</v>
      </c>
      <c r="AC242" s="23">
        <v>1</v>
      </c>
      <c r="AD242" s="23">
        <v>1</v>
      </c>
      <c r="AE242" s="23">
        <v>1</v>
      </c>
      <c r="AF242" s="23">
        <v>1</v>
      </c>
      <c r="AG242" s="537">
        <f t="shared" si="140"/>
        <v>0</v>
      </c>
      <c r="AH242" s="537">
        <f t="shared" si="141"/>
        <v>0</v>
      </c>
    </row>
    <row r="243" spans="1:34" customFormat="1">
      <c r="A243" s="495" t="s">
        <v>1122</v>
      </c>
      <c r="B243" s="418" t="s">
        <v>3069</v>
      </c>
      <c r="C243" s="393">
        <f>sept_tank_exav_vol</f>
        <v>0</v>
      </c>
      <c r="D243" s="392" t="s">
        <v>1660</v>
      </c>
      <c r="E243" s="402" t="s">
        <v>774</v>
      </c>
      <c r="F243" s="402"/>
      <c r="G243" s="402" t="s">
        <v>774</v>
      </c>
      <c r="H243" s="392"/>
      <c r="I243" s="434" t="str">
        <f>IF(C243=0,"NA",sept_tank_excav_cost_cl)</f>
        <v>NA</v>
      </c>
      <c r="J243" s="398" t="str">
        <f t="shared" si="147"/>
        <v>--</v>
      </c>
      <c r="K243" s="420" t="str">
        <f>IF(C243=0,"NA",VLOOKUP(sept_tank_vol,septic_tank_cost_cl,IF(ss_cat="large",4,5)))</f>
        <v>NA</v>
      </c>
      <c r="L243" s="397"/>
      <c r="M243" s="34" t="str">
        <f t="shared" si="148"/>
        <v>Septic System - Excavation for Septic Tanks</v>
      </c>
      <c r="N243" s="530">
        <f t="shared" si="149"/>
        <v>1</v>
      </c>
      <c r="O243" s="530">
        <f t="shared" si="149"/>
        <v>1</v>
      </c>
      <c r="P243" s="530">
        <f t="shared" si="149"/>
        <v>1</v>
      </c>
      <c r="Q243" s="530">
        <f t="shared" si="149"/>
        <v>1</v>
      </c>
      <c r="R243" s="530">
        <f t="shared" si="149"/>
        <v>1</v>
      </c>
      <c r="S243" s="530">
        <f t="shared" si="149"/>
        <v>1</v>
      </c>
      <c r="T243" s="530">
        <f t="shared" si="149"/>
        <v>1</v>
      </c>
      <c r="U243" s="530">
        <f t="shared" si="150"/>
        <v>1</v>
      </c>
      <c r="V243" s="530">
        <f t="shared" si="151"/>
        <v>1</v>
      </c>
      <c r="W243" s="573">
        <v>0</v>
      </c>
      <c r="X243" s="23">
        <v>1</v>
      </c>
      <c r="Y243" s="23">
        <v>1</v>
      </c>
      <c r="Z243" s="23">
        <v>1</v>
      </c>
      <c r="AA243" s="23">
        <v>1</v>
      </c>
      <c r="AB243" s="23">
        <v>1</v>
      </c>
      <c r="AC243" s="23">
        <v>1</v>
      </c>
      <c r="AD243" s="23">
        <v>1</v>
      </c>
      <c r="AE243" s="23">
        <v>1</v>
      </c>
      <c r="AF243" s="23">
        <v>1</v>
      </c>
      <c r="AG243" s="537">
        <f t="shared" si="140"/>
        <v>0</v>
      </c>
      <c r="AH243" s="537">
        <f t="shared" si="141"/>
        <v>0</v>
      </c>
    </row>
    <row r="244" spans="1:34" customFormat="1">
      <c r="A244" s="495" t="s">
        <v>1123</v>
      </c>
      <c r="B244" s="418" t="s">
        <v>3070</v>
      </c>
      <c r="C244" s="393">
        <f>sept_dist_boxes</f>
        <v>0</v>
      </c>
      <c r="D244" s="392" t="s">
        <v>2305</v>
      </c>
      <c r="E244" s="402" t="s">
        <v>774</v>
      </c>
      <c r="F244" s="402"/>
      <c r="G244" s="402" t="s">
        <v>774</v>
      </c>
      <c r="H244" s="392"/>
      <c r="I244" s="401" t="str">
        <f>IF(C244=0,"NA",VLOOKUP(0,sept_distbox_cost_cl,3))</f>
        <v>NA</v>
      </c>
      <c r="J244" s="398" t="str">
        <f t="shared" si="147"/>
        <v>--</v>
      </c>
      <c r="K244" s="420" t="str">
        <f>IF(C244=0,"NA",VLOOKUP(0,sept_distbox_cost_cl,IF(ss_cat="large",4,5)))</f>
        <v>NA</v>
      </c>
      <c r="L244" s="397"/>
      <c r="M244" s="34" t="str">
        <f t="shared" si="148"/>
        <v>Septic System - Distribution Boxes</v>
      </c>
      <c r="N244" s="530">
        <f t="shared" si="149"/>
        <v>1</v>
      </c>
      <c r="O244" s="530">
        <f t="shared" si="149"/>
        <v>1</v>
      </c>
      <c r="P244" s="530">
        <f t="shared" si="149"/>
        <v>1</v>
      </c>
      <c r="Q244" s="530">
        <f t="shared" si="149"/>
        <v>1</v>
      </c>
      <c r="R244" s="530">
        <f t="shared" si="149"/>
        <v>1</v>
      </c>
      <c r="S244" s="530">
        <f t="shared" si="149"/>
        <v>1</v>
      </c>
      <c r="T244" s="530">
        <f t="shared" si="149"/>
        <v>1</v>
      </c>
      <c r="U244" s="530">
        <f t="shared" si="150"/>
        <v>1</v>
      </c>
      <c r="V244" s="530">
        <f t="shared" si="151"/>
        <v>1</v>
      </c>
      <c r="W244" s="573">
        <v>0</v>
      </c>
      <c r="X244" s="23">
        <v>1</v>
      </c>
      <c r="Y244" s="23">
        <v>1</v>
      </c>
      <c r="Z244" s="23">
        <v>1</v>
      </c>
      <c r="AA244" s="23">
        <v>1</v>
      </c>
      <c r="AB244" s="23">
        <v>1</v>
      </c>
      <c r="AC244" s="23">
        <v>1</v>
      </c>
      <c r="AD244" s="23">
        <v>1</v>
      </c>
      <c r="AE244" s="23">
        <v>1</v>
      </c>
      <c r="AF244" s="23">
        <v>1</v>
      </c>
      <c r="AG244" s="537">
        <f t="shared" si="140"/>
        <v>0</v>
      </c>
      <c r="AH244" s="537">
        <f t="shared" si="141"/>
        <v>0</v>
      </c>
    </row>
    <row r="245" spans="1:34" customFormat="1">
      <c r="A245" s="495" t="s">
        <v>1124</v>
      </c>
      <c r="B245" s="418" t="s">
        <v>3071</v>
      </c>
      <c r="C245" s="393">
        <f>sept_pipe_length</f>
        <v>0</v>
      </c>
      <c r="D245" s="392" t="s">
        <v>2625</v>
      </c>
      <c r="E245" s="402" t="str">
        <f>IF(C245=0,"NA",sept_pipe_diam)</f>
        <v>NA</v>
      </c>
      <c r="F245" s="189" t="str">
        <f>IF(C245=0,"","in. diam")</f>
        <v/>
      </c>
      <c r="G245" s="394" t="str">
        <f>IF(C245=0,"NA",IF(curve=1,sept_pipe_diam,VLOOKUP(sept_tank_vol,sept_distpipe_cost_cl,2)))</f>
        <v>NA</v>
      </c>
      <c r="H245" s="189" t="str">
        <f>IF(C245=0,"","in. diam")</f>
        <v/>
      </c>
      <c r="I245" s="434" t="str">
        <f>IF(C245=0,"NA",VLOOKUP(sept_pipe_diam,sept_distpipe_cost_cl,3))</f>
        <v>NA</v>
      </c>
      <c r="J245" s="398" t="str">
        <f t="shared" si="147"/>
        <v>--</v>
      </c>
      <c r="K245" s="437" t="str">
        <f>IF(C245=0,"NA",VLOOKUP(sept_pipe_diam,sept_distpipe_cost_cl,IF(ss_cat="large",4,5)))</f>
        <v>NA</v>
      </c>
      <c r="L245" s="397"/>
      <c r="M245" s="34" t="str">
        <f t="shared" si="148"/>
        <v>Septic System - Distribution Pipe (Perforated PVC)</v>
      </c>
      <c r="N245" s="530">
        <f t="shared" si="149"/>
        <v>1</v>
      </c>
      <c r="O245" s="530">
        <f t="shared" si="149"/>
        <v>1</v>
      </c>
      <c r="P245" s="530">
        <f t="shared" si="149"/>
        <v>1</v>
      </c>
      <c r="Q245" s="530">
        <f t="shared" si="149"/>
        <v>1</v>
      </c>
      <c r="R245" s="530">
        <f t="shared" si="149"/>
        <v>1</v>
      </c>
      <c r="S245" s="530">
        <f t="shared" si="149"/>
        <v>1</v>
      </c>
      <c r="T245" s="530">
        <f t="shared" si="149"/>
        <v>1</v>
      </c>
      <c r="U245" s="530">
        <f t="shared" si="150"/>
        <v>1</v>
      </c>
      <c r="V245" s="530">
        <f t="shared" si="151"/>
        <v>1</v>
      </c>
      <c r="W245" s="573">
        <v>0</v>
      </c>
      <c r="X245" s="23">
        <v>1</v>
      </c>
      <c r="Y245" s="23">
        <v>1</v>
      </c>
      <c r="Z245" s="23">
        <v>1</v>
      </c>
      <c r="AA245" s="23">
        <v>1</v>
      </c>
      <c r="AB245" s="23">
        <v>1</v>
      </c>
      <c r="AC245" s="23">
        <v>1</v>
      </c>
      <c r="AD245" s="23">
        <v>1</v>
      </c>
      <c r="AE245" s="23">
        <v>1</v>
      </c>
      <c r="AF245" s="23">
        <v>1</v>
      </c>
      <c r="AG245" s="537">
        <f t="shared" si="140"/>
        <v>0</v>
      </c>
      <c r="AH245" s="537">
        <f t="shared" si="141"/>
        <v>0</v>
      </c>
    </row>
    <row r="246" spans="1:34" customFormat="1">
      <c r="A246" s="495" t="s">
        <v>1125</v>
      </c>
      <c r="B246" s="418" t="s">
        <v>3072</v>
      </c>
      <c r="C246" s="393">
        <f>sept_trench_excav_vol</f>
        <v>0</v>
      </c>
      <c r="D246" s="392" t="s">
        <v>1660</v>
      </c>
      <c r="E246" s="402" t="s">
        <v>774</v>
      </c>
      <c r="F246" s="402"/>
      <c r="G246" s="402" t="s">
        <v>774</v>
      </c>
      <c r="H246" s="392"/>
      <c r="I246" s="434" t="str">
        <f>IF(C246=0,"NA",sept_trench_excav_cost_cl)</f>
        <v>NA</v>
      </c>
      <c r="J246" s="398" t="str">
        <f t="shared" si="147"/>
        <v>--</v>
      </c>
      <c r="K246" s="437" t="str">
        <f>IF(C246=0,"NA",VLOOKUP(sept_pipe_diam,sept_distpipe_cost_cl,IF(ss_cat="large",4,5)))</f>
        <v>NA</v>
      </c>
      <c r="L246" s="397"/>
      <c r="M246" s="34" t="str">
        <f t="shared" si="148"/>
        <v>Septic System - Drain Field Trench Excavation</v>
      </c>
      <c r="N246" s="530">
        <f t="shared" si="149"/>
        <v>1</v>
      </c>
      <c r="O246" s="530">
        <f t="shared" si="149"/>
        <v>1</v>
      </c>
      <c r="P246" s="530">
        <f t="shared" si="149"/>
        <v>1</v>
      </c>
      <c r="Q246" s="530">
        <f t="shared" si="149"/>
        <v>1</v>
      </c>
      <c r="R246" s="530">
        <f t="shared" si="149"/>
        <v>1</v>
      </c>
      <c r="S246" s="530">
        <f t="shared" si="149"/>
        <v>1</v>
      </c>
      <c r="T246" s="530">
        <f t="shared" si="149"/>
        <v>1</v>
      </c>
      <c r="U246" s="530">
        <f t="shared" si="150"/>
        <v>1</v>
      </c>
      <c r="V246" s="530">
        <f t="shared" si="151"/>
        <v>1</v>
      </c>
      <c r="W246" s="573">
        <v>0</v>
      </c>
      <c r="X246" s="23">
        <v>1</v>
      </c>
      <c r="Y246" s="23">
        <v>1</v>
      </c>
      <c r="Z246" s="23">
        <v>1</v>
      </c>
      <c r="AA246" s="23">
        <v>1</v>
      </c>
      <c r="AB246" s="23">
        <v>1</v>
      </c>
      <c r="AC246" s="23">
        <v>1</v>
      </c>
      <c r="AD246" s="23">
        <v>1</v>
      </c>
      <c r="AE246" s="23">
        <v>1</v>
      </c>
      <c r="AF246" s="23">
        <v>1</v>
      </c>
      <c r="AG246" s="537">
        <f t="shared" si="140"/>
        <v>0</v>
      </c>
      <c r="AH246" s="537">
        <f t="shared" si="141"/>
        <v>0</v>
      </c>
    </row>
    <row r="247" spans="1:34" customFormat="1">
      <c r="A247" s="495" t="s">
        <v>1126</v>
      </c>
      <c r="B247" s="418" t="s">
        <v>3073</v>
      </c>
      <c r="C247" s="393">
        <f>sept_gravel_vol</f>
        <v>0</v>
      </c>
      <c r="D247" s="392" t="s">
        <v>1660</v>
      </c>
      <c r="E247" s="402" t="s">
        <v>774</v>
      </c>
      <c r="F247" s="402"/>
      <c r="G247" s="402" t="s">
        <v>774</v>
      </c>
      <c r="H247" s="392"/>
      <c r="I247" s="434" t="str">
        <f>IF(C247=0,"NA",sept_gravel_cost_cl)</f>
        <v>NA</v>
      </c>
      <c r="J247" s="398" t="str">
        <f t="shared" si="147"/>
        <v>--</v>
      </c>
      <c r="K247" s="437" t="str">
        <f>IF(C247=0,"NA",VLOOKUP(sept_pipe_diam,sept_distpipe_cost_cl,IF(ss_cat="large",4,5)))</f>
        <v>NA</v>
      </c>
      <c r="L247" s="397"/>
      <c r="M247" s="34" t="str">
        <f t="shared" si="148"/>
        <v>Septic System - Drain Field Gravel</v>
      </c>
      <c r="N247" s="530">
        <f t="shared" si="149"/>
        <v>1</v>
      </c>
      <c r="O247" s="530">
        <f t="shared" si="149"/>
        <v>1</v>
      </c>
      <c r="P247" s="530">
        <f t="shared" si="149"/>
        <v>1</v>
      </c>
      <c r="Q247" s="530">
        <f t="shared" si="149"/>
        <v>1</v>
      </c>
      <c r="R247" s="530">
        <f t="shared" si="149"/>
        <v>1</v>
      </c>
      <c r="S247" s="530">
        <f t="shared" si="149"/>
        <v>1</v>
      </c>
      <c r="T247" s="530">
        <f t="shared" si="149"/>
        <v>1</v>
      </c>
      <c r="U247" s="530">
        <f t="shared" si="150"/>
        <v>1</v>
      </c>
      <c r="V247" s="530">
        <f t="shared" si="151"/>
        <v>1</v>
      </c>
      <c r="W247" s="573">
        <v>0</v>
      </c>
      <c r="X247" s="23">
        <v>1</v>
      </c>
      <c r="Y247" s="23">
        <v>1</v>
      </c>
      <c r="Z247" s="23">
        <v>1</v>
      </c>
      <c r="AA247" s="23">
        <v>1</v>
      </c>
      <c r="AB247" s="23">
        <v>1</v>
      </c>
      <c r="AC247" s="23">
        <v>1</v>
      </c>
      <c r="AD247" s="23">
        <v>1</v>
      </c>
      <c r="AE247" s="23">
        <v>1</v>
      </c>
      <c r="AF247" s="23">
        <v>1</v>
      </c>
      <c r="AG247" s="537">
        <f t="shared" si="140"/>
        <v>0</v>
      </c>
      <c r="AH247" s="537">
        <f t="shared" si="141"/>
        <v>0</v>
      </c>
    </row>
    <row r="248" spans="1:34" customFormat="1">
      <c r="A248" s="235" t="s">
        <v>1127</v>
      </c>
      <c r="B248" s="236" t="s">
        <v>3051</v>
      </c>
      <c r="C248" s="241"/>
      <c r="D248" s="241"/>
      <c r="E248" s="241"/>
      <c r="F248" s="236"/>
      <c r="G248" s="241"/>
      <c r="H248" s="236"/>
      <c r="I248" s="256"/>
      <c r="J248" s="241"/>
      <c r="K248" s="241"/>
      <c r="L248" s="243"/>
      <c r="M248" s="34"/>
      <c r="N248" s="23"/>
      <c r="O248" s="23"/>
      <c r="P248" s="23"/>
      <c r="Q248" s="23"/>
      <c r="R248" s="23"/>
      <c r="S248" s="23"/>
      <c r="T248" s="23"/>
      <c r="U248" s="23"/>
      <c r="V248" s="23"/>
      <c r="X248" s="23"/>
      <c r="Y248" s="23"/>
      <c r="Z248" s="23"/>
      <c r="AA248" s="23"/>
      <c r="AB248" s="23"/>
      <c r="AC248" s="23"/>
      <c r="AD248" s="23"/>
      <c r="AE248" s="23"/>
      <c r="AF248" s="23"/>
      <c r="AG248" s="537">
        <f t="shared" si="140"/>
        <v>0</v>
      </c>
      <c r="AH248" s="537">
        <f t="shared" si="141"/>
        <v>0</v>
      </c>
    </row>
    <row r="249" spans="1:34" customFormat="1">
      <c r="A249" s="496" t="s">
        <v>1128</v>
      </c>
      <c r="B249" s="438" t="s">
        <v>3051</v>
      </c>
      <c r="C249" s="392">
        <f>IF(solids_pad_area=0,0,1)</f>
        <v>0</v>
      </c>
      <c r="D249" s="392" t="s">
        <v>2305</v>
      </c>
      <c r="E249" s="394" t="str">
        <f>IF(C249=0,"NA",solids_pad_concrete)</f>
        <v>NA</v>
      </c>
      <c r="F249" s="189" t="str">
        <f>IF(C249=0,"","cy")</f>
        <v/>
      </c>
      <c r="G249" s="394" t="str">
        <f>IF(C249=0,"NA",solids_pad_concrete)</f>
        <v>NA</v>
      </c>
      <c r="H249" s="189" t="str">
        <f>IF(C249=0,"","cy")</f>
        <v/>
      </c>
      <c r="I249" s="401" t="str">
        <f>IF(C249=0,"NA",VLOOKUP(0,conc_pad_cost_cl,3))</f>
        <v>NA</v>
      </c>
      <c r="J249" s="396" t="str">
        <f>IF(OR(C249=0,I249="contact vendor"),"--",E249*I249)</f>
        <v>--</v>
      </c>
      <c r="K249" s="410" t="str">
        <f>IF(C249=0,"NA",VLOOKUP(0,conc_pad_cost_cl,IF(ss_cat="large",4,5)))</f>
        <v>NA</v>
      </c>
      <c r="L249" s="397"/>
      <c r="M249" s="295" t="str">
        <f>B249</f>
        <v>Solids drying pad</v>
      </c>
      <c r="N249" s="530">
        <f t="shared" ref="N249:V249" si="152">IF(retrofit=1,$W249*X249,IF(ISBLANK(X249),"",X249))</f>
        <v>1</v>
      </c>
      <c r="O249" s="530">
        <f t="shared" si="152"/>
        <v>1</v>
      </c>
      <c r="P249" s="530">
        <f t="shared" si="152"/>
        <v>1</v>
      </c>
      <c r="Q249" s="530">
        <f t="shared" si="152"/>
        <v>1</v>
      </c>
      <c r="R249" s="530">
        <f t="shared" si="152"/>
        <v>1</v>
      </c>
      <c r="S249" s="530">
        <f t="shared" si="152"/>
        <v>1</v>
      </c>
      <c r="T249" s="530">
        <f t="shared" si="152"/>
        <v>1</v>
      </c>
      <c r="U249" s="530">
        <f t="shared" si="152"/>
        <v>1</v>
      </c>
      <c r="V249" s="530">
        <f t="shared" si="152"/>
        <v>1</v>
      </c>
      <c r="W249" s="573">
        <v>0</v>
      </c>
      <c r="X249" s="23">
        <v>1</v>
      </c>
      <c r="Y249" s="23">
        <v>1</v>
      </c>
      <c r="Z249" s="23">
        <v>1</v>
      </c>
      <c r="AA249" s="23">
        <v>1</v>
      </c>
      <c r="AB249" s="23">
        <v>1</v>
      </c>
      <c r="AC249" s="23">
        <v>1</v>
      </c>
      <c r="AD249" s="23">
        <v>1</v>
      </c>
      <c r="AE249" s="23">
        <v>1</v>
      </c>
      <c r="AF249" s="23">
        <v>1</v>
      </c>
      <c r="AG249" s="537">
        <f t="shared" si="140"/>
        <v>0</v>
      </c>
      <c r="AH249" s="537">
        <f t="shared" si="141"/>
        <v>0</v>
      </c>
    </row>
    <row r="250" spans="1:34" customFormat="1">
      <c r="A250" s="235">
        <v>12</v>
      </c>
      <c r="B250" s="236" t="s">
        <v>2491</v>
      </c>
      <c r="C250" s="241"/>
      <c r="D250" s="241"/>
      <c r="E250" s="241"/>
      <c r="F250" s="236"/>
      <c r="G250" s="241"/>
      <c r="H250" s="236"/>
      <c r="I250" s="256"/>
      <c r="J250" s="241"/>
      <c r="K250" s="241"/>
      <c r="L250" s="243"/>
      <c r="M250" s="658"/>
      <c r="N250" s="530" t="str">
        <f t="shared" ref="N250:V254" si="153">IF(retrofit=1,$W250*X250,IF(ISBLANK(X250),"",X250))</f>
        <v/>
      </c>
      <c r="O250" s="530" t="str">
        <f t="shared" si="153"/>
        <v/>
      </c>
      <c r="P250" s="530" t="str">
        <f t="shared" si="153"/>
        <v/>
      </c>
      <c r="Q250" s="530" t="str">
        <f t="shared" si="153"/>
        <v/>
      </c>
      <c r="R250" s="530" t="str">
        <f t="shared" si="153"/>
        <v/>
      </c>
      <c r="S250" s="530" t="str">
        <f t="shared" si="153"/>
        <v/>
      </c>
      <c r="T250" s="530" t="str">
        <f t="shared" si="153"/>
        <v/>
      </c>
      <c r="U250" s="530" t="str">
        <f t="shared" si="153"/>
        <v/>
      </c>
      <c r="V250" s="530" t="str">
        <f t="shared" si="153"/>
        <v/>
      </c>
      <c r="W250" s="573"/>
      <c r="X250" s="23"/>
      <c r="Y250" s="23"/>
      <c r="Z250" s="23"/>
      <c r="AA250" s="23"/>
      <c r="AB250" s="23"/>
      <c r="AC250" s="23"/>
      <c r="AD250" s="23"/>
      <c r="AE250" s="23"/>
      <c r="AF250" s="23"/>
      <c r="AG250" s="537">
        <f t="shared" si="140"/>
        <v>0</v>
      </c>
      <c r="AH250" s="537">
        <f t="shared" si="141"/>
        <v>0</v>
      </c>
    </row>
    <row r="251" spans="1:34" customFormat="1">
      <c r="A251" s="659">
        <v>13.1</v>
      </c>
      <c r="B251" s="438" t="s">
        <v>1326</v>
      </c>
      <c r="C251" s="660">
        <f>ep_cells</f>
        <v>0</v>
      </c>
      <c r="D251" s="867" t="s">
        <v>2448</v>
      </c>
      <c r="E251" s="661" t="str">
        <f>IF(C251=0,"NA",ep_excavation_vol/ep_cells)</f>
        <v>NA</v>
      </c>
      <c r="F251" s="392" t="str">
        <f>IF(C251=0,"","cy")</f>
        <v/>
      </c>
      <c r="G251" s="661" t="str">
        <f>IF(C251=0,"NA",ep_excavation_vol/ep_cells)</f>
        <v>NA</v>
      </c>
      <c r="H251" s="392" t="str">
        <f>IF(C251=0,"","cy")</f>
        <v/>
      </c>
      <c r="I251" s="662" t="str">
        <f>IF(C251=0,"NA",VLOOKUP(0,excavate_cost_cl,3)*ep_excavation_vol/ep_cells)</f>
        <v>NA</v>
      </c>
      <c r="J251" s="398" t="str">
        <f>IF(C251=0,"--",IF(I251="contact vendor","--",C251*I251))</f>
        <v>--</v>
      </c>
      <c r="K251" s="402" t="str">
        <f>IF(C251=0,"NA",VLOOKUP(0,ep_liner_cost_cl,IF(ss_cat="large",4,5)))</f>
        <v>NA</v>
      </c>
      <c r="L251" s="397"/>
      <c r="M251" s="34" t="str">
        <f>$B$250&amp;" - "&amp;B251</f>
        <v>Evaporation Pond - Excavation</v>
      </c>
      <c r="N251" s="530">
        <f t="shared" si="153"/>
        <v>1</v>
      </c>
      <c r="O251" s="530">
        <f t="shared" si="153"/>
        <v>1</v>
      </c>
      <c r="P251" s="530">
        <f t="shared" si="153"/>
        <v>1</v>
      </c>
      <c r="Q251" s="530">
        <f t="shared" si="153"/>
        <v>1</v>
      </c>
      <c r="R251" s="530">
        <f t="shared" si="153"/>
        <v>1</v>
      </c>
      <c r="S251" s="530">
        <f t="shared" si="153"/>
        <v>1</v>
      </c>
      <c r="T251" s="530">
        <f t="shared" si="153"/>
        <v>1</v>
      </c>
      <c r="U251" s="530">
        <f t="shared" si="153"/>
        <v>1</v>
      </c>
      <c r="V251" s="530">
        <f t="shared" si="153"/>
        <v>1</v>
      </c>
      <c r="W251" s="573">
        <v>0</v>
      </c>
      <c r="X251" s="23">
        <v>1</v>
      </c>
      <c r="Y251" s="23">
        <v>1</v>
      </c>
      <c r="Z251" s="23">
        <v>1</v>
      </c>
      <c r="AA251" s="23">
        <v>1</v>
      </c>
      <c r="AB251" s="23">
        <v>1</v>
      </c>
      <c r="AC251" s="23">
        <v>1</v>
      </c>
      <c r="AD251" s="23">
        <v>1</v>
      </c>
      <c r="AE251" s="23">
        <v>1</v>
      </c>
      <c r="AF251" s="23">
        <v>1</v>
      </c>
      <c r="AG251" s="537">
        <f t="shared" si="140"/>
        <v>0</v>
      </c>
      <c r="AH251" s="537">
        <f t="shared" si="141"/>
        <v>0</v>
      </c>
    </row>
    <row r="252" spans="1:34" customFormat="1">
      <c r="A252" s="659">
        <v>13.2</v>
      </c>
      <c r="B252" s="438" t="s">
        <v>2492</v>
      </c>
      <c r="C252" s="660">
        <f>ep_cells</f>
        <v>0</v>
      </c>
      <c r="D252" s="867" t="s">
        <v>2448</v>
      </c>
      <c r="E252" s="394" t="str">
        <f>IF(C252=0,"NA",ep_backfill_vol/ep_cells)</f>
        <v>NA</v>
      </c>
      <c r="F252" s="392" t="str">
        <f>IF(C252=0,"","cy")</f>
        <v/>
      </c>
      <c r="G252" s="394" t="str">
        <f>IF(C252=0,"NA",ep_backfill_vol/ep_cells)</f>
        <v>NA</v>
      </c>
      <c r="H252" s="392" t="str">
        <f>IF(C252=0,"","cy")</f>
        <v/>
      </c>
      <c r="I252" s="663" t="str">
        <f>IF(C252=0,"NA",VLOOKUP(0,backfill_cost_cl,3)*ep_excavation_vol/ep_cells)</f>
        <v>NA</v>
      </c>
      <c r="J252" s="398" t="str">
        <f>IF(C252=0,"--",IF(I252="contact vendor","--",C252*I252))</f>
        <v>--</v>
      </c>
      <c r="K252" s="402" t="str">
        <f>IF(C252=0,"NA",VLOOKUP(0,ep_liner_cost_cl,IF(ss_cat="large",4,5)))</f>
        <v>NA</v>
      </c>
      <c r="L252" s="397"/>
      <c r="M252" s="34" t="str">
        <f>$B$250&amp;" - "&amp;B252</f>
        <v>Evaporation Pond - Backfill</v>
      </c>
      <c r="N252" s="530">
        <f t="shared" si="153"/>
        <v>1</v>
      </c>
      <c r="O252" s="530">
        <f t="shared" si="153"/>
        <v>1</v>
      </c>
      <c r="P252" s="530">
        <f t="shared" si="153"/>
        <v>1</v>
      </c>
      <c r="Q252" s="530">
        <f t="shared" si="153"/>
        <v>1</v>
      </c>
      <c r="R252" s="530">
        <f t="shared" si="153"/>
        <v>1</v>
      </c>
      <c r="S252" s="530">
        <f t="shared" si="153"/>
        <v>1</v>
      </c>
      <c r="T252" s="530">
        <f t="shared" si="153"/>
        <v>1</v>
      </c>
      <c r="U252" s="530">
        <f t="shared" si="153"/>
        <v>1</v>
      </c>
      <c r="V252" s="530">
        <f t="shared" si="153"/>
        <v>1</v>
      </c>
      <c r="W252" s="573">
        <v>0</v>
      </c>
      <c r="X252" s="23">
        <v>1</v>
      </c>
      <c r="Y252" s="23">
        <v>1</v>
      </c>
      <c r="Z252" s="23">
        <v>1</v>
      </c>
      <c r="AA252" s="23">
        <v>1</v>
      </c>
      <c r="AB252" s="23">
        <v>1</v>
      </c>
      <c r="AC252" s="23">
        <v>1</v>
      </c>
      <c r="AD252" s="23">
        <v>1</v>
      </c>
      <c r="AE252" s="23">
        <v>1</v>
      </c>
      <c r="AF252" s="23">
        <v>1</v>
      </c>
      <c r="AG252" s="537">
        <f t="shared" si="140"/>
        <v>0</v>
      </c>
      <c r="AH252" s="537">
        <f t="shared" si="141"/>
        <v>0</v>
      </c>
    </row>
    <row r="253" spans="1:34" customFormat="1">
      <c r="A253" s="659">
        <v>13.3</v>
      </c>
      <c r="B253" s="438" t="s">
        <v>2493</v>
      </c>
      <c r="C253" s="660">
        <f>ep_cells</f>
        <v>0</v>
      </c>
      <c r="D253" s="867" t="s">
        <v>2448</v>
      </c>
      <c r="E253" s="394" t="str">
        <f>IF(C253=0,"NA",liner_area/ep_cells)</f>
        <v>NA</v>
      </c>
      <c r="F253" s="392" t="str">
        <f>IF(C253=0,"","sf")</f>
        <v/>
      </c>
      <c r="G253" s="394" t="str">
        <f>IF(C253=0,"NA",liner_area/ep_cells)</f>
        <v>NA</v>
      </c>
      <c r="H253" s="392" t="str">
        <f>IF(C253=0,"","sf")</f>
        <v/>
      </c>
      <c r="I253" s="662" t="str">
        <f>IF(C253=0,"NA",VLOOKUP(0,ep_liner_cost_cl,3)*liner_area/ep_cells)</f>
        <v>NA</v>
      </c>
      <c r="J253" s="398" t="str">
        <f>IF(C253=0,"--",IF(I253="contact vendor","--",C253*I253))</f>
        <v>--</v>
      </c>
      <c r="K253" s="402" t="str">
        <f>IF(C253=0,"NA",VLOOKUP(0,ep_liner_cost_cl,IF(ss_cat="large",4,5)))</f>
        <v>NA</v>
      </c>
      <c r="L253" s="397"/>
      <c r="M253" s="34" t="str">
        <f>$B$250&amp;" - "&amp;B253</f>
        <v>Evaporation Pond - Liner</v>
      </c>
      <c r="N253" s="530">
        <f t="shared" si="153"/>
        <v>1</v>
      </c>
      <c r="O253" s="530">
        <f t="shared" si="153"/>
        <v>1</v>
      </c>
      <c r="P253" s="530">
        <f t="shared" si="153"/>
        <v>1</v>
      </c>
      <c r="Q253" s="530">
        <f t="shared" si="153"/>
        <v>1</v>
      </c>
      <c r="R253" s="530">
        <f t="shared" si="153"/>
        <v>1</v>
      </c>
      <c r="S253" s="530">
        <f t="shared" si="153"/>
        <v>1</v>
      </c>
      <c r="T253" s="530">
        <f t="shared" si="153"/>
        <v>1</v>
      </c>
      <c r="U253" s="530">
        <f t="shared" si="153"/>
        <v>1</v>
      </c>
      <c r="V253" s="530">
        <f t="shared" si="153"/>
        <v>1</v>
      </c>
      <c r="W253" s="573">
        <v>0</v>
      </c>
      <c r="X253" s="23">
        <v>1</v>
      </c>
      <c r="Y253" s="23">
        <v>1</v>
      </c>
      <c r="Z253" s="23">
        <v>1</v>
      </c>
      <c r="AA253" s="23">
        <v>1</v>
      </c>
      <c r="AB253" s="23">
        <v>1</v>
      </c>
      <c r="AC253" s="23">
        <v>1</v>
      </c>
      <c r="AD253" s="23">
        <v>1</v>
      </c>
      <c r="AE253" s="23">
        <v>1</v>
      </c>
      <c r="AF253" s="23">
        <v>1</v>
      </c>
      <c r="AG253" s="537">
        <f t="shared" si="140"/>
        <v>0</v>
      </c>
      <c r="AH253" s="537">
        <f t="shared" si="141"/>
        <v>0</v>
      </c>
    </row>
    <row r="254" spans="1:34" customFormat="1">
      <c r="A254" s="659">
        <v>13.4</v>
      </c>
      <c r="B254" s="438" t="s">
        <v>2494</v>
      </c>
      <c r="C254" s="660">
        <f>ep_cells</f>
        <v>0</v>
      </c>
      <c r="D254" s="867" t="s">
        <v>2448</v>
      </c>
      <c r="E254" s="394" t="str">
        <f>IF(C254=0,"NA",dike_volume/ep_cells)</f>
        <v>NA</v>
      </c>
      <c r="F254" s="392" t="str">
        <f>IF(C254=0,"","cy")</f>
        <v/>
      </c>
      <c r="G254" s="394" t="str">
        <f>IF(C254=0,"NA",dike_volume/ep_cells)</f>
        <v>NA</v>
      </c>
      <c r="H254" s="392" t="str">
        <f>IF(C254=0,"","cy")</f>
        <v/>
      </c>
      <c r="I254" s="663" t="str">
        <f>IF(C254=0,"NA",ep_dike_construct_cl*dike_volume/ep_cells)</f>
        <v>NA</v>
      </c>
      <c r="J254" s="398" t="str">
        <f>IF(C254=0,"--",IF(I254="contact vendor","--",C254*I254))</f>
        <v>--</v>
      </c>
      <c r="K254" s="402" t="str">
        <f>IF(C254=0,"NA",VLOOKUP(0,ep_liner_cost_cl,IF(ss_cat="large",4,5)))</f>
        <v>NA</v>
      </c>
      <c r="L254" s="397"/>
      <c r="M254" s="34" t="str">
        <f>$B$250&amp;" - "&amp;B254</f>
        <v>Evaporation Pond - Dike Construction</v>
      </c>
      <c r="N254" s="530">
        <f t="shared" si="153"/>
        <v>1</v>
      </c>
      <c r="O254" s="530">
        <f t="shared" si="153"/>
        <v>1</v>
      </c>
      <c r="P254" s="530">
        <f t="shared" si="153"/>
        <v>1</v>
      </c>
      <c r="Q254" s="530">
        <f t="shared" si="153"/>
        <v>1</v>
      </c>
      <c r="R254" s="530">
        <f t="shared" si="153"/>
        <v>1</v>
      </c>
      <c r="S254" s="530">
        <f t="shared" si="153"/>
        <v>1</v>
      </c>
      <c r="T254" s="530">
        <f t="shared" si="153"/>
        <v>1</v>
      </c>
      <c r="U254" s="530">
        <f t="shared" si="153"/>
        <v>1</v>
      </c>
      <c r="V254" s="530">
        <f t="shared" si="153"/>
        <v>1</v>
      </c>
      <c r="W254" s="573">
        <v>0</v>
      </c>
      <c r="X254" s="23">
        <v>1</v>
      </c>
      <c r="Y254" s="23">
        <v>1</v>
      </c>
      <c r="Z254" s="23">
        <v>1</v>
      </c>
      <c r="AA254" s="23">
        <v>1</v>
      </c>
      <c r="AB254" s="23">
        <v>1</v>
      </c>
      <c r="AC254" s="23">
        <v>1</v>
      </c>
      <c r="AD254" s="23">
        <v>1</v>
      </c>
      <c r="AE254" s="23">
        <v>1</v>
      </c>
      <c r="AF254" s="23">
        <v>1</v>
      </c>
      <c r="AG254" s="537">
        <f t="shared" si="140"/>
        <v>0</v>
      </c>
      <c r="AH254" s="537">
        <f t="shared" si="141"/>
        <v>0</v>
      </c>
    </row>
    <row r="255" spans="1:34" customFormat="1">
      <c r="A255" s="611">
        <v>14</v>
      </c>
      <c r="B255" s="612" t="s">
        <v>1226</v>
      </c>
      <c r="C255" s="260"/>
      <c r="D255" s="260"/>
      <c r="E255" s="260"/>
      <c r="F255" s="260"/>
      <c r="G255" s="260"/>
      <c r="H255" s="260"/>
      <c r="I255" s="260"/>
      <c r="J255" s="260"/>
      <c r="K255" s="260"/>
      <c r="L255" s="613"/>
      <c r="AG255" s="537">
        <f t="shared" si="140"/>
        <v>0</v>
      </c>
      <c r="AH255" s="537">
        <f t="shared" si="141"/>
        <v>0</v>
      </c>
    </row>
    <row r="256" spans="1:34" customFormat="1">
      <c r="A256" s="247">
        <v>14.1</v>
      </c>
      <c r="B256" s="614" t="s">
        <v>430</v>
      </c>
      <c r="C256" s="245"/>
      <c r="D256" s="865"/>
      <c r="E256" s="245"/>
      <c r="F256" s="865"/>
      <c r="G256" s="245"/>
      <c r="H256" s="865"/>
      <c r="I256" s="245"/>
      <c r="J256" s="245"/>
      <c r="K256" s="245"/>
      <c r="L256" s="250"/>
      <c r="AG256" s="537">
        <f t="shared" si="140"/>
        <v>0</v>
      </c>
      <c r="AH256" s="537">
        <f t="shared" si="141"/>
        <v>0</v>
      </c>
    </row>
    <row r="257" spans="1:36">
      <c r="A257" s="615" t="s">
        <v>2495</v>
      </c>
      <c r="B257" s="616" t="s">
        <v>1281</v>
      </c>
      <c r="C257" s="617">
        <f>IF(AND(build1_fp&gt;0,build1_fp&lt;500),1,0)</f>
        <v>1</v>
      </c>
      <c r="D257" s="618" t="s">
        <v>2305</v>
      </c>
      <c r="E257" s="669">
        <f>build1_fp</f>
        <v>120</v>
      </c>
      <c r="F257" s="618" t="s">
        <v>2977</v>
      </c>
      <c r="G257" s="670">
        <f>build1_fp</f>
        <v>120</v>
      </c>
      <c r="H257" s="618" t="s">
        <v>2977</v>
      </c>
      <c r="I257" s="619">
        <f>IF(C257=0,"NA",VLOOKUP(build1_fp,bldg_shed_cost_cl,3))</f>
        <v>44.535049010481643</v>
      </c>
      <c r="J257" s="620">
        <f>IF(OR(I257="NA",I257="contact vendor"),"--",G257*I257)</f>
        <v>5344.205881257797</v>
      </c>
      <c r="K257" s="145">
        <f>IF($C257=0,"N/A",VLOOKUP(build1_fp,bldg_shed_cost_cl,IF(ss_cat="large",4,5)))</f>
        <v>20</v>
      </c>
      <c r="L257" s="397">
        <v>0</v>
      </c>
      <c r="M257" s="34" t="str">
        <f>B255&amp;" - "&amp;B256&amp;" - "&amp;B257</f>
        <v>Building Structures and HVAC - Building 1 - Small Low Cost Shed</v>
      </c>
      <c r="N257" s="530">
        <f t="shared" ref="N257:N274" si="154">IF(retrofit=1,$W257*X257,IF(ISBLANK(X257),"",X257))</f>
        <v>0</v>
      </c>
      <c r="O257" s="530">
        <f t="shared" ref="O257:O274" si="155">IF(retrofit=1,$W257*Y257,IF(ISBLANK(Y257),"",Y257))</f>
        <v>0</v>
      </c>
      <c r="P257" s="530">
        <f t="shared" ref="P257:P274" si="156">IF(retrofit=1,$W257*Z257,IF(ISBLANK(Z257),"",Z257))</f>
        <v>0</v>
      </c>
      <c r="Q257" s="530">
        <f t="shared" ref="Q257:Q274" si="157">IF(retrofit=1,$W257*AA257,IF(ISBLANK(AA257),"",AA257))</f>
        <v>0</v>
      </c>
      <c r="R257" s="530">
        <f t="shared" ref="R257:R274" si="158">IF(retrofit=1,$W257*AB257,IF(ISBLANK(AB257),"",AB257))</f>
        <v>0</v>
      </c>
      <c r="S257" s="530">
        <f t="shared" ref="S257:S274" si="159">IF(retrofit=1,$W257*AC257,IF(ISBLANK(AC257),"",AC257))</f>
        <v>0</v>
      </c>
      <c r="T257" s="530">
        <f t="shared" ref="T257:T274" si="160">IF(retrofit=1,$W257*AD257,IF(ISBLANK(AD257),"",AD257))</f>
        <v>0</v>
      </c>
      <c r="U257" s="530">
        <f t="shared" ref="U257:U274" si="161">IF(retrofit=1,$W257*AE257,IF(ISBLANK(AE257),"",AE257))</f>
        <v>0</v>
      </c>
      <c r="V257" s="530">
        <f t="shared" ref="V257:V274" si="162">IF(retrofit=1,$W257*AF257,IF(ISBLANK(AF257),"",AF257))</f>
        <v>0</v>
      </c>
      <c r="W257" s="573">
        <v>0</v>
      </c>
      <c r="X257" s="621">
        <f t="shared" ref="X257:AF257" si="163">IF(include_buildings=1,2,0)</f>
        <v>0</v>
      </c>
      <c r="Y257" s="621">
        <f t="shared" si="163"/>
        <v>0</v>
      </c>
      <c r="Z257" s="621">
        <f t="shared" si="163"/>
        <v>0</v>
      </c>
      <c r="AA257" s="621">
        <f t="shared" si="163"/>
        <v>0</v>
      </c>
      <c r="AB257" s="621">
        <f t="shared" si="163"/>
        <v>0</v>
      </c>
      <c r="AC257" s="621">
        <f t="shared" si="163"/>
        <v>0</v>
      </c>
      <c r="AD257" s="621">
        <f t="shared" si="163"/>
        <v>0</v>
      </c>
      <c r="AE257" s="621">
        <f t="shared" si="163"/>
        <v>0</v>
      </c>
      <c r="AF257" s="621">
        <f t="shared" si="163"/>
        <v>0</v>
      </c>
      <c r="AG257" s="537">
        <f t="shared" si="140"/>
        <v>0</v>
      </c>
      <c r="AH257" s="537">
        <f t="shared" si="141"/>
        <v>0</v>
      </c>
      <c r="AI257"/>
      <c r="AJ257" s="6">
        <f>IF(AG257,K257,0)</f>
        <v>0</v>
      </c>
    </row>
    <row r="258" spans="1:36">
      <c r="A258" s="615" t="s">
        <v>2495</v>
      </c>
      <c r="B258" s="616" t="s">
        <v>1282</v>
      </c>
      <c r="C258" s="617">
        <f>IF(build1_fp&gt;=500,1,0)</f>
        <v>0</v>
      </c>
      <c r="D258" s="618" t="s">
        <v>2305</v>
      </c>
      <c r="E258" s="670">
        <f>build1_fp</f>
        <v>120</v>
      </c>
      <c r="F258" s="618" t="s">
        <v>2977</v>
      </c>
      <c r="G258" s="670">
        <f>build1_fp</f>
        <v>120</v>
      </c>
      <c r="H258" s="618" t="s">
        <v>2977</v>
      </c>
      <c r="I258" s="619" t="str">
        <f>IF(C258=0,"NA",IF(curve=1,bldg_lo_eq_1,VLOOKUP(build1_fp, bldg_lo_cost_cl,3)))</f>
        <v>NA</v>
      </c>
      <c r="J258" s="620" t="str">
        <f>IF(OR(I258="NA",I258="contact vendor"),"--",G258*I258)</f>
        <v>--</v>
      </c>
      <c r="K258" s="145" t="str">
        <f>IF($C258=0,"N/A",VLOOKUP(build1_fp,bldg_lo_cost_cl,IF(ss_cat="large",4,5)))</f>
        <v>N/A</v>
      </c>
      <c r="L258" s="397">
        <v>0</v>
      </c>
      <c r="M258" s="34" t="str">
        <f>B255&amp;" - "&amp;B256&amp;" - "&amp;B258</f>
        <v>Building Structures and HVAC - Building 1 - Low Quality</v>
      </c>
      <c r="N258" s="530">
        <f t="shared" si="154"/>
        <v>0</v>
      </c>
      <c r="O258" s="530" t="str">
        <f t="shared" si="155"/>
        <v/>
      </c>
      <c r="P258" s="530" t="str">
        <f t="shared" si="156"/>
        <v/>
      </c>
      <c r="Q258" s="530">
        <f t="shared" si="157"/>
        <v>0</v>
      </c>
      <c r="R258" s="530" t="str">
        <f t="shared" si="158"/>
        <v/>
      </c>
      <c r="S258" s="530" t="str">
        <f t="shared" si="159"/>
        <v/>
      </c>
      <c r="T258" s="530">
        <f t="shared" si="160"/>
        <v>0</v>
      </c>
      <c r="U258" s="530" t="str">
        <f t="shared" si="161"/>
        <v/>
      </c>
      <c r="V258" s="530" t="str">
        <f t="shared" si="162"/>
        <v/>
      </c>
      <c r="W258" s="573">
        <v>0</v>
      </c>
      <c r="X258" s="621">
        <f>include_buildings</f>
        <v>0</v>
      </c>
      <c r="Y258" s="621"/>
      <c r="Z258" s="621"/>
      <c r="AA258" s="621">
        <f>include_buildings</f>
        <v>0</v>
      </c>
      <c r="AB258" s="621"/>
      <c r="AC258" s="622"/>
      <c r="AD258" s="621">
        <f>include_buildings</f>
        <v>0</v>
      </c>
      <c r="AE258" s="622"/>
      <c r="AF258" s="621"/>
      <c r="AG258">
        <f t="shared" si="140"/>
        <v>0</v>
      </c>
      <c r="AH258">
        <f t="shared" si="141"/>
        <v>0</v>
      </c>
      <c r="AI258"/>
      <c r="AJ258" s="6">
        <f>IF(AG258,K258,0)</f>
        <v>0</v>
      </c>
    </row>
    <row r="259" spans="1:36">
      <c r="A259" s="615" t="s">
        <v>2495</v>
      </c>
      <c r="B259" s="616" t="s">
        <v>1283</v>
      </c>
      <c r="C259" s="617">
        <f>IF(build1_fp&gt;=500,1,0)</f>
        <v>0</v>
      </c>
      <c r="D259" s="618" t="s">
        <v>2305</v>
      </c>
      <c r="E259" s="670">
        <f>build1_fp</f>
        <v>120</v>
      </c>
      <c r="F259" s="618" t="s">
        <v>2977</v>
      </c>
      <c r="G259" s="670">
        <f>build1_fp</f>
        <v>120</v>
      </c>
      <c r="H259" s="618" t="s">
        <v>2977</v>
      </c>
      <c r="I259" s="619" t="str">
        <f>IF(C259=0,"NA",IF(curve=1,bldg_mid_eq_1,VLOOKUP(build1_fp, bldg_mid_cost_cl,3)))</f>
        <v>NA</v>
      </c>
      <c r="J259" s="620" t="str">
        <f>IF(OR(I259="NA",I259="contact vendor"),"--",G259*I259)</f>
        <v>--</v>
      </c>
      <c r="K259" s="145" t="str">
        <f>IF($C259=0,"N/A",VLOOKUP(build1_fp,bldg_mid_cost_cl,IF(ss_cat="large",4,5)))</f>
        <v>N/A</v>
      </c>
      <c r="L259" s="397">
        <v>0</v>
      </c>
      <c r="M259" s="34" t="str">
        <f>B255&amp;" - "&amp;B256&amp;" - "&amp;B259</f>
        <v>Building Structures and HVAC - Building 1 - Medium Quality</v>
      </c>
      <c r="N259" s="530" t="str">
        <f t="shared" si="154"/>
        <v/>
      </c>
      <c r="O259" s="530">
        <f t="shared" si="155"/>
        <v>0</v>
      </c>
      <c r="P259" s="530" t="str">
        <f t="shared" si="156"/>
        <v/>
      </c>
      <c r="Q259" s="530" t="str">
        <f t="shared" si="157"/>
        <v/>
      </c>
      <c r="R259" s="530">
        <f t="shared" si="158"/>
        <v>0</v>
      </c>
      <c r="S259" s="530" t="str">
        <f t="shared" si="159"/>
        <v/>
      </c>
      <c r="T259" s="530" t="str">
        <f t="shared" si="160"/>
        <v/>
      </c>
      <c r="U259" s="530">
        <f t="shared" si="161"/>
        <v>0</v>
      </c>
      <c r="V259" s="530" t="str">
        <f t="shared" si="162"/>
        <v/>
      </c>
      <c r="W259" s="573">
        <v>0</v>
      </c>
      <c r="X259" s="621"/>
      <c r="Y259" s="621">
        <f>include_buildings</f>
        <v>0</v>
      </c>
      <c r="Z259" s="621"/>
      <c r="AA259" s="621"/>
      <c r="AB259" s="621">
        <f>include_buildings</f>
        <v>0</v>
      </c>
      <c r="AC259" s="622"/>
      <c r="AD259" s="622"/>
      <c r="AE259" s="621">
        <f>include_buildings</f>
        <v>0</v>
      </c>
      <c r="AF259" s="621"/>
      <c r="AG259">
        <f t="shared" si="140"/>
        <v>0</v>
      </c>
      <c r="AH259">
        <f t="shared" si="141"/>
        <v>0</v>
      </c>
      <c r="AI259"/>
      <c r="AJ259" s="6">
        <f>IF(AG259,K259,0)</f>
        <v>0</v>
      </c>
    </row>
    <row r="260" spans="1:36">
      <c r="A260" s="615" t="s">
        <v>2495</v>
      </c>
      <c r="B260" s="616" t="s">
        <v>1284</v>
      </c>
      <c r="C260" s="617">
        <f>IF(build1_fp&gt;=500,1,0)</f>
        <v>0</v>
      </c>
      <c r="D260" s="623" t="s">
        <v>2305</v>
      </c>
      <c r="E260" s="670">
        <f>build1_fp</f>
        <v>120</v>
      </c>
      <c r="F260" s="618" t="s">
        <v>2977</v>
      </c>
      <c r="G260" s="670">
        <f>build1_fp</f>
        <v>120</v>
      </c>
      <c r="H260" s="618" t="s">
        <v>2977</v>
      </c>
      <c r="I260" s="619" t="str">
        <f>IF(C260=0,"NA",IF(curve=1,bldg_hi_eq_1,VLOOKUP(build1_fp, bldg_hi_cost_cl,3)))</f>
        <v>NA</v>
      </c>
      <c r="J260" s="620" t="str">
        <f>IF(OR(I260="NA",I260="contact vendor"),"--",G260*I260)</f>
        <v>--</v>
      </c>
      <c r="K260" s="145" t="str">
        <f>IF($C260=0,"N/A",VLOOKUP(build1_fp,bldg_hi_cost_cl,IF(ss_cat="large",4,5)))</f>
        <v>N/A</v>
      </c>
      <c r="L260" s="397">
        <v>0</v>
      </c>
      <c r="M260" s="34" t="str">
        <f>B255&amp;" - "&amp;B256&amp;" - "&amp;B260</f>
        <v>Building Structures and HVAC - Building 1 - High Quality</v>
      </c>
      <c r="N260" s="530" t="str">
        <f>IF(retrofit=1,$W260*X260,IF(ISBLANK(X260),"",X260))</f>
        <v/>
      </c>
      <c r="O260" s="530" t="str">
        <f t="shared" si="155"/>
        <v/>
      </c>
      <c r="P260" s="530">
        <f t="shared" si="156"/>
        <v>0</v>
      </c>
      <c r="Q260" s="530" t="str">
        <f t="shared" si="157"/>
        <v/>
      </c>
      <c r="R260" s="530" t="str">
        <f t="shared" si="158"/>
        <v/>
      </c>
      <c r="S260" s="530">
        <f t="shared" si="159"/>
        <v>0</v>
      </c>
      <c r="T260" s="530" t="str">
        <f t="shared" si="160"/>
        <v/>
      </c>
      <c r="U260" s="530" t="str">
        <f t="shared" si="161"/>
        <v/>
      </c>
      <c r="V260" s="530">
        <f t="shared" si="162"/>
        <v>0</v>
      </c>
      <c r="W260" s="573">
        <v>0</v>
      </c>
      <c r="X260" s="621"/>
      <c r="Y260" s="621"/>
      <c r="Z260" s="621">
        <f>include_buildings</f>
        <v>0</v>
      </c>
      <c r="AA260" s="621"/>
      <c r="AB260" s="621"/>
      <c r="AC260" s="621">
        <f>include_buildings</f>
        <v>0</v>
      </c>
      <c r="AD260" s="622"/>
      <c r="AE260" s="622"/>
      <c r="AF260" s="621">
        <f>include_buildings</f>
        <v>0</v>
      </c>
      <c r="AG260">
        <f t="shared" si="140"/>
        <v>0</v>
      </c>
      <c r="AH260">
        <f t="shared" si="141"/>
        <v>0</v>
      </c>
      <c r="AI260"/>
      <c r="AJ260" s="6">
        <f>IF(AG260,K260,0)</f>
        <v>0</v>
      </c>
    </row>
    <row r="261" spans="1:36" customFormat="1">
      <c r="A261" s="247" t="s">
        <v>2496</v>
      </c>
      <c r="B261" s="864" t="str">
        <f>"Heating System"&amp;IF(build1_heat="heat pump"," (included with cooling system)","")</f>
        <v>Heating System</v>
      </c>
      <c r="C261" s="292"/>
      <c r="D261" s="868"/>
      <c r="E261" s="292"/>
      <c r="F261" s="868"/>
      <c r="G261" s="292"/>
      <c r="H261" s="868"/>
      <c r="I261" s="292"/>
      <c r="J261" s="292"/>
      <c r="K261" s="292"/>
      <c r="L261" s="250"/>
      <c r="N261" s="530"/>
      <c r="O261" s="530"/>
      <c r="P261" s="530"/>
      <c r="Q261" s="530"/>
      <c r="R261" s="530"/>
      <c r="S261" s="530"/>
      <c r="T261" s="530"/>
      <c r="U261" s="530"/>
      <c r="V261" s="530"/>
      <c r="W261" s="573"/>
      <c r="X261" s="6"/>
      <c r="Y261" s="6"/>
      <c r="Z261" s="6"/>
      <c r="AA261" s="6"/>
      <c r="AB261" s="6"/>
      <c r="AC261" s="6"/>
      <c r="AD261" s="6"/>
      <c r="AE261" s="6"/>
      <c r="AF261" s="6"/>
      <c r="AG261">
        <f t="shared" si="140"/>
        <v>0</v>
      </c>
      <c r="AH261">
        <f t="shared" si="141"/>
        <v>0</v>
      </c>
      <c r="AJ261" s="6"/>
    </row>
    <row r="262" spans="1:36">
      <c r="A262" s="615" t="s">
        <v>2497</v>
      </c>
      <c r="B262" s="616" t="s">
        <v>1731</v>
      </c>
      <c r="C262" s="617" t="str">
        <f>IF(build1_heat="heat pump","NA",IF(build1_need_heat,build1_zones,"NA"))</f>
        <v>NA</v>
      </c>
      <c r="D262" s="623" t="str">
        <f>IF(C262="NA","","zones")</f>
        <v/>
      </c>
      <c r="E262" s="405" t="str">
        <f>IF(C262="NA","NA",build1_heat_mbh)</f>
        <v>NA</v>
      </c>
      <c r="F262" s="618" t="str">
        <f>IF(C262="NA","","MBH")</f>
        <v/>
      </c>
      <c r="G262" s="405" t="str">
        <f>IF(C262="NA","NA",IF(curve=1,build1_heat_mbh,VLOOKUP(build1_heat_mbh,hvac_elec_cost_cl,2)))</f>
        <v>NA</v>
      </c>
      <c r="H262" s="618" t="str">
        <f>IF(C262="NA","","MBH")</f>
        <v/>
      </c>
      <c r="I262" s="624" t="str">
        <f>IF(C262="NA","NA",IF(curve=1,hvac_elec_eq_1,VLOOKUP(build1_heat_mbh,hvac_elec_cost_cl,3)))</f>
        <v>NA</v>
      </c>
      <c r="J262" s="620" t="str">
        <f>IF(OR(I262="NA",I262="contact vendor"),"--",C262*I262)</f>
        <v>--</v>
      </c>
      <c r="K262" s="145" t="str">
        <f>IF(C262="NA","NA",VLOOKUP(build1_heat_mbh,hvac_elec_cost_cl,IF(ss_cat="large",4,5)))</f>
        <v>NA</v>
      </c>
      <c r="L262" s="397"/>
      <c r="M262" s="34" t="str">
        <f>B255&amp;" - "&amp;B256&amp;" - "&amp;B261&amp;" - "&amp;B262</f>
        <v>Building Structures and HVAC - Building 1 - Heating System - Electric resistance</v>
      </c>
      <c r="N262" s="530">
        <f t="shared" ref="N262:V266" si="164">IF(include_buildings=0,0,IF(retrofit=1,$W262*X262,IF(ISBLANK(X262),"",X262)))</f>
        <v>0</v>
      </c>
      <c r="O262" s="530">
        <f t="shared" si="164"/>
        <v>0</v>
      </c>
      <c r="P262" s="530">
        <f t="shared" si="164"/>
        <v>0</v>
      </c>
      <c r="Q262" s="530">
        <f t="shared" si="164"/>
        <v>0</v>
      </c>
      <c r="R262" s="530">
        <f t="shared" si="164"/>
        <v>0</v>
      </c>
      <c r="S262" s="530">
        <f t="shared" si="164"/>
        <v>0</v>
      </c>
      <c r="T262" s="530">
        <f t="shared" si="164"/>
        <v>0</v>
      </c>
      <c r="U262" s="530">
        <f t="shared" si="164"/>
        <v>0</v>
      </c>
      <c r="V262" s="530">
        <f t="shared" si="164"/>
        <v>0</v>
      </c>
      <c r="W262" s="573">
        <v>0</v>
      </c>
      <c r="X262" s="621">
        <f t="shared" ref="X262:AF266" si="165">IF(build1_heat=$B262,1,0)</f>
        <v>0</v>
      </c>
      <c r="Y262" s="621">
        <f t="shared" si="165"/>
        <v>0</v>
      </c>
      <c r="Z262" s="621">
        <f t="shared" si="165"/>
        <v>0</v>
      </c>
      <c r="AA262" s="621">
        <f t="shared" si="165"/>
        <v>0</v>
      </c>
      <c r="AB262" s="621">
        <f t="shared" si="165"/>
        <v>0</v>
      </c>
      <c r="AC262" s="621">
        <f t="shared" si="165"/>
        <v>0</v>
      </c>
      <c r="AD262" s="621">
        <f t="shared" si="165"/>
        <v>0</v>
      </c>
      <c r="AE262" s="621">
        <f t="shared" si="165"/>
        <v>0</v>
      </c>
      <c r="AF262" s="621">
        <f t="shared" si="165"/>
        <v>0</v>
      </c>
      <c r="AG262">
        <f t="shared" si="140"/>
        <v>0</v>
      </c>
      <c r="AH262">
        <f t="shared" si="141"/>
        <v>0</v>
      </c>
      <c r="AI262"/>
    </row>
    <row r="263" spans="1:36">
      <c r="A263" s="615" t="s">
        <v>2497</v>
      </c>
      <c r="B263" s="616" t="s">
        <v>779</v>
      </c>
      <c r="C263" s="617" t="str">
        <f>IF(build1_heat="heat pump","NA",IF(build1_need_heat,build1_zones,"NA"))</f>
        <v>NA</v>
      </c>
      <c r="D263" s="623" t="str">
        <f>IF(C263="NA","","zones")</f>
        <v/>
      </c>
      <c r="E263" s="405" t="str">
        <f>IF(C263="NA","NA",build1_heat_mbh)</f>
        <v>NA</v>
      </c>
      <c r="F263" s="618" t="str">
        <f>IF(C263="NA","","MBH")</f>
        <v/>
      </c>
      <c r="G263" s="405" t="str">
        <f>IF(C263="NA","NA",IF(curve=1,build1_heat_mbh,VLOOKUP(build1_heat_mbh,hvac_gas_non_cost_cl,2)))</f>
        <v>NA</v>
      </c>
      <c r="H263" s="618" t="str">
        <f>IF(C263="NA","","MBH")</f>
        <v/>
      </c>
      <c r="I263" s="624" t="str">
        <f>IF(C263="NA","NA",IF(curve=1,hvac_gas_non_eq_1,VLOOKUP(build1_heat_mbh,hvac_gas_non_cost_cl,3)))</f>
        <v>NA</v>
      </c>
      <c r="J263" s="620" t="str">
        <f>IF(OR(I263="NA",I263="contact vendor"),"--",C263*I263)</f>
        <v>--</v>
      </c>
      <c r="K263" s="145" t="str">
        <f>IF(C263="NA","NA",VLOOKUP(build1_heat_mbh,hvac_gas_non_cost_cl,IF(ss_cat="large",4,5)))</f>
        <v>NA</v>
      </c>
      <c r="L263" s="397"/>
      <c r="M263" s="34" t="str">
        <f>B255&amp;" - "&amp;B256&amp;" - "&amp;B261&amp;" - "&amp;B263</f>
        <v>Building Structures and HVAC - Building 1 - Heating System - Natural gas non-condensing furnace</v>
      </c>
      <c r="N263" s="530">
        <f t="shared" si="164"/>
        <v>0</v>
      </c>
      <c r="O263" s="530">
        <f t="shared" si="164"/>
        <v>0</v>
      </c>
      <c r="P263" s="530">
        <f t="shared" si="164"/>
        <v>0</v>
      </c>
      <c r="Q263" s="530">
        <f t="shared" si="164"/>
        <v>0</v>
      </c>
      <c r="R263" s="530">
        <f t="shared" si="164"/>
        <v>0</v>
      </c>
      <c r="S263" s="530">
        <f t="shared" si="164"/>
        <v>0</v>
      </c>
      <c r="T263" s="530">
        <f t="shared" si="164"/>
        <v>0</v>
      </c>
      <c r="U263" s="530">
        <f t="shared" si="164"/>
        <v>0</v>
      </c>
      <c r="V263" s="530">
        <f t="shared" si="164"/>
        <v>0</v>
      </c>
      <c r="W263" s="573">
        <v>0</v>
      </c>
      <c r="X263" s="621">
        <f t="shared" si="165"/>
        <v>0</v>
      </c>
      <c r="Y263" s="621">
        <f t="shared" si="165"/>
        <v>0</v>
      </c>
      <c r="Z263" s="621">
        <f t="shared" si="165"/>
        <v>0</v>
      </c>
      <c r="AA263" s="621">
        <f t="shared" si="165"/>
        <v>0</v>
      </c>
      <c r="AB263" s="621">
        <f t="shared" si="165"/>
        <v>0</v>
      </c>
      <c r="AC263" s="621">
        <f t="shared" si="165"/>
        <v>0</v>
      </c>
      <c r="AD263" s="621">
        <f t="shared" si="165"/>
        <v>0</v>
      </c>
      <c r="AE263" s="621">
        <f t="shared" si="165"/>
        <v>0</v>
      </c>
      <c r="AF263" s="621">
        <f t="shared" si="165"/>
        <v>0</v>
      </c>
      <c r="AG263">
        <f t="shared" si="140"/>
        <v>0</v>
      </c>
      <c r="AH263">
        <f t="shared" si="141"/>
        <v>0</v>
      </c>
      <c r="AI263"/>
    </row>
    <row r="264" spans="1:36">
      <c r="A264" s="615" t="s">
        <v>2497</v>
      </c>
      <c r="B264" s="616" t="s">
        <v>780</v>
      </c>
      <c r="C264" s="617" t="str">
        <f>IF(build1_heat="heat pump","NA",IF(build1_need_heat,build1_zones,"NA"))</f>
        <v>NA</v>
      </c>
      <c r="D264" s="623" t="str">
        <f>IF(C264="NA","","zones")</f>
        <v/>
      </c>
      <c r="E264" s="405" t="str">
        <f>IF(C264="NA","NA",build1_heat_mbh)</f>
        <v>NA</v>
      </c>
      <c r="F264" s="618" t="str">
        <f>IF(C264="NA","","MBH")</f>
        <v/>
      </c>
      <c r="G264" s="405" t="str">
        <f>IF(C264="NA","NA",IF(curve=1,build1_heat_mbh,VLOOKUP(build1_heat_mbh,hvac_gas_cost_cl,2)))</f>
        <v>NA</v>
      </c>
      <c r="H264" s="618" t="str">
        <f>IF(C264="NA","","MBH")</f>
        <v/>
      </c>
      <c r="I264" s="624" t="str">
        <f>IF(C264="NA","NA",IF(curve=1,hvac_gas_eq_1,VLOOKUP(build1_heat_mbh,hvac_gas_cost_cl,3)))</f>
        <v>NA</v>
      </c>
      <c r="J264" s="620" t="str">
        <f>IF(OR(I264="NA",I264="contact vendor"),"--",C264*I264)</f>
        <v>--</v>
      </c>
      <c r="K264" s="145" t="str">
        <f>IF(C264="NA","NA",VLOOKUP(build1_heat_mbh,hvac_gas_cost_cl,IF(ss_cat="large",4,5)))</f>
        <v>NA</v>
      </c>
      <c r="L264" s="397"/>
      <c r="M264" s="34" t="str">
        <f>B255&amp;" - "&amp;B256&amp;" - "&amp;B261&amp;" - "&amp;B264</f>
        <v>Building Structures and HVAC - Building 1 - Heating System - Natural gas condensing furnace</v>
      </c>
      <c r="N264" s="530">
        <f t="shared" si="164"/>
        <v>0</v>
      </c>
      <c r="O264" s="530">
        <f t="shared" si="164"/>
        <v>0</v>
      </c>
      <c r="P264" s="530">
        <f t="shared" si="164"/>
        <v>0</v>
      </c>
      <c r="Q264" s="530">
        <f t="shared" si="164"/>
        <v>0</v>
      </c>
      <c r="R264" s="530">
        <f t="shared" si="164"/>
        <v>0</v>
      </c>
      <c r="S264" s="530">
        <f t="shared" si="164"/>
        <v>0</v>
      </c>
      <c r="T264" s="530">
        <f t="shared" si="164"/>
        <v>0</v>
      </c>
      <c r="U264" s="530">
        <f t="shared" si="164"/>
        <v>0</v>
      </c>
      <c r="V264" s="530">
        <f t="shared" si="164"/>
        <v>0</v>
      </c>
      <c r="W264" s="573">
        <v>0</v>
      </c>
      <c r="X264" s="621">
        <f t="shared" si="165"/>
        <v>0</v>
      </c>
      <c r="Y264" s="621">
        <f t="shared" si="165"/>
        <v>0</v>
      </c>
      <c r="Z264" s="621">
        <f t="shared" si="165"/>
        <v>0</v>
      </c>
      <c r="AA264" s="621">
        <f t="shared" si="165"/>
        <v>0</v>
      </c>
      <c r="AB264" s="621">
        <f t="shared" si="165"/>
        <v>0</v>
      </c>
      <c r="AC264" s="621">
        <f t="shared" si="165"/>
        <v>0</v>
      </c>
      <c r="AD264" s="621">
        <f t="shared" si="165"/>
        <v>0</v>
      </c>
      <c r="AE264" s="621">
        <f t="shared" si="165"/>
        <v>0</v>
      </c>
      <c r="AF264" s="621">
        <f t="shared" si="165"/>
        <v>0</v>
      </c>
      <c r="AG264">
        <f t="shared" si="140"/>
        <v>0</v>
      </c>
      <c r="AH264">
        <f t="shared" si="141"/>
        <v>0</v>
      </c>
      <c r="AI264"/>
    </row>
    <row r="265" spans="1:36">
      <c r="A265" s="615" t="s">
        <v>2497</v>
      </c>
      <c r="B265" s="616" t="s">
        <v>1361</v>
      </c>
      <c r="C265" s="617" t="str">
        <f>IF(build1_heat="heat pump","NA",IF(build1_need_heat,build1_zones,"NA"))</f>
        <v>NA</v>
      </c>
      <c r="D265" s="623" t="str">
        <f>IF(C265="NA","","zones")</f>
        <v/>
      </c>
      <c r="E265" s="405" t="str">
        <f>IF(C265="NA","NA",build1_heat_mbh)</f>
        <v>NA</v>
      </c>
      <c r="F265" s="618" t="str">
        <f>IF(C265="NA","","MBH")</f>
        <v/>
      </c>
      <c r="G265" s="405" t="str">
        <f>IF(C265="NA","NA",IF(curve=1,build1_heat_mbh,VLOOKUP(E265,hvac_oil_std_cost_cl,2)))</f>
        <v>NA</v>
      </c>
      <c r="H265" s="618" t="str">
        <f>IF(C265="NA","","MBH")</f>
        <v/>
      </c>
      <c r="I265" s="624" t="str">
        <f>IF(C265="NA","NA",IF(curve=1,hvac_oil_std_eq_1,VLOOKUP(build1_heat_mbh,hvac_oil_std_cost_cl,3)))</f>
        <v>NA</v>
      </c>
      <c r="J265" s="620" t="str">
        <f>IF(OR(I265="NA",I265="contact vendor"),"--",C265*I265)</f>
        <v>--</v>
      </c>
      <c r="K265" s="145" t="str">
        <f>IF(C265="NA","NA",VLOOKUP(build1_heat_mbh,hvac_oil_std_cost_cl,IF(ss_cat="large",4,5)))</f>
        <v>NA</v>
      </c>
      <c r="L265" s="397"/>
      <c r="M265" s="34" t="str">
        <f>B255&amp;" - "&amp;B256&amp;" - "&amp;B261&amp;" - "&amp;B265</f>
        <v>Building Structures and HVAC - Building 1 - Heating System - Standard efficiency oil furnace</v>
      </c>
      <c r="N265" s="530">
        <f t="shared" si="164"/>
        <v>0</v>
      </c>
      <c r="O265" s="530">
        <f t="shared" si="164"/>
        <v>0</v>
      </c>
      <c r="P265" s="530">
        <f t="shared" si="164"/>
        <v>0</v>
      </c>
      <c r="Q265" s="530">
        <f t="shared" si="164"/>
        <v>0</v>
      </c>
      <c r="R265" s="530">
        <f t="shared" si="164"/>
        <v>0</v>
      </c>
      <c r="S265" s="530">
        <f t="shared" si="164"/>
        <v>0</v>
      </c>
      <c r="T265" s="530">
        <f t="shared" si="164"/>
        <v>0</v>
      </c>
      <c r="U265" s="530">
        <f t="shared" si="164"/>
        <v>0</v>
      </c>
      <c r="V265" s="530">
        <f t="shared" si="164"/>
        <v>0</v>
      </c>
      <c r="W265" s="573">
        <v>0</v>
      </c>
      <c r="X265" s="621">
        <f t="shared" si="165"/>
        <v>0</v>
      </c>
      <c r="Y265" s="621">
        <f t="shared" si="165"/>
        <v>0</v>
      </c>
      <c r="Z265" s="621">
        <f t="shared" si="165"/>
        <v>0</v>
      </c>
      <c r="AA265" s="621">
        <f t="shared" si="165"/>
        <v>0</v>
      </c>
      <c r="AB265" s="621">
        <f t="shared" si="165"/>
        <v>0</v>
      </c>
      <c r="AC265" s="621">
        <f t="shared" si="165"/>
        <v>0</v>
      </c>
      <c r="AD265" s="621">
        <f t="shared" si="165"/>
        <v>0</v>
      </c>
      <c r="AE265" s="621">
        <f t="shared" si="165"/>
        <v>0</v>
      </c>
      <c r="AF265" s="621">
        <f t="shared" si="165"/>
        <v>0</v>
      </c>
      <c r="AG265">
        <f t="shared" si="140"/>
        <v>0</v>
      </c>
      <c r="AH265">
        <f t="shared" si="141"/>
        <v>0</v>
      </c>
      <c r="AI265"/>
    </row>
    <row r="266" spans="1:36">
      <c r="A266" s="615" t="s">
        <v>2497</v>
      </c>
      <c r="B266" s="616" t="s">
        <v>1362</v>
      </c>
      <c r="C266" s="617" t="str">
        <f>IF(build1_heat="heat pump","NA",IF(build1_need_heat,build1_zones,"NA"))</f>
        <v>NA</v>
      </c>
      <c r="D266" s="623" t="str">
        <f>IF(C266="NA","","zones")</f>
        <v/>
      </c>
      <c r="E266" s="405" t="str">
        <f>IF(C266="NA","NA",build1_heat_mbh)</f>
        <v>NA</v>
      </c>
      <c r="F266" s="618" t="str">
        <f>IF(C266="NA","","MBH")</f>
        <v/>
      </c>
      <c r="G266" s="405" t="str">
        <f>IF(C266="NA","NA",IF(curve=1,build1_heat_mbh,VLOOKUP(build1_heat_mbh,hvac_oil_mid_cost_cl,2)))</f>
        <v>NA</v>
      </c>
      <c r="H266" s="618" t="str">
        <f>IF(C266="NA","","MBH")</f>
        <v/>
      </c>
      <c r="I266" s="624" t="str">
        <f>IF(C266="NA","NA",IF(curve=1,hvac_oil_mid_eq_1,VLOOKUP(build1_heat_mbh,hvac_oil_mid_cost_cl,3)))</f>
        <v>NA</v>
      </c>
      <c r="J266" s="620" t="str">
        <f>IF(OR(I266="NA",I266="contact vendor"),"--",C266*I266)</f>
        <v>--</v>
      </c>
      <c r="K266" s="145" t="str">
        <f>IF(C266="NA","NA",VLOOKUP(build1_heat_mbh,hvac_oil_mid_cost_cl,IF(ss_cat="large",4,5)))</f>
        <v>NA</v>
      </c>
      <c r="L266" s="397"/>
      <c r="M266" s="34" t="str">
        <f>B255&amp;" - "&amp;B256&amp;" - "&amp;B261&amp;" - "&amp;B266</f>
        <v>Building Structures and HVAC - Building 1 - Heating System - Mid-efficiency oil furnace</v>
      </c>
      <c r="N266" s="530">
        <f t="shared" si="164"/>
        <v>0</v>
      </c>
      <c r="O266" s="530">
        <f t="shared" si="164"/>
        <v>0</v>
      </c>
      <c r="P266" s="530">
        <f t="shared" si="164"/>
        <v>0</v>
      </c>
      <c r="Q266" s="530">
        <f t="shared" si="164"/>
        <v>0</v>
      </c>
      <c r="R266" s="530">
        <f t="shared" si="164"/>
        <v>0</v>
      </c>
      <c r="S266" s="530">
        <f t="shared" si="164"/>
        <v>0</v>
      </c>
      <c r="T266" s="530">
        <f t="shared" si="164"/>
        <v>0</v>
      </c>
      <c r="U266" s="530">
        <f t="shared" si="164"/>
        <v>0</v>
      </c>
      <c r="V266" s="530">
        <f t="shared" si="164"/>
        <v>0</v>
      </c>
      <c r="W266" s="573">
        <v>0</v>
      </c>
      <c r="X266" s="621">
        <f t="shared" si="165"/>
        <v>0</v>
      </c>
      <c r="Y266" s="621">
        <f t="shared" si="165"/>
        <v>0</v>
      </c>
      <c r="Z266" s="621">
        <f t="shared" si="165"/>
        <v>0</v>
      </c>
      <c r="AA266" s="621">
        <f t="shared" si="165"/>
        <v>0</v>
      </c>
      <c r="AB266" s="621">
        <f t="shared" si="165"/>
        <v>0</v>
      </c>
      <c r="AC266" s="621">
        <f t="shared" si="165"/>
        <v>0</v>
      </c>
      <c r="AD266" s="621">
        <f t="shared" si="165"/>
        <v>0</v>
      </c>
      <c r="AE266" s="621">
        <f t="shared" si="165"/>
        <v>0</v>
      </c>
      <c r="AF266" s="621">
        <f t="shared" si="165"/>
        <v>0</v>
      </c>
      <c r="AG266">
        <f t="shared" si="140"/>
        <v>0</v>
      </c>
      <c r="AH266">
        <f t="shared" si="141"/>
        <v>0</v>
      </c>
      <c r="AI266"/>
    </row>
    <row r="267" spans="1:36" customFormat="1">
      <c r="A267" s="247" t="s">
        <v>2498</v>
      </c>
      <c r="B267" s="864" t="str">
        <f>IF(build1_heat="heat pump","Heating and ","")&amp;"Cooling System"</f>
        <v>Cooling System</v>
      </c>
      <c r="C267" s="292"/>
      <c r="D267" s="868"/>
      <c r="E267" s="292"/>
      <c r="F267" s="868"/>
      <c r="G267" s="292"/>
      <c r="H267" s="868"/>
      <c r="I267" s="292"/>
      <c r="J267" s="292"/>
      <c r="K267" s="292"/>
      <c r="L267" s="250"/>
      <c r="N267" s="530"/>
      <c r="O267" s="530"/>
      <c r="P267" s="530"/>
      <c r="Q267" s="530"/>
      <c r="R267" s="530"/>
      <c r="S267" s="530"/>
      <c r="T267" s="530"/>
      <c r="U267" s="530"/>
      <c r="V267" s="530"/>
      <c r="W267" s="573"/>
      <c r="X267" s="6"/>
      <c r="Y267" s="6"/>
      <c r="Z267" s="6"/>
      <c r="AA267" s="6"/>
      <c r="AB267" s="6"/>
      <c r="AC267" s="6"/>
      <c r="AD267" s="6"/>
      <c r="AE267" s="6"/>
      <c r="AF267" s="6"/>
      <c r="AG267">
        <f t="shared" si="140"/>
        <v>0</v>
      </c>
      <c r="AH267">
        <f t="shared" si="141"/>
        <v>0</v>
      </c>
      <c r="AJ267" s="6"/>
    </row>
    <row r="268" spans="1:36">
      <c r="A268" s="615" t="s">
        <v>2499</v>
      </c>
      <c r="B268" s="616" t="s">
        <v>1205</v>
      </c>
      <c r="C268" s="617" t="str">
        <f>IF(build1_need_cool,build1_zones,"NA")</f>
        <v>NA</v>
      </c>
      <c r="D268" s="623" t="str">
        <f>IF(C268="NA","","zones")</f>
        <v/>
      </c>
      <c r="E268" s="625" t="str">
        <f>IF(C268="NA","NA",build1_cooling_tons)</f>
        <v>NA</v>
      </c>
      <c r="F268" s="618" t="str">
        <f>IF(C268="NA","","tons")</f>
        <v/>
      </c>
      <c r="G268" s="625" t="str">
        <f>IF(C268="NA","NA",IF(curve=1,build1_cooling_tons,VLOOKUP(build1_cooling_tons,hvac_ac_cost_cl,2)))</f>
        <v>NA</v>
      </c>
      <c r="H268" s="618" t="str">
        <f>IF(C268="NA","","tons")</f>
        <v/>
      </c>
      <c r="I268" s="624" t="str">
        <f>IF(C268="NA","NA",IF(curve=1,hvac_ac_eq_1,VLOOKUP(build1_cooling_tons,hvac_ac_cost_cl,3)))</f>
        <v>NA</v>
      </c>
      <c r="J268" s="620" t="str">
        <f>IF(OR(I268="NA",I268="contact vendor"),"--",C268*I268)</f>
        <v>--</v>
      </c>
      <c r="K268" s="145" t="str">
        <f>IF(C268="NA","NA",VLOOKUP(build1_cooling_tons,hvac_ac_cost_cl,IF(ss_cat="large",4,5)))</f>
        <v>NA</v>
      </c>
      <c r="L268" s="397"/>
      <c r="M268" s="34" t="str">
        <f>B255&amp;" - "&amp;B256&amp;" - "&amp;B267&amp;" - "&amp;B268</f>
        <v>Building Structures and HVAC - Building 1 - Cooling System - Air conditioner</v>
      </c>
      <c r="N268" s="530">
        <f t="shared" ref="N268:V269" si="166">IF(include_buildings=0,0,IF(retrofit=1,$W268*X268,IF(ISBLANK(X268),"",X268)))</f>
        <v>0</v>
      </c>
      <c r="O268" s="530">
        <f t="shared" si="166"/>
        <v>0</v>
      </c>
      <c r="P268" s="530">
        <f t="shared" si="166"/>
        <v>0</v>
      </c>
      <c r="Q268" s="530">
        <f t="shared" si="166"/>
        <v>0</v>
      </c>
      <c r="R268" s="530">
        <f t="shared" si="166"/>
        <v>0</v>
      </c>
      <c r="S268" s="530">
        <f t="shared" si="166"/>
        <v>0</v>
      </c>
      <c r="T268" s="530">
        <f t="shared" si="166"/>
        <v>0</v>
      </c>
      <c r="U268" s="530">
        <f t="shared" si="166"/>
        <v>0</v>
      </c>
      <c r="V268" s="530">
        <f t="shared" si="166"/>
        <v>0</v>
      </c>
      <c r="W268" s="573">
        <v>0</v>
      </c>
      <c r="X268" s="621">
        <f t="shared" ref="X268:AF269" si="167">IF(build1_cool=$B268,1,0)</f>
        <v>0</v>
      </c>
      <c r="Y268" s="621">
        <f t="shared" si="167"/>
        <v>0</v>
      </c>
      <c r="Z268" s="621">
        <f t="shared" si="167"/>
        <v>0</v>
      </c>
      <c r="AA268" s="621">
        <f t="shared" si="167"/>
        <v>0</v>
      </c>
      <c r="AB268" s="621">
        <f t="shared" si="167"/>
        <v>0</v>
      </c>
      <c r="AC268" s="621">
        <f t="shared" si="167"/>
        <v>0</v>
      </c>
      <c r="AD268" s="621">
        <f t="shared" si="167"/>
        <v>0</v>
      </c>
      <c r="AE268" s="621">
        <f t="shared" si="167"/>
        <v>0</v>
      </c>
      <c r="AF268" s="621">
        <f t="shared" si="167"/>
        <v>0</v>
      </c>
      <c r="AG268">
        <f t="shared" si="140"/>
        <v>0</v>
      </c>
      <c r="AH268">
        <f t="shared" si="141"/>
        <v>0</v>
      </c>
      <c r="AI268"/>
    </row>
    <row r="269" spans="1:36">
      <c r="A269" s="615" t="s">
        <v>2499</v>
      </c>
      <c r="B269" s="616" t="s">
        <v>654</v>
      </c>
      <c r="C269" s="617" t="str">
        <f>IF(AND(hp_ok_1,build1_need_cool),build1_zones,"NA")</f>
        <v>NA</v>
      </c>
      <c r="D269" s="623" t="str">
        <f>IF(C269="NA","","zones")</f>
        <v/>
      </c>
      <c r="E269" s="625" t="str">
        <f>IF(C269="NA","NA",build1_cooling_tons)</f>
        <v>NA</v>
      </c>
      <c r="F269" s="618" t="str">
        <f>IF(C269="NA","","tons")</f>
        <v/>
      </c>
      <c r="G269" s="625" t="str">
        <f>IF(C269="NA","NA",IF(curve=1,build1_cooling_tons,VLOOKUP(build1_cooling_tons,hvac_hp_cost_cl,2)))</f>
        <v>NA</v>
      </c>
      <c r="H269" s="618" t="str">
        <f>IF(C269="NA","","tons")</f>
        <v/>
      </c>
      <c r="I269" s="624" t="str">
        <f>IF(C269="NA","NA",IF(curve=1,hvac_hp_eq_1,VLOOKUP(build1_cooling_tons,hvac_hp_cost_cl,3)))</f>
        <v>NA</v>
      </c>
      <c r="J269" s="620" t="str">
        <f>IF(OR(I269="NA",I269="contact vendor"),"--",C269*I269)</f>
        <v>--</v>
      </c>
      <c r="K269" s="145" t="str">
        <f>IF(C269="NA","NA",VLOOKUP(build1_cooling_tons,hvac_hp_cost_cl,IF(ss_cat="large",4,5)))</f>
        <v>NA</v>
      </c>
      <c r="L269" s="397"/>
      <c r="M269" s="34" t="str">
        <f>B255&amp;" - "&amp;B256&amp;" - "&amp;B267&amp;" - "&amp;B269</f>
        <v>Building Structures and HVAC - Building 1 - Cooling System - Heat pump</v>
      </c>
      <c r="N269" s="530">
        <f t="shared" si="166"/>
        <v>0</v>
      </c>
      <c r="O269" s="530">
        <f t="shared" si="166"/>
        <v>0</v>
      </c>
      <c r="P269" s="530">
        <f t="shared" si="166"/>
        <v>0</v>
      </c>
      <c r="Q269" s="530">
        <f t="shared" si="166"/>
        <v>0</v>
      </c>
      <c r="R269" s="530">
        <f t="shared" si="166"/>
        <v>0</v>
      </c>
      <c r="S269" s="530">
        <f t="shared" si="166"/>
        <v>0</v>
      </c>
      <c r="T269" s="530">
        <f t="shared" si="166"/>
        <v>0</v>
      </c>
      <c r="U269" s="530">
        <f t="shared" si="166"/>
        <v>0</v>
      </c>
      <c r="V269" s="530">
        <f t="shared" si="166"/>
        <v>0</v>
      </c>
      <c r="W269" s="573">
        <v>0</v>
      </c>
      <c r="X269" s="621">
        <f t="shared" si="167"/>
        <v>0</v>
      </c>
      <c r="Y269" s="621">
        <f t="shared" si="167"/>
        <v>0</v>
      </c>
      <c r="Z269" s="621">
        <f t="shared" si="167"/>
        <v>0</v>
      </c>
      <c r="AA269" s="621">
        <f t="shared" si="167"/>
        <v>0</v>
      </c>
      <c r="AB269" s="621">
        <f t="shared" si="167"/>
        <v>0</v>
      </c>
      <c r="AC269" s="621">
        <f t="shared" si="167"/>
        <v>0</v>
      </c>
      <c r="AD269" s="621">
        <f t="shared" si="167"/>
        <v>0</v>
      </c>
      <c r="AE269" s="621">
        <f t="shared" si="167"/>
        <v>0</v>
      </c>
      <c r="AF269" s="621">
        <f t="shared" si="167"/>
        <v>0</v>
      </c>
      <c r="AG269">
        <f t="shared" si="140"/>
        <v>0</v>
      </c>
      <c r="AH269">
        <f t="shared" si="141"/>
        <v>0</v>
      </c>
      <c r="AI269"/>
    </row>
    <row r="270" spans="1:36" customFormat="1">
      <c r="A270" s="247">
        <v>14.2</v>
      </c>
      <c r="B270" s="614" t="s">
        <v>431</v>
      </c>
      <c r="C270" s="292"/>
      <c r="D270" s="868"/>
      <c r="E270" s="292"/>
      <c r="F270" s="868"/>
      <c r="G270" s="292"/>
      <c r="H270" s="868"/>
      <c r="I270" s="292"/>
      <c r="J270" s="292"/>
      <c r="K270" s="292"/>
      <c r="L270" s="250"/>
      <c r="N270" s="530"/>
      <c r="O270" s="530"/>
      <c r="P270" s="530"/>
      <c r="Q270" s="530"/>
      <c r="R270" s="530"/>
      <c r="S270" s="530"/>
      <c r="T270" s="530"/>
      <c r="U270" s="530"/>
      <c r="V270" s="530"/>
      <c r="W270" s="573"/>
      <c r="X270" s="6"/>
      <c r="Y270" s="6"/>
      <c r="Z270" s="6"/>
      <c r="AA270" s="6"/>
      <c r="AB270" s="6"/>
      <c r="AC270" s="6"/>
      <c r="AD270" s="6"/>
      <c r="AE270" s="6"/>
      <c r="AF270" s="6"/>
      <c r="AG270">
        <f t="shared" si="140"/>
        <v>0</v>
      </c>
      <c r="AH270">
        <f t="shared" si="141"/>
        <v>0</v>
      </c>
      <c r="AJ270" s="6"/>
    </row>
    <row r="271" spans="1:36">
      <c r="A271" s="615" t="s">
        <v>2500</v>
      </c>
      <c r="B271" s="616" t="s">
        <v>1281</v>
      </c>
      <c r="C271" s="617">
        <f>IF(AND(build2_fp&gt;0,build2_fp&lt;500),1,0)</f>
        <v>0</v>
      </c>
      <c r="D271" s="618" t="s">
        <v>2305</v>
      </c>
      <c r="E271" s="670">
        <f>build2_fp</f>
        <v>0</v>
      </c>
      <c r="F271" s="618" t="s">
        <v>2977</v>
      </c>
      <c r="G271" s="670">
        <f>build2_fp</f>
        <v>0</v>
      </c>
      <c r="H271" s="618" t="s">
        <v>2977</v>
      </c>
      <c r="I271" s="619" t="str">
        <f>IF(C271=0,"NA",VLOOKUP(build2_fp,bldg_shed_cost_cl,3))</f>
        <v>NA</v>
      </c>
      <c r="J271" s="620" t="str">
        <f>IF(OR(I271="NA",I271="contact vendor"),"--",G271*I271)</f>
        <v>--</v>
      </c>
      <c r="K271" s="145" t="str">
        <f>IF($C271=0,"N/A",VLOOKUP(build2_fp,bldg_shed_cost_cl,IF(ss_cat="large",4,5)))</f>
        <v>N/A</v>
      </c>
      <c r="L271" s="397"/>
      <c r="M271" s="34" t="str">
        <f>B255&amp;" - "&amp;B270&amp;" - "&amp;B271</f>
        <v>Building Structures and HVAC - Building 2 - Small Low Cost Shed</v>
      </c>
      <c r="N271" s="530">
        <f t="shared" si="154"/>
        <v>0</v>
      </c>
      <c r="O271" s="530">
        <f t="shared" si="155"/>
        <v>0</v>
      </c>
      <c r="P271" s="530">
        <f t="shared" si="156"/>
        <v>0</v>
      </c>
      <c r="Q271" s="530">
        <f t="shared" si="157"/>
        <v>0</v>
      </c>
      <c r="R271" s="530">
        <f t="shared" si="158"/>
        <v>0</v>
      </c>
      <c r="S271" s="530">
        <f t="shared" si="159"/>
        <v>0</v>
      </c>
      <c r="T271" s="530">
        <f t="shared" si="160"/>
        <v>0</v>
      </c>
      <c r="U271" s="530">
        <f t="shared" si="161"/>
        <v>0</v>
      </c>
      <c r="V271" s="530">
        <f t="shared" si="162"/>
        <v>0</v>
      </c>
      <c r="W271" s="573">
        <v>0</v>
      </c>
      <c r="X271" s="621">
        <f t="shared" ref="X271:AF271" si="168">IF(include_buildings=1,2,0)</f>
        <v>0</v>
      </c>
      <c r="Y271" s="621">
        <f t="shared" si="168"/>
        <v>0</v>
      </c>
      <c r="Z271" s="621">
        <f t="shared" si="168"/>
        <v>0</v>
      </c>
      <c r="AA271" s="621">
        <f t="shared" si="168"/>
        <v>0</v>
      </c>
      <c r="AB271" s="621">
        <f t="shared" si="168"/>
        <v>0</v>
      </c>
      <c r="AC271" s="621">
        <f t="shared" si="168"/>
        <v>0</v>
      </c>
      <c r="AD271" s="621">
        <f t="shared" si="168"/>
        <v>0</v>
      </c>
      <c r="AE271" s="621">
        <f t="shared" si="168"/>
        <v>0</v>
      </c>
      <c r="AF271" s="621">
        <f t="shared" si="168"/>
        <v>0</v>
      </c>
      <c r="AG271">
        <f t="shared" si="140"/>
        <v>0</v>
      </c>
      <c r="AH271">
        <f t="shared" si="141"/>
        <v>0</v>
      </c>
      <c r="AI271"/>
      <c r="AJ271" s="6">
        <f>IF(AG271,K271,0)</f>
        <v>0</v>
      </c>
    </row>
    <row r="272" spans="1:36">
      <c r="A272" s="615" t="s">
        <v>2500</v>
      </c>
      <c r="B272" s="616" t="s">
        <v>1282</v>
      </c>
      <c r="C272" s="617">
        <f>IF(build2_fp&gt;=500,1,0)</f>
        <v>0</v>
      </c>
      <c r="D272" s="618" t="s">
        <v>2305</v>
      </c>
      <c r="E272" s="670">
        <f>build2_fp</f>
        <v>0</v>
      </c>
      <c r="F272" s="618" t="s">
        <v>2977</v>
      </c>
      <c r="G272" s="670">
        <f>build2_fp</f>
        <v>0</v>
      </c>
      <c r="H272" s="618" t="s">
        <v>2977</v>
      </c>
      <c r="I272" s="619" t="str">
        <f>IF(C272=0,"NA",IF(curve=1,bldg_lo_eq_2,VLOOKUP(build2_fp, bldg_lo_cost_cl,3)))</f>
        <v>NA</v>
      </c>
      <c r="J272" s="620" t="str">
        <f>IF(OR(I272="NA",I272="contact vendor"),"--",G272*I272)</f>
        <v>--</v>
      </c>
      <c r="K272" s="145" t="str">
        <f>IF($C272=0,"N/A",VLOOKUP(build2_fp,bldg_lo_cost_cl,IF(ss_cat="large",4,5)))</f>
        <v>N/A</v>
      </c>
      <c r="L272" s="397"/>
      <c r="M272" s="34" t="str">
        <f>B255&amp;" - "&amp;B270&amp;" - "&amp;B272</f>
        <v>Building Structures and HVAC - Building 2 - Low Quality</v>
      </c>
      <c r="N272" s="530">
        <f t="shared" si="154"/>
        <v>0</v>
      </c>
      <c r="O272" s="530" t="str">
        <f t="shared" si="155"/>
        <v/>
      </c>
      <c r="P272" s="530" t="str">
        <f t="shared" si="156"/>
        <v/>
      </c>
      <c r="Q272" s="530">
        <f t="shared" si="157"/>
        <v>0</v>
      </c>
      <c r="R272" s="530" t="str">
        <f t="shared" si="158"/>
        <v/>
      </c>
      <c r="S272" s="530" t="str">
        <f t="shared" si="159"/>
        <v/>
      </c>
      <c r="T272" s="530">
        <f t="shared" si="160"/>
        <v>0</v>
      </c>
      <c r="U272" s="530" t="str">
        <f t="shared" si="161"/>
        <v/>
      </c>
      <c r="V272" s="530" t="str">
        <f t="shared" si="162"/>
        <v/>
      </c>
      <c r="W272" s="573">
        <v>0</v>
      </c>
      <c r="X272" s="621">
        <f>include_buildings</f>
        <v>0</v>
      </c>
      <c r="Y272" s="621"/>
      <c r="Z272" s="621"/>
      <c r="AA272" s="621">
        <f>include_buildings</f>
        <v>0</v>
      </c>
      <c r="AB272" s="621"/>
      <c r="AC272" s="622"/>
      <c r="AD272" s="621">
        <f>include_buildings</f>
        <v>0</v>
      </c>
      <c r="AE272" s="622"/>
      <c r="AF272" s="621"/>
      <c r="AG272">
        <f t="shared" si="140"/>
        <v>0</v>
      </c>
      <c r="AH272">
        <f t="shared" si="141"/>
        <v>0</v>
      </c>
      <c r="AI272"/>
      <c r="AJ272" s="6">
        <f>IF(AG272,K272,0)</f>
        <v>0</v>
      </c>
    </row>
    <row r="273" spans="1:36">
      <c r="A273" s="615" t="s">
        <v>2500</v>
      </c>
      <c r="B273" s="616" t="s">
        <v>1283</v>
      </c>
      <c r="C273" s="617">
        <f>IF(build2_fp&gt;=500,1,0)</f>
        <v>0</v>
      </c>
      <c r="D273" s="618" t="s">
        <v>2305</v>
      </c>
      <c r="E273" s="670">
        <f>build2_fp</f>
        <v>0</v>
      </c>
      <c r="F273" s="618" t="s">
        <v>2977</v>
      </c>
      <c r="G273" s="670">
        <f>build2_fp</f>
        <v>0</v>
      </c>
      <c r="H273" s="618" t="s">
        <v>2977</v>
      </c>
      <c r="I273" s="619" t="str">
        <f>IF(C273=0,"NA",IF(curve=1,bldg_mid_eq_2,VLOOKUP(build2_fp, bldg_mid_cost_cl,3)))</f>
        <v>NA</v>
      </c>
      <c r="J273" s="620" t="str">
        <f>IF(OR(I273="NA",I273="contact vendor"),"--",G273*I273)</f>
        <v>--</v>
      </c>
      <c r="K273" s="145" t="str">
        <f>IF($C273=0,"N/A",VLOOKUP(build2_fp,bldg_mid_cost_cl,IF(ss_cat="large",4,5)))</f>
        <v>N/A</v>
      </c>
      <c r="L273" s="397"/>
      <c r="M273" s="34" t="str">
        <f>B255&amp;" - "&amp;B270&amp;" - "&amp;B273</f>
        <v>Building Structures and HVAC - Building 2 - Medium Quality</v>
      </c>
      <c r="N273" s="530" t="str">
        <f t="shared" si="154"/>
        <v/>
      </c>
      <c r="O273" s="530">
        <f t="shared" si="155"/>
        <v>0</v>
      </c>
      <c r="P273" s="530" t="str">
        <f t="shared" si="156"/>
        <v/>
      </c>
      <c r="Q273" s="530" t="str">
        <f t="shared" si="157"/>
        <v/>
      </c>
      <c r="R273" s="530">
        <f t="shared" si="158"/>
        <v>0</v>
      </c>
      <c r="S273" s="530" t="str">
        <f t="shared" si="159"/>
        <v/>
      </c>
      <c r="T273" s="530" t="str">
        <f t="shared" si="160"/>
        <v/>
      </c>
      <c r="U273" s="530">
        <f t="shared" si="161"/>
        <v>0</v>
      </c>
      <c r="V273" s="530" t="str">
        <f t="shared" si="162"/>
        <v/>
      </c>
      <c r="W273" s="573">
        <v>0</v>
      </c>
      <c r="X273" s="621"/>
      <c r="Y273" s="621">
        <f>include_buildings</f>
        <v>0</v>
      </c>
      <c r="Z273" s="621"/>
      <c r="AA273" s="621"/>
      <c r="AB273" s="621">
        <f>include_buildings</f>
        <v>0</v>
      </c>
      <c r="AC273" s="622"/>
      <c r="AD273" s="622"/>
      <c r="AE273" s="621">
        <f>include_buildings</f>
        <v>0</v>
      </c>
      <c r="AF273" s="621"/>
      <c r="AG273">
        <f t="shared" si="140"/>
        <v>0</v>
      </c>
      <c r="AH273">
        <f t="shared" si="141"/>
        <v>0</v>
      </c>
      <c r="AI273"/>
      <c r="AJ273" s="6">
        <f>IF(AG273,K273,0)</f>
        <v>0</v>
      </c>
    </row>
    <row r="274" spans="1:36">
      <c r="A274" s="615" t="s">
        <v>2500</v>
      </c>
      <c r="B274" s="616" t="s">
        <v>1284</v>
      </c>
      <c r="C274" s="617">
        <f>IF(build2_fp&gt;=500,1,0)</f>
        <v>0</v>
      </c>
      <c r="D274" s="618" t="s">
        <v>2305</v>
      </c>
      <c r="E274" s="670">
        <f>build2_fp</f>
        <v>0</v>
      </c>
      <c r="F274" s="618" t="s">
        <v>2977</v>
      </c>
      <c r="G274" s="670">
        <f>build2_fp</f>
        <v>0</v>
      </c>
      <c r="H274" s="618" t="s">
        <v>2977</v>
      </c>
      <c r="I274" s="619" t="str">
        <f>IF(C274=0,"NA",IF(curve=1,bldg_hi_eq_2,VLOOKUP(build2_fp, bldg_hi_cost_cl,3)))</f>
        <v>NA</v>
      </c>
      <c r="J274" s="620" t="str">
        <f>IF(OR(I274="NA",I274="contact vendor"),"--",G274*I274)</f>
        <v>--</v>
      </c>
      <c r="K274" s="145" t="str">
        <f>IF($C274=0,"N/A",VLOOKUP(build2_fp,bldg_hi_cost_cl,IF(ss_cat="large",4,5)))</f>
        <v>N/A</v>
      </c>
      <c r="L274" s="397"/>
      <c r="M274" s="34" t="str">
        <f>B255&amp;" - "&amp;B270&amp;" - "&amp;B274</f>
        <v>Building Structures and HVAC - Building 2 - High Quality</v>
      </c>
      <c r="N274" s="530" t="str">
        <f t="shared" si="154"/>
        <v/>
      </c>
      <c r="O274" s="530" t="str">
        <f t="shared" si="155"/>
        <v/>
      </c>
      <c r="P274" s="530">
        <f t="shared" si="156"/>
        <v>0</v>
      </c>
      <c r="Q274" s="530" t="str">
        <f t="shared" si="157"/>
        <v/>
      </c>
      <c r="R274" s="530" t="str">
        <f t="shared" si="158"/>
        <v/>
      </c>
      <c r="S274" s="530">
        <f t="shared" si="159"/>
        <v>0</v>
      </c>
      <c r="T274" s="530" t="str">
        <f t="shared" si="160"/>
        <v/>
      </c>
      <c r="U274" s="530" t="str">
        <f t="shared" si="161"/>
        <v/>
      </c>
      <c r="V274" s="530">
        <f t="shared" si="162"/>
        <v>0</v>
      </c>
      <c r="W274" s="573">
        <v>0</v>
      </c>
      <c r="X274" s="621"/>
      <c r="Y274" s="621"/>
      <c r="Z274" s="621">
        <f>include_buildings</f>
        <v>0</v>
      </c>
      <c r="AA274" s="621"/>
      <c r="AB274" s="621"/>
      <c r="AC274" s="621">
        <f>include_buildings</f>
        <v>0</v>
      </c>
      <c r="AD274" s="622"/>
      <c r="AE274" s="622"/>
      <c r="AF274" s="621">
        <f>include_buildings</f>
        <v>0</v>
      </c>
      <c r="AG274">
        <f t="shared" si="140"/>
        <v>0</v>
      </c>
      <c r="AH274">
        <f t="shared" si="141"/>
        <v>0</v>
      </c>
      <c r="AI274"/>
      <c r="AJ274" s="6">
        <f>IF(AG274,K274,0)</f>
        <v>0</v>
      </c>
    </row>
    <row r="275" spans="1:36" customFormat="1">
      <c r="A275" s="247" t="s">
        <v>2501</v>
      </c>
      <c r="B275" s="864" t="str">
        <f>"Heating System"&amp;IF(build2_heat="heat pump"," (included with cooling system)","")</f>
        <v>Heating System</v>
      </c>
      <c r="C275" s="292"/>
      <c r="D275" s="868"/>
      <c r="E275" s="292"/>
      <c r="F275" s="868"/>
      <c r="G275" s="292"/>
      <c r="H275" s="868"/>
      <c r="I275" s="292"/>
      <c r="J275" s="292"/>
      <c r="K275" s="292"/>
      <c r="L275" s="250"/>
      <c r="N275" s="530"/>
      <c r="O275" s="530"/>
      <c r="P275" s="530"/>
      <c r="Q275" s="530"/>
      <c r="R275" s="530"/>
      <c r="S275" s="530"/>
      <c r="T275" s="530"/>
      <c r="U275" s="530"/>
      <c r="V275" s="530"/>
      <c r="W275" s="573"/>
      <c r="X275" s="6"/>
      <c r="Y275" s="6"/>
      <c r="Z275" s="6"/>
      <c r="AA275" s="6"/>
      <c r="AB275" s="6"/>
      <c r="AC275" s="6"/>
      <c r="AD275" s="6"/>
      <c r="AE275" s="6"/>
      <c r="AF275" s="6"/>
      <c r="AG275">
        <f t="shared" si="140"/>
        <v>0</v>
      </c>
      <c r="AH275">
        <f t="shared" si="141"/>
        <v>0</v>
      </c>
      <c r="AJ275" s="6"/>
    </row>
    <row r="276" spans="1:36">
      <c r="A276" s="615" t="s">
        <v>2502</v>
      </c>
      <c r="B276" s="616" t="s">
        <v>1731</v>
      </c>
      <c r="C276" s="617" t="str">
        <f>IF(build2_heat="heat pump","NA",IF(build2_need_heat,build2_zones,"NA"))</f>
        <v>NA</v>
      </c>
      <c r="D276" s="623" t="str">
        <f>IF(C276="NA","","zones")</f>
        <v/>
      </c>
      <c r="E276" s="405" t="str">
        <f>IF(C276="NA","NA",build2_heat_mbh)</f>
        <v>NA</v>
      </c>
      <c r="F276" s="618" t="str">
        <f>IF(C276="NA","","MBH")</f>
        <v/>
      </c>
      <c r="G276" s="405" t="str">
        <f>IF(C276="NA","NA",IF(curve=1,build2_heat_mbh,VLOOKUP(build2_heat_mbh,hvac_elec_cost_cl,2)))</f>
        <v>NA</v>
      </c>
      <c r="H276" s="618" t="str">
        <f>IF(C276="NA","","MBH")</f>
        <v/>
      </c>
      <c r="I276" s="624" t="str">
        <f>IF(C276="NA","NA",IF(curve=1,hvac_elec_eq_2,VLOOKUP(build2_heat_mbh,hvac_elec_cost_cl,3)))</f>
        <v>NA</v>
      </c>
      <c r="J276" s="620" t="str">
        <f>IF(OR(I276="NA",I276="contact vendor"),"--",C276*I276)</f>
        <v>--</v>
      </c>
      <c r="K276" s="145" t="str">
        <f>IF(C276="NA","NA",VLOOKUP(build2_heat_mbh,hvac_elec_cost_cl,IF(ss_cat="large",4,5)))</f>
        <v>NA</v>
      </c>
      <c r="L276" s="397"/>
      <c r="M276" s="34" t="str">
        <f>B255&amp;" - "&amp;B270&amp;" - "&amp;B275&amp;" - "&amp;B276</f>
        <v>Building Structures and HVAC - Building 2 - Heating System - Electric resistance</v>
      </c>
      <c r="N276" s="530">
        <f t="shared" ref="N276:V280" si="169">IF(include_buildings=0,0,IF(retrofit=1,$W276*X276,IF(ISBLANK(X276),"",X276)))</f>
        <v>0</v>
      </c>
      <c r="O276" s="530">
        <f t="shared" si="169"/>
        <v>0</v>
      </c>
      <c r="P276" s="530">
        <f t="shared" si="169"/>
        <v>0</v>
      </c>
      <c r="Q276" s="530">
        <f t="shared" si="169"/>
        <v>0</v>
      </c>
      <c r="R276" s="530">
        <f t="shared" si="169"/>
        <v>0</v>
      </c>
      <c r="S276" s="530">
        <f t="shared" si="169"/>
        <v>0</v>
      </c>
      <c r="T276" s="530">
        <f t="shared" si="169"/>
        <v>0</v>
      </c>
      <c r="U276" s="530">
        <f t="shared" si="169"/>
        <v>0</v>
      </c>
      <c r="V276" s="530">
        <f t="shared" si="169"/>
        <v>0</v>
      </c>
      <c r="W276" s="573">
        <v>0</v>
      </c>
      <c r="X276" s="621">
        <f t="shared" ref="X276:AF280" si="170">IF(build2_heat=$B276,1,0)</f>
        <v>0</v>
      </c>
      <c r="Y276" s="621">
        <f t="shared" si="170"/>
        <v>0</v>
      </c>
      <c r="Z276" s="621">
        <f t="shared" si="170"/>
        <v>0</v>
      </c>
      <c r="AA276" s="621">
        <f t="shared" si="170"/>
        <v>0</v>
      </c>
      <c r="AB276" s="621">
        <f t="shared" si="170"/>
        <v>0</v>
      </c>
      <c r="AC276" s="621">
        <f t="shared" si="170"/>
        <v>0</v>
      </c>
      <c r="AD276" s="621">
        <f t="shared" si="170"/>
        <v>0</v>
      </c>
      <c r="AE276" s="621">
        <f t="shared" si="170"/>
        <v>0</v>
      </c>
      <c r="AF276" s="621">
        <f t="shared" si="170"/>
        <v>0</v>
      </c>
      <c r="AG276">
        <f t="shared" si="140"/>
        <v>0</v>
      </c>
      <c r="AH276">
        <f t="shared" si="141"/>
        <v>0</v>
      </c>
      <c r="AI276"/>
    </row>
    <row r="277" spans="1:36">
      <c r="A277" s="615" t="s">
        <v>2502</v>
      </c>
      <c r="B277" s="616" t="s">
        <v>779</v>
      </c>
      <c r="C277" s="617" t="str">
        <f>IF(build2_heat="heat pump","NA",IF(build2_need_heat,build2_zones,"NA"))</f>
        <v>NA</v>
      </c>
      <c r="D277" s="623" t="str">
        <f>IF(C277="NA","","zones")</f>
        <v/>
      </c>
      <c r="E277" s="405" t="str">
        <f>IF(C277="NA","NA",build2_heat_mbh)</f>
        <v>NA</v>
      </c>
      <c r="F277" s="618" t="str">
        <f>IF(C277="NA","","MBH")</f>
        <v/>
      </c>
      <c r="G277" s="405" t="str">
        <f>IF(C277="NA","NA",IF(curve=1,build2_heat_mbh,VLOOKUP(build2_heat_mbh,hvac_gas_non_cost_cl,2)))</f>
        <v>NA</v>
      </c>
      <c r="H277" s="618" t="str">
        <f>IF(C277="NA","","MBH")</f>
        <v/>
      </c>
      <c r="I277" s="624" t="str">
        <f>IF(C277="NA","NA",IF(curve=1,hvac_gas_non_eq_2,VLOOKUP(build2_heat_mbh,hvac_gas_non_cost_cl,3)))</f>
        <v>NA</v>
      </c>
      <c r="J277" s="620" t="str">
        <f>IF(OR(I277="NA",I277="contact vendor"),"--",C277*I277)</f>
        <v>--</v>
      </c>
      <c r="K277" s="145" t="str">
        <f>IF(C277="NA","NA",VLOOKUP(build2_heat_mbh,hvac_gas_non_cost_cl,IF(ss_cat="large",4,5)))</f>
        <v>NA</v>
      </c>
      <c r="L277" s="397"/>
      <c r="M277" s="34" t="str">
        <f>B255&amp;" - "&amp;B270&amp;" - "&amp;B275&amp;" - "&amp;B277</f>
        <v>Building Structures and HVAC - Building 2 - Heating System - Natural gas non-condensing furnace</v>
      </c>
      <c r="N277" s="530">
        <f t="shared" si="169"/>
        <v>0</v>
      </c>
      <c r="O277" s="530">
        <f t="shared" si="169"/>
        <v>0</v>
      </c>
      <c r="P277" s="530">
        <f t="shared" si="169"/>
        <v>0</v>
      </c>
      <c r="Q277" s="530">
        <f t="shared" si="169"/>
        <v>0</v>
      </c>
      <c r="R277" s="530">
        <f t="shared" si="169"/>
        <v>0</v>
      </c>
      <c r="S277" s="530">
        <f t="shared" si="169"/>
        <v>0</v>
      </c>
      <c r="T277" s="530">
        <f t="shared" si="169"/>
        <v>0</v>
      </c>
      <c r="U277" s="530">
        <f t="shared" si="169"/>
        <v>0</v>
      </c>
      <c r="V277" s="530">
        <f t="shared" si="169"/>
        <v>0</v>
      </c>
      <c r="W277" s="573">
        <v>0</v>
      </c>
      <c r="X277" s="621">
        <f t="shared" si="170"/>
        <v>0</v>
      </c>
      <c r="Y277" s="621">
        <f t="shared" si="170"/>
        <v>0</v>
      </c>
      <c r="Z277" s="621">
        <f t="shared" si="170"/>
        <v>0</v>
      </c>
      <c r="AA277" s="621">
        <f t="shared" si="170"/>
        <v>0</v>
      </c>
      <c r="AB277" s="621">
        <f t="shared" si="170"/>
        <v>0</v>
      </c>
      <c r="AC277" s="621">
        <f t="shared" si="170"/>
        <v>0</v>
      </c>
      <c r="AD277" s="621">
        <f t="shared" si="170"/>
        <v>0</v>
      </c>
      <c r="AE277" s="621">
        <f t="shared" si="170"/>
        <v>0</v>
      </c>
      <c r="AF277" s="621">
        <f t="shared" si="170"/>
        <v>0</v>
      </c>
      <c r="AG277">
        <f t="shared" si="140"/>
        <v>0</v>
      </c>
      <c r="AH277">
        <f t="shared" si="141"/>
        <v>0</v>
      </c>
      <c r="AI277"/>
    </row>
    <row r="278" spans="1:36">
      <c r="A278" s="615" t="s">
        <v>2502</v>
      </c>
      <c r="B278" s="616" t="s">
        <v>780</v>
      </c>
      <c r="C278" s="617" t="str">
        <f>IF(build2_heat="heat pump","NA",IF(build2_need_heat,build2_zones,"NA"))</f>
        <v>NA</v>
      </c>
      <c r="D278" s="623" t="str">
        <f>IF(C278="NA","","zones")</f>
        <v/>
      </c>
      <c r="E278" s="405" t="str">
        <f>IF(C278="NA","NA",build2_heat_mbh)</f>
        <v>NA</v>
      </c>
      <c r="F278" s="618" t="str">
        <f>IF(C278="NA","","MBH")</f>
        <v/>
      </c>
      <c r="G278" s="405" t="str">
        <f>IF(C278="NA","NA",IF(curve=1,build2_heat_mbh,VLOOKUP(build2_heat_mbh,hvac_gas_cost_cl,2)))</f>
        <v>NA</v>
      </c>
      <c r="H278" s="618" t="str">
        <f>IF(C278="NA","","MBH")</f>
        <v/>
      </c>
      <c r="I278" s="624" t="str">
        <f>IF(C278="NA","NA",IF(curve=1,hvac_gas_eq_2,VLOOKUP(build2_heat_mbh,hvac_gas_cost_cl,3)))</f>
        <v>NA</v>
      </c>
      <c r="J278" s="620" t="str">
        <f>IF(OR(I278="NA",I278="contact vendor"),"--",C278*I278)</f>
        <v>--</v>
      </c>
      <c r="K278" s="145" t="str">
        <f>IF(C278="NA","NA",VLOOKUP(build2_heat_mbh,hvac_gas_cost_cl,IF(ss_cat="large",4,5)))</f>
        <v>NA</v>
      </c>
      <c r="L278" s="397"/>
      <c r="M278" s="34" t="str">
        <f>B255&amp;" - "&amp;B270&amp;" - "&amp;B275&amp;" - "&amp;B278</f>
        <v>Building Structures and HVAC - Building 2 - Heating System - Natural gas condensing furnace</v>
      </c>
      <c r="N278" s="530">
        <f t="shared" si="169"/>
        <v>0</v>
      </c>
      <c r="O278" s="530">
        <f t="shared" si="169"/>
        <v>0</v>
      </c>
      <c r="P278" s="530">
        <f t="shared" si="169"/>
        <v>0</v>
      </c>
      <c r="Q278" s="530">
        <f t="shared" si="169"/>
        <v>0</v>
      </c>
      <c r="R278" s="530">
        <f t="shared" si="169"/>
        <v>0</v>
      </c>
      <c r="S278" s="530">
        <f t="shared" si="169"/>
        <v>0</v>
      </c>
      <c r="T278" s="530">
        <f t="shared" si="169"/>
        <v>0</v>
      </c>
      <c r="U278" s="530">
        <f t="shared" si="169"/>
        <v>0</v>
      </c>
      <c r="V278" s="530">
        <f t="shared" si="169"/>
        <v>0</v>
      </c>
      <c r="W278" s="573">
        <v>0</v>
      </c>
      <c r="X278" s="621">
        <f t="shared" si="170"/>
        <v>0</v>
      </c>
      <c r="Y278" s="621">
        <f t="shared" si="170"/>
        <v>0</v>
      </c>
      <c r="Z278" s="621">
        <f t="shared" si="170"/>
        <v>0</v>
      </c>
      <c r="AA278" s="621">
        <f t="shared" si="170"/>
        <v>0</v>
      </c>
      <c r="AB278" s="621">
        <f t="shared" si="170"/>
        <v>0</v>
      </c>
      <c r="AC278" s="621">
        <f t="shared" si="170"/>
        <v>0</v>
      </c>
      <c r="AD278" s="621">
        <f t="shared" si="170"/>
        <v>0</v>
      </c>
      <c r="AE278" s="621">
        <f t="shared" si="170"/>
        <v>0</v>
      </c>
      <c r="AF278" s="621">
        <f t="shared" si="170"/>
        <v>0</v>
      </c>
      <c r="AG278">
        <f t="shared" si="140"/>
        <v>0</v>
      </c>
      <c r="AH278">
        <f t="shared" si="141"/>
        <v>0</v>
      </c>
      <c r="AI278"/>
    </row>
    <row r="279" spans="1:36">
      <c r="A279" s="615" t="s">
        <v>2502</v>
      </c>
      <c r="B279" s="616" t="s">
        <v>1361</v>
      </c>
      <c r="C279" s="617" t="str">
        <f>IF(build2_heat="heat pump","NA",IF(build2_need_heat,build2_zones,"NA"))</f>
        <v>NA</v>
      </c>
      <c r="D279" s="623" t="str">
        <f>IF(C279="NA","","zones")</f>
        <v/>
      </c>
      <c r="E279" s="405" t="str">
        <f>IF(C279="NA","NA",build2_heat_mbh)</f>
        <v>NA</v>
      </c>
      <c r="F279" s="618" t="str">
        <f>IF(C279="NA","","MBH")</f>
        <v/>
      </c>
      <c r="G279" s="405" t="str">
        <f>IF(C279="NA","NA",IF(curve=1,build2_heat_mbh,VLOOKUP(E279,hvac_oil_std_cost_cl,2)))</f>
        <v>NA</v>
      </c>
      <c r="H279" s="618" t="str">
        <f>IF(C279="NA","","MBH")</f>
        <v/>
      </c>
      <c r="I279" s="624" t="str">
        <f>IF(C279="NA","NA",IF(curve=1,hvac_oil_std_eq_2,VLOOKUP(build2_heat_mbh,hvac_oil_std_cost_cl,3)))</f>
        <v>NA</v>
      </c>
      <c r="J279" s="620" t="str">
        <f>IF(OR(I279="NA",I279="contact vendor"),"--",C279*I279)</f>
        <v>--</v>
      </c>
      <c r="K279" s="145" t="str">
        <f>IF(C279="NA","NA",VLOOKUP(build2_heat_mbh,hvac_oil_std_cost_cl,IF(ss_cat="large",4,5)))</f>
        <v>NA</v>
      </c>
      <c r="L279" s="397"/>
      <c r="M279" s="34" t="str">
        <f>B255&amp;" - "&amp;B270&amp;" - "&amp;B275&amp;" - "&amp;B279</f>
        <v>Building Structures and HVAC - Building 2 - Heating System - Standard efficiency oil furnace</v>
      </c>
      <c r="N279" s="530">
        <f t="shared" si="169"/>
        <v>0</v>
      </c>
      <c r="O279" s="530">
        <f t="shared" si="169"/>
        <v>0</v>
      </c>
      <c r="P279" s="530">
        <f t="shared" si="169"/>
        <v>0</v>
      </c>
      <c r="Q279" s="530">
        <f t="shared" si="169"/>
        <v>0</v>
      </c>
      <c r="R279" s="530">
        <f t="shared" si="169"/>
        <v>0</v>
      </c>
      <c r="S279" s="530">
        <f t="shared" si="169"/>
        <v>0</v>
      </c>
      <c r="T279" s="530">
        <f t="shared" si="169"/>
        <v>0</v>
      </c>
      <c r="U279" s="530">
        <f t="shared" si="169"/>
        <v>0</v>
      </c>
      <c r="V279" s="530">
        <f t="shared" si="169"/>
        <v>0</v>
      </c>
      <c r="W279" s="573">
        <v>0</v>
      </c>
      <c r="X279" s="621">
        <f t="shared" si="170"/>
        <v>0</v>
      </c>
      <c r="Y279" s="621">
        <f t="shared" si="170"/>
        <v>0</v>
      </c>
      <c r="Z279" s="621">
        <f t="shared" si="170"/>
        <v>0</v>
      </c>
      <c r="AA279" s="621">
        <f t="shared" si="170"/>
        <v>0</v>
      </c>
      <c r="AB279" s="621">
        <f t="shared" si="170"/>
        <v>0</v>
      </c>
      <c r="AC279" s="621">
        <f t="shared" si="170"/>
        <v>0</v>
      </c>
      <c r="AD279" s="621">
        <f t="shared" si="170"/>
        <v>0</v>
      </c>
      <c r="AE279" s="621">
        <f t="shared" si="170"/>
        <v>0</v>
      </c>
      <c r="AF279" s="621">
        <f t="shared" si="170"/>
        <v>0</v>
      </c>
      <c r="AG279">
        <f t="shared" si="140"/>
        <v>0</v>
      </c>
      <c r="AH279">
        <f t="shared" si="141"/>
        <v>0</v>
      </c>
      <c r="AI279"/>
    </row>
    <row r="280" spans="1:36">
      <c r="A280" s="615" t="s">
        <v>2502</v>
      </c>
      <c r="B280" s="616" t="s">
        <v>1362</v>
      </c>
      <c r="C280" s="617" t="str">
        <f>IF(build2_heat="heat pump","NA",IF(build2_need_heat,build2_zones,"NA"))</f>
        <v>NA</v>
      </c>
      <c r="D280" s="623" t="str">
        <f>IF(C280="NA","","zones")</f>
        <v/>
      </c>
      <c r="E280" s="405" t="str">
        <f>IF(C280="NA","NA",build2_heat_mbh)</f>
        <v>NA</v>
      </c>
      <c r="F280" s="618" t="str">
        <f>IF(C280="NA","","MBH")</f>
        <v/>
      </c>
      <c r="G280" s="405" t="str">
        <f>IF(C280="NA","NA",IF(curve=1,build2_heat_mbh,VLOOKUP(build2_heat_mbh,hvac_oil_mid_cost_cl,2)))</f>
        <v>NA</v>
      </c>
      <c r="H280" s="618" t="str">
        <f>IF(C280="NA","","MBH")</f>
        <v/>
      </c>
      <c r="I280" s="624" t="str">
        <f>IF(C280="NA","NA",IF(curve=1,hvac_oil_mid_eq_2,VLOOKUP(build2_heat_mbh,hvac_oil_mid_cost_cl,3)))</f>
        <v>NA</v>
      </c>
      <c r="J280" s="620" t="str">
        <f>IF(OR(I280="NA",I280="contact vendor"),"--",C280*I280)</f>
        <v>--</v>
      </c>
      <c r="K280" s="145" t="str">
        <f>IF(C280="NA","NA",VLOOKUP(build2_heat_mbh,hvac_oil_mid_cost_cl,IF(ss_cat="large",4,5)))</f>
        <v>NA</v>
      </c>
      <c r="L280" s="397"/>
      <c r="M280" s="34" t="str">
        <f>B255&amp;" - "&amp;B270&amp;" - "&amp;B275&amp;" - "&amp;B280</f>
        <v>Building Structures and HVAC - Building 2 - Heating System - Mid-efficiency oil furnace</v>
      </c>
      <c r="N280" s="530">
        <f t="shared" si="169"/>
        <v>0</v>
      </c>
      <c r="O280" s="530">
        <f t="shared" si="169"/>
        <v>0</v>
      </c>
      <c r="P280" s="530">
        <f t="shared" si="169"/>
        <v>0</v>
      </c>
      <c r="Q280" s="530">
        <f t="shared" si="169"/>
        <v>0</v>
      </c>
      <c r="R280" s="530">
        <f t="shared" si="169"/>
        <v>0</v>
      </c>
      <c r="S280" s="530">
        <f t="shared" si="169"/>
        <v>0</v>
      </c>
      <c r="T280" s="530">
        <f t="shared" si="169"/>
        <v>0</v>
      </c>
      <c r="U280" s="530">
        <f t="shared" si="169"/>
        <v>0</v>
      </c>
      <c r="V280" s="530">
        <f t="shared" si="169"/>
        <v>0</v>
      </c>
      <c r="W280" s="573">
        <v>0</v>
      </c>
      <c r="X280" s="621">
        <f t="shared" si="170"/>
        <v>0</v>
      </c>
      <c r="Y280" s="621">
        <f t="shared" si="170"/>
        <v>0</v>
      </c>
      <c r="Z280" s="621">
        <f t="shared" si="170"/>
        <v>0</v>
      </c>
      <c r="AA280" s="621">
        <f t="shared" si="170"/>
        <v>0</v>
      </c>
      <c r="AB280" s="621">
        <f t="shared" si="170"/>
        <v>0</v>
      </c>
      <c r="AC280" s="621">
        <f t="shared" si="170"/>
        <v>0</v>
      </c>
      <c r="AD280" s="621">
        <f t="shared" si="170"/>
        <v>0</v>
      </c>
      <c r="AE280" s="621">
        <f t="shared" si="170"/>
        <v>0</v>
      </c>
      <c r="AF280" s="621">
        <f t="shared" si="170"/>
        <v>0</v>
      </c>
      <c r="AG280">
        <f t="shared" si="140"/>
        <v>0</v>
      </c>
      <c r="AH280">
        <f t="shared" si="141"/>
        <v>0</v>
      </c>
      <c r="AI280"/>
    </row>
    <row r="281" spans="1:36" customFormat="1">
      <c r="A281" s="247" t="s">
        <v>2503</v>
      </c>
      <c r="B281" s="864" t="str">
        <f>IF(build2_heat="heat pump","Heating and ","")&amp;"Cooling System"</f>
        <v>Cooling System</v>
      </c>
      <c r="C281" s="292"/>
      <c r="D281" s="868"/>
      <c r="E281" s="292"/>
      <c r="F281" s="868"/>
      <c r="G281" s="292"/>
      <c r="H281" s="868"/>
      <c r="I281" s="292"/>
      <c r="J281" s="292"/>
      <c r="K281" s="292"/>
      <c r="L281" s="250"/>
      <c r="N281" s="530"/>
      <c r="O281" s="530"/>
      <c r="P281" s="530"/>
      <c r="Q281" s="530"/>
      <c r="R281" s="530"/>
      <c r="S281" s="530"/>
      <c r="T281" s="530"/>
      <c r="U281" s="530"/>
      <c r="V281" s="530"/>
      <c r="W281" s="573"/>
      <c r="X281" s="6"/>
      <c r="Y281" s="6"/>
      <c r="Z281" s="6"/>
      <c r="AA281" s="6"/>
      <c r="AB281" s="6"/>
      <c r="AC281" s="6"/>
      <c r="AD281" s="6"/>
      <c r="AE281" s="6"/>
      <c r="AF281" s="6"/>
      <c r="AG281">
        <f t="shared" si="140"/>
        <v>0</v>
      </c>
      <c r="AH281">
        <f t="shared" si="141"/>
        <v>0</v>
      </c>
      <c r="AJ281" s="6"/>
    </row>
    <row r="282" spans="1:36">
      <c r="A282" s="615" t="s">
        <v>2504</v>
      </c>
      <c r="B282" s="616" t="s">
        <v>1205</v>
      </c>
      <c r="C282" s="617" t="str">
        <f>IF(build2_need_cool,build2_zones,"NA")</f>
        <v>NA</v>
      </c>
      <c r="D282" s="623" t="str">
        <f>IF(C282="NA","","zones")</f>
        <v/>
      </c>
      <c r="E282" s="625" t="str">
        <f>IF(C282="NA","NA",build2_cooling_tons)</f>
        <v>NA</v>
      </c>
      <c r="F282" s="618" t="str">
        <f>IF(C282="NA","","tons")</f>
        <v/>
      </c>
      <c r="G282" s="625" t="str">
        <f>IF(C282="NA","NA",IF(curve=1,build2_cooling_tons,VLOOKUP(build2_cooling_tons,hvac_ac_cost_cl,2)))</f>
        <v>NA</v>
      </c>
      <c r="H282" s="618" t="str">
        <f>IF(C282="NA","","tons")</f>
        <v/>
      </c>
      <c r="I282" s="624" t="str">
        <f>IF(C282="NA","NA",IF(curve=1,hvac_ac_eq_2,VLOOKUP(build2_cooling_tons,hvac_ac_cost_cl,3)))</f>
        <v>NA</v>
      </c>
      <c r="J282" s="620" t="str">
        <f>IF(OR(I282="NA",I282="contact vendor"),"--",C282*I282)</f>
        <v>--</v>
      </c>
      <c r="K282" s="145" t="str">
        <f>IF(C282="NA","NA",VLOOKUP(build2_cooling_tons,hvac_ac_cost_cl,IF(ss_cat="large",4,5)))</f>
        <v>NA</v>
      </c>
      <c r="L282" s="397"/>
      <c r="M282" s="34" t="str">
        <f>B255&amp;" - "&amp;B270&amp;" - "&amp;B281&amp;" - "&amp;B282</f>
        <v>Building Structures and HVAC - Building 2 - Cooling System - Air conditioner</v>
      </c>
      <c r="N282" s="530">
        <f t="shared" ref="N282:V283" si="171">IF(include_buildings=0,0,IF(retrofit=1,$W282*X282,IF(ISBLANK(X282),"",X282)))</f>
        <v>0</v>
      </c>
      <c r="O282" s="530">
        <f t="shared" si="171"/>
        <v>0</v>
      </c>
      <c r="P282" s="530">
        <f t="shared" si="171"/>
        <v>0</v>
      </c>
      <c r="Q282" s="530">
        <f t="shared" si="171"/>
        <v>0</v>
      </c>
      <c r="R282" s="530">
        <f t="shared" si="171"/>
        <v>0</v>
      </c>
      <c r="S282" s="530">
        <f t="shared" si="171"/>
        <v>0</v>
      </c>
      <c r="T282" s="530">
        <f t="shared" si="171"/>
        <v>0</v>
      </c>
      <c r="U282" s="530">
        <f t="shared" si="171"/>
        <v>0</v>
      </c>
      <c r="V282" s="530">
        <f t="shared" si="171"/>
        <v>0</v>
      </c>
      <c r="W282" s="573">
        <v>0</v>
      </c>
      <c r="X282" s="621">
        <f t="shared" ref="X282:AF283" si="172">IF(build2_cool=$B282,1,0)</f>
        <v>0</v>
      </c>
      <c r="Y282" s="621">
        <f t="shared" si="172"/>
        <v>0</v>
      </c>
      <c r="Z282" s="621">
        <f t="shared" si="172"/>
        <v>0</v>
      </c>
      <c r="AA282" s="621">
        <f t="shared" si="172"/>
        <v>0</v>
      </c>
      <c r="AB282" s="621">
        <f t="shared" si="172"/>
        <v>0</v>
      </c>
      <c r="AC282" s="621">
        <f t="shared" si="172"/>
        <v>0</v>
      </c>
      <c r="AD282" s="621">
        <f t="shared" si="172"/>
        <v>0</v>
      </c>
      <c r="AE282" s="621">
        <f t="shared" si="172"/>
        <v>0</v>
      </c>
      <c r="AF282" s="621">
        <f t="shared" si="172"/>
        <v>0</v>
      </c>
      <c r="AG282">
        <f t="shared" si="140"/>
        <v>0</v>
      </c>
      <c r="AH282">
        <f t="shared" si="141"/>
        <v>0</v>
      </c>
      <c r="AI282"/>
    </row>
    <row r="283" spans="1:36">
      <c r="A283" s="615" t="s">
        <v>2504</v>
      </c>
      <c r="B283" s="616" t="s">
        <v>654</v>
      </c>
      <c r="C283" s="617" t="str">
        <f>IF(AND(hp_ok_2,build2_need_cool),build2_zones,"NA")</f>
        <v>NA</v>
      </c>
      <c r="D283" s="623" t="str">
        <f>IF(C283="NA","","zones")</f>
        <v/>
      </c>
      <c r="E283" s="625" t="str">
        <f>IF(C283="NA","NA",build2_cooling_tons)</f>
        <v>NA</v>
      </c>
      <c r="F283" s="618" t="str">
        <f>IF(C283="NA","","tons")</f>
        <v/>
      </c>
      <c r="G283" s="625" t="str">
        <f>IF(C283="NA","NA",IF(curve=1,build2_cooling_tons,VLOOKUP(build2_cooling_tons,hvac_hp_cost_cl,2)))</f>
        <v>NA</v>
      </c>
      <c r="H283" s="618" t="str">
        <f>IF(C283="NA","","tons")</f>
        <v/>
      </c>
      <c r="I283" s="624" t="str">
        <f>IF(C283="NA","NA",IF(curve=1,hvac_hp_eq_2,VLOOKUP(build2_cooling_tons,hvac_hp_cost_cl,3)))</f>
        <v>NA</v>
      </c>
      <c r="J283" s="620" t="str">
        <f>IF(OR(I283="NA",I283="contact vendor"),"--",C283*I283)</f>
        <v>--</v>
      </c>
      <c r="K283" s="145" t="str">
        <f>IF(C283="NA","NA",VLOOKUP(build2_cooling_tons,hvac_hp_cost_cl,IF(ss_cat="large",4,5)))</f>
        <v>NA</v>
      </c>
      <c r="L283" s="397"/>
      <c r="M283" s="34" t="str">
        <f>B255&amp;" - "&amp;B270&amp;" - "&amp;B281&amp;" - "&amp;B283</f>
        <v>Building Structures and HVAC - Building 2 - Cooling System - Heat pump</v>
      </c>
      <c r="N283" s="530">
        <f t="shared" si="171"/>
        <v>0</v>
      </c>
      <c r="O283" s="530">
        <f t="shared" si="171"/>
        <v>0</v>
      </c>
      <c r="P283" s="530">
        <f t="shared" si="171"/>
        <v>0</v>
      </c>
      <c r="Q283" s="530">
        <f t="shared" si="171"/>
        <v>0</v>
      </c>
      <c r="R283" s="530">
        <f t="shared" si="171"/>
        <v>0</v>
      </c>
      <c r="S283" s="530">
        <f t="shared" si="171"/>
        <v>0</v>
      </c>
      <c r="T283" s="530">
        <f t="shared" si="171"/>
        <v>0</v>
      </c>
      <c r="U283" s="530">
        <f t="shared" si="171"/>
        <v>0</v>
      </c>
      <c r="V283" s="530">
        <f t="shared" si="171"/>
        <v>0</v>
      </c>
      <c r="W283" s="573">
        <v>0</v>
      </c>
      <c r="X283" s="621">
        <f t="shared" si="172"/>
        <v>0</v>
      </c>
      <c r="Y283" s="621">
        <f t="shared" si="172"/>
        <v>0</v>
      </c>
      <c r="Z283" s="621">
        <f t="shared" si="172"/>
        <v>0</v>
      </c>
      <c r="AA283" s="621">
        <f t="shared" si="172"/>
        <v>0</v>
      </c>
      <c r="AB283" s="621">
        <f t="shared" si="172"/>
        <v>0</v>
      </c>
      <c r="AC283" s="621">
        <f t="shared" si="172"/>
        <v>0</v>
      </c>
      <c r="AD283" s="621">
        <f t="shared" si="172"/>
        <v>0</v>
      </c>
      <c r="AE283" s="621">
        <f t="shared" si="172"/>
        <v>0</v>
      </c>
      <c r="AF283" s="621">
        <f t="shared" si="172"/>
        <v>0</v>
      </c>
      <c r="AG283">
        <f t="shared" si="140"/>
        <v>0</v>
      </c>
      <c r="AH283">
        <f t="shared" si="141"/>
        <v>0</v>
      </c>
      <c r="AI283"/>
    </row>
    <row r="284" spans="1:36">
      <c r="A284" s="247" t="s">
        <v>2505</v>
      </c>
      <c r="B284" s="614" t="s">
        <v>213</v>
      </c>
      <c r="C284" s="245"/>
      <c r="D284" s="865"/>
      <c r="E284" s="245"/>
      <c r="F284" s="865"/>
      <c r="G284" s="245"/>
      <c r="H284" s="865"/>
      <c r="I284" s="245"/>
      <c r="J284" s="245"/>
      <c r="K284" s="245"/>
      <c r="L284" s="250"/>
      <c r="M284"/>
      <c r="N284"/>
      <c r="O284"/>
      <c r="P284"/>
      <c r="Q284"/>
      <c r="R284"/>
      <c r="S284"/>
      <c r="T284"/>
      <c r="U284"/>
      <c r="V284"/>
      <c r="W284"/>
      <c r="X284"/>
      <c r="Y284"/>
      <c r="Z284"/>
      <c r="AA284"/>
      <c r="AB284"/>
      <c r="AC284"/>
      <c r="AD284"/>
      <c r="AE284"/>
      <c r="AF284"/>
      <c r="AG284" s="537">
        <f t="shared" si="140"/>
        <v>0</v>
      </c>
      <c r="AH284" s="537">
        <f t="shared" si="141"/>
        <v>0</v>
      </c>
      <c r="AI284"/>
      <c r="AJ284"/>
    </row>
    <row r="285" spans="1:36">
      <c r="A285" s="615" t="s">
        <v>210</v>
      </c>
      <c r="B285" s="616" t="s">
        <v>1281</v>
      </c>
      <c r="C285" s="617">
        <f>IF(AND(r_new_furnace=1,r_inc_build1_fp&gt;0,build1_fp&lt;500),1,0)</f>
        <v>0</v>
      </c>
      <c r="D285" s="618" t="s">
        <v>2305</v>
      </c>
      <c r="E285" s="669">
        <f>IF($C285=0,0,r_inc_build1_fp)</f>
        <v>0</v>
      </c>
      <c r="F285" s="618" t="s">
        <v>2977</v>
      </c>
      <c r="G285" s="669">
        <f>IF($C285=0,0,r_inc_build1_fp)</f>
        <v>0</v>
      </c>
      <c r="H285" s="618" t="s">
        <v>2977</v>
      </c>
      <c r="I285" s="619" t="str">
        <f>IF(C285=0,"NA",VLOOKUP(r_inc_build1_fp,bldg_shed_cost_cl,3))</f>
        <v>NA</v>
      </c>
      <c r="J285" s="620" t="str">
        <f>IF(OR(I285="NA",I285="contact vendor"),"--",G285*I285)</f>
        <v>--</v>
      </c>
      <c r="K285" s="145" t="str">
        <f>IF($C285=0,"N/A",VLOOKUP(r_inc_build1_fp,bldg_shed_cost_cl,IF(ss_cat="large",4,5)))</f>
        <v>N/A</v>
      </c>
      <c r="L285" s="397"/>
      <c r="M285" s="34" t="str">
        <f>$B$255&amp;" - "&amp;$B$284&amp;" - "&amp;B285</f>
        <v>Building Structures and HVAC - Building 1 Addition/Incremental Useage (Retrofit) - Small Low Cost Shed</v>
      </c>
      <c r="N285" s="530">
        <f t="shared" ref="N285:V288" si="173">IF(retrofit=1,$W285*X285,IF(ISBLANK(X285),"",X285))</f>
        <v>0</v>
      </c>
      <c r="O285" s="530">
        <f t="shared" si="173"/>
        <v>0</v>
      </c>
      <c r="P285" s="530">
        <f t="shared" si="173"/>
        <v>0</v>
      </c>
      <c r="Q285" s="530">
        <f t="shared" si="173"/>
        <v>0</v>
      </c>
      <c r="R285" s="530">
        <f t="shared" si="173"/>
        <v>0</v>
      </c>
      <c r="S285" s="530">
        <f t="shared" si="173"/>
        <v>0</v>
      </c>
      <c r="T285" s="530">
        <f t="shared" si="173"/>
        <v>0</v>
      </c>
      <c r="U285" s="530">
        <f t="shared" si="173"/>
        <v>0</v>
      </c>
      <c r="V285" s="530">
        <f t="shared" si="173"/>
        <v>0</v>
      </c>
      <c r="W285" s="573">
        <v>1</v>
      </c>
      <c r="X285" s="621">
        <f t="shared" ref="X285:AF285" si="174">IF(include_buildings=1,2,0)</f>
        <v>0</v>
      </c>
      <c r="Y285" s="621">
        <f t="shared" si="174"/>
        <v>0</v>
      </c>
      <c r="Z285" s="621">
        <f t="shared" si="174"/>
        <v>0</v>
      </c>
      <c r="AA285" s="621">
        <f t="shared" si="174"/>
        <v>0</v>
      </c>
      <c r="AB285" s="621">
        <f t="shared" si="174"/>
        <v>0</v>
      </c>
      <c r="AC285" s="621">
        <f t="shared" si="174"/>
        <v>0</v>
      </c>
      <c r="AD285" s="621">
        <f t="shared" si="174"/>
        <v>0</v>
      </c>
      <c r="AE285" s="621">
        <f t="shared" si="174"/>
        <v>0</v>
      </c>
      <c r="AF285" s="621">
        <f t="shared" si="174"/>
        <v>0</v>
      </c>
      <c r="AG285" s="537">
        <f t="shared" si="140"/>
        <v>0</v>
      </c>
      <c r="AH285" s="537">
        <f t="shared" si="141"/>
        <v>0</v>
      </c>
      <c r="AI285"/>
      <c r="AJ285" s="6">
        <f>IF(AG285,K285,0)</f>
        <v>0</v>
      </c>
    </row>
    <row r="286" spans="1:36">
      <c r="A286" s="615" t="s">
        <v>210</v>
      </c>
      <c r="B286" s="616" t="s">
        <v>1282</v>
      </c>
      <c r="C286" s="617">
        <f>IF(AND(r_new_furnace=1,r_inc_build1_fp&gt;0,build1_fp&gt;=500),1,0)</f>
        <v>0</v>
      </c>
      <c r="D286" s="618" t="s">
        <v>2305</v>
      </c>
      <c r="E286" s="669">
        <f>IF($C286=0,0,r_inc_build1_fp)</f>
        <v>0</v>
      </c>
      <c r="F286" s="618" t="s">
        <v>2977</v>
      </c>
      <c r="G286" s="669">
        <f>IF($C286=0,0,r_inc_build1_fp)</f>
        <v>0</v>
      </c>
      <c r="H286" s="618" t="s">
        <v>2977</v>
      </c>
      <c r="I286" s="619" t="str">
        <f>IF(C286=0,"NA",IF(curve=1,bldg_lo_eq_1_r,VLOOKUP(r_inc_build1_fp, bldg_lo_cost_cl,3)))</f>
        <v>NA</v>
      </c>
      <c r="J286" s="620" t="str">
        <f>IF(OR(I286="NA",I286="contact vendor"),"--",G286*I286)</f>
        <v>--</v>
      </c>
      <c r="K286" s="145" t="str">
        <f>IF($C286=0,"N/A",VLOOKUP(r_inc_build1_fp,bldg_lo_cost_cl,IF(ss_cat="large",4,5)))</f>
        <v>N/A</v>
      </c>
      <c r="L286" s="397"/>
      <c r="M286" s="34" t="str">
        <f>$B$255&amp;" - "&amp;$B$284&amp;" - "&amp;B286</f>
        <v>Building Structures and HVAC - Building 1 Addition/Incremental Useage (Retrofit) - Low Quality</v>
      </c>
      <c r="N286" s="530">
        <f t="shared" si="173"/>
        <v>0</v>
      </c>
      <c r="O286" s="530" t="str">
        <f t="shared" si="173"/>
        <v/>
      </c>
      <c r="P286" s="530" t="str">
        <f t="shared" si="173"/>
        <v/>
      </c>
      <c r="Q286" s="530">
        <f t="shared" si="173"/>
        <v>0</v>
      </c>
      <c r="R286" s="530" t="str">
        <f t="shared" si="173"/>
        <v/>
      </c>
      <c r="S286" s="530" t="str">
        <f t="shared" si="173"/>
        <v/>
      </c>
      <c r="T286" s="530">
        <f t="shared" si="173"/>
        <v>0</v>
      </c>
      <c r="U286" s="530" t="str">
        <f t="shared" si="173"/>
        <v/>
      </c>
      <c r="V286" s="530" t="str">
        <f t="shared" si="173"/>
        <v/>
      </c>
      <c r="W286" s="573">
        <v>1</v>
      </c>
      <c r="X286" s="621">
        <f>include_buildings</f>
        <v>0</v>
      </c>
      <c r="Y286" s="621"/>
      <c r="Z286" s="621"/>
      <c r="AA286" s="621">
        <f>include_buildings</f>
        <v>0</v>
      </c>
      <c r="AB286" s="621"/>
      <c r="AC286" s="622"/>
      <c r="AD286" s="621">
        <f>include_buildings</f>
        <v>0</v>
      </c>
      <c r="AE286" s="622"/>
      <c r="AF286" s="621"/>
      <c r="AG286">
        <f t="shared" si="140"/>
        <v>0</v>
      </c>
      <c r="AH286">
        <f t="shared" si="141"/>
        <v>0</v>
      </c>
      <c r="AI286"/>
      <c r="AJ286" s="6">
        <f>IF(AG286,K286,0)</f>
        <v>0</v>
      </c>
    </row>
    <row r="287" spans="1:36">
      <c r="A287" s="615" t="s">
        <v>210</v>
      </c>
      <c r="B287" s="616" t="s">
        <v>1283</v>
      </c>
      <c r="C287" s="617">
        <f>IF(AND(r_new_furnace=1,r_inc_build1_fp&gt;0,build1_fp&gt;=500),1,0)</f>
        <v>0</v>
      </c>
      <c r="D287" s="618" t="s">
        <v>2305</v>
      </c>
      <c r="E287" s="669">
        <f>IF($C287=0,0,r_inc_build1_fp)</f>
        <v>0</v>
      </c>
      <c r="F287" s="618" t="s">
        <v>2977</v>
      </c>
      <c r="G287" s="669">
        <f>IF($C287=0,0,r_inc_build1_fp)</f>
        <v>0</v>
      </c>
      <c r="H287" s="618" t="s">
        <v>2977</v>
      </c>
      <c r="I287" s="619" t="str">
        <f>IF(C287=0,"NA",IF(curve=1,bldg_mid_eq_1_r,VLOOKUP(r_inc_build1_fp, bldg_mid_cost_cl,3)))</f>
        <v>NA</v>
      </c>
      <c r="J287" s="620" t="str">
        <f>IF(OR(I287="NA",I287="contact vendor"),"--",G287*I287)</f>
        <v>--</v>
      </c>
      <c r="K287" s="145" t="str">
        <f>IF($C287=0,"N/A",VLOOKUP(r_inc_build1_fp,bldg_mid_cost_cl,IF(ss_cat="large",4,5)))</f>
        <v>N/A</v>
      </c>
      <c r="L287" s="397"/>
      <c r="M287" s="34" t="str">
        <f>$B$255&amp;" - "&amp;$B$284&amp;" - "&amp;B287</f>
        <v>Building Structures and HVAC - Building 1 Addition/Incremental Useage (Retrofit) - Medium Quality</v>
      </c>
      <c r="N287" s="530" t="str">
        <f t="shared" si="173"/>
        <v/>
      </c>
      <c r="O287" s="530">
        <f t="shared" si="173"/>
        <v>0</v>
      </c>
      <c r="P287" s="530" t="str">
        <f t="shared" si="173"/>
        <v/>
      </c>
      <c r="Q287" s="530" t="str">
        <f t="shared" si="173"/>
        <v/>
      </c>
      <c r="R287" s="530">
        <f t="shared" si="173"/>
        <v>0</v>
      </c>
      <c r="S287" s="530" t="str">
        <f t="shared" si="173"/>
        <v/>
      </c>
      <c r="T287" s="530" t="str">
        <f t="shared" si="173"/>
        <v/>
      </c>
      <c r="U287" s="530">
        <f t="shared" si="173"/>
        <v>0</v>
      </c>
      <c r="V287" s="530" t="str">
        <f t="shared" si="173"/>
        <v/>
      </c>
      <c r="W287" s="573">
        <v>1</v>
      </c>
      <c r="X287" s="621"/>
      <c r="Y287" s="621">
        <f>include_buildings</f>
        <v>0</v>
      </c>
      <c r="Z287" s="621"/>
      <c r="AA287" s="621"/>
      <c r="AB287" s="621">
        <f>include_buildings</f>
        <v>0</v>
      </c>
      <c r="AC287" s="622"/>
      <c r="AD287" s="622"/>
      <c r="AE287" s="621">
        <f>include_buildings</f>
        <v>0</v>
      </c>
      <c r="AF287" s="621"/>
      <c r="AG287">
        <f t="shared" si="140"/>
        <v>0</v>
      </c>
      <c r="AH287">
        <f t="shared" si="141"/>
        <v>0</v>
      </c>
      <c r="AI287"/>
      <c r="AJ287" s="6">
        <f>IF(AG287,K287,0)</f>
        <v>0</v>
      </c>
    </row>
    <row r="288" spans="1:36">
      <c r="A288" s="615" t="s">
        <v>210</v>
      </c>
      <c r="B288" s="616" t="s">
        <v>1284</v>
      </c>
      <c r="C288" s="617">
        <f>IF(AND(r_new_furnace=1,r_inc_build1_fp&gt;0,build1_fp&gt;=500),1,0)</f>
        <v>0</v>
      </c>
      <c r="D288" s="623" t="s">
        <v>2305</v>
      </c>
      <c r="E288" s="669">
        <f>IF($C288=0,0,r_inc_build1_fp)</f>
        <v>0</v>
      </c>
      <c r="F288" s="618" t="s">
        <v>2977</v>
      </c>
      <c r="G288" s="669">
        <f>IF($C288=0,0,r_inc_build1_fp)</f>
        <v>0</v>
      </c>
      <c r="H288" s="618" t="s">
        <v>2977</v>
      </c>
      <c r="I288" s="619" t="str">
        <f>IF(C288=0,"NA",IF(curve=1,bldg_hi_eq_1_r,VLOOKUP(r_inc_build1_fp, bldg_hi_cost_cl,3)))</f>
        <v>NA</v>
      </c>
      <c r="J288" s="620" t="str">
        <f>IF(OR(I288="NA",I288="contact vendor"),"--",G288*I288)</f>
        <v>--</v>
      </c>
      <c r="K288" s="145" t="str">
        <f>IF($C288=0,"N/A",VLOOKUP(r_inc_build1_fp,bldg_hi_cost_cl,IF(ss_cat="large",4,5)))</f>
        <v>N/A</v>
      </c>
      <c r="L288" s="397"/>
      <c r="M288" s="34" t="str">
        <f>$B$255&amp;" - "&amp;$B$284&amp;" - "&amp;B288</f>
        <v>Building Structures and HVAC - Building 1 Addition/Incremental Useage (Retrofit) - High Quality</v>
      </c>
      <c r="N288" s="530" t="str">
        <f t="shared" si="173"/>
        <v/>
      </c>
      <c r="O288" s="530" t="str">
        <f t="shared" si="173"/>
        <v/>
      </c>
      <c r="P288" s="530">
        <f t="shared" si="173"/>
        <v>0</v>
      </c>
      <c r="Q288" s="530" t="str">
        <f t="shared" si="173"/>
        <v/>
      </c>
      <c r="R288" s="530" t="str">
        <f t="shared" si="173"/>
        <v/>
      </c>
      <c r="S288" s="530">
        <f t="shared" si="173"/>
        <v>0</v>
      </c>
      <c r="T288" s="530" t="str">
        <f t="shared" si="173"/>
        <v/>
      </c>
      <c r="U288" s="530" t="str">
        <f t="shared" si="173"/>
        <v/>
      </c>
      <c r="V288" s="530">
        <f t="shared" si="173"/>
        <v>0</v>
      </c>
      <c r="W288" s="573">
        <v>1</v>
      </c>
      <c r="X288" s="621"/>
      <c r="Y288" s="621"/>
      <c r="Z288" s="621">
        <f>include_buildings</f>
        <v>0</v>
      </c>
      <c r="AA288" s="621"/>
      <c r="AB288" s="621"/>
      <c r="AC288" s="621">
        <f>include_buildings</f>
        <v>0</v>
      </c>
      <c r="AD288" s="622"/>
      <c r="AE288" s="622"/>
      <c r="AF288" s="621">
        <f>include_buildings</f>
        <v>0</v>
      </c>
      <c r="AG288">
        <f t="shared" si="140"/>
        <v>0</v>
      </c>
      <c r="AH288">
        <f t="shared" si="141"/>
        <v>0</v>
      </c>
      <c r="AI288"/>
      <c r="AJ288" s="6">
        <f>IF(AG288,K288,0)</f>
        <v>0</v>
      </c>
    </row>
    <row r="289" spans="1:36">
      <c r="A289" s="247" t="s">
        <v>209</v>
      </c>
      <c r="B289" s="614" t="s">
        <v>214</v>
      </c>
      <c r="C289" s="292"/>
      <c r="D289" s="868"/>
      <c r="E289" s="292"/>
      <c r="F289" s="868"/>
      <c r="G289" s="292"/>
      <c r="H289" s="868"/>
      <c r="I289" s="292"/>
      <c r="J289" s="292"/>
      <c r="K289" s="292"/>
      <c r="L289" s="250"/>
      <c r="M289"/>
      <c r="N289" s="530"/>
      <c r="O289" s="530"/>
      <c r="P289" s="530"/>
      <c r="Q289" s="530"/>
      <c r="R289" s="530"/>
      <c r="S289" s="530"/>
      <c r="T289" s="530"/>
      <c r="U289" s="530"/>
      <c r="V289" s="530"/>
      <c r="W289" s="573"/>
      <c r="AG289">
        <f t="shared" si="140"/>
        <v>0</v>
      </c>
      <c r="AH289">
        <f t="shared" si="141"/>
        <v>0</v>
      </c>
      <c r="AI289"/>
    </row>
    <row r="290" spans="1:36">
      <c r="A290" s="615" t="s">
        <v>211</v>
      </c>
      <c r="B290" s="616" t="s">
        <v>1281</v>
      </c>
      <c r="C290" s="617">
        <f>IF(AND(r_new_furnace=1,r_inc_build2_fp&gt;0,build2_fp&lt;500),1,0)</f>
        <v>0</v>
      </c>
      <c r="D290" s="618" t="s">
        <v>2305</v>
      </c>
      <c r="E290" s="669">
        <f>IF($C290=0,0,r_inc_build2_fp)</f>
        <v>0</v>
      </c>
      <c r="F290" s="618" t="s">
        <v>2977</v>
      </c>
      <c r="G290" s="669">
        <f>IF($C290=0,0,r_inc_build2_fp)</f>
        <v>0</v>
      </c>
      <c r="H290" s="618" t="s">
        <v>2977</v>
      </c>
      <c r="I290" s="619" t="str">
        <f>IF(C290=0,"NA",VLOOKUP(r_inc_build2_fp,bldg_shed_cost_cl,3))</f>
        <v>NA</v>
      </c>
      <c r="J290" s="620" t="str">
        <f>IF(OR(I290="NA",I290="contact vendor"),"--",G290*I290)</f>
        <v>--</v>
      </c>
      <c r="K290" s="145" t="str">
        <f>IF($C290=0,"N/A",VLOOKUP(r_inc_build2_fp,bldg_shed_cost_cl,IF(ss_cat="large",4,5)))</f>
        <v>N/A</v>
      </c>
      <c r="L290" s="397"/>
      <c r="M290" s="34" t="str">
        <f>$B$255&amp;" - "&amp;$B$289&amp;" - "&amp;B290</f>
        <v>Building Structures and HVAC - Building 2 Addition/Incremental Useage (Retrofit) - Small Low Cost Shed</v>
      </c>
      <c r="N290" s="530">
        <f t="shared" ref="N290:V293" si="175">IF(retrofit=1,$W290*X290,IF(ISBLANK(X290),"",X290))</f>
        <v>0</v>
      </c>
      <c r="O290" s="530">
        <f t="shared" si="175"/>
        <v>0</v>
      </c>
      <c r="P290" s="530">
        <f t="shared" si="175"/>
        <v>0</v>
      </c>
      <c r="Q290" s="530">
        <f t="shared" si="175"/>
        <v>0</v>
      </c>
      <c r="R290" s="530">
        <f t="shared" si="175"/>
        <v>0</v>
      </c>
      <c r="S290" s="530">
        <f t="shared" si="175"/>
        <v>0</v>
      </c>
      <c r="T290" s="530">
        <f t="shared" si="175"/>
        <v>0</v>
      </c>
      <c r="U290" s="530">
        <f t="shared" si="175"/>
        <v>0</v>
      </c>
      <c r="V290" s="530">
        <f t="shared" si="175"/>
        <v>0</v>
      </c>
      <c r="W290" s="573">
        <v>1</v>
      </c>
      <c r="X290" s="621">
        <f t="shared" ref="X290:AF290" si="176">IF(include_buildings=1,2,0)</f>
        <v>0</v>
      </c>
      <c r="Y290" s="621">
        <f t="shared" si="176"/>
        <v>0</v>
      </c>
      <c r="Z290" s="621">
        <f t="shared" si="176"/>
        <v>0</v>
      </c>
      <c r="AA290" s="621">
        <f t="shared" si="176"/>
        <v>0</v>
      </c>
      <c r="AB290" s="621">
        <f t="shared" si="176"/>
        <v>0</v>
      </c>
      <c r="AC290" s="621">
        <f t="shared" si="176"/>
        <v>0</v>
      </c>
      <c r="AD290" s="621">
        <f t="shared" si="176"/>
        <v>0</v>
      </c>
      <c r="AE290" s="621">
        <f t="shared" si="176"/>
        <v>0</v>
      </c>
      <c r="AF290" s="621">
        <f t="shared" si="176"/>
        <v>0</v>
      </c>
      <c r="AG290">
        <f t="shared" si="140"/>
        <v>0</v>
      </c>
      <c r="AH290">
        <f t="shared" si="141"/>
        <v>0</v>
      </c>
      <c r="AI290"/>
      <c r="AJ290" s="6">
        <f>IF(AG290,K290,0)</f>
        <v>0</v>
      </c>
    </row>
    <row r="291" spans="1:36">
      <c r="A291" s="615" t="s">
        <v>211</v>
      </c>
      <c r="B291" s="616" t="s">
        <v>1282</v>
      </c>
      <c r="C291" s="617">
        <f>IF(AND(r_new_furnace=1,r_inc_build2_fp&gt;0,build2_fp&gt;=500),1,0)</f>
        <v>0</v>
      </c>
      <c r="D291" s="618" t="s">
        <v>2305</v>
      </c>
      <c r="E291" s="669">
        <f>IF($C291=0,0,r_inc_build2_fp)</f>
        <v>0</v>
      </c>
      <c r="F291" s="618" t="s">
        <v>2977</v>
      </c>
      <c r="G291" s="669">
        <f>IF($C291=0,0,r_inc_build2_fp)</f>
        <v>0</v>
      </c>
      <c r="H291" s="618" t="s">
        <v>2977</v>
      </c>
      <c r="I291" s="619" t="str">
        <f>IF(C291=0,"NA",IF(curve=1,bldg_lo_eq_2_r,VLOOKUP(r_inc_build2_fp, bldg_lo_cost_cl,3)))</f>
        <v>NA</v>
      </c>
      <c r="J291" s="620" t="str">
        <f>IF(OR(I291="NA",I291="contact vendor"),"--",G291*I291)</f>
        <v>--</v>
      </c>
      <c r="K291" s="145" t="str">
        <f>IF($C291=0,"N/A",VLOOKUP(r_inc_build2_fp,bldg_lo_cost_cl,IF(ss_cat="large",4,5)))</f>
        <v>N/A</v>
      </c>
      <c r="L291" s="397"/>
      <c r="M291" s="34" t="str">
        <f>$B$255&amp;" - "&amp;$B$289&amp;" - "&amp;B291</f>
        <v>Building Structures and HVAC - Building 2 Addition/Incremental Useage (Retrofit) - Low Quality</v>
      </c>
      <c r="N291" s="530">
        <f t="shared" si="175"/>
        <v>0</v>
      </c>
      <c r="O291" s="530" t="str">
        <f t="shared" si="175"/>
        <v/>
      </c>
      <c r="P291" s="530" t="str">
        <f t="shared" si="175"/>
        <v/>
      </c>
      <c r="Q291" s="530">
        <f t="shared" si="175"/>
        <v>0</v>
      </c>
      <c r="R291" s="530" t="str">
        <f t="shared" si="175"/>
        <v/>
      </c>
      <c r="S291" s="530" t="str">
        <f t="shared" si="175"/>
        <v/>
      </c>
      <c r="T291" s="530">
        <f t="shared" si="175"/>
        <v>0</v>
      </c>
      <c r="U291" s="530" t="str">
        <f t="shared" si="175"/>
        <v/>
      </c>
      <c r="V291" s="530" t="str">
        <f t="shared" si="175"/>
        <v/>
      </c>
      <c r="W291" s="573">
        <v>1</v>
      </c>
      <c r="X291" s="621">
        <f>include_buildings</f>
        <v>0</v>
      </c>
      <c r="Y291" s="621"/>
      <c r="Z291" s="621"/>
      <c r="AA291" s="621">
        <f>include_buildings</f>
        <v>0</v>
      </c>
      <c r="AB291" s="621"/>
      <c r="AC291" s="622"/>
      <c r="AD291" s="621">
        <f>include_buildings</f>
        <v>0</v>
      </c>
      <c r="AE291" s="622"/>
      <c r="AF291" s="621"/>
      <c r="AG291">
        <f t="shared" si="140"/>
        <v>0</v>
      </c>
      <c r="AH291">
        <f t="shared" si="141"/>
        <v>0</v>
      </c>
      <c r="AI291"/>
      <c r="AJ291" s="6">
        <f>IF(AG291,K291,0)</f>
        <v>0</v>
      </c>
    </row>
    <row r="292" spans="1:36">
      <c r="A292" s="615" t="s">
        <v>211</v>
      </c>
      <c r="B292" s="616" t="s">
        <v>1283</v>
      </c>
      <c r="C292" s="617">
        <f>IF(AND(r_new_furnace=1,r_inc_build2_fp&gt;0,build2_fp&gt;=500),1,0)</f>
        <v>0</v>
      </c>
      <c r="D292" s="618" t="s">
        <v>2305</v>
      </c>
      <c r="E292" s="669">
        <f>IF($C292=0,0,r_inc_build2_fp)</f>
        <v>0</v>
      </c>
      <c r="F292" s="618" t="s">
        <v>2977</v>
      </c>
      <c r="G292" s="669">
        <f>IF($C292=0,0,r_inc_build2_fp)</f>
        <v>0</v>
      </c>
      <c r="H292" s="618" t="s">
        <v>2977</v>
      </c>
      <c r="I292" s="619" t="str">
        <f>IF(C292=0,"NA",IF(curve=1,bldg_mid_eq_2_r,VLOOKUP(r_inc_build2_fp, bldg_mid_cost_cl,3)))</f>
        <v>NA</v>
      </c>
      <c r="J292" s="620" t="str">
        <f>IF(OR(I292="NA",I292="contact vendor"),"--",G292*I292)</f>
        <v>--</v>
      </c>
      <c r="K292" s="145" t="str">
        <f>IF($C292=0,"N/A",VLOOKUP(r_inc_build2_fp,bldg_mid_cost_cl,IF(ss_cat="large",4,5)))</f>
        <v>N/A</v>
      </c>
      <c r="L292" s="397"/>
      <c r="M292" s="34" t="str">
        <f>$B$255&amp;" - "&amp;$B$289&amp;" - "&amp;B292</f>
        <v>Building Structures and HVAC - Building 2 Addition/Incremental Useage (Retrofit) - Medium Quality</v>
      </c>
      <c r="N292" s="530" t="str">
        <f t="shared" si="175"/>
        <v/>
      </c>
      <c r="O292" s="530">
        <f t="shared" si="175"/>
        <v>0</v>
      </c>
      <c r="P292" s="530" t="str">
        <f t="shared" si="175"/>
        <v/>
      </c>
      <c r="Q292" s="530" t="str">
        <f t="shared" si="175"/>
        <v/>
      </c>
      <c r="R292" s="530">
        <f t="shared" si="175"/>
        <v>0</v>
      </c>
      <c r="S292" s="530" t="str">
        <f t="shared" si="175"/>
        <v/>
      </c>
      <c r="T292" s="530" t="str">
        <f t="shared" si="175"/>
        <v/>
      </c>
      <c r="U292" s="530">
        <f t="shared" si="175"/>
        <v>0</v>
      </c>
      <c r="V292" s="530" t="str">
        <f t="shared" si="175"/>
        <v/>
      </c>
      <c r="W292" s="573">
        <v>1</v>
      </c>
      <c r="X292" s="621"/>
      <c r="Y292" s="621">
        <f>include_buildings</f>
        <v>0</v>
      </c>
      <c r="Z292" s="621"/>
      <c r="AA292" s="621"/>
      <c r="AB292" s="621">
        <f>include_buildings</f>
        <v>0</v>
      </c>
      <c r="AC292" s="622"/>
      <c r="AD292" s="622"/>
      <c r="AE292" s="621">
        <f>include_buildings</f>
        <v>0</v>
      </c>
      <c r="AF292" s="621"/>
      <c r="AG292">
        <f t="shared" si="140"/>
        <v>0</v>
      </c>
      <c r="AH292">
        <f t="shared" ref="AH292:AH294" si="177">IF(AG292,J292/K292,0)</f>
        <v>0</v>
      </c>
      <c r="AI292"/>
      <c r="AJ292" s="6">
        <f>IF(AG292,K292,0)</f>
        <v>0</v>
      </c>
    </row>
    <row r="293" spans="1:36">
      <c r="A293" s="615" t="s">
        <v>211</v>
      </c>
      <c r="B293" s="616" t="s">
        <v>1284</v>
      </c>
      <c r="C293" s="617">
        <f>IF(AND(r_new_furnace=1,r_inc_build2_fp&gt;0,build2_fp&gt;=500),1,0)</f>
        <v>0</v>
      </c>
      <c r="D293" s="623" t="s">
        <v>2305</v>
      </c>
      <c r="E293" s="669">
        <f>IF($C293=0,0,r_inc_build2_fp)</f>
        <v>0</v>
      </c>
      <c r="F293" s="618" t="s">
        <v>2977</v>
      </c>
      <c r="G293" s="669">
        <f>IF($C293=0,0,r_inc_build2_fp)</f>
        <v>0</v>
      </c>
      <c r="H293" s="618" t="s">
        <v>2977</v>
      </c>
      <c r="I293" s="619" t="str">
        <f>IF(C293=0,"NA",IF(curve=1,bldg_hi_eq_2_r,VLOOKUP(r_inc_build2_fp, bldg_hi_cost_cl,3)))</f>
        <v>NA</v>
      </c>
      <c r="J293" s="620" t="str">
        <f>IF(OR(I293="NA",I293="contact vendor"),"--",G293*I293)</f>
        <v>--</v>
      </c>
      <c r="K293" s="145" t="str">
        <f>IF($C293=0,"N/A",VLOOKUP(r_inc_build2_fp,bldg_hi_cost_cl,IF(ss_cat="large",4,5)))</f>
        <v>N/A</v>
      </c>
      <c r="L293" s="397"/>
      <c r="M293" s="34" t="str">
        <f>$B$255&amp;" - "&amp;$B$289&amp;" - "&amp;B293</f>
        <v>Building Structures and HVAC - Building 2 Addition/Incremental Useage (Retrofit) - High Quality</v>
      </c>
      <c r="N293" s="530" t="str">
        <f t="shared" si="175"/>
        <v/>
      </c>
      <c r="O293" s="530" t="str">
        <f t="shared" si="175"/>
        <v/>
      </c>
      <c r="P293" s="530">
        <f t="shared" si="175"/>
        <v>0</v>
      </c>
      <c r="Q293" s="530" t="str">
        <f t="shared" si="175"/>
        <v/>
      </c>
      <c r="R293" s="530" t="str">
        <f t="shared" si="175"/>
        <v/>
      </c>
      <c r="S293" s="530">
        <f t="shared" si="175"/>
        <v>0</v>
      </c>
      <c r="T293" s="530" t="str">
        <f t="shared" si="175"/>
        <v/>
      </c>
      <c r="U293" s="530" t="str">
        <f t="shared" si="175"/>
        <v/>
      </c>
      <c r="V293" s="530">
        <f t="shared" si="175"/>
        <v>0</v>
      </c>
      <c r="W293" s="573">
        <v>1</v>
      </c>
      <c r="X293" s="621"/>
      <c r="Y293" s="621"/>
      <c r="Z293" s="621">
        <f>include_buildings</f>
        <v>0</v>
      </c>
      <c r="AA293" s="621"/>
      <c r="AB293" s="621"/>
      <c r="AC293" s="621">
        <f>include_buildings</f>
        <v>0</v>
      </c>
      <c r="AD293" s="622"/>
      <c r="AE293" s="622"/>
      <c r="AF293" s="621">
        <f>include_buildings</f>
        <v>0</v>
      </c>
      <c r="AG293">
        <f t="shared" si="140"/>
        <v>0</v>
      </c>
      <c r="AH293">
        <f t="shared" si="177"/>
        <v>0</v>
      </c>
      <c r="AI293"/>
      <c r="AJ293" s="6">
        <f>IF(AG293,K293,0)</f>
        <v>0</v>
      </c>
    </row>
    <row r="294" spans="1:36" customFormat="1">
      <c r="A294" s="497" t="s">
        <v>212</v>
      </c>
      <c r="B294" s="440" t="str">
        <f>"Concrete Pad"&amp;IF(retrofit=1," (for retrofit)","")</f>
        <v>Concrete Pad</v>
      </c>
      <c r="C294" s="441">
        <f>IF(retrofit=0,1,r_new_furnace)</f>
        <v>1</v>
      </c>
      <c r="D294" s="869" t="s">
        <v>2305</v>
      </c>
      <c r="E294" s="586">
        <f>IF($C294=0,"NA",IF(retrofit=0,concrete,r_concrete))</f>
        <v>2</v>
      </c>
      <c r="F294" s="585" t="str">
        <f>IF($C294=0,"","cy")</f>
        <v>cy</v>
      </c>
      <c r="G294" s="586">
        <f>IF($C294=0,"NA",IF(retrofit=0,concrete,r_concrete))</f>
        <v>2</v>
      </c>
      <c r="H294" s="585" t="str">
        <f>IF($C294=0,"","cy")</f>
        <v>cy</v>
      </c>
      <c r="I294" s="587">
        <f>IF(C294=0,"NA",VLOOKUP(0,conc_pad_cost_cl,3))</f>
        <v>627.3046027303194</v>
      </c>
      <c r="J294" s="588">
        <f>IF(C294=0,"--",IF(I294="contact vendor","--",E294*I294))</f>
        <v>1254.6092054606388</v>
      </c>
      <c r="K294" s="589">
        <f>IF(C294=0,"N/A",VLOOKUP(0,conc_pad_cost_cl,IF(ss_cat="large",4,5)))</f>
        <v>37</v>
      </c>
      <c r="L294" s="628">
        <v>1</v>
      </c>
      <c r="M294" s="34" t="str">
        <f>B255&amp;" - "&amp;B294</f>
        <v>Building Structures and HVAC - Concrete Pad</v>
      </c>
      <c r="N294" s="530">
        <f t="shared" ref="N294:U294" si="178">IF(retrofit=1,$W294*X294,IF(ISBLANK(X294),"",X294))</f>
        <v>1</v>
      </c>
      <c r="O294" s="530">
        <f t="shared" si="178"/>
        <v>1</v>
      </c>
      <c r="P294" s="530">
        <f t="shared" si="178"/>
        <v>1</v>
      </c>
      <c r="Q294" s="530">
        <f>IF(retrofit=1,$W294*AA294,IF(ISBLANK(AA294),"",AA294))</f>
        <v>1</v>
      </c>
      <c r="R294" s="530">
        <f t="shared" si="178"/>
        <v>1</v>
      </c>
      <c r="S294" s="530">
        <f t="shared" si="178"/>
        <v>1</v>
      </c>
      <c r="T294" s="530">
        <f t="shared" si="178"/>
        <v>1</v>
      </c>
      <c r="U294" s="530">
        <f t="shared" si="178"/>
        <v>1</v>
      </c>
      <c r="V294" s="530">
        <f>IF(retrofit=1,$W294*AF294,IF(ISBLANK(AF294),"",AF294))</f>
        <v>1</v>
      </c>
      <c r="W294" s="573">
        <v>1</v>
      </c>
      <c r="X294" s="23">
        <f t="shared" ref="X294:AF294" si="179">include_pad</f>
        <v>1</v>
      </c>
      <c r="Y294" s="23">
        <f t="shared" si="179"/>
        <v>1</v>
      </c>
      <c r="Z294" s="23">
        <f t="shared" si="179"/>
        <v>1</v>
      </c>
      <c r="AA294" s="23">
        <f t="shared" si="179"/>
        <v>1</v>
      </c>
      <c r="AB294" s="23">
        <f t="shared" si="179"/>
        <v>1</v>
      </c>
      <c r="AC294" s="23">
        <f t="shared" si="179"/>
        <v>1</v>
      </c>
      <c r="AD294" s="23">
        <f t="shared" si="179"/>
        <v>1</v>
      </c>
      <c r="AE294" s="23">
        <f t="shared" si="179"/>
        <v>1</v>
      </c>
      <c r="AF294" s="23">
        <f t="shared" si="179"/>
        <v>1</v>
      </c>
      <c r="AG294" s="537">
        <f t="shared" si="140"/>
        <v>1</v>
      </c>
      <c r="AH294" s="537">
        <f t="shared" si="177"/>
        <v>33.908356904341588</v>
      </c>
    </row>
    <row r="295" spans="1:36" s="24" customFormat="1" ht="6" customHeight="1">
      <c r="A295" s="261"/>
      <c r="B295" s="186"/>
      <c r="C295" s="262"/>
      <c r="D295" s="263"/>
      <c r="E295" s="264"/>
      <c r="F295" s="107"/>
      <c r="G295" s="264"/>
      <c r="H295" s="545"/>
      <c r="I295" s="265"/>
      <c r="J295" s="266"/>
      <c r="K295" s="262"/>
      <c r="L295" s="267"/>
      <c r="M295" s="233"/>
      <c r="N295" s="234"/>
      <c r="O295" s="234"/>
      <c r="P295" s="234"/>
      <c r="Q295" s="234"/>
      <c r="R295" s="234"/>
      <c r="S295" s="234"/>
      <c r="T295" s="234"/>
      <c r="U295" s="234"/>
      <c r="V295" s="234"/>
    </row>
    <row r="296" spans="1:36" s="24" customFormat="1">
      <c r="A296" s="859" t="s">
        <v>3425</v>
      </c>
      <c r="B296" s="186"/>
      <c r="C296" s="262"/>
      <c r="D296" s="263"/>
      <c r="E296" s="264"/>
      <c r="F296" s="107"/>
      <c r="G296" s="264"/>
      <c r="H296" s="545"/>
      <c r="I296" s="265"/>
      <c r="J296" s="266"/>
      <c r="K296" s="262"/>
      <c r="L296" s="267"/>
      <c r="M296" s="909"/>
      <c r="N296" s="910"/>
      <c r="O296" s="910"/>
      <c r="P296" s="910"/>
      <c r="Q296" s="910"/>
      <c r="R296" s="910"/>
      <c r="S296" s="910"/>
      <c r="T296" s="910"/>
      <c r="U296" s="910"/>
      <c r="V296" s="910"/>
      <c r="W296" s="845"/>
      <c r="X296" s="845"/>
      <c r="Y296" s="845"/>
      <c r="Z296" s="845"/>
      <c r="AA296" s="845"/>
      <c r="AB296" s="845"/>
      <c r="AC296" s="845"/>
      <c r="AD296" s="845"/>
      <c r="AE296" s="845"/>
      <c r="AF296" s="845"/>
      <c r="AG296" s="538" t="s">
        <v>3163</v>
      </c>
      <c r="AH296" s="538" t="s">
        <v>3164</v>
      </c>
      <c r="AJ296" s="538" t="s">
        <v>3165</v>
      </c>
    </row>
    <row r="297" spans="1:36" s="24" customFormat="1">
      <c r="A297" s="859"/>
      <c r="B297" s="187" t="s">
        <v>3426</v>
      </c>
      <c r="C297" s="860" t="s">
        <v>456</v>
      </c>
      <c r="D297" s="883" t="s">
        <v>1436</v>
      </c>
      <c r="E297" s="264"/>
      <c r="F297" s="107"/>
      <c r="G297" s="264"/>
      <c r="H297" s="545"/>
      <c r="I297" s="265"/>
      <c r="J297" s="266"/>
      <c r="K297" s="262"/>
      <c r="L297" s="267"/>
      <c r="M297" s="909"/>
      <c r="N297" s="910"/>
      <c r="O297" s="910"/>
      <c r="P297" s="910"/>
      <c r="Q297" s="910"/>
      <c r="R297" s="910"/>
      <c r="S297" s="910"/>
      <c r="T297" s="910"/>
      <c r="U297" s="910"/>
      <c r="V297" s="910"/>
      <c r="W297" s="845"/>
      <c r="X297" s="845"/>
      <c r="Y297" s="845"/>
      <c r="Z297" s="845"/>
      <c r="AA297" s="845"/>
      <c r="AB297" s="845"/>
      <c r="AC297" s="845"/>
      <c r="AD297" s="845"/>
      <c r="AE297" s="845"/>
      <c r="AF297" s="845"/>
      <c r="AG297" s="538">
        <f>SUMPRODUCT(AG34:AG294,J34:J294)</f>
        <v>53350.707235686845</v>
      </c>
      <c r="AH297" s="538">
        <f>SUM(AH34:AH294)</f>
        <v>2382.6353500655823</v>
      </c>
      <c r="AI297" s="6"/>
      <c r="AJ297" s="538">
        <f>MAX(AJ257:AJ260,AJ271:AJ274,AJ285:AJ288,AJ290:AJ293)</f>
        <v>0</v>
      </c>
    </row>
    <row r="298" spans="1:36" s="845" customFormat="1">
      <c r="A298" s="261"/>
      <c r="B298" s="225" t="s">
        <v>2002</v>
      </c>
      <c r="C298" s="368">
        <f>SUMPRODUCT(J34:J254,L34:L254)</f>
        <v>67544.010206243722</v>
      </c>
      <c r="D298" s="882" t="s">
        <v>3431</v>
      </c>
      <c r="E298" s="264"/>
      <c r="F298" s="107"/>
      <c r="G298" s="264"/>
      <c r="H298" s="545"/>
      <c r="I298" s="265"/>
      <c r="J298" s="266"/>
      <c r="K298" s="262"/>
      <c r="L298" s="267"/>
      <c r="M298" s="909"/>
      <c r="N298" s="910"/>
      <c r="O298" s="910"/>
      <c r="P298" s="910"/>
      <c r="Q298" s="910"/>
      <c r="R298" s="910"/>
      <c r="S298" s="910"/>
      <c r="T298" s="910"/>
      <c r="U298" s="910"/>
      <c r="V298" s="910"/>
    </row>
    <row r="299" spans="1:36" s="845" customFormat="1">
      <c r="A299" s="107"/>
      <c r="B299" s="369" t="s">
        <v>2003</v>
      </c>
      <c r="C299" s="370">
        <f>SUMPRODUCT(J257:J294,L257:L294)</f>
        <v>1254.6092054606388</v>
      </c>
      <c r="D299" s="863" t="s">
        <v>3137</v>
      </c>
      <c r="E299" s="264"/>
      <c r="F299" s="107"/>
      <c r="G299" s="264"/>
      <c r="H299" s="545"/>
      <c r="I299" s="265"/>
      <c r="J299" s="266"/>
      <c r="K299" s="262"/>
      <c r="L299" s="267"/>
      <c r="M299" s="909"/>
      <c r="N299" s="910"/>
      <c r="O299" s="910"/>
      <c r="P299" s="910"/>
      <c r="Q299" s="910"/>
      <c r="R299" s="910"/>
      <c r="S299" s="910"/>
      <c r="T299" s="910"/>
      <c r="U299" s="910"/>
      <c r="V299" s="910"/>
    </row>
    <row r="300" spans="1:36" s="845" customFormat="1" ht="16">
      <c r="A300" s="277"/>
      <c r="B300" s="926" t="str">
        <f>"Total direct costs"&amp;IF(retrofit=1," for retrofit","")</f>
        <v>Total direct costs</v>
      </c>
      <c r="C300" s="590">
        <f>process_cost+building_cost</f>
        <v>68798.619411704363</v>
      </c>
      <c r="D300" s="231" t="s">
        <v>3138</v>
      </c>
      <c r="E300" s="278"/>
      <c r="F300" s="133"/>
      <c r="G300" s="279"/>
      <c r="H300" s="872"/>
      <c r="I300" s="133"/>
      <c r="J300" s="279"/>
      <c r="K300" s="133"/>
      <c r="L300" s="134"/>
    </row>
    <row r="301" spans="1:36" s="911" customFormat="1">
      <c r="A301" s="234"/>
      <c r="B301" s="873"/>
      <c r="C301" s="894"/>
      <c r="D301" s="873"/>
      <c r="E301" s="894"/>
      <c r="F301" s="873"/>
      <c r="G301" s="894"/>
      <c r="H301" s="873"/>
      <c r="I301" s="894"/>
      <c r="J301" s="894"/>
      <c r="K301" s="873"/>
      <c r="L301" s="873"/>
    </row>
    <row r="302" spans="1:36" s="845" customFormat="1" ht="16">
      <c r="A302" s="366" t="s">
        <v>3428</v>
      </c>
      <c r="B302" s="283"/>
      <c r="C302" s="270"/>
      <c r="D302" s="183"/>
      <c r="E302" s="270"/>
      <c r="F302" s="182"/>
      <c r="G302" s="270"/>
      <c r="H302" s="826"/>
      <c r="I302" s="270"/>
      <c r="J302" s="182"/>
      <c r="K302" s="182"/>
      <c r="L302" s="276"/>
    </row>
    <row r="303" spans="1:36" s="845" customFormat="1" ht="16">
      <c r="A303" s="853"/>
      <c r="B303" s="187" t="s">
        <v>3427</v>
      </c>
      <c r="C303" s="861" t="s">
        <v>456</v>
      </c>
      <c r="D303" s="187" t="s">
        <v>1436</v>
      </c>
      <c r="E303" s="268"/>
      <c r="F303" s="107"/>
      <c r="G303" s="268"/>
      <c r="H303" s="545"/>
      <c r="I303" s="268"/>
      <c r="J303" s="107"/>
      <c r="K303" s="107"/>
      <c r="L303" s="164"/>
    </row>
    <row r="304" spans="1:36" s="845" customFormat="1">
      <c r="A304" s="261"/>
      <c r="B304" s="579" t="s">
        <v>2859</v>
      </c>
      <c r="C304" s="580" t="e">
        <f ca="1">include_permits*IF(retrofit=0,permit_cost,r_permit_cost)</f>
        <v>#NAME?</v>
      </c>
      <c r="D304" s="863"/>
      <c r="E304" s="268"/>
      <c r="F304" s="107"/>
      <c r="G304" s="268"/>
      <c r="H304" s="545"/>
      <c r="I304" s="268"/>
      <c r="J304" s="107"/>
      <c r="K304" s="107"/>
      <c r="L304" s="164"/>
    </row>
    <row r="305" spans="1:13" s="845" customFormat="1">
      <c r="A305" s="261"/>
      <c r="B305" s="579" t="s">
        <v>2766</v>
      </c>
      <c r="C305" s="580">
        <f>IF(add_on=1,include_pilot_addon,include_pilot)*VLOOKUP(tech_name,CHOOSE(ss_cat2,pilot_cost_small_cl,pilot_cost_medium_cl,pilot_cost_large_cl),2,FALSE)</f>
        <v>15187.385470429072</v>
      </c>
      <c r="D305" s="161"/>
      <c r="E305" s="268"/>
      <c r="F305" s="107"/>
      <c r="G305" s="268"/>
      <c r="H305" s="545"/>
      <c r="I305" s="268"/>
      <c r="J305" s="107"/>
      <c r="K305" s="107"/>
      <c r="L305" s="164"/>
    </row>
    <row r="306" spans="1:13" s="845" customFormat="1">
      <c r="A306" s="271"/>
      <c r="B306" s="583" t="s">
        <v>28</v>
      </c>
      <c r="C306" s="584">
        <f>include_land*IF(retrofit=0,land_required,IF(r_new_furnace=1,r_land_required,0))*land_cost</f>
        <v>842.09928131419247</v>
      </c>
      <c r="D306" s="574" t="str">
        <f>IF(retrofit=0,"For "&amp;TEXT(land_required,"#0.00")&amp;" acres",IF(r_new_furnace=1,"For use of "&amp;TEXT(r_land_required,"#0.00")&amp;" additional acres","Not required for retrofit"))</f>
        <v>For 0.04 acres</v>
      </c>
      <c r="E306" s="106"/>
      <c r="F306" s="106"/>
      <c r="G306" s="106"/>
      <c r="H306" s="874"/>
      <c r="I306" s="106"/>
      <c r="J306" s="106"/>
      <c r="K306" s="106"/>
      <c r="L306" s="110"/>
      <c r="M306" s="912"/>
    </row>
    <row r="307" spans="1:13" s="845" customFormat="1" ht="16">
      <c r="A307" s="272"/>
      <c r="B307" s="581" t="str">
        <f>"Total add-on costs"&amp;IF(retrofit=1," for retrofit","")</f>
        <v>Total add-on costs</v>
      </c>
      <c r="C307" s="582" t="e">
        <f ca="1">SUM(C304:C306)</f>
        <v>#NAME?</v>
      </c>
      <c r="D307" s="228"/>
      <c r="E307" s="273"/>
      <c r="F307" s="273"/>
      <c r="G307" s="273"/>
      <c r="H307" s="875"/>
      <c r="I307" s="273"/>
      <c r="J307" s="273"/>
      <c r="K307" s="273"/>
      <c r="L307" s="274"/>
      <c r="M307" s="913"/>
    </row>
    <row r="308" spans="1:13" s="911" customFormat="1">
      <c r="A308" s="187"/>
      <c r="B308" s="873"/>
      <c r="C308" s="873"/>
      <c r="D308" s="873"/>
      <c r="E308" s="893"/>
      <c r="F308" s="873"/>
      <c r="G308" s="873"/>
      <c r="H308" s="873"/>
      <c r="I308" s="873"/>
      <c r="J308" s="873"/>
      <c r="K308" s="873"/>
      <c r="L308" s="873"/>
    </row>
    <row r="309" spans="1:13" s="845" customFormat="1" ht="16">
      <c r="A309" s="366" t="s">
        <v>3436</v>
      </c>
      <c r="B309" s="371"/>
      <c r="C309" s="182"/>
      <c r="D309" s="287"/>
      <c r="E309" s="226"/>
      <c r="F309" s="182"/>
      <c r="G309" s="182"/>
      <c r="H309" s="826"/>
      <c r="I309" s="182"/>
      <c r="J309" s="182"/>
      <c r="K309" s="182"/>
      <c r="L309" s="276"/>
    </row>
    <row r="310" spans="1:13" s="845" customFormat="1" ht="16">
      <c r="A310" s="862"/>
      <c r="B310" s="187" t="s">
        <v>3429</v>
      </c>
      <c r="C310" s="861" t="s">
        <v>456</v>
      </c>
      <c r="D310" s="876" t="s">
        <v>3430</v>
      </c>
      <c r="E310" s="879" t="s">
        <v>1436</v>
      </c>
      <c r="F310" s="107"/>
      <c r="G310" s="107"/>
      <c r="H310" s="545"/>
      <c r="I310" s="107"/>
      <c r="J310" s="107"/>
      <c r="K310" s="107"/>
      <c r="L310" s="164"/>
    </row>
    <row r="311" spans="1:13" s="845" customFormat="1">
      <c r="A311" s="261"/>
      <c r="B311" s="993" t="s">
        <v>269</v>
      </c>
      <c r="C311" s="994">
        <f>(direct_cost+C313+C314+C315+C316+C317+C318+C319+C322)*D311</f>
        <v>0</v>
      </c>
      <c r="D311" s="1001">
        <f>IF(AND(design_type=1,ss_cat2=1),mob_pct_pre,CHOOSE(ss_cat2,mob_pct_small,mob_pct_medium,mob_pct_large))</f>
        <v>0</v>
      </c>
      <c r="E311" s="863" t="s">
        <v>971</v>
      </c>
      <c r="F311" s="107"/>
      <c r="G311" s="107"/>
      <c r="H311" s="545"/>
      <c r="I311" s="107"/>
      <c r="J311" s="107"/>
      <c r="K311" s="107"/>
      <c r="L311" s="164"/>
    </row>
    <row r="312" spans="1:13" s="845" customFormat="1">
      <c r="A312" s="261"/>
      <c r="B312" s="993" t="s">
        <v>270</v>
      </c>
      <c r="C312" s="994">
        <f>IF(ss_cat2=1,include_arch_small,include_arch)*building_cost*D312</f>
        <v>0</v>
      </c>
      <c r="D312" s="1002">
        <f>VLOOKUP(building_cost,architectural_table_cl,3)</f>
        <v>0.09</v>
      </c>
      <c r="E312" s="230" t="s">
        <v>240</v>
      </c>
      <c r="F312" s="107"/>
      <c r="G312" s="107"/>
      <c r="H312" s="545"/>
      <c r="I312" s="107"/>
      <c r="J312" s="107"/>
      <c r="K312" s="107"/>
      <c r="L312" s="164"/>
    </row>
    <row r="313" spans="1:13" s="845" customFormat="1">
      <c r="A313" s="261"/>
      <c r="B313" s="993" t="s">
        <v>1773</v>
      </c>
      <c r="C313" s="994">
        <f>direct_cost*D313</f>
        <v>0</v>
      </c>
      <c r="D313" s="1003">
        <f>inst_pct</f>
        <v>0</v>
      </c>
      <c r="E313" s="230"/>
      <c r="F313" s="107"/>
      <c r="G313" s="107"/>
      <c r="H313" s="545"/>
      <c r="I313" s="107"/>
      <c r="J313" s="107"/>
      <c r="K313" s="107"/>
      <c r="L313" s="164"/>
    </row>
    <row r="314" spans="1:13" s="845" customFormat="1">
      <c r="A314" s="261"/>
      <c r="B314" s="993" t="s">
        <v>1645</v>
      </c>
      <c r="C314" s="995">
        <f>include_sitework*IF(retrofit=0,sitework_cost,IF(r_new_furnace=1,r_sitework_cost,0))</f>
        <v>1488.7912087912089</v>
      </c>
      <c r="D314" s="989"/>
      <c r="E314" s="230" t="str">
        <f>IF(AND(retrofit=1,r_new_furnace=0),"Not required for this retrofit","Calculated based on system requirements")</f>
        <v>Calculated based on system requirements</v>
      </c>
      <c r="F314" s="107"/>
      <c r="G314" s="107"/>
      <c r="H314" s="545"/>
      <c r="I314" s="107"/>
      <c r="J314" s="107"/>
      <c r="K314" s="107"/>
      <c r="L314" s="164"/>
    </row>
    <row r="315" spans="1:13" s="845" customFormat="1">
      <c r="A315" s="261"/>
      <c r="B315" s="993" t="s">
        <v>2115</v>
      </c>
      <c r="C315" s="995">
        <f>IF(OR(AND(add_on=1,include_yardpipe_addon=0),retrofit=1),0,include_yardpipe*yard_cost)</f>
        <v>0</v>
      </c>
      <c r="D315" s="990"/>
      <c r="E315" s="230" t="str">
        <f>IF(AND(add_on=1,include_yardpipe_addon=0),"Not required for add-on",IF(retrofit=1,"Not required for retrofit","Calculated based on system requirements."))</f>
        <v>Not required for add-on</v>
      </c>
      <c r="F315" s="107"/>
      <c r="G315" s="107"/>
      <c r="H315" s="107"/>
      <c r="I315" s="107"/>
      <c r="J315" s="107"/>
      <c r="K315" s="107"/>
      <c r="L315" s="164"/>
    </row>
    <row r="316" spans="1:13" s="845" customFormat="1">
      <c r="A316" s="261"/>
      <c r="B316" s="993" t="s">
        <v>2116</v>
      </c>
      <c r="C316" s="996">
        <f>IF(OR(AND(add_on=1,design_type=1),retrofit=1),0,IF(OR(L47=1,L52=1,L233=1,L236=1,L239=1,ep_cells&lt;&gt;0,num_sept_tanks&lt;&gt;0),1,IF(design_type=1,IF(component_level="",include_geo_low,IF(component_level=1,include_geo_medium,include_geo_high)),IF(component_level="",include_geo_low_g,IF(component_level=1,include_geo_medium_g,include_geo_high_g))))*geotech_cost)</f>
        <v>0</v>
      </c>
      <c r="D316" s="991"/>
      <c r="E316" s="230" t="str">
        <f>IF(retrofit=1,"Not required for retrofit",IF(add_on=1,IF(design_type=1,"Not required for pressure add-on","Included for gravity add-on because of basin excavation"),"Calculated based on system requirements. Excluded by default for low and mid cost systems, but aways included w/ excavation"))</f>
        <v>Not required for pressure add-on</v>
      </c>
      <c r="F316" s="106"/>
      <c r="G316" s="106"/>
      <c r="H316" s="106"/>
      <c r="I316" s="106"/>
      <c r="J316" s="106"/>
      <c r="K316" s="106"/>
      <c r="L316" s="110"/>
    </row>
    <row r="317" spans="1:13" s="845" customFormat="1">
      <c r="A317" s="261"/>
      <c r="B317" s="993" t="s">
        <v>2856</v>
      </c>
      <c r="C317" s="997">
        <f>IF(AND(add_on=1,include_standby_addon=0),0,IF(ss_cat2=1,include_standby_small,include_standby)*IF(retrofit=0,std_power_cost,r_std_power_cost))</f>
        <v>0</v>
      </c>
      <c r="D317" s="992"/>
      <c r="E317" s="230" t="str">
        <f>IF(AND(add_on=1,include_standby_addon=0),"Not required for add-on","Calculated based on system requirements. Excluded by default for small systems.")</f>
        <v>Not required for add-on</v>
      </c>
      <c r="F317" s="107"/>
      <c r="G317" s="107"/>
      <c r="H317" s="107"/>
      <c r="I317" s="107"/>
      <c r="J317" s="107"/>
      <c r="K317" s="107"/>
      <c r="L317" s="164"/>
    </row>
    <row r="318" spans="1:13" s="845" customFormat="1">
      <c r="A318" s="261"/>
      <c r="B318" s="993" t="s">
        <v>2857</v>
      </c>
      <c r="C318" s="994">
        <f>process_cost*D318</f>
        <v>6754.4010206243729</v>
      </c>
      <c r="D318" s="1004">
        <f>elect_pct</f>
        <v>0.1</v>
      </c>
      <c r="E318" s="877" t="s">
        <v>1978</v>
      </c>
      <c r="F318" s="107"/>
      <c r="G318" s="107"/>
      <c r="H318" s="107"/>
      <c r="I318" s="107"/>
      <c r="J318" s="107"/>
      <c r="K318" s="107"/>
      <c r="L318" s="164"/>
    </row>
    <row r="319" spans="1:13" s="845" customFormat="1">
      <c r="A319" s="261"/>
      <c r="B319" s="993" t="s">
        <v>2858</v>
      </c>
      <c r="C319" s="994">
        <f t="shared" ref="C319:C324" si="180">direct_cost*D319</f>
        <v>0</v>
      </c>
      <c r="D319" s="1005">
        <f>i_c_pct</f>
        <v>0</v>
      </c>
      <c r="E319" s="545"/>
      <c r="F319" s="107"/>
      <c r="G319" s="107"/>
      <c r="H319" s="107"/>
      <c r="I319" s="107"/>
      <c r="J319" s="107"/>
      <c r="K319" s="107"/>
      <c r="L319" s="164"/>
    </row>
    <row r="320" spans="1:13" s="845" customFormat="1">
      <c r="A320" s="261"/>
      <c r="B320" s="998" t="s">
        <v>2767</v>
      </c>
      <c r="C320" s="995" t="e">
        <f ca="1">IF(component_level="",include_conting_low,IF(component_level=1,include_conting_medium,include_conting_high))*(direct_cost+addon_cost+SUM(C311:C319,C321:C326))*D320</f>
        <v>#NAME?</v>
      </c>
      <c r="D320" s="1006">
        <f>IF(component_level="",include_conting_low,IF(component_level=1,include_conting_medium,include_conting_high))*VLOOKUP(direct_cost,contingency_table_cl,3)*complexity</f>
        <v>0</v>
      </c>
      <c r="E320" s="230" t="s">
        <v>3435</v>
      </c>
      <c r="F320" s="107"/>
      <c r="G320" s="107"/>
      <c r="H320" s="107"/>
      <c r="I320" s="107"/>
      <c r="J320" s="107"/>
      <c r="K320" s="107"/>
      <c r="L320" s="164"/>
    </row>
    <row r="321" spans="1:14" s="845" customFormat="1">
      <c r="A321" s="261"/>
      <c r="B321" s="993" t="s">
        <v>2768</v>
      </c>
      <c r="C321" s="994">
        <f t="shared" si="180"/>
        <v>13759.723882340873</v>
      </c>
      <c r="D321" s="1005">
        <f>CHOOSE(ss_cat2,eng_pct_small,eng_pct_medium,eng_pct_large)</f>
        <v>0.2</v>
      </c>
      <c r="E321" s="230"/>
      <c r="F321" s="107"/>
      <c r="G321" s="107"/>
      <c r="H321" s="107"/>
      <c r="I321" s="107"/>
      <c r="J321" s="107"/>
      <c r="K321" s="107"/>
      <c r="L321" s="164"/>
    </row>
    <row r="322" spans="1:14" s="845" customFormat="1">
      <c r="A322" s="261"/>
      <c r="B322" s="993" t="s">
        <v>1142</v>
      </c>
      <c r="C322" s="994">
        <f t="shared" si="180"/>
        <v>6879.8619411704367</v>
      </c>
      <c r="D322" s="1005">
        <f>misc_pct</f>
        <v>0.1</v>
      </c>
      <c r="E322" s="230"/>
      <c r="F322" s="107"/>
      <c r="G322" s="107"/>
      <c r="H322" s="107"/>
      <c r="I322" s="107"/>
      <c r="J322" s="107"/>
      <c r="K322" s="107"/>
      <c r="L322" s="164"/>
    </row>
    <row r="323" spans="1:14" s="845" customFormat="1">
      <c r="A323" s="261"/>
      <c r="B323" s="993" t="s">
        <v>2769</v>
      </c>
      <c r="C323" s="994">
        <f t="shared" si="180"/>
        <v>1375.9723882340872</v>
      </c>
      <c r="D323" s="1005">
        <f>legal_pct</f>
        <v>0.02</v>
      </c>
      <c r="E323" s="878"/>
      <c r="F323" s="106"/>
      <c r="G323" s="106"/>
      <c r="H323" s="106"/>
      <c r="I323" s="106"/>
      <c r="J323" s="106"/>
      <c r="K323" s="106"/>
      <c r="L323" s="110"/>
    </row>
    <row r="324" spans="1:14" s="845" customFormat="1">
      <c r="A324" s="261"/>
      <c r="B324" s="993" t="s">
        <v>2770</v>
      </c>
      <c r="C324" s="994">
        <f t="shared" si="180"/>
        <v>0</v>
      </c>
      <c r="D324" s="1005">
        <f>tax_pct</f>
        <v>0</v>
      </c>
      <c r="E324" s="230"/>
      <c r="F324" s="107"/>
      <c r="G324" s="107"/>
      <c r="H324" s="107"/>
      <c r="I324" s="107"/>
      <c r="J324" s="107"/>
      <c r="K324" s="107"/>
      <c r="L324" s="164"/>
    </row>
    <row r="325" spans="1:14" s="845" customFormat="1">
      <c r="A325" s="261"/>
      <c r="B325" s="993" t="s">
        <v>1705</v>
      </c>
      <c r="C325" s="994">
        <f>direct_cost*D325</f>
        <v>0</v>
      </c>
      <c r="D325" s="1005">
        <f>IF(ss_cat2=1,finance_pct_small,finance_pct)</f>
        <v>0</v>
      </c>
      <c r="E325" s="230"/>
      <c r="F325" s="107"/>
      <c r="G325" s="107"/>
      <c r="H325" s="107"/>
      <c r="I325" s="107"/>
      <c r="J325" s="107"/>
      <c r="K325" s="107"/>
      <c r="L325" s="164"/>
    </row>
    <row r="326" spans="1:14" s="845" customFormat="1">
      <c r="A326" s="261"/>
      <c r="B326" s="999" t="s">
        <v>1977</v>
      </c>
      <c r="C326" s="1000">
        <f>cm_cost</f>
        <v>1953.880791292404</v>
      </c>
      <c r="D326" s="1003"/>
      <c r="E326" s="230"/>
      <c r="F326" s="107"/>
      <c r="G326" s="107"/>
      <c r="H326" s="107"/>
      <c r="I326" s="107"/>
      <c r="J326" s="107"/>
      <c r="K326" s="107"/>
      <c r="L326" s="164"/>
    </row>
    <row r="327" spans="1:14" s="845" customFormat="1" ht="16">
      <c r="A327" s="171"/>
      <c r="B327" s="880" t="str">
        <f>"Total indirect capital cost"&amp;IF(retrofit=1," for retrofit","")</f>
        <v>Total indirect capital cost</v>
      </c>
      <c r="C327" s="881" t="e">
        <f ca="1">indirect_cost_mult*direct_cost+indirect_cost_add</f>
        <v>#NAME?</v>
      </c>
      <c r="D327" s="945"/>
      <c r="E327" s="231"/>
      <c r="F327" s="133"/>
      <c r="G327" s="133"/>
      <c r="H327" s="133"/>
      <c r="I327" s="133"/>
      <c r="J327" s="133"/>
      <c r="K327" s="133"/>
      <c r="L327" s="134"/>
    </row>
    <row r="328" spans="1:14" s="911" customFormat="1">
      <c r="A328" s="873"/>
      <c r="B328" s="890"/>
      <c r="C328" s="891"/>
      <c r="D328" s="892"/>
      <c r="E328" s="230"/>
      <c r="F328" s="873"/>
      <c r="G328" s="873"/>
      <c r="H328" s="873"/>
      <c r="I328" s="873"/>
      <c r="J328" s="873"/>
      <c r="K328" s="873"/>
      <c r="L328" s="873"/>
    </row>
    <row r="329" spans="1:14" s="845" customFormat="1" ht="16">
      <c r="A329" s="925" t="s">
        <v>1954</v>
      </c>
      <c r="B329" s="283"/>
      <c r="C329" s="886"/>
      <c r="D329" s="281"/>
      <c r="E329" s="282"/>
      <c r="F329" s="182"/>
      <c r="G329" s="182"/>
      <c r="H329" s="182"/>
      <c r="I329" s="182"/>
      <c r="J329" s="182"/>
      <c r="K329" s="182"/>
      <c r="L329" s="276"/>
    </row>
    <row r="330" spans="1:14" s="845" customFormat="1" ht="16">
      <c r="A330" s="884"/>
      <c r="B330" s="876" t="s">
        <v>1432</v>
      </c>
      <c r="C330" s="888" t="s">
        <v>1434</v>
      </c>
      <c r="D330" s="885" t="s">
        <v>1436</v>
      </c>
      <c r="E330" s="269"/>
      <c r="F330" s="107"/>
      <c r="G330" s="107"/>
      <c r="H330" s="107"/>
      <c r="I330" s="107"/>
      <c r="J330" s="107"/>
      <c r="K330" s="107"/>
      <c r="L330" s="164"/>
      <c r="M330" s="914"/>
      <c r="N330" s="915"/>
    </row>
    <row r="331" spans="1:14" s="845" customFormat="1">
      <c r="A331" s="261"/>
      <c r="B331" s="284" t="s">
        <v>2703</v>
      </c>
      <c r="C331" s="280">
        <v>1</v>
      </c>
      <c r="D331" s="230" t="s">
        <v>3433</v>
      </c>
      <c r="E331" s="107"/>
      <c r="F331" s="107"/>
      <c r="G331" s="107"/>
      <c r="H331" s="107"/>
      <c r="I331" s="107"/>
      <c r="J331" s="107"/>
      <c r="K331" s="107"/>
      <c r="L331" s="164"/>
      <c r="M331" s="914"/>
      <c r="N331" s="915"/>
    </row>
    <row r="332" spans="1:14" s="845" customFormat="1">
      <c r="A332" s="830"/>
      <c r="B332" s="284"/>
      <c r="C332" s="889"/>
      <c r="D332" s="229"/>
      <c r="E332" s="107"/>
      <c r="F332" s="107"/>
      <c r="G332" s="107"/>
      <c r="H332" s="107"/>
      <c r="I332" s="107"/>
      <c r="J332" s="107"/>
      <c r="K332" s="107"/>
      <c r="L332" s="164"/>
      <c r="M332" s="914"/>
      <c r="N332" s="915"/>
    </row>
    <row r="333" spans="1:14" s="845" customFormat="1">
      <c r="A333" s="261"/>
      <c r="B333" s="187" t="s">
        <v>3432</v>
      </c>
      <c r="C333" s="887" t="s">
        <v>456</v>
      </c>
      <c r="D333" s="269"/>
      <c r="E333" s="107"/>
      <c r="F333" s="107"/>
      <c r="G333" s="107"/>
      <c r="H333" s="107"/>
      <c r="I333" s="107"/>
      <c r="J333" s="107"/>
      <c r="K333" s="107"/>
      <c r="L333" s="164"/>
    </row>
    <row r="334" spans="1:14" s="845" customFormat="1">
      <c r="A334" s="261"/>
      <c r="B334" s="1007" t="s">
        <v>1951</v>
      </c>
      <c r="C334" s="1008">
        <f>direct_cost</f>
        <v>68798.619411704363</v>
      </c>
      <c r="D334" s="269"/>
      <c r="E334" s="107"/>
      <c r="F334" s="107"/>
      <c r="G334" s="107"/>
      <c r="H334" s="107"/>
      <c r="I334" s="107"/>
      <c r="J334" s="107"/>
      <c r="K334" s="107"/>
      <c r="L334" s="164"/>
    </row>
    <row r="335" spans="1:14" s="845" customFormat="1">
      <c r="A335" s="261"/>
      <c r="B335" s="1007" t="s">
        <v>1952</v>
      </c>
      <c r="C335" s="1008" t="e">
        <f ca="1">addon_cost</f>
        <v>#NAME?</v>
      </c>
      <c r="D335" s="185"/>
      <c r="E335" s="107"/>
      <c r="F335" s="107"/>
      <c r="G335" s="107"/>
      <c r="H335" s="107"/>
      <c r="I335" s="107"/>
      <c r="J335" s="107"/>
      <c r="K335" s="107"/>
      <c r="L335" s="164"/>
    </row>
    <row r="336" spans="1:14" s="845" customFormat="1" ht="14" thickBot="1">
      <c r="A336" s="271"/>
      <c r="B336" s="1009" t="s">
        <v>1953</v>
      </c>
      <c r="C336" s="1010" t="e">
        <f ca="1">C327</f>
        <v>#NAME?</v>
      </c>
      <c r="D336" s="185"/>
      <c r="E336" s="107"/>
      <c r="F336" s="107"/>
      <c r="G336" s="107"/>
      <c r="H336" s="107"/>
      <c r="I336" s="107"/>
      <c r="J336" s="107"/>
      <c r="K336" s="107"/>
      <c r="L336" s="164"/>
    </row>
    <row r="337" spans="1:12" s="845" customFormat="1" ht="17" thickTop="1">
      <c r="A337" s="272"/>
      <c r="B337" s="575" t="s">
        <v>3434</v>
      </c>
      <c r="C337" s="576" t="e">
        <f ca="1">(direct_cost*(1+SUM(cul_indir_mult_table))+SUM(cul_indir_add_table))*City_Index</f>
        <v>#NAME?</v>
      </c>
      <c r="D337" s="227"/>
      <c r="E337" s="133"/>
      <c r="F337" s="133"/>
      <c r="G337" s="133"/>
      <c r="H337" s="133"/>
      <c r="I337" s="133"/>
      <c r="J337" s="133"/>
      <c r="K337" s="133"/>
      <c r="L337" s="134"/>
    </row>
    <row r="338" spans="1:12" s="845" customFormat="1">
      <c r="A338" s="24"/>
      <c r="B338" s="284"/>
      <c r="C338" s="285"/>
      <c r="D338" s="180"/>
      <c r="E338" s="24"/>
      <c r="F338" s="24"/>
      <c r="G338" s="24"/>
      <c r="H338" s="24"/>
      <c r="I338" s="24"/>
      <c r="J338" s="24"/>
      <c r="K338" s="24"/>
      <c r="L338" s="24"/>
    </row>
    <row r="339" spans="1:12" s="845" customFormat="1" ht="16">
      <c r="A339" s="577" t="s">
        <v>3437</v>
      </c>
      <c r="B339" s="283"/>
      <c r="C339" s="182"/>
      <c r="D339" s="183"/>
      <c r="E339" s="182"/>
      <c r="F339" s="182"/>
      <c r="G339" s="182"/>
      <c r="H339" s="182"/>
      <c r="I339" s="182"/>
      <c r="J339" s="182"/>
      <c r="K339" s="182"/>
      <c r="L339" s="276"/>
    </row>
    <row r="340" spans="1:12" s="845" customFormat="1">
      <c r="A340" s="946"/>
      <c r="B340" s="372" t="s">
        <v>11</v>
      </c>
      <c r="C340" s="1155" t="s">
        <v>12</v>
      </c>
      <c r="D340" s="1155"/>
      <c r="E340" s="1166" t="s">
        <v>14</v>
      </c>
      <c r="F340" s="1166"/>
      <c r="G340" s="942" t="s">
        <v>1955</v>
      </c>
      <c r="H340" s="373" t="s">
        <v>124</v>
      </c>
      <c r="I340" s="187" t="s">
        <v>1436</v>
      </c>
      <c r="J340" s="545"/>
      <c r="K340" s="545"/>
      <c r="L340" s="546"/>
    </row>
    <row r="341" spans="1:12" s="845" customFormat="1">
      <c r="A341" s="375"/>
      <c r="B341" s="260" t="s">
        <v>2217</v>
      </c>
      <c r="C341" s="260"/>
      <c r="D341" s="260"/>
      <c r="E341" s="260"/>
      <c r="F341" s="260"/>
      <c r="G341" s="260"/>
      <c r="H341" s="374"/>
      <c r="I341" s="545"/>
      <c r="J341" s="545"/>
      <c r="K341" s="545"/>
      <c r="L341" s="546"/>
    </row>
    <row r="342" spans="1:12" s="845" customFormat="1">
      <c r="A342" s="947"/>
      <c r="B342" s="377" t="s">
        <v>2238</v>
      </c>
      <c r="C342" s="442">
        <f>Manager_LOE</f>
        <v>4.9838469754670278</v>
      </c>
      <c r="D342" s="392" t="s">
        <v>2219</v>
      </c>
      <c r="E342" s="408">
        <f>VLOOKUP(design_flow,labor_table_cl,5)</f>
        <v>44.119913896197083</v>
      </c>
      <c r="F342" s="392" t="s">
        <v>2218</v>
      </c>
      <c r="G342" s="443">
        <f>C342*E342</f>
        <v>219.88689942942753</v>
      </c>
      <c r="H342" s="453">
        <f>IF(retrofit=1,0,1)</f>
        <v>1</v>
      </c>
      <c r="I342" s="545"/>
      <c r="J342" s="545"/>
      <c r="K342" s="545"/>
      <c r="L342" s="546"/>
    </row>
    <row r="343" spans="1:12" s="845" customFormat="1">
      <c r="A343" s="947"/>
      <c r="B343" s="377" t="s">
        <v>2239</v>
      </c>
      <c r="C343" s="442">
        <f>Clerical_LOE</f>
        <v>4.9838469754670278</v>
      </c>
      <c r="D343" s="392" t="s">
        <v>2219</v>
      </c>
      <c r="E343" s="408">
        <f>VLOOKUP(design_flow,labor_table_cl,6)</f>
        <v>29.723303037550828</v>
      </c>
      <c r="F343" s="392" t="s">
        <v>2218</v>
      </c>
      <c r="G343" s="443">
        <f>C343*E343</f>
        <v>148.13639394458761</v>
      </c>
      <c r="H343" s="453">
        <f>IF(retrofit=1,0,1)</f>
        <v>1</v>
      </c>
      <c r="I343" s="545"/>
      <c r="J343" s="545"/>
      <c r="K343" s="545"/>
      <c r="L343" s="546"/>
    </row>
    <row r="344" spans="1:12" s="845" customFormat="1" ht="26.25" customHeight="1">
      <c r="A344" s="947"/>
      <c r="B344" s="445" t="s">
        <v>805</v>
      </c>
      <c r="C344" s="446">
        <f>IF(retrofit=1,r_inc_Operator_LOE,Operator_LOE)</f>
        <v>49.838469754670271</v>
      </c>
      <c r="D344" s="448" t="s">
        <v>2219</v>
      </c>
      <c r="E344" s="447">
        <f>VLOOKUP(design_flow,labor_table_cl,4)</f>
        <v>31.124974886390817</v>
      </c>
      <c r="F344" s="448" t="s">
        <v>2218</v>
      </c>
      <c r="G344" s="449">
        <f>C344*E344</f>
        <v>1551.2211194902604</v>
      </c>
      <c r="H344" s="450">
        <f>IF(C344=0,0,1)</f>
        <v>1</v>
      </c>
      <c r="I344" s="1151" t="s">
        <v>3280</v>
      </c>
      <c r="J344" s="1152"/>
      <c r="K344" s="1152"/>
      <c r="L344" s="1153"/>
    </row>
    <row r="345" spans="1:12" s="845" customFormat="1">
      <c r="A345" s="375"/>
      <c r="B345" s="260" t="s">
        <v>2220</v>
      </c>
      <c r="C345" s="260"/>
      <c r="D345" s="260"/>
      <c r="E345" s="260"/>
      <c r="F345" s="260"/>
      <c r="G345" s="260"/>
      <c r="H345" s="374"/>
      <c r="I345" s="545"/>
      <c r="J345" s="545"/>
      <c r="K345" s="545"/>
      <c r="L345" s="546"/>
    </row>
    <row r="346" spans="1:12" s="845" customFormat="1">
      <c r="A346" s="947"/>
      <c r="B346" s="377" t="s">
        <v>2632</v>
      </c>
      <c r="C346" s="451" t="s">
        <v>286</v>
      </c>
      <c r="D346" s="376"/>
      <c r="E346" s="376"/>
      <c r="F346" s="376"/>
      <c r="G346" s="395">
        <f>pump_mtl</f>
        <v>0</v>
      </c>
      <c r="H346" s="444">
        <f>IF(OR(retrofit=1,G346=0),0,1)</f>
        <v>0</v>
      </c>
      <c r="I346" s="545"/>
      <c r="J346" s="545"/>
      <c r="K346" s="545"/>
      <c r="L346" s="546"/>
    </row>
    <row r="347" spans="1:12" s="845" customFormat="1">
      <c r="A347" s="947"/>
      <c r="B347" s="376" t="s">
        <v>1074</v>
      </c>
      <c r="C347" s="451" t="s">
        <v>286</v>
      </c>
      <c r="D347" s="376"/>
      <c r="E347" s="376"/>
      <c r="F347" s="376"/>
      <c r="G347" s="395">
        <f>back_pump_mtl</f>
        <v>0</v>
      </c>
      <c r="H347" s="444">
        <f>IF(OR(retrofit=1,G347=0),0,1)</f>
        <v>0</v>
      </c>
      <c r="I347" s="545"/>
      <c r="J347" s="545"/>
      <c r="K347" s="545"/>
      <c r="L347" s="546"/>
    </row>
    <row r="348" spans="1:12" s="845" customFormat="1">
      <c r="A348" s="947"/>
      <c r="B348" s="376" t="s">
        <v>891</v>
      </c>
      <c r="C348" s="451" t="s">
        <v>286</v>
      </c>
      <c r="D348" s="376"/>
      <c r="E348" s="376"/>
      <c r="F348" s="376"/>
      <c r="G348" s="395">
        <f>res_pump_mtl</f>
        <v>0</v>
      </c>
      <c r="H348" s="444">
        <f>IF(OR(retrofit=1,G348=0),0,1)</f>
        <v>0</v>
      </c>
      <c r="I348" s="545"/>
      <c r="J348" s="545"/>
      <c r="K348" s="545"/>
      <c r="L348" s="546"/>
    </row>
    <row r="349" spans="1:12" s="845" customFormat="1">
      <c r="A349" s="947"/>
      <c r="B349" s="376" t="s">
        <v>3272</v>
      </c>
      <c r="C349" s="451" t="s">
        <v>286</v>
      </c>
      <c r="D349" s="376"/>
      <c r="E349" s="376"/>
      <c r="F349" s="376"/>
      <c r="G349" s="395">
        <f>filter_materials</f>
        <v>305.70707435532915</v>
      </c>
      <c r="H349" s="444">
        <f>IF(OR(retrofit=1,G349=0),0,1)</f>
        <v>1</v>
      </c>
      <c r="I349" s="545"/>
      <c r="J349" s="545"/>
      <c r="K349" s="545"/>
      <c r="L349" s="546"/>
    </row>
    <row r="350" spans="1:12" s="845" customFormat="1">
      <c r="A350" s="947"/>
      <c r="B350" s="376" t="s">
        <v>1075</v>
      </c>
      <c r="C350" s="451" t="s">
        <v>822</v>
      </c>
      <c r="D350" s="376"/>
      <c r="E350" s="376"/>
      <c r="F350" s="376"/>
      <c r="G350" s="401">
        <f>IF(regen_type=1,IF(retrofit=1,r_regen_materials,regen_materials),0)</f>
        <v>0</v>
      </c>
      <c r="H350" s="444">
        <f>IF(regen_type=1,1,0)</f>
        <v>0</v>
      </c>
      <c r="I350" s="948"/>
      <c r="J350" s="545"/>
      <c r="K350" s="545"/>
      <c r="L350" s="546"/>
    </row>
    <row r="351" spans="1:12" s="845" customFormat="1">
      <c r="A351" s="947"/>
      <c r="B351" s="376" t="s">
        <v>115</v>
      </c>
      <c r="C351" s="393">
        <f>IF(retrofit=0,total_fp,IF(r_new_furnace=1,r_inc_total_fp,0))</f>
        <v>120</v>
      </c>
      <c r="D351" s="392" t="s">
        <v>2977</v>
      </c>
      <c r="E351" s="439">
        <f>IF(C351=0,"NA",G351/C351)</f>
        <v>5.643390472522726</v>
      </c>
      <c r="F351" s="452" t="s">
        <v>2525</v>
      </c>
      <c r="G351" s="443">
        <f>IF(retrofit=0,bldg_maint_cost,r_bldg_maint_cost)</f>
        <v>677.20685670272712</v>
      </c>
      <c r="H351" s="444">
        <f>IF(retrofit=0,1,r_new_furnace)</f>
        <v>1</v>
      </c>
      <c r="I351" s="948"/>
      <c r="J351" s="949"/>
      <c r="K351" s="545"/>
      <c r="L351" s="546"/>
    </row>
    <row r="352" spans="1:12" s="845" customFormat="1">
      <c r="A352" s="375"/>
      <c r="B352" s="236" t="s">
        <v>1677</v>
      </c>
      <c r="C352" s="241"/>
      <c r="D352" s="241"/>
      <c r="E352" s="241"/>
      <c r="F352" s="241"/>
      <c r="G352" s="241"/>
      <c r="H352" s="374"/>
      <c r="I352" s="545"/>
      <c r="J352" s="545"/>
      <c r="K352" s="545"/>
      <c r="L352" s="546"/>
    </row>
    <row r="353" spans="1:12" s="845" customFormat="1">
      <c r="A353" s="950"/>
      <c r="B353" s="376" t="str">
        <f>IF(OR(regen_type=3,regen_type=5),"Replacement virgin GAC","Makeup GAC")</f>
        <v>Makeup GAC</v>
      </c>
      <c r="C353" s="393">
        <f>IF(retrofit=1,r_GAC_makeup-GAC_makeup,GAC_makeup)</f>
        <v>2502.4552631710349</v>
      </c>
      <c r="D353" s="392" t="s">
        <v>716</v>
      </c>
      <c r="E353" s="408">
        <f>IF(curve=1,IF(retrofit=1,r_replace_gac_eq,replace_gac_eq),VLOOKUP(IF(retrofit=1,r_GAC_makeup,GAC_makeup),gac_cost_cl,3))</f>
        <v>1.8889561641762325</v>
      </c>
      <c r="F353" s="452" t="s">
        <v>717</v>
      </c>
      <c r="G353" s="443">
        <f>E353*C353</f>
        <v>4727.0282949421826</v>
      </c>
      <c r="H353" s="444">
        <v>1</v>
      </c>
      <c r="I353" s="545"/>
      <c r="J353" s="545"/>
      <c r="K353" s="545"/>
      <c r="L353" s="546"/>
    </row>
    <row r="354" spans="1:12" s="845" customFormat="1">
      <c r="A354" s="947"/>
      <c r="B354" s="376" t="str">
        <f>IF(OR(regen_type=2,regen_type=4),"Off-site GAC regeneration","")</f>
        <v>Off-site GAC regeneration</v>
      </c>
      <c r="C354" s="393">
        <f>IF(OR(regen_type=2,regen_type=4),IF(retrofit=1,r_regen_yr-regen_yr,regen_yr),0)</f>
        <v>5839.0622807324144</v>
      </c>
      <c r="D354" s="392" t="str">
        <f>IF(OR(regen_type=2,regen_type=4),"lbs/yr","")</f>
        <v>lbs/yr</v>
      </c>
      <c r="E354" s="431">
        <f>IF(OR(regen_type=2,regen_type=4),IF(curve=1,IF(retrofit=1,r_off_regen_eq,off_regen_eq),VLOOKUP(IF(retrofit=1,r_regen_yr,regen_yr),off_regen_cost_cl,3)),0)+IF(regen_type=4,IF(retrofit=1,r_haz_regen_transp-haz_regen_transp,haz_regen_transp)/C354,0)</f>
        <v>1.1909785711401915</v>
      </c>
      <c r="F354" s="392" t="str">
        <f>IF(OR(regen_type=2,regen_type=4),"/lb","")</f>
        <v>/lb</v>
      </c>
      <c r="G354" s="443">
        <f>E354*C354</f>
        <v>6954.1980519052786</v>
      </c>
      <c r="H354" s="444">
        <f>IF(OR(regen_type=2,regen_type=4),1,0)</f>
        <v>1</v>
      </c>
      <c r="I354" s="545"/>
      <c r="J354" s="545"/>
      <c r="K354" s="545"/>
      <c r="L354" s="546"/>
    </row>
    <row r="355" spans="1:12" s="845" customFormat="1">
      <c r="A355" s="947"/>
      <c r="B355" s="376" t="str">
        <f>"Ferric Chloride"&amp;coag_purchase</f>
        <v>Ferric Chloride - Small Qty</v>
      </c>
      <c r="C355" s="393">
        <f>coag_yr</f>
        <v>0</v>
      </c>
      <c r="D355" s="392" t="s">
        <v>716</v>
      </c>
      <c r="E355" s="408">
        <f>VLOOKUP(B355,chem_cost_cl,3,FALSE)</f>
        <v>0.86000919364379769</v>
      </c>
      <c r="F355" s="452" t="s">
        <v>717</v>
      </c>
      <c r="G355" s="443">
        <f>E355*C355</f>
        <v>0</v>
      </c>
      <c r="H355" s="444">
        <f>IF(OR(retrofit=1,G355=0),0,1)</f>
        <v>0</v>
      </c>
      <c r="I355" s="545"/>
      <c r="J355" s="545"/>
      <c r="K355" s="545"/>
      <c r="L355" s="546"/>
    </row>
    <row r="356" spans="1:12" s="845" customFormat="1">
      <c r="A356" s="947"/>
      <c r="B356" s="376" t="str">
        <f>"Polymers"&amp;polymer_purchase</f>
        <v>Polymers - Small Qty</v>
      </c>
      <c r="C356" s="393">
        <f>polymer_yr</f>
        <v>0</v>
      </c>
      <c r="D356" s="392" t="s">
        <v>716</v>
      </c>
      <c r="E356" s="408">
        <f>VLOOKUP(B356,chem_cost_cl,3,FALSE)</f>
        <v>1.4185913073996193</v>
      </c>
      <c r="F356" s="452" t="s">
        <v>717</v>
      </c>
      <c r="G356" s="443">
        <f>E356*C356</f>
        <v>0</v>
      </c>
      <c r="H356" s="444">
        <f>IF(OR(retrofit=1,G356=0),0,1)</f>
        <v>0</v>
      </c>
      <c r="I356" s="545"/>
      <c r="J356" s="545"/>
      <c r="K356" s="545"/>
      <c r="L356" s="546"/>
    </row>
    <row r="357" spans="1:12" s="845" customFormat="1">
      <c r="A357" s="375"/>
      <c r="B357" s="236" t="s">
        <v>718</v>
      </c>
      <c r="C357" s="241"/>
      <c r="D357" s="241"/>
      <c r="E357" s="241"/>
      <c r="F357" s="241"/>
      <c r="G357" s="241"/>
      <c r="H357" s="374"/>
      <c r="I357" s="545"/>
      <c r="J357" s="545"/>
      <c r="K357" s="545"/>
      <c r="L357" s="546"/>
    </row>
    <row r="358" spans="1:12" s="845" customFormat="1">
      <c r="A358" s="947"/>
      <c r="B358" s="377" t="s">
        <v>720</v>
      </c>
      <c r="C358" s="393">
        <f>pump_energy</f>
        <v>0</v>
      </c>
      <c r="D358" s="392" t="s">
        <v>721</v>
      </c>
      <c r="E358" s="408">
        <f>energy_cost_cl</f>
        <v>0.10761526717557252</v>
      </c>
      <c r="F358" s="392" t="s">
        <v>722</v>
      </c>
      <c r="G358" s="395">
        <f>E358*C358*1000</f>
        <v>0</v>
      </c>
      <c r="H358" s="444">
        <f>IF(OR(retrofit=1,G358=0),0,1)</f>
        <v>0</v>
      </c>
      <c r="I358" s="545"/>
      <c r="J358" s="545"/>
      <c r="K358" s="545"/>
      <c r="L358" s="546"/>
    </row>
    <row r="359" spans="1:12" s="845" customFormat="1">
      <c r="A359" s="947"/>
      <c r="B359" s="376" t="s">
        <v>1076</v>
      </c>
      <c r="C359" s="393">
        <f>back_pump_energy</f>
        <v>4.9062088175692804E-2</v>
      </c>
      <c r="D359" s="392" t="s">
        <v>721</v>
      </c>
      <c r="E359" s="408">
        <f>energy_cost_cl</f>
        <v>0.10761526717557252</v>
      </c>
      <c r="F359" s="452" t="s">
        <v>1077</v>
      </c>
      <c r="G359" s="443">
        <f>E359*C359*1000</f>
        <v>5.2798297272186785</v>
      </c>
      <c r="H359" s="444">
        <f>IF(OR(retrofit=1,G359=0),0,1)</f>
        <v>1</v>
      </c>
      <c r="I359" s="545"/>
      <c r="J359" s="545"/>
      <c r="K359" s="545"/>
      <c r="L359" s="546"/>
    </row>
    <row r="360" spans="1:12" s="845" customFormat="1">
      <c r="A360" s="947"/>
      <c r="B360" s="377" t="s">
        <v>892</v>
      </c>
      <c r="C360" s="393">
        <f>res_pump_energy</f>
        <v>0</v>
      </c>
      <c r="D360" s="392" t="s">
        <v>721</v>
      </c>
      <c r="E360" s="439" t="str">
        <f>IF(C360=0,"NA",energy_cost_cl)</f>
        <v>NA</v>
      </c>
      <c r="F360" s="392" t="str">
        <f>IF(C360=0,"","/kwh")</f>
        <v/>
      </c>
      <c r="G360" s="401" t="str">
        <f>IF(C360=0,"--",E360*C360*1000)</f>
        <v>--</v>
      </c>
      <c r="H360" s="444">
        <f>IF(OR(retrofit=1,G360=0),0,1)</f>
        <v>1</v>
      </c>
      <c r="I360" s="545"/>
      <c r="J360" s="545"/>
      <c r="K360" s="545"/>
      <c r="L360" s="546"/>
    </row>
    <row r="361" spans="1:12" s="845" customFormat="1">
      <c r="A361" s="947"/>
      <c r="B361" s="376" t="s">
        <v>1078</v>
      </c>
      <c r="C361" s="393">
        <f>IF(regen_type=1,IF(retrofit=0,regen_energy,r_regen_energy),0)</f>
        <v>0</v>
      </c>
      <c r="D361" s="392" t="s">
        <v>721</v>
      </c>
      <c r="E361" s="439" t="str">
        <f>IF(regen_type=1,energy_cost_cl,"NA")</f>
        <v>NA</v>
      </c>
      <c r="F361" s="392" t="str">
        <f>IF(regen_type=1,"/KWh","")</f>
        <v/>
      </c>
      <c r="G361" s="396" t="str">
        <f>IF(regen_type=1,E361*C361*1000,"--")</f>
        <v>--</v>
      </c>
      <c r="H361" s="453">
        <f>IF(regen_type=1,1,0)</f>
        <v>0</v>
      </c>
      <c r="I361" s="948"/>
      <c r="J361" s="545"/>
      <c r="K361" s="545"/>
      <c r="L361" s="546"/>
    </row>
    <row r="362" spans="1:12" s="845" customFormat="1">
      <c r="A362" s="947"/>
      <c r="B362" s="376" t="s">
        <v>1079</v>
      </c>
      <c r="C362" s="393">
        <f>IF(regen_type=1,IF(retrofit=0,regen_ng,r_regen_ng),0)</f>
        <v>0</v>
      </c>
      <c r="D362" s="392" t="s">
        <v>340</v>
      </c>
      <c r="E362" s="439" t="str">
        <f>IF(regen_type=1,gas_cost_cl,"NA")</f>
        <v>NA</v>
      </c>
      <c r="F362" s="392" t="str">
        <f>IF(regen_type=1,"/therm","")</f>
        <v/>
      </c>
      <c r="G362" s="401" t="str">
        <f>IF(regen_type=1,E362*C362,"--")</f>
        <v>--</v>
      </c>
      <c r="H362" s="453">
        <f>IF(regen_type=1,1,0)</f>
        <v>0</v>
      </c>
      <c r="I362" s="948"/>
      <c r="J362" s="545"/>
      <c r="K362" s="545"/>
      <c r="L362" s="546"/>
    </row>
    <row r="363" spans="1:12" s="845" customFormat="1">
      <c r="A363" s="947"/>
      <c r="B363" s="377" t="s">
        <v>1910</v>
      </c>
      <c r="C363" s="393">
        <f>IF(retrofit=0,lighting,r_lighting)</f>
        <v>5.9806163705604324E-3</v>
      </c>
      <c r="D363" s="392" t="s">
        <v>721</v>
      </c>
      <c r="E363" s="408">
        <f>energy_cost_cl</f>
        <v>0.10761526717557252</v>
      </c>
      <c r="F363" s="392" t="s">
        <v>722</v>
      </c>
      <c r="G363" s="395">
        <f>E363*C363*1000</f>
        <v>0.64360562859246373</v>
      </c>
      <c r="H363" s="444">
        <f>IF(C363=0,0,1)</f>
        <v>1</v>
      </c>
      <c r="I363" s="948"/>
      <c r="J363" s="545"/>
      <c r="K363" s="545"/>
      <c r="L363" s="546"/>
    </row>
    <row r="364" spans="1:12" s="845" customFormat="1">
      <c r="A364" s="947"/>
      <c r="B364" s="377" t="s">
        <v>1911</v>
      </c>
      <c r="C364" s="393">
        <f>IF(retrofit=0,ventilation,r_ventilation)</f>
        <v>5.6910305454545451E-2</v>
      </c>
      <c r="D364" s="392" t="s">
        <v>721</v>
      </c>
      <c r="E364" s="408">
        <f>energy_cost_cl</f>
        <v>0.10761526717557252</v>
      </c>
      <c r="F364" s="392" t="s">
        <v>722</v>
      </c>
      <c r="G364" s="395">
        <f>E364*C364*1000</f>
        <v>6.1244177265343511</v>
      </c>
      <c r="H364" s="626">
        <f>IF(G364=0,0,1)</f>
        <v>1</v>
      </c>
      <c r="I364" s="948"/>
      <c r="J364" s="545"/>
      <c r="K364" s="545"/>
      <c r="L364" s="546"/>
    </row>
    <row r="365" spans="1:12" s="845" customFormat="1">
      <c r="A365" s="947"/>
      <c r="B365" s="865" t="s">
        <v>1912</v>
      </c>
      <c r="C365" s="865"/>
      <c r="D365" s="865"/>
      <c r="E365" s="865"/>
      <c r="F365" s="865"/>
      <c r="G365" s="865"/>
      <c r="H365" s="951"/>
      <c r="I365" s="545"/>
      <c r="J365" s="545"/>
      <c r="K365" s="545"/>
      <c r="L365" s="546"/>
    </row>
    <row r="366" spans="1:12" s="845" customFormat="1">
      <c r="A366" s="947"/>
      <c r="B366" s="400" t="s">
        <v>653</v>
      </c>
      <c r="C366" s="393">
        <f>IF(retrofit=0,cooling,0)</f>
        <v>0</v>
      </c>
      <c r="D366" s="392" t="s">
        <v>721</v>
      </c>
      <c r="E366" s="408">
        <f>energy_cost_cl</f>
        <v>0.10761526717557252</v>
      </c>
      <c r="F366" s="392" t="s">
        <v>722</v>
      </c>
      <c r="G366" s="395">
        <f>E366*C366*1000</f>
        <v>0</v>
      </c>
      <c r="H366" s="626">
        <f>IF(G366=0,0,1)</f>
        <v>0</v>
      </c>
      <c r="I366" s="948"/>
      <c r="J366" s="545"/>
      <c r="K366" s="545"/>
      <c r="L366" s="546"/>
    </row>
    <row r="367" spans="1:12" s="845" customFormat="1">
      <c r="A367" s="947"/>
      <c r="B367" s="400" t="s">
        <v>2829</v>
      </c>
      <c r="C367" s="393">
        <f>IF(retrofit=0,cooling_hp,0)</f>
        <v>0</v>
      </c>
      <c r="D367" s="392" t="s">
        <v>721</v>
      </c>
      <c r="E367" s="408">
        <f>energy_cost_cl</f>
        <v>0.10761526717557252</v>
      </c>
      <c r="F367" s="392" t="s">
        <v>722</v>
      </c>
      <c r="G367" s="395">
        <f>E367*C367*1000</f>
        <v>0</v>
      </c>
      <c r="H367" s="626">
        <f>IF(G367=0,0,1)</f>
        <v>0</v>
      </c>
      <c r="I367" s="948"/>
      <c r="J367" s="545"/>
      <c r="K367" s="545"/>
      <c r="L367" s="546"/>
    </row>
    <row r="368" spans="1:12" s="845" customFormat="1">
      <c r="A368" s="947"/>
      <c r="B368" s="865" t="s">
        <v>2965</v>
      </c>
      <c r="C368" s="865"/>
      <c r="D368" s="865"/>
      <c r="E368" s="865"/>
      <c r="F368" s="865"/>
      <c r="G368" s="865"/>
      <c r="H368" s="951"/>
      <c r="I368" s="545"/>
      <c r="J368" s="949"/>
      <c r="K368" s="545"/>
      <c r="L368" s="546"/>
    </row>
    <row r="369" spans="1:12" s="845" customFormat="1">
      <c r="A369" s="947"/>
      <c r="B369" s="400" t="s">
        <v>1731</v>
      </c>
      <c r="C369" s="393">
        <f>IF(retrofit=0,heating,0)</f>
        <v>0</v>
      </c>
      <c r="D369" s="392" t="s">
        <v>721</v>
      </c>
      <c r="E369" s="408">
        <f>energy_cost_cl</f>
        <v>0.10761526717557252</v>
      </c>
      <c r="F369" s="452" t="s">
        <v>722</v>
      </c>
      <c r="G369" s="395">
        <f>E369*C369*1000</f>
        <v>0</v>
      </c>
      <c r="H369" s="626">
        <f t="shared" ref="H369:H374" si="181">IF(G369=0,0,1)</f>
        <v>0</v>
      </c>
      <c r="I369" s="948"/>
      <c r="J369" s="949"/>
      <c r="K369" s="545"/>
      <c r="L369" s="546"/>
    </row>
    <row r="370" spans="1:12" s="845" customFormat="1">
      <c r="A370" s="947"/>
      <c r="B370" s="400" t="s">
        <v>654</v>
      </c>
      <c r="C370" s="393">
        <f>IF(retrofit=0,heating_hp,0)</f>
        <v>0</v>
      </c>
      <c r="D370" s="392" t="s">
        <v>721</v>
      </c>
      <c r="E370" s="408">
        <f>energy_cost_cl</f>
        <v>0.10761526717557252</v>
      </c>
      <c r="F370" s="452" t="s">
        <v>722</v>
      </c>
      <c r="G370" s="395">
        <f>E370*C370*1000</f>
        <v>0</v>
      </c>
      <c r="H370" s="626">
        <f t="shared" si="181"/>
        <v>0</v>
      </c>
      <c r="I370" s="948"/>
      <c r="J370" s="949"/>
      <c r="K370" s="545"/>
      <c r="L370" s="546"/>
    </row>
    <row r="371" spans="1:12" s="845" customFormat="1">
      <c r="A371" s="947"/>
      <c r="B371" s="400" t="s">
        <v>779</v>
      </c>
      <c r="C371" s="393">
        <f>IF(retrofit=0,heating_gas_non,0)</f>
        <v>0</v>
      </c>
      <c r="D371" s="392" t="s">
        <v>340</v>
      </c>
      <c r="E371" s="408">
        <f>gas_cost_cl</f>
        <v>0.64354043868972843</v>
      </c>
      <c r="F371" s="452" t="s">
        <v>2938</v>
      </c>
      <c r="G371" s="395">
        <f>E371*C371</f>
        <v>0</v>
      </c>
      <c r="H371" s="626">
        <f t="shared" si="181"/>
        <v>0</v>
      </c>
      <c r="I371" s="948"/>
      <c r="J371" s="949"/>
      <c r="K371" s="545"/>
      <c r="L371" s="546"/>
    </row>
    <row r="372" spans="1:12" s="845" customFormat="1">
      <c r="A372" s="947"/>
      <c r="B372" s="400" t="s">
        <v>780</v>
      </c>
      <c r="C372" s="393">
        <f>IF(retrofit=0,heating_gas,0)</f>
        <v>0</v>
      </c>
      <c r="D372" s="392" t="s">
        <v>340</v>
      </c>
      <c r="E372" s="408">
        <f>gas_cost_cl</f>
        <v>0.64354043868972843</v>
      </c>
      <c r="F372" s="452" t="s">
        <v>2938</v>
      </c>
      <c r="G372" s="395">
        <f>E372*C372</f>
        <v>0</v>
      </c>
      <c r="H372" s="626">
        <f t="shared" si="181"/>
        <v>0</v>
      </c>
      <c r="I372" s="948"/>
      <c r="J372" s="949"/>
      <c r="K372" s="545"/>
      <c r="L372" s="546"/>
    </row>
    <row r="373" spans="1:12" s="845" customFormat="1">
      <c r="A373" s="947"/>
      <c r="B373" s="413" t="s">
        <v>1361</v>
      </c>
      <c r="C373" s="393">
        <f>IF(retrofit=0,heating_diesel_non,0)</f>
        <v>0</v>
      </c>
      <c r="D373" s="392" t="s">
        <v>651</v>
      </c>
      <c r="E373" s="408">
        <f>diesel_cost_cl</f>
        <v>1.9400231874222376</v>
      </c>
      <c r="F373" s="452" t="s">
        <v>2939</v>
      </c>
      <c r="G373" s="395">
        <f>E373*C373</f>
        <v>0</v>
      </c>
      <c r="H373" s="626">
        <f t="shared" si="181"/>
        <v>0</v>
      </c>
      <c r="I373" s="948"/>
      <c r="J373" s="949"/>
      <c r="K373" s="545"/>
      <c r="L373" s="546"/>
    </row>
    <row r="374" spans="1:12" s="845" customFormat="1">
      <c r="A374" s="947"/>
      <c r="B374" s="413" t="s">
        <v>1362</v>
      </c>
      <c r="C374" s="393">
        <f>IF(retrofit=0,heating_diesel,0)</f>
        <v>0</v>
      </c>
      <c r="D374" s="392" t="s">
        <v>651</v>
      </c>
      <c r="E374" s="408">
        <f>diesel_cost_cl</f>
        <v>1.9400231874222376</v>
      </c>
      <c r="F374" s="452" t="s">
        <v>2939</v>
      </c>
      <c r="G374" s="395">
        <f>E374*C374</f>
        <v>0</v>
      </c>
      <c r="H374" s="626">
        <f t="shared" si="181"/>
        <v>0</v>
      </c>
      <c r="I374" s="948"/>
      <c r="J374" s="949"/>
      <c r="K374" s="545"/>
      <c r="L374" s="546"/>
    </row>
    <row r="375" spans="1:12" s="845" customFormat="1">
      <c r="A375" s="375"/>
      <c r="B375" s="236" t="s">
        <v>2569</v>
      </c>
      <c r="C375" s="236"/>
      <c r="D375" s="236"/>
      <c r="E375" s="236"/>
      <c r="F375" s="236"/>
      <c r="G375" s="236"/>
      <c r="H375" s="374"/>
      <c r="I375" s="545"/>
      <c r="J375" s="949"/>
      <c r="K375" s="545"/>
      <c r="L375" s="546"/>
    </row>
    <row r="376" spans="1:12" s="845" customFormat="1">
      <c r="A376" s="952"/>
      <c r="B376" s="377" t="s">
        <v>893</v>
      </c>
      <c r="C376" s="393">
        <f>IF(res_s2_opt=2,res_flow_annual,0)</f>
        <v>355092.85714285716</v>
      </c>
      <c r="D376" s="392" t="s">
        <v>651</v>
      </c>
      <c r="E376" s="454">
        <f>IF(res_s2_opt=2,G376/C376,"NA")</f>
        <v>5.1141832667567898E-3</v>
      </c>
      <c r="F376" s="452" t="str">
        <f>IF(res_s2_opt=2,"/gal","")</f>
        <v>/gal</v>
      </c>
      <c r="G376" s="401">
        <f>IF(res_s2_opt=2,POTW_fee,"--")</f>
        <v>1816.0099481448594</v>
      </c>
      <c r="H376" s="453">
        <f>IF(retrofit=1,0,IF(res_s2_opt=2,1,0))</f>
        <v>1</v>
      </c>
      <c r="I376" s="941"/>
      <c r="J376" s="949"/>
      <c r="K376" s="545"/>
      <c r="L376" s="546"/>
    </row>
    <row r="377" spans="1:12" s="845" customFormat="1">
      <c r="A377" s="950"/>
      <c r="B377" s="376" t="s">
        <v>896</v>
      </c>
      <c r="C377" s="664">
        <f>IF(retrofit=1,IF(r_disp_freq=0,0,r_spent_media_yr-spent_media_yr),IF(disp_freq=0,0,spent_media_yr))</f>
        <v>0</v>
      </c>
      <c r="D377" s="392" t="s">
        <v>894</v>
      </c>
      <c r="E377" s="408">
        <f>IF(IF(retrofit=1,r_disp_freq,disp_freq)=0,0,G377/C377)</f>
        <v>0</v>
      </c>
      <c r="F377" s="452" t="s">
        <v>895</v>
      </c>
      <c r="G377" s="443">
        <f>IF(retrofit=1,r_disposal_fee-disposal_fee,disposal_fee)</f>
        <v>0</v>
      </c>
      <c r="H377" s="444">
        <f>IF(C377=0,0,1)</f>
        <v>0</v>
      </c>
      <c r="I377" s="1148"/>
      <c r="J377" s="1149"/>
      <c r="K377" s="1149"/>
      <c r="L377" s="1150"/>
    </row>
    <row r="378" spans="1:12" s="845" customFormat="1">
      <c r="A378" s="950"/>
      <c r="B378" s="376" t="str">
        <f>IF(res_s2_opt=5,"Evaporation pond solids disposal",IF(htanks&lt;&gt;0,"Holding "&amp;res_holding&amp;" solids disposal",""))</f>
        <v/>
      </c>
      <c r="C378" s="664" t="str">
        <f>IF(B378="","",res_solids*sol_disp_freq)</f>
        <v/>
      </c>
      <c r="D378" s="392" t="str">
        <f>IF(B378="","","ton/yr")</f>
        <v/>
      </c>
      <c r="E378" s="408" t="str">
        <f>IF(B378="","",G378/C378)</f>
        <v/>
      </c>
      <c r="F378" s="452" t="str">
        <f>IF(B378="","","/ton")</f>
        <v/>
      </c>
      <c r="G378" s="443" t="str">
        <f>IF(B378="","",sol_disposal_fee)</f>
        <v/>
      </c>
      <c r="H378" s="444" t="str">
        <f>IF(B378="","",IF(retrofit=1,0,IF(C378=0,0,1)))</f>
        <v/>
      </c>
      <c r="I378" s="1148" t="str">
        <f>IF(AND(res_solids&lt;&gt;0,solids_haz=1,solids_method=2),"Land application assumed to be zero cost, but labor cost for handling is still included in operator hours","")</f>
        <v/>
      </c>
      <c r="J378" s="1149"/>
      <c r="K378" s="1149"/>
      <c r="L378" s="1150"/>
    </row>
    <row r="379" spans="1:12" s="845" customFormat="1">
      <c r="A379" s="950"/>
      <c r="B379" s="376" t="str">
        <f>IF(num_sept_tanks&lt;&gt;0,"Septic tank solids disposal","")</f>
        <v/>
      </c>
      <c r="C379" s="455" t="str">
        <f>IF(B379="","",res_solids*septic_disp_freq)</f>
        <v/>
      </c>
      <c r="D379" s="392" t="str">
        <f>IF(B379="","","ton/yr")</f>
        <v/>
      </c>
      <c r="E379" s="408" t="str">
        <f>IF(B379="","",G379/C379)</f>
        <v/>
      </c>
      <c r="F379" s="452" t="str">
        <f>IF(B379="","","/ton")</f>
        <v/>
      </c>
      <c r="G379" s="551" t="str">
        <f>IF(B379="","",septic_disposal_fee)</f>
        <v/>
      </c>
      <c r="H379" s="444" t="str">
        <f>IF(B379="","",IF(retrofit=1,0,IF(C379=0,0,1)))</f>
        <v/>
      </c>
      <c r="I379" s="941"/>
      <c r="J379" s="545"/>
      <c r="K379" s="545"/>
      <c r="L379" s="546"/>
    </row>
    <row r="380" spans="1:12" s="845" customFormat="1">
      <c r="A380" s="550"/>
      <c r="B380" s="899" t="s">
        <v>1142</v>
      </c>
      <c r="C380" s="900">
        <f>misc_pct</f>
        <v>0.1</v>
      </c>
      <c r="D380" s="899"/>
      <c r="E380" s="901"/>
      <c r="F380" s="899"/>
      <c r="G380" s="902">
        <f>SUMPRODUCT(G342:G379,H342:H379)*C380</f>
        <v>1641.1442491996997</v>
      </c>
      <c r="H380" s="903">
        <f>IF(C380=0,0,1)</f>
        <v>1</v>
      </c>
      <c r="I380" s="545"/>
      <c r="J380" s="545"/>
      <c r="K380" s="545"/>
      <c r="L380" s="546"/>
    </row>
    <row r="381" spans="1:12" s="845" customFormat="1" ht="16">
      <c r="A381" s="171"/>
      <c r="B381" s="898" t="s">
        <v>1956</v>
      </c>
      <c r="C381" s="133"/>
      <c r="D381" s="896"/>
      <c r="E381" s="897"/>
      <c r="F381" s="897"/>
      <c r="G381" s="895">
        <f>SUMPRODUCT(G342:G380,H342:H380)</f>
        <v>18052.586741196697</v>
      </c>
      <c r="H381" s="133"/>
      <c r="I381" s="133"/>
      <c r="J381" s="133"/>
      <c r="K381" s="133"/>
      <c r="L381" s="134"/>
    </row>
    <row r="382" spans="1:12" s="845" customFormat="1">
      <c r="A382" s="24"/>
      <c r="B382" s="179"/>
      <c r="C382" s="24"/>
      <c r="D382" s="180"/>
      <c r="E382" s="24"/>
      <c r="F382" s="24"/>
      <c r="G382" s="24"/>
      <c r="H382" s="24"/>
      <c r="I382" s="24"/>
      <c r="J382" s="24"/>
      <c r="K382" s="24"/>
      <c r="L382" s="24"/>
    </row>
    <row r="383" spans="1:12" s="845" customFormat="1" ht="16">
      <c r="A383" s="232" t="s">
        <v>3166</v>
      </c>
      <c r="B383" s="283"/>
      <c r="C383" s="283"/>
      <c r="D383" s="283"/>
      <c r="E383" s="283"/>
      <c r="F383" s="283"/>
      <c r="G383" s="283"/>
      <c r="H383" s="283"/>
      <c r="I383" s="283"/>
      <c r="J383" s="283"/>
      <c r="K383" s="283"/>
      <c r="L383" s="539"/>
    </row>
    <row r="384" spans="1:12" s="845" customFormat="1" ht="16">
      <c r="A384" s="884"/>
      <c r="B384" s="876" t="s">
        <v>1432</v>
      </c>
      <c r="C384" s="888" t="s">
        <v>1434</v>
      </c>
      <c r="D384" s="885" t="s">
        <v>1436</v>
      </c>
      <c r="E384" s="186"/>
      <c r="F384" s="186"/>
      <c r="G384" s="186"/>
      <c r="H384" s="186"/>
      <c r="I384" s="186"/>
      <c r="J384" s="186"/>
      <c r="K384" s="186"/>
      <c r="L384" s="541"/>
    </row>
    <row r="385" spans="1:12" s="845" customFormat="1">
      <c r="A385" s="184"/>
      <c r="B385" s="284" t="s">
        <v>3167</v>
      </c>
      <c r="C385" s="540">
        <v>7.0000000000000007E-2</v>
      </c>
      <c r="D385" s="230" t="s">
        <v>3168</v>
      </c>
      <c r="E385" s="186"/>
      <c r="F385" s="186"/>
      <c r="G385" s="186"/>
      <c r="H385" s="186"/>
      <c r="I385" s="186"/>
      <c r="J385" s="186"/>
      <c r="K385" s="186"/>
      <c r="L385" s="541"/>
    </row>
    <row r="386" spans="1:12" s="845" customFormat="1">
      <c r="A386" s="184"/>
      <c r="B386" s="284" t="s">
        <v>3169</v>
      </c>
      <c r="C386" s="542" t="s">
        <v>3170</v>
      </c>
      <c r="D386" s="230" t="s">
        <v>3168</v>
      </c>
      <c r="E386" s="186"/>
      <c r="F386" s="186"/>
      <c r="G386" s="186"/>
      <c r="H386" s="186"/>
      <c r="I386" s="186"/>
      <c r="J386" s="186"/>
      <c r="K386" s="186"/>
      <c r="L386" s="541"/>
    </row>
    <row r="387" spans="1:12" s="845" customFormat="1">
      <c r="A387" s="184"/>
      <c r="B387" s="284" t="s">
        <v>3171</v>
      </c>
      <c r="C387" s="543">
        <v>2.6</v>
      </c>
      <c r="D387" s="230" t="s">
        <v>3168</v>
      </c>
      <c r="E387" s="186"/>
      <c r="F387" s="186"/>
      <c r="G387" s="186"/>
      <c r="H387" s="186"/>
      <c r="I387" s="186"/>
      <c r="J387" s="186"/>
      <c r="K387" s="186"/>
      <c r="L387" s="541"/>
    </row>
    <row r="388" spans="1:12" s="845" customFormat="1">
      <c r="A388" s="831"/>
      <c r="B388" s="284"/>
      <c r="C388" s="904"/>
      <c r="D388" s="230"/>
      <c r="E388" s="186"/>
      <c r="F388" s="186"/>
      <c r="G388" s="186"/>
      <c r="H388" s="186"/>
      <c r="I388" s="186"/>
      <c r="J388" s="186"/>
      <c r="K388" s="186"/>
      <c r="L388" s="541"/>
    </row>
    <row r="389" spans="1:12" s="845" customFormat="1">
      <c r="A389" s="544"/>
      <c r="B389" s="908" t="s">
        <v>3396</v>
      </c>
      <c r="C389" s="907" t="s">
        <v>1434</v>
      </c>
      <c r="D389" s="187" t="s">
        <v>1435</v>
      </c>
      <c r="E389" s="545"/>
      <c r="F389" s="545"/>
      <c r="G389" s="545"/>
      <c r="H389" s="545"/>
      <c r="I389" s="545"/>
      <c r="J389" s="545"/>
      <c r="K389" s="545"/>
      <c r="L389" s="546"/>
    </row>
    <row r="390" spans="1:12" s="845" customFormat="1">
      <c r="A390" s="544"/>
      <c r="B390" s="1011" t="s">
        <v>3172</v>
      </c>
      <c r="C390" s="1012" t="e">
        <f ca="1">IF(AND(retrofit=1,direct_cost=0,system_cost&lt;&gt;0),IF(build_UL=0,20,build_UL),IF(system_cost=0,"NA",ROUND((direct_for_UL+IF(build_UL=0,0,addon_cost+indirect_cost))/(total_direct_depreciation+IF(build_UL=0,0,(addon_cost+indirect_cost)/build_UL)),1)))</f>
        <v>#NAME?</v>
      </c>
      <c r="D390" s="545" t="s">
        <v>3173</v>
      </c>
      <c r="E390" s="545"/>
      <c r="F390" s="545"/>
      <c r="G390" s="545"/>
      <c r="H390" s="545"/>
      <c r="I390" s="545"/>
      <c r="J390" s="545"/>
      <c r="K390" s="545"/>
      <c r="L390" s="546"/>
    </row>
    <row r="391" spans="1:12" s="845" customFormat="1">
      <c r="A391" s="544"/>
      <c r="B391" s="1011" t="s">
        <v>3174</v>
      </c>
      <c r="C391" s="1013">
        <f>IF(source_select="ground water",(average_flow*1000/0.08558)^(1/1.0584),(average_flow*1000/0.14004)^(1/0.99703))/hh_size</f>
        <v>726.12372550825626</v>
      </c>
      <c r="D391" s="545" t="s">
        <v>3175</v>
      </c>
      <c r="E391" s="545"/>
      <c r="F391" s="545"/>
      <c r="G391" s="545"/>
      <c r="H391" s="545"/>
      <c r="I391" s="545"/>
      <c r="J391" s="545"/>
      <c r="K391" s="545"/>
      <c r="L391" s="546"/>
    </row>
    <row r="392" spans="1:12" s="845" customFormat="1" ht="16">
      <c r="A392" s="261"/>
      <c r="B392" s="1014" t="s">
        <v>3176</v>
      </c>
      <c r="C392" s="1015" t="e">
        <f ca="1">IF(system_cost=0,0,-PMT(Discount_rate,useful_life,ROUND(system_cost,0)))+ROUND(OM_cost,0)</f>
        <v>#NAME?</v>
      </c>
      <c r="D392" s="905" t="s">
        <v>1384</v>
      </c>
      <c r="E392" s="107"/>
      <c r="F392" s="107"/>
      <c r="G392" s="107"/>
      <c r="H392" s="107"/>
      <c r="I392" s="107"/>
      <c r="J392" s="107"/>
      <c r="K392" s="107"/>
      <c r="L392" s="164"/>
    </row>
    <row r="393" spans="1:12" s="845" customFormat="1">
      <c r="A393" s="261"/>
      <c r="B393" s="1016" t="s">
        <v>3177</v>
      </c>
      <c r="C393" s="1017" t="e">
        <f ca="1">Annualized_Cost/(average_flow*365*1000)</f>
        <v>#NAME?</v>
      </c>
      <c r="D393" s="905" t="s">
        <v>3178</v>
      </c>
      <c r="E393" s="107"/>
      <c r="F393" s="107"/>
      <c r="G393" s="107"/>
      <c r="H393" s="107"/>
      <c r="I393" s="107"/>
      <c r="J393" s="107"/>
      <c r="K393" s="107"/>
      <c r="L393" s="164"/>
    </row>
    <row r="394" spans="1:12" s="845" customFormat="1">
      <c r="A394" s="171"/>
      <c r="B394" s="1018" t="s">
        <v>3179</v>
      </c>
      <c r="C394" s="1019" t="e">
        <f ca="1">Annualized_Cost/households</f>
        <v>#NAME?</v>
      </c>
      <c r="D394" s="906" t="s">
        <v>3180</v>
      </c>
      <c r="E394" s="133"/>
      <c r="F394" s="133"/>
      <c r="G394" s="133"/>
      <c r="H394" s="133"/>
      <c r="I394" s="133"/>
      <c r="J394" s="133"/>
      <c r="K394" s="133"/>
      <c r="L394" s="134"/>
    </row>
    <row r="395" spans="1:12" s="845" customFormat="1">
      <c r="A395" s="24"/>
      <c r="B395" s="179"/>
      <c r="C395" s="24"/>
      <c r="D395" s="180"/>
      <c r="E395" s="24"/>
      <c r="F395" s="24"/>
      <c r="G395" s="24"/>
      <c r="H395" s="24"/>
      <c r="I395" s="24"/>
      <c r="J395" s="24"/>
      <c r="K395" s="24"/>
      <c r="L395" s="24"/>
    </row>
    <row r="396" spans="1:12" s="845" customFormat="1">
      <c r="A396" s="24"/>
      <c r="B396" s="179"/>
      <c r="C396" s="24"/>
      <c r="D396" s="180"/>
      <c r="E396" s="24"/>
      <c r="F396" s="24"/>
      <c r="G396" s="24"/>
      <c r="H396" s="24"/>
      <c r="I396" s="24"/>
      <c r="J396" s="24"/>
      <c r="K396" s="24"/>
      <c r="L396" s="24"/>
    </row>
    <row r="397" spans="1:12">
      <c r="A397" s="88" t="s">
        <v>3139</v>
      </c>
      <c r="B397" s="88"/>
      <c r="D397" s="6"/>
    </row>
    <row r="398" spans="1:12">
      <c r="B398" s="151" t="s">
        <v>269</v>
      </c>
      <c r="C398" s="509">
        <f>C311</f>
        <v>0</v>
      </c>
      <c r="D398" s="6"/>
    </row>
    <row r="399" spans="1:12">
      <c r="B399" s="151" t="s">
        <v>270</v>
      </c>
      <c r="C399" s="509">
        <f>C312</f>
        <v>0</v>
      </c>
      <c r="D399" s="6"/>
    </row>
    <row r="400" spans="1:12">
      <c r="B400" s="151" t="s">
        <v>1773</v>
      </c>
      <c r="C400" s="916">
        <f>D313</f>
        <v>0</v>
      </c>
      <c r="D400" s="6"/>
    </row>
    <row r="401" spans="2:4">
      <c r="B401" s="151" t="s">
        <v>1645</v>
      </c>
      <c r="C401" s="509">
        <f>C314</f>
        <v>1488.7912087912089</v>
      </c>
      <c r="D401" s="6"/>
    </row>
    <row r="402" spans="2:4">
      <c r="B402" s="151" t="s">
        <v>2115</v>
      </c>
      <c r="C402" s="509">
        <f>C315</f>
        <v>0</v>
      </c>
      <c r="D402" s="6"/>
    </row>
    <row r="403" spans="2:4">
      <c r="B403" s="151" t="s">
        <v>2116</v>
      </c>
      <c r="C403" s="509">
        <f>C316</f>
        <v>0</v>
      </c>
      <c r="D403" s="6"/>
    </row>
    <row r="404" spans="2:4">
      <c r="B404" s="151" t="s">
        <v>2856</v>
      </c>
      <c r="C404" s="509">
        <f>C317</f>
        <v>0</v>
      </c>
      <c r="D404" s="6"/>
    </row>
    <row r="405" spans="2:4">
      <c r="B405" s="151" t="s">
        <v>2857</v>
      </c>
      <c r="C405" s="509">
        <f>C318</f>
        <v>6754.4010206243729</v>
      </c>
      <c r="D405" s="6"/>
    </row>
    <row r="406" spans="2:4">
      <c r="B406" s="151" t="s">
        <v>2858</v>
      </c>
      <c r="C406" s="916">
        <f t="shared" ref="C406:C412" si="182">D319</f>
        <v>0</v>
      </c>
      <c r="D406" s="6"/>
    </row>
    <row r="407" spans="2:4">
      <c r="B407" s="151" t="s">
        <v>2767</v>
      </c>
      <c r="C407" s="916">
        <f t="shared" si="182"/>
        <v>0</v>
      </c>
      <c r="D407" s="6"/>
    </row>
    <row r="408" spans="2:4">
      <c r="B408" s="151" t="s">
        <v>2768</v>
      </c>
      <c r="C408" s="916">
        <f t="shared" si="182"/>
        <v>0.2</v>
      </c>
      <c r="D408" s="6"/>
    </row>
    <row r="409" spans="2:4">
      <c r="B409" s="151" t="s">
        <v>1142</v>
      </c>
      <c r="C409" s="916">
        <f t="shared" si="182"/>
        <v>0.1</v>
      </c>
      <c r="D409" s="6"/>
    </row>
    <row r="410" spans="2:4">
      <c r="B410" s="151" t="s">
        <v>2769</v>
      </c>
      <c r="C410" s="916">
        <f t="shared" si="182"/>
        <v>0.02</v>
      </c>
      <c r="D410" s="6"/>
    </row>
    <row r="411" spans="2:4">
      <c r="B411" s="151" t="s">
        <v>2770</v>
      </c>
      <c r="C411" s="916">
        <f t="shared" si="182"/>
        <v>0</v>
      </c>
      <c r="D411" s="6"/>
    </row>
    <row r="412" spans="2:4">
      <c r="B412" s="151" t="s">
        <v>1705</v>
      </c>
      <c r="C412" s="916">
        <f t="shared" si="182"/>
        <v>0</v>
      </c>
      <c r="D412" s="6"/>
    </row>
    <row r="413" spans="2:4">
      <c r="B413" s="151" t="s">
        <v>1977</v>
      </c>
      <c r="C413" s="917">
        <f>C326</f>
        <v>1953.880791292404</v>
      </c>
      <c r="D413" s="6"/>
    </row>
    <row r="414" spans="2:4">
      <c r="B414" s="224" t="s">
        <v>3140</v>
      </c>
      <c r="C414" s="916">
        <f>SUM(cul_indir_mult_table)</f>
        <v>0.32000000000000006</v>
      </c>
      <c r="D414" s="6"/>
    </row>
    <row r="415" spans="2:4">
      <c r="B415" s="224" t="s">
        <v>3141</v>
      </c>
      <c r="C415" s="918" t="e">
        <f ca="1">SUM(cul_indir_add_table)-addon_cost</f>
        <v>#NAME?</v>
      </c>
      <c r="D415" s="538"/>
    </row>
    <row r="416" spans="2:4">
      <c r="B416" s="919" t="s">
        <v>3142</v>
      </c>
      <c r="C416" s="509" t="e">
        <f ca="1">C327+addon_cost</f>
        <v>#NAME?</v>
      </c>
      <c r="D416" s="6"/>
    </row>
    <row r="418" spans="2:40">
      <c r="B418" s="920" t="s">
        <v>3059</v>
      </c>
      <c r="C418" s="6" t="b">
        <f>INPUT!C34</f>
        <v>1</v>
      </c>
      <c r="D418" s="6" t="b">
        <f>INPUT!C36</f>
        <v>1</v>
      </c>
      <c r="E418" s="6" t="b">
        <f>INPUT!C37</f>
        <v>1</v>
      </c>
      <c r="F418" s="6" t="b">
        <f>INPUT!C38</f>
        <v>1</v>
      </c>
      <c r="G418" s="6" t="b">
        <f>INPUT!C39</f>
        <v>1</v>
      </c>
      <c r="H418" s="6" t="b">
        <f>INPUT!C40</f>
        <v>1</v>
      </c>
      <c r="I418" s="6" t="b">
        <f>INPUT!C43</f>
        <v>1</v>
      </c>
      <c r="J418" s="6" t="b">
        <f>INPUT!C45</f>
        <v>1</v>
      </c>
      <c r="K418" s="6" t="b">
        <f>INPUT!C46</f>
        <v>1</v>
      </c>
      <c r="L418" s="6" t="b">
        <f>INPUT!C47</f>
        <v>1</v>
      </c>
      <c r="M418" s="6" t="b">
        <f>INPUT!C48</f>
        <v>1</v>
      </c>
      <c r="N418" s="6" t="b">
        <f>INPUT!C49</f>
        <v>1</v>
      </c>
      <c r="O418" s="6" t="b">
        <f>INPUT!C53</f>
        <v>1</v>
      </c>
      <c r="P418" s="6" t="b">
        <f>INPUT!C57</f>
        <v>1</v>
      </c>
      <c r="Q418" s="6" t="b">
        <f>INPUT!C58</f>
        <v>1</v>
      </c>
      <c r="R418" s="6" t="b">
        <f>INPUT!C59</f>
        <v>1</v>
      </c>
      <c r="S418" s="6" t="b">
        <f>INPUT!C60</f>
        <v>1</v>
      </c>
      <c r="T418" s="6" t="b">
        <f>INPUT!C65</f>
        <v>1</v>
      </c>
      <c r="U418" s="6" t="b">
        <f>INPUT!C66</f>
        <v>1</v>
      </c>
      <c r="V418" s="6" t="b">
        <f>INPUT!C67</f>
        <v>1</v>
      </c>
      <c r="W418" s="6" t="b">
        <f>INPUT!C68</f>
        <v>1</v>
      </c>
      <c r="X418" s="6" t="b">
        <f>INPUT!C70</f>
        <v>1</v>
      </c>
      <c r="Y418" s="6" t="b">
        <f>INPUT!C75</f>
        <v>1</v>
      </c>
      <c r="Z418" s="6" t="b">
        <f>INPUT!C76</f>
        <v>1</v>
      </c>
      <c r="AA418" s="6" t="b">
        <f>INPUT!C77</f>
        <v>1</v>
      </c>
      <c r="AB418" s="6" t="b">
        <f>INPUT!C78</f>
        <v>1</v>
      </c>
      <c r="AC418" s="6" t="b">
        <f>INPUT!C79</f>
        <v>1</v>
      </c>
      <c r="AD418" s="6" t="b">
        <f>INPUT!C80</f>
        <v>1</v>
      </c>
      <c r="AE418" s="6" t="b">
        <f>INPUT!C81</f>
        <v>1</v>
      </c>
      <c r="AF418" s="6" t="b">
        <f>INPUT!C83</f>
        <v>1</v>
      </c>
      <c r="AG418" s="6" t="b">
        <f>INPUT!C84</f>
        <v>1</v>
      </c>
      <c r="AH418" s="6" t="b">
        <f>INPUT!C85</f>
        <v>1</v>
      </c>
      <c r="AI418" s="6" t="b">
        <f>INPUT!C86</f>
        <v>1</v>
      </c>
      <c r="AJ418" s="6" t="b">
        <f>INPUT!C87</f>
        <v>1</v>
      </c>
      <c r="AK418" s="6" t="b">
        <f>INPUT!C88</f>
        <v>1</v>
      </c>
      <c r="AL418" s="6" t="b">
        <f>INPUT!C89</f>
        <v>1</v>
      </c>
      <c r="AM418" s="6" t="b">
        <f>INPUT!C104</f>
        <v>1</v>
      </c>
      <c r="AN418" s="6" t="b">
        <f>INPUT!C114</f>
        <v>1</v>
      </c>
    </row>
    <row r="419" spans="2:40">
      <c r="B419" s="921" t="s">
        <v>3136</v>
      </c>
      <c r="C419" s="6" t="b">
        <f>IF(COUNTIF(use_column,"x")&gt;0,TRUE,FALSE)</f>
        <v>0</v>
      </c>
      <c r="D419" s="6"/>
    </row>
    <row r="420" spans="2:40">
      <c r="B420" s="921" t="s">
        <v>1112</v>
      </c>
      <c r="C420" s="6" t="b">
        <f>IF(COUNTIF(use_column,"ec")+COUNTIF(use_column,"ep")&gt;0,TRUE,FALSE)</f>
        <v>0</v>
      </c>
      <c r="D420" s="6"/>
    </row>
  </sheetData>
  <mergeCells count="25">
    <mergeCell ref="AA30:AC30"/>
    <mergeCell ref="AD30:AF30"/>
    <mergeCell ref="AG29:AH30"/>
    <mergeCell ref="E340:F340"/>
    <mergeCell ref="X29:AF29"/>
    <mergeCell ref="W29:W31"/>
    <mergeCell ref="I29:I31"/>
    <mergeCell ref="J29:J31"/>
    <mergeCell ref="K29:K31"/>
    <mergeCell ref="L29:L31"/>
    <mergeCell ref="M29:M31"/>
    <mergeCell ref="N30:P30"/>
    <mergeCell ref="Q30:S30"/>
    <mergeCell ref="T30:V30"/>
    <mergeCell ref="X30:Z30"/>
    <mergeCell ref="A29:A31"/>
    <mergeCell ref="B29:B31"/>
    <mergeCell ref="C29:D31"/>
    <mergeCell ref="E29:F31"/>
    <mergeCell ref="G29:H31"/>
    <mergeCell ref="I378:L378"/>
    <mergeCell ref="I344:L344"/>
    <mergeCell ref="N29:V29"/>
    <mergeCell ref="I377:L377"/>
    <mergeCell ref="C340:D340"/>
  </mergeCells>
  <phoneticPr fontId="0" type="noConversion"/>
  <conditionalFormatting sqref="A62:K66 A251:K254 A187:K189 B179:K185 A59:K59 A47:K50 A236:K237 A39:L39 J146:K148 A68:K71 A184:A185 A73:K77 H160:H163 J130:K132 A230:K231 A242:K247 F160:F163 A298:A299 A214:K215 A239:K240 A192:K200 A202:K206 H165:H168 A34:K37 A217:K218 A160:A163 A179:A181 A79:K82 A233:K234 A40:K40 F165:F168 A294:A295 A208:K211 C53:K59 A83:A86 A88:A91 A130:H132 J127:J132 A115:K129 A57:B59 C150:K157 A249:B249 A134:A148 A53:B55 A150:B152 A154:B157 A52:K52 I143:K145 B143:H148 B134:K142 B294:C296 D294:K295 L295 E298:L299 A220:K226 A93:K96 A99:K113 A41:L44 C83:K91 C249:K254 A228:K228">
    <cfRule type="expression" dxfId="12447" priority="37" stopIfTrue="1">
      <formula>IF(OR($L34=0,NOT(ISNUMBER($L34))),TRUE,FALSE)</formula>
    </cfRule>
  </conditionalFormatting>
  <conditionalFormatting sqref="C346:G350 C366 B376:H379 H346:H351 H344 B342:G344 F366:G367 B346:B351 B366:B367 E366 D366:D367 H358:H363 B358:G364 B369:G374 G380:H380 B353:H356">
    <cfRule type="expression" dxfId="12446" priority="38" stopIfTrue="1">
      <formula>IF(OR($H342=0,NOT(ISNUMBER($H342))),TRUE,FALSE)</formula>
    </cfRule>
  </conditionalFormatting>
  <conditionalFormatting sqref="I146:I148">
    <cfRule type="expression" dxfId="12445" priority="39" stopIfTrue="1">
      <formula>IF(OR($L130=0,NOT(ISNUMBER($L130))),TRUE,FALSE)</formula>
    </cfRule>
  </conditionalFormatting>
  <conditionalFormatting sqref="I130:I132">
    <cfRule type="expression" dxfId="12444" priority="40" stopIfTrue="1">
      <formula>IF(OR($L111=0,NOT(ISNUMBER($L111))),TRUE,FALSE)</formula>
    </cfRule>
  </conditionalFormatting>
  <conditionalFormatting sqref="A170:K173 C87 A165:E168 A175:K178 I165:K168 G165:G168 B160:E163 G160:G163 I160:K163 A268:K269 G87 A257:K260 A271:K274 B83:B86 C153 A88:B91 C56 J108:K110 A154:B157 F127:K129 A108:B110 D153:K157 D108:D110 F108:F110 H108:H110 A127:D129 D87:F91 H87:K91 A282:K283 A285:K288 A290:K293 A57:B59 D56:L59 A262:K266 A276:K280">
    <cfRule type="expression" dxfId="12443" priority="41" stopIfTrue="1">
      <formula>IF(OR($L56=0,NOT(ISNUMBER($L56))),TRUE,FALSE)</formula>
    </cfRule>
  </conditionalFormatting>
  <conditionalFormatting sqref="L165:L168 L160:L163 L170:L173 L175:L178">
    <cfRule type="cellIs" dxfId="12442" priority="42" stopIfTrue="1" operator="equal">
      <formula>0</formula>
    </cfRule>
    <cfRule type="expression" dxfId="12441" priority="43" stopIfTrue="1">
      <formula>OR($L160="x",$L160="ec",$L160="ep")</formula>
    </cfRule>
  </conditionalFormatting>
  <conditionalFormatting sqref="C351:G351 H364 H366:H367 H369:H374">
    <cfRule type="expression" dxfId="12440" priority="44" stopIfTrue="1">
      <formula>IF(OR($H351=0,NOT(ISNUMBER($H351))),TRUE,FALSE)</formula>
    </cfRule>
  </conditionalFormatting>
  <conditionalFormatting sqref="H342:H343">
    <cfRule type="expression" dxfId="12439" priority="50" stopIfTrue="1">
      <formula>IF(OR(NOT(ISNUMBER($H342)),$H342=0),TRUE,FALSE)</formula>
    </cfRule>
  </conditionalFormatting>
  <conditionalFormatting sqref="L276:L280 L257:L260 L262:L266 L268:L269 L271:L274 L152:L158 L179 L34:L37 L40 L45:L47 L282:L283 L285:L288 L290:L294 L51:L150 L181:L254">
    <cfRule type="cellIs" dxfId="12438" priority="45" stopIfTrue="1" operator="equal">
      <formula>0</formula>
    </cfRule>
    <cfRule type="cellIs" dxfId="12437" priority="46" stopIfTrue="1" operator="equal">
      <formula>"x"</formula>
    </cfRule>
  </conditionalFormatting>
  <conditionalFormatting sqref="L180 L151 L108:L110 L48:L50 L87:L91 L127:L129 L153:L157 L250:L254 L56:L59">
    <cfRule type="cellIs" dxfId="12436" priority="47" stopIfTrue="1" operator="equal">
      <formula>0</formula>
    </cfRule>
    <cfRule type="cellIs" dxfId="12435" priority="48" stopIfTrue="1" operator="equal">
      <formula>"x"</formula>
    </cfRule>
  </conditionalFormatting>
  <conditionalFormatting sqref="C19:C26">
    <cfRule type="expression" dxfId="12434" priority="49" stopIfTrue="1">
      <formula>NOT(ISNUMBER(C19))</formula>
    </cfRule>
  </conditionalFormatting>
  <conditionalFormatting sqref="C367">
    <cfRule type="expression" dxfId="12433" priority="7" stopIfTrue="1">
      <formula>IF(OR($H367=0,NOT(ISNUMBER($H367))),TRUE,FALSE)</formula>
    </cfRule>
  </conditionalFormatting>
  <conditionalFormatting sqref="E367">
    <cfRule type="expression" dxfId="12432" priority="6" stopIfTrue="1">
      <formula>IF(OR($H367=0,NOT(ISNUMBER($H367))),TRUE,FALSE)</formula>
    </cfRule>
  </conditionalFormatting>
  <conditionalFormatting sqref="J93:J96">
    <cfRule type="expression" dxfId="12431" priority="5" stopIfTrue="1">
      <formula>IF(OR($L93=0,NOT(ISNUMBER($L93))),TRUE,FALSE)</formula>
    </cfRule>
  </conditionalFormatting>
  <conditionalFormatting sqref="J257:J260">
    <cfRule type="expression" dxfId="12430" priority="4" stopIfTrue="1">
      <formula>IF(OR($L257=0,NOT(ISNUMBER($L257))),TRUE,FALSE)</formula>
    </cfRule>
  </conditionalFormatting>
  <conditionalFormatting sqref="J271:J274">
    <cfRule type="expression" dxfId="12429" priority="3" stopIfTrue="1">
      <formula>IF(OR($L271=0,NOT(ISNUMBER($L271))),TRUE,FALSE)</formula>
    </cfRule>
  </conditionalFormatting>
  <conditionalFormatting sqref="J285:J288">
    <cfRule type="expression" dxfId="12428" priority="2" stopIfTrue="1">
      <formula>IF(OR($L285=0,NOT(ISNUMBER($L285))),TRUE,FALSE)</formula>
    </cfRule>
  </conditionalFormatting>
  <conditionalFormatting sqref="J290:J293">
    <cfRule type="expression" dxfId="12427" priority="1" stopIfTrue="1">
      <formula>IF(OR($L290=0,NOT(ISNUMBER($L290))),TRUE,FALSE)</formula>
    </cfRule>
  </conditionalFormatting>
  <dataValidations disablePrompts="1" count="3">
    <dataValidation type="list" allowBlank="1" showInputMessage="1" showErrorMessage="1" sqref="C386" xr:uid="{00000000-0002-0000-0300-000000000000}">
      <formula1>"ground water,surface water"</formula1>
    </dataValidation>
    <dataValidation type="decimal" operator="greaterThanOrEqual" allowBlank="1" showInputMessage="1" showErrorMessage="1" sqref="C385" xr:uid="{00000000-0002-0000-0300-000001000000}">
      <formula1>0</formula1>
    </dataValidation>
    <dataValidation type="decimal" operator="greaterThan" allowBlank="1" showInputMessage="1" showErrorMessage="1" sqref="C391 C387" xr:uid="{00000000-0002-0000-0300-000002000000}">
      <formula1>0</formula1>
    </dataValidation>
  </dataValidations>
  <hyperlinks>
    <hyperlink ref="D19" location="link_dcc" display="Details" xr:uid="{00000000-0004-0000-0300-000000000000}"/>
    <hyperlink ref="D20" location="link_aoc" display="Details" xr:uid="{00000000-0004-0000-0300-000001000000}"/>
    <hyperlink ref="D21" location="link_icc" display="Details" xr:uid="{00000000-0004-0000-0300-000002000000}"/>
    <hyperlink ref="D22" location="link_tcc" display="Details" xr:uid="{00000000-0004-0000-0300-000003000000}"/>
    <hyperlink ref="D23" location="link_omc" display="Details" xr:uid="{00000000-0004-0000-0300-000004000000}"/>
    <hyperlink ref="D24" location="link_annc" display="Details" xr:uid="{00000000-0004-0000-0300-000005000000}"/>
  </hyperlinks>
  <pageMargins left="0.75" right="0.75" top="1" bottom="1" header="0.5" footer="0.5"/>
  <pageSetup orientation="landscape" r:id="rId1"/>
  <headerFooter alignWithMargins="0"/>
  <ignoredErrors>
    <ignoredError sqref="F4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152400</xdr:colOff>
                    <xdr:row>0</xdr:row>
                    <xdr:rowOff>139700</xdr:rowOff>
                  </from>
                  <to>
                    <xdr:col>6</xdr:col>
                    <xdr:colOff>1739900</xdr:colOff>
                    <xdr:row>4</xdr:row>
                    <xdr:rowOff>152400</xdr:rowOff>
                  </to>
                </anchor>
              </controlPr>
            </control>
          </mc:Choice>
        </mc:AlternateContent>
        <mc:AlternateContent xmlns:mc="http://schemas.openxmlformats.org/markup-compatibility/2006">
          <mc:Choice Requires="x14">
            <control shapeId="1426" r:id="rId5" name="cmdCompSelect">
              <controlPr defaultSize="0" print="0" autoFill="0" autoPict="0" macro="[0]!Sheet4.cmdCompSelect_Click">
                <anchor moveWithCells="1" sizeWithCells="1">
                  <from>
                    <xdr:col>5</xdr:col>
                    <xdr:colOff>152400</xdr:colOff>
                    <xdr:row>5</xdr:row>
                    <xdr:rowOff>101600</xdr:rowOff>
                  </from>
                  <to>
                    <xdr:col>6</xdr:col>
                    <xdr:colOff>1739900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G286"/>
  <sheetViews>
    <sheetView zoomScaleNormal="100" workbookViewId="0">
      <pane ySplit="4" topLeftCell="A185" activePane="bottomLeft" state="frozen"/>
      <selection activeCell="A122" sqref="A122"/>
      <selection pane="bottomLeft" activeCell="A177" sqref="A177"/>
    </sheetView>
  </sheetViews>
  <sheetFormatPr baseColWidth="10" defaultColWidth="9.1640625" defaultRowHeight="13"/>
  <cols>
    <col min="1" max="1" width="68.83203125" style="537" customWidth="1"/>
    <col min="2" max="2" width="25.83203125" style="537" customWidth="1"/>
    <col min="3" max="3" width="14.6640625" style="537" customWidth="1"/>
    <col min="4" max="4" width="38" style="537" customWidth="1"/>
    <col min="5" max="5" width="13" style="537" customWidth="1"/>
    <col min="6" max="6" width="15.5" style="537" customWidth="1"/>
    <col min="7" max="16384" width="9.1640625" style="537"/>
  </cols>
  <sheetData>
    <row r="1" spans="1:5">
      <c r="A1" s="1" t="s">
        <v>3387</v>
      </c>
    </row>
    <row r="2" spans="1:5">
      <c r="A2" s="748" t="s">
        <v>3388</v>
      </c>
      <c r="C2" s="674"/>
    </row>
    <row r="3" spans="1:5">
      <c r="A3" s="88"/>
      <c r="C3" s="674"/>
    </row>
    <row r="4" spans="1:5">
      <c r="A4" s="208" t="s">
        <v>1432</v>
      </c>
      <c r="B4" s="209" t="s">
        <v>1433</v>
      </c>
      <c r="C4" s="210" t="s">
        <v>1434</v>
      </c>
      <c r="D4" s="209" t="s">
        <v>1435</v>
      </c>
      <c r="E4" s="209" t="s">
        <v>1436</v>
      </c>
    </row>
    <row r="5" spans="1:5" ht="28">
      <c r="A5" s="537" t="s">
        <v>1407</v>
      </c>
      <c r="B5" s="3" t="s">
        <v>2951</v>
      </c>
      <c r="C5" s="675">
        <v>1</v>
      </c>
      <c r="D5" s="714" t="s">
        <v>1408</v>
      </c>
      <c r="E5" s="10" t="s">
        <v>3381</v>
      </c>
    </row>
    <row r="6" spans="1:5">
      <c r="A6" s="537" t="s">
        <v>3103</v>
      </c>
      <c r="B6" s="3" t="s">
        <v>3104</v>
      </c>
      <c r="C6" s="677">
        <v>0.1</v>
      </c>
      <c r="E6" s="10" t="s">
        <v>757</v>
      </c>
    </row>
    <row r="7" spans="1:5">
      <c r="A7" s="1"/>
    </row>
    <row r="8" spans="1:5">
      <c r="A8" s="2" t="s">
        <v>2151</v>
      </c>
    </row>
    <row r="9" spans="1:5">
      <c r="A9" s="537" t="s">
        <v>2736</v>
      </c>
      <c r="B9" s="3" t="s">
        <v>2737</v>
      </c>
      <c r="C9" s="677">
        <v>1</v>
      </c>
      <c r="D9" s="537" t="s">
        <v>2305</v>
      </c>
      <c r="E9" s="10" t="s">
        <v>2738</v>
      </c>
    </row>
    <row r="10" spans="1:5">
      <c r="A10" s="537" t="s">
        <v>2739</v>
      </c>
      <c r="B10" s="3" t="s">
        <v>2740</v>
      </c>
      <c r="C10" s="677">
        <v>0</v>
      </c>
      <c r="D10" s="537" t="s">
        <v>2305</v>
      </c>
      <c r="E10" s="10" t="s">
        <v>2741</v>
      </c>
    </row>
    <row r="11" spans="1:5">
      <c r="A11" s="537" t="s">
        <v>1683</v>
      </c>
      <c r="B11" s="3" t="s">
        <v>2308</v>
      </c>
      <c r="C11" s="678">
        <v>0.5</v>
      </c>
      <c r="E11" s="11" t="s">
        <v>3474</v>
      </c>
    </row>
    <row r="12" spans="1:5">
      <c r="A12" s="537" t="s">
        <v>283</v>
      </c>
      <c r="B12" s="3" t="s">
        <v>3236</v>
      </c>
      <c r="C12" s="679">
        <v>0.5</v>
      </c>
      <c r="D12" s="537" t="s">
        <v>2547</v>
      </c>
      <c r="E12" s="10" t="s">
        <v>1872</v>
      </c>
    </row>
    <row r="13" spans="1:5">
      <c r="A13" s="537" t="s">
        <v>284</v>
      </c>
      <c r="B13" s="3" t="s">
        <v>3237</v>
      </c>
      <c r="C13" s="679">
        <v>10</v>
      </c>
      <c r="D13" s="537" t="s">
        <v>2547</v>
      </c>
      <c r="E13" s="10" t="s">
        <v>3050</v>
      </c>
    </row>
    <row r="14" spans="1:5">
      <c r="A14" s="1"/>
    </row>
    <row r="15" spans="1:5">
      <c r="A15" s="2" t="s">
        <v>1937</v>
      </c>
    </row>
    <row r="16" spans="1:5">
      <c r="A16" s="537" t="s">
        <v>2152</v>
      </c>
      <c r="B16" s="3" t="s">
        <v>2307</v>
      </c>
      <c r="C16" s="677">
        <v>4</v>
      </c>
      <c r="D16" s="537" t="s">
        <v>2303</v>
      </c>
      <c r="E16" s="11" t="s">
        <v>2949</v>
      </c>
    </row>
    <row r="17" spans="1:5">
      <c r="A17" s="537" t="s">
        <v>2892</v>
      </c>
      <c r="B17" s="3" t="s">
        <v>1821</v>
      </c>
      <c r="C17" s="677">
        <v>14</v>
      </c>
      <c r="D17" s="537" t="s">
        <v>2302</v>
      </c>
      <c r="E17" s="10" t="s">
        <v>1355</v>
      </c>
    </row>
    <row r="18" spans="1:5">
      <c r="A18" s="537" t="s">
        <v>3032</v>
      </c>
      <c r="B18" s="3" t="s">
        <v>2647</v>
      </c>
      <c r="C18" s="680"/>
      <c r="D18" s="537" t="s">
        <v>2302</v>
      </c>
      <c r="E18" s="10" t="s">
        <v>2648</v>
      </c>
    </row>
    <row r="19" spans="1:5">
      <c r="A19" s="537" t="s">
        <v>3230</v>
      </c>
      <c r="B19" s="3" t="s">
        <v>1890</v>
      </c>
      <c r="C19" s="677">
        <v>53</v>
      </c>
      <c r="D19" s="537" t="s">
        <v>2302</v>
      </c>
      <c r="E19" s="10" t="s">
        <v>1131</v>
      </c>
    </row>
    <row r="20" spans="1:5">
      <c r="A20" s="537" t="s">
        <v>2165</v>
      </c>
      <c r="B20" s="3" t="s">
        <v>776</v>
      </c>
      <c r="C20" s="677">
        <v>0.5</v>
      </c>
      <c r="D20" s="537" t="s">
        <v>2302</v>
      </c>
    </row>
    <row r="21" spans="1:5">
      <c r="A21" s="537" t="s">
        <v>458</v>
      </c>
      <c r="B21" s="3" t="s">
        <v>459</v>
      </c>
      <c r="C21" s="680">
        <v>1.5</v>
      </c>
      <c r="D21" s="537" t="s">
        <v>2302</v>
      </c>
      <c r="E21" s="10" t="s">
        <v>460</v>
      </c>
    </row>
    <row r="22" spans="1:5">
      <c r="A22" s="537" t="s">
        <v>2805</v>
      </c>
      <c r="B22" s="3" t="s">
        <v>555</v>
      </c>
      <c r="C22" s="681">
        <v>2.5</v>
      </c>
      <c r="E22" s="10" t="s">
        <v>1554</v>
      </c>
    </row>
    <row r="23" spans="1:5">
      <c r="A23" s="682" t="s">
        <v>2155</v>
      </c>
      <c r="B23" s="57" t="s">
        <v>3321</v>
      </c>
      <c r="C23" s="680">
        <v>2</v>
      </c>
      <c r="D23" s="564" t="s">
        <v>2302</v>
      </c>
      <c r="E23" s="53" t="s">
        <v>3475</v>
      </c>
    </row>
    <row r="24" spans="1:5">
      <c r="A24" s="682" t="s">
        <v>2156</v>
      </c>
      <c r="B24" s="57" t="s">
        <v>3322</v>
      </c>
      <c r="C24" s="680">
        <v>8.5</v>
      </c>
      <c r="D24" s="564" t="s">
        <v>2302</v>
      </c>
      <c r="E24" s="683"/>
    </row>
    <row r="25" spans="1:5">
      <c r="A25" s="684" t="s">
        <v>2166</v>
      </c>
      <c r="B25" s="3" t="s">
        <v>351</v>
      </c>
      <c r="C25" s="680">
        <v>4</v>
      </c>
      <c r="D25" s="564" t="s">
        <v>2302</v>
      </c>
      <c r="E25" s="10" t="s">
        <v>1875</v>
      </c>
    </row>
    <row r="26" spans="1:5">
      <c r="A26" s="684" t="s">
        <v>2167</v>
      </c>
      <c r="B26" s="3" t="s">
        <v>1552</v>
      </c>
      <c r="C26" s="680">
        <v>7</v>
      </c>
      <c r="D26" s="564" t="s">
        <v>2302</v>
      </c>
      <c r="E26" s="10" t="s">
        <v>1554</v>
      </c>
    </row>
    <row r="27" spans="1:5">
      <c r="A27" s="684" t="s">
        <v>2168</v>
      </c>
      <c r="B27" s="3" t="s">
        <v>1553</v>
      </c>
      <c r="C27" s="680">
        <v>8</v>
      </c>
      <c r="D27" s="564" t="s">
        <v>2302</v>
      </c>
      <c r="E27" s="10" t="s">
        <v>1554</v>
      </c>
    </row>
    <row r="28" spans="1:5">
      <c r="A28" s="537" t="s">
        <v>2114</v>
      </c>
      <c r="B28" s="3" t="s">
        <v>132</v>
      </c>
      <c r="C28" s="685">
        <v>0</v>
      </c>
      <c r="D28" s="671" t="s">
        <v>2302</v>
      </c>
      <c r="E28" s="80" t="s">
        <v>3476</v>
      </c>
    </row>
    <row r="29" spans="1:5">
      <c r="B29" s="3"/>
      <c r="C29" s="671"/>
      <c r="D29" s="671"/>
      <c r="E29" s="41"/>
    </row>
    <row r="30" spans="1:5">
      <c r="A30" s="2" t="s">
        <v>1948</v>
      </c>
      <c r="B30" s="3"/>
      <c r="C30" s="671"/>
      <c r="D30" s="671"/>
      <c r="E30" s="41"/>
    </row>
    <row r="31" spans="1:5">
      <c r="A31" s="682" t="s">
        <v>1938</v>
      </c>
      <c r="B31" s="142" t="s">
        <v>1939</v>
      </c>
      <c r="C31" s="686">
        <v>1</v>
      </c>
      <c r="D31" s="687" t="s">
        <v>2305</v>
      </c>
      <c r="E31" s="10"/>
    </row>
    <row r="32" spans="1:5">
      <c r="A32" s="682" t="s">
        <v>1940</v>
      </c>
      <c r="B32" s="142" t="s">
        <v>1941</v>
      </c>
      <c r="C32" s="686">
        <v>2</v>
      </c>
      <c r="D32" s="687" t="s">
        <v>2305</v>
      </c>
      <c r="E32" s="473"/>
    </row>
    <row r="33" spans="1:5">
      <c r="A33" s="537" t="s">
        <v>2171</v>
      </c>
      <c r="B33" s="7" t="s">
        <v>1942</v>
      </c>
      <c r="C33" s="677">
        <v>2</v>
      </c>
      <c r="D33" s="538" t="s">
        <v>127</v>
      </c>
    </row>
    <row r="34" spans="1:5">
      <c r="A34" s="537" t="s">
        <v>2154</v>
      </c>
      <c r="B34" s="3" t="s">
        <v>1943</v>
      </c>
      <c r="C34" s="677">
        <v>10</v>
      </c>
      <c r="D34" s="537" t="s">
        <v>127</v>
      </c>
      <c r="E34" s="473" t="s">
        <v>1947</v>
      </c>
    </row>
    <row r="35" spans="1:5">
      <c r="A35" s="537" t="s">
        <v>2153</v>
      </c>
      <c r="B35" s="3" t="s">
        <v>1944</v>
      </c>
      <c r="C35" s="677">
        <v>3</v>
      </c>
      <c r="D35" s="537" t="s">
        <v>127</v>
      </c>
      <c r="E35" s="473" t="s">
        <v>1947</v>
      </c>
    </row>
    <row r="36" spans="1:5">
      <c r="A36" s="537" t="s">
        <v>2161</v>
      </c>
      <c r="B36" s="3" t="s">
        <v>1945</v>
      </c>
      <c r="C36" s="677">
        <v>30</v>
      </c>
      <c r="D36" s="537" t="s">
        <v>127</v>
      </c>
      <c r="E36" s="10"/>
    </row>
    <row r="37" spans="1:5">
      <c r="A37" s="537" t="s">
        <v>2162</v>
      </c>
      <c r="B37" s="3" t="s">
        <v>1946</v>
      </c>
      <c r="C37" s="677">
        <v>6</v>
      </c>
      <c r="D37" s="537" t="s">
        <v>127</v>
      </c>
    </row>
    <row r="38" spans="1:5">
      <c r="A38" s="537" t="s">
        <v>2159</v>
      </c>
      <c r="B38" s="3" t="s">
        <v>2157</v>
      </c>
      <c r="C38" s="677">
        <v>30</v>
      </c>
      <c r="D38" s="537" t="s">
        <v>127</v>
      </c>
    </row>
    <row r="39" spans="1:5">
      <c r="A39" s="537" t="s">
        <v>2160</v>
      </c>
      <c r="B39" s="3" t="s">
        <v>2158</v>
      </c>
      <c r="C39" s="677">
        <v>6</v>
      </c>
      <c r="D39" s="537" t="s">
        <v>127</v>
      </c>
    </row>
    <row r="40" spans="1:5">
      <c r="A40" s="684" t="s">
        <v>2164</v>
      </c>
      <c r="B40" s="3" t="s">
        <v>2169</v>
      </c>
      <c r="C40" s="680">
        <v>6</v>
      </c>
      <c r="D40" s="564" t="s">
        <v>2302</v>
      </c>
      <c r="E40" s="10" t="s">
        <v>1554</v>
      </c>
    </row>
    <row r="41" spans="1:5">
      <c r="A41" s="684" t="s">
        <v>207</v>
      </c>
      <c r="B41" s="3" t="s">
        <v>1877</v>
      </c>
      <c r="C41" s="680">
        <v>5.4</v>
      </c>
      <c r="D41" s="564" t="s">
        <v>2302</v>
      </c>
      <c r="E41" s="10" t="s">
        <v>1554</v>
      </c>
    </row>
    <row r="42" spans="1:5">
      <c r="A42" s="684" t="s">
        <v>2163</v>
      </c>
      <c r="B42" s="3" t="s">
        <v>2170</v>
      </c>
      <c r="C42" s="680">
        <v>8</v>
      </c>
      <c r="D42" s="564" t="s">
        <v>2302</v>
      </c>
      <c r="E42" s="10" t="s">
        <v>1554</v>
      </c>
    </row>
    <row r="43" spans="1:5">
      <c r="A43" s="684" t="s">
        <v>208</v>
      </c>
      <c r="B43" s="3" t="s">
        <v>1876</v>
      </c>
      <c r="C43" s="680">
        <v>5.4</v>
      </c>
      <c r="D43" s="564" t="s">
        <v>2302</v>
      </c>
      <c r="E43" s="10" t="s">
        <v>1554</v>
      </c>
    </row>
    <row r="44" spans="1:5">
      <c r="B44" s="3"/>
      <c r="C44" s="671"/>
      <c r="D44" s="671"/>
      <c r="E44" s="41"/>
    </row>
    <row r="45" spans="1:5">
      <c r="A45" s="2" t="s">
        <v>1330</v>
      </c>
      <c r="B45" s="3"/>
      <c r="C45" s="671"/>
      <c r="D45" s="671"/>
      <c r="E45" s="41"/>
    </row>
    <row r="46" spans="1:5">
      <c r="A46" s="537" t="s">
        <v>3464</v>
      </c>
      <c r="B46" s="3" t="s">
        <v>466</v>
      </c>
      <c r="C46" s="677">
        <v>15</v>
      </c>
      <c r="D46" s="537" t="s">
        <v>466</v>
      </c>
      <c r="E46" s="10" t="s">
        <v>3477</v>
      </c>
    </row>
    <row r="47" spans="1:5">
      <c r="A47" s="537" t="s">
        <v>3465</v>
      </c>
      <c r="B47" s="3" t="s">
        <v>467</v>
      </c>
      <c r="C47" s="677">
        <v>4</v>
      </c>
      <c r="D47" s="537" t="s">
        <v>127</v>
      </c>
      <c r="E47" s="10" t="s">
        <v>3478</v>
      </c>
    </row>
    <row r="48" spans="1:5">
      <c r="A48" s="537" t="s">
        <v>3466</v>
      </c>
      <c r="B48" s="3" t="s">
        <v>468</v>
      </c>
      <c r="C48" s="677">
        <v>1</v>
      </c>
      <c r="D48" s="537" t="s">
        <v>127</v>
      </c>
      <c r="E48" s="10" t="s">
        <v>3477</v>
      </c>
    </row>
    <row r="49" spans="1:5">
      <c r="B49" s="3"/>
      <c r="C49" s="671"/>
      <c r="D49" s="671"/>
      <c r="E49" s="41"/>
    </row>
    <row r="50" spans="1:5">
      <c r="A50" s="2" t="s">
        <v>2834</v>
      </c>
      <c r="B50" s="3"/>
      <c r="C50" s="671"/>
      <c r="D50" s="671"/>
      <c r="E50" s="41"/>
    </row>
    <row r="51" spans="1:5">
      <c r="A51" s="537" t="s">
        <v>1896</v>
      </c>
      <c r="B51" s="3" t="s">
        <v>1897</v>
      </c>
      <c r="C51" s="688">
        <v>0.25</v>
      </c>
      <c r="D51" s="671"/>
      <c r="E51" s="41"/>
    </row>
    <row r="52" spans="1:5">
      <c r="A52" s="537" t="s">
        <v>2764</v>
      </c>
      <c r="B52" s="3" t="s">
        <v>2765</v>
      </c>
      <c r="C52" s="689">
        <v>0</v>
      </c>
      <c r="D52" s="671" t="s">
        <v>2722</v>
      </c>
      <c r="E52" s="80" t="s">
        <v>3010</v>
      </c>
    </row>
    <row r="53" spans="1:5">
      <c r="A53" s="537" t="s">
        <v>2720</v>
      </c>
      <c r="B53" s="3" t="s">
        <v>2721</v>
      </c>
      <c r="C53" s="677">
        <v>1</v>
      </c>
      <c r="D53" s="537" t="s">
        <v>2722</v>
      </c>
      <c r="E53" s="10"/>
    </row>
    <row r="54" spans="1:5" ht="12.75" customHeight="1">
      <c r="A54" s="537" t="s">
        <v>2693</v>
      </c>
      <c r="B54" s="3" t="s">
        <v>2694</v>
      </c>
      <c r="C54" s="690">
        <v>1</v>
      </c>
      <c r="D54" s="537" t="s">
        <v>2808</v>
      </c>
    </row>
    <row r="55" spans="1:5">
      <c r="B55" s="3"/>
      <c r="E55" s="10"/>
    </row>
    <row r="56" spans="1:5">
      <c r="A56" s="2" t="s">
        <v>2291</v>
      </c>
      <c r="B56" s="3"/>
      <c r="C56" s="674"/>
      <c r="E56" s="10"/>
    </row>
    <row r="57" spans="1:5">
      <c r="A57" s="537" t="s">
        <v>2292</v>
      </c>
      <c r="B57" s="220" t="s">
        <v>2293</v>
      </c>
      <c r="C57" s="691">
        <v>0</v>
      </c>
      <c r="E57" s="10" t="s">
        <v>3604</v>
      </c>
    </row>
    <row r="58" spans="1:5">
      <c r="B58" s="220"/>
      <c r="C58" s="692"/>
      <c r="E58" s="10"/>
    </row>
    <row r="59" spans="1:5">
      <c r="A59" s="2" t="s">
        <v>771</v>
      </c>
      <c r="B59" s="3"/>
    </row>
    <row r="60" spans="1:5">
      <c r="A60" s="537" t="s">
        <v>2543</v>
      </c>
      <c r="B60" s="3" t="s">
        <v>2545</v>
      </c>
      <c r="C60" s="679">
        <v>12</v>
      </c>
      <c r="D60" s="537" t="s">
        <v>2547</v>
      </c>
      <c r="E60" s="10" t="s">
        <v>2027</v>
      </c>
    </row>
    <row r="61" spans="1:5">
      <c r="A61" s="537" t="s">
        <v>2544</v>
      </c>
      <c r="B61" s="3" t="s">
        <v>2546</v>
      </c>
      <c r="C61" s="679">
        <v>10</v>
      </c>
      <c r="D61" s="537" t="s">
        <v>2301</v>
      </c>
      <c r="E61" s="10" t="s">
        <v>3479</v>
      </c>
    </row>
    <row r="62" spans="1:5">
      <c r="A62" s="537" t="s">
        <v>1331</v>
      </c>
      <c r="B62" s="3" t="s">
        <v>1332</v>
      </c>
      <c r="C62" s="677">
        <v>1</v>
      </c>
      <c r="D62" s="537" t="s">
        <v>1333</v>
      </c>
      <c r="E62" s="10" t="s">
        <v>527</v>
      </c>
    </row>
    <row r="63" spans="1:5">
      <c r="A63" s="537" t="s">
        <v>1472</v>
      </c>
      <c r="B63" s="3" t="s">
        <v>1473</v>
      </c>
      <c r="C63" s="677">
        <v>1</v>
      </c>
      <c r="E63" s="10" t="s">
        <v>3480</v>
      </c>
    </row>
    <row r="64" spans="1:5">
      <c r="A64" s="537" t="s">
        <v>1474</v>
      </c>
      <c r="B64" s="3" t="s">
        <v>1475</v>
      </c>
      <c r="C64" s="677">
        <f>3/5</f>
        <v>0.6</v>
      </c>
      <c r="E64" s="10" t="s">
        <v>3477</v>
      </c>
    </row>
    <row r="65" spans="1:5">
      <c r="A65" s="537" t="s">
        <v>1476</v>
      </c>
      <c r="B65" s="3" t="s">
        <v>1477</v>
      </c>
      <c r="C65" s="677">
        <v>3</v>
      </c>
      <c r="D65" s="537" t="s">
        <v>2302</v>
      </c>
      <c r="E65" s="10" t="s">
        <v>3477</v>
      </c>
    </row>
    <row r="66" spans="1:5">
      <c r="B66" s="3"/>
      <c r="C66" s="538"/>
      <c r="E66" s="10"/>
    </row>
    <row r="67" spans="1:5">
      <c r="A67" s="2" t="s">
        <v>2036</v>
      </c>
      <c r="B67" s="3"/>
      <c r="C67" s="538"/>
      <c r="E67" s="10"/>
    </row>
    <row r="68" spans="1:5">
      <c r="A68" s="537" t="s">
        <v>2034</v>
      </c>
      <c r="B68" s="3" t="s">
        <v>2033</v>
      </c>
      <c r="C68" s="677">
        <v>30</v>
      </c>
      <c r="D68" s="537" t="s">
        <v>1833</v>
      </c>
      <c r="E68" s="10" t="s">
        <v>3481</v>
      </c>
    </row>
    <row r="69" spans="1:5">
      <c r="A69" s="537" t="s">
        <v>2037</v>
      </c>
      <c r="B69" s="3" t="s">
        <v>2038</v>
      </c>
      <c r="C69" s="688">
        <v>0.85</v>
      </c>
      <c r="E69" s="10" t="s">
        <v>3482</v>
      </c>
    </row>
    <row r="70" spans="1:5">
      <c r="A70" s="537" t="s">
        <v>806</v>
      </c>
      <c r="B70" s="3" t="s">
        <v>807</v>
      </c>
      <c r="C70" s="688">
        <v>1</v>
      </c>
      <c r="E70" s="10" t="s">
        <v>3483</v>
      </c>
    </row>
    <row r="71" spans="1:5">
      <c r="A71" s="537" t="s">
        <v>2929</v>
      </c>
      <c r="B71" s="3" t="s">
        <v>2930</v>
      </c>
      <c r="C71" s="693">
        <v>0.1</v>
      </c>
      <c r="E71" s="10" t="s">
        <v>3160</v>
      </c>
    </row>
    <row r="72" spans="1:5">
      <c r="A72" s="537" t="s">
        <v>3183</v>
      </c>
      <c r="B72" s="3" t="s">
        <v>3184</v>
      </c>
      <c r="C72" s="693">
        <v>0.3</v>
      </c>
      <c r="E72" s="10" t="s">
        <v>3185</v>
      </c>
    </row>
    <row r="73" spans="1:5">
      <c r="A73" s="537" t="s">
        <v>2035</v>
      </c>
      <c r="B73" s="3" t="s">
        <v>830</v>
      </c>
      <c r="C73" s="677">
        <v>4</v>
      </c>
      <c r="D73" s="537" t="s">
        <v>831</v>
      </c>
      <c r="E73" s="10" t="s">
        <v>3484</v>
      </c>
    </row>
    <row r="74" spans="1:5">
      <c r="A74" s="537" t="s">
        <v>1569</v>
      </c>
      <c r="B74" s="3" t="s">
        <v>2869</v>
      </c>
      <c r="C74" s="677">
        <v>4</v>
      </c>
      <c r="D74" s="537" t="s">
        <v>831</v>
      </c>
      <c r="E74" s="10" t="s">
        <v>3484</v>
      </c>
    </row>
    <row r="75" spans="1:5">
      <c r="A75" s="537" t="s">
        <v>53</v>
      </c>
      <c r="B75" s="3" t="s">
        <v>54</v>
      </c>
      <c r="C75" s="689">
        <v>1</v>
      </c>
      <c r="D75" s="537" t="s">
        <v>2725</v>
      </c>
      <c r="E75" s="10"/>
    </row>
    <row r="76" spans="1:5">
      <c r="A76" s="537" t="s">
        <v>2131</v>
      </c>
      <c r="B76" s="3" t="s">
        <v>2132</v>
      </c>
      <c r="C76" s="677">
        <v>1.33</v>
      </c>
      <c r="D76" s="537" t="s">
        <v>1832</v>
      </c>
      <c r="E76" s="10" t="s">
        <v>2135</v>
      </c>
    </row>
    <row r="77" spans="1:5">
      <c r="A77" s="537" t="s">
        <v>47</v>
      </c>
      <c r="B77" s="3" t="s">
        <v>48</v>
      </c>
      <c r="C77" s="677">
        <v>1.33</v>
      </c>
      <c r="D77" s="537" t="s">
        <v>1832</v>
      </c>
      <c r="E77" s="10" t="s">
        <v>2135</v>
      </c>
    </row>
    <row r="78" spans="1:5">
      <c r="A78" s="537" t="s">
        <v>49</v>
      </c>
      <c r="B78" s="3" t="s">
        <v>50</v>
      </c>
      <c r="C78" s="677">
        <v>1.33</v>
      </c>
      <c r="D78" s="537" t="s">
        <v>1832</v>
      </c>
      <c r="E78" s="10" t="s">
        <v>2135</v>
      </c>
    </row>
    <row r="79" spans="1:5">
      <c r="A79" s="537" t="s">
        <v>1898</v>
      </c>
      <c r="B79" s="3" t="s">
        <v>1796</v>
      </c>
      <c r="C79" s="677">
        <v>1</v>
      </c>
      <c r="D79" s="537" t="s">
        <v>2305</v>
      </c>
      <c r="E79" s="10" t="s">
        <v>3485</v>
      </c>
    </row>
    <row r="80" spans="1:5">
      <c r="A80" s="537" t="s">
        <v>2549</v>
      </c>
      <c r="B80" s="3" t="s">
        <v>2551</v>
      </c>
      <c r="C80" s="677">
        <f>3/5</f>
        <v>0.6</v>
      </c>
      <c r="E80" s="10" t="s">
        <v>3477</v>
      </c>
    </row>
    <row r="81" spans="1:5">
      <c r="A81" s="537" t="s">
        <v>2550</v>
      </c>
      <c r="B81" s="3" t="s">
        <v>2552</v>
      </c>
      <c r="C81" s="677">
        <v>3</v>
      </c>
      <c r="D81" s="537" t="s">
        <v>2302</v>
      </c>
      <c r="E81" s="10" t="s">
        <v>3477</v>
      </c>
    </row>
    <row r="82" spans="1:5">
      <c r="B82" s="3"/>
      <c r="E82" s="23"/>
    </row>
    <row r="83" spans="1:5">
      <c r="A83" s="51" t="s">
        <v>925</v>
      </c>
      <c r="B83" s="3"/>
      <c r="C83" s="674"/>
      <c r="E83" s="23"/>
    </row>
    <row r="84" spans="1:5">
      <c r="A84" s="598" t="s">
        <v>3390</v>
      </c>
    </row>
    <row r="85" spans="1:5">
      <c r="A85" s="537" t="s">
        <v>3458</v>
      </c>
      <c r="B85" s="3" t="s">
        <v>166</v>
      </c>
      <c r="C85" s="677">
        <v>2</v>
      </c>
      <c r="D85" s="537" t="s">
        <v>1835</v>
      </c>
      <c r="E85" s="23"/>
    </row>
    <row r="86" spans="1:5">
      <c r="A86" s="537" t="s">
        <v>3459</v>
      </c>
      <c r="B86" s="3" t="s">
        <v>167</v>
      </c>
      <c r="C86" s="677">
        <v>0</v>
      </c>
      <c r="D86" s="537" t="s">
        <v>1835</v>
      </c>
      <c r="E86" s="23"/>
    </row>
    <row r="87" spans="1:5">
      <c r="A87" s="537" t="s">
        <v>3091</v>
      </c>
      <c r="B87" s="3" t="s">
        <v>2978</v>
      </c>
      <c r="C87" s="677">
        <v>1</v>
      </c>
      <c r="D87" s="537" t="s">
        <v>2660</v>
      </c>
      <c r="E87" s="10" t="s">
        <v>2023</v>
      </c>
    </row>
    <row r="88" spans="1:5">
      <c r="A88" s="537" t="s">
        <v>6</v>
      </c>
      <c r="B88" s="3" t="s">
        <v>7</v>
      </c>
      <c r="C88" s="677">
        <v>1</v>
      </c>
      <c r="D88" s="537" t="s">
        <v>1835</v>
      </c>
      <c r="E88" s="23"/>
    </row>
    <row r="89" spans="1:5">
      <c r="A89" s="537" t="s">
        <v>2731</v>
      </c>
      <c r="B89" s="3" t="s">
        <v>2732</v>
      </c>
      <c r="C89" s="677">
        <v>1</v>
      </c>
      <c r="D89" s="537" t="s">
        <v>1153</v>
      </c>
      <c r="E89" s="23"/>
    </row>
    <row r="90" spans="1:5">
      <c r="A90" s="537" t="s">
        <v>1519</v>
      </c>
      <c r="B90" s="3" t="s">
        <v>3110</v>
      </c>
      <c r="C90" s="677">
        <v>1</v>
      </c>
      <c r="D90" s="537" t="s">
        <v>1835</v>
      </c>
      <c r="E90" s="23"/>
    </row>
    <row r="91" spans="1:5">
      <c r="A91" s="537" t="s">
        <v>3109</v>
      </c>
      <c r="B91" s="3" t="s">
        <v>3111</v>
      </c>
      <c r="C91" s="677">
        <v>0</v>
      </c>
      <c r="D91" s="537" t="s">
        <v>1835</v>
      </c>
      <c r="E91" s="23"/>
    </row>
    <row r="92" spans="1:5">
      <c r="A92" s="537" t="s">
        <v>1730</v>
      </c>
      <c r="B92" s="3" t="s">
        <v>796</v>
      </c>
      <c r="C92" s="677">
        <v>1</v>
      </c>
      <c r="D92" s="537" t="s">
        <v>1835</v>
      </c>
      <c r="E92" s="23"/>
    </row>
    <row r="93" spans="1:5">
      <c r="A93" s="538" t="s">
        <v>1857</v>
      </c>
      <c r="B93" s="7" t="s">
        <v>1858</v>
      </c>
      <c r="C93" s="677">
        <v>1</v>
      </c>
      <c r="D93" s="538" t="s">
        <v>1153</v>
      </c>
      <c r="E93" s="387" t="s">
        <v>1859</v>
      </c>
    </row>
    <row r="94" spans="1:5">
      <c r="A94" s="51"/>
      <c r="B94" s="3"/>
      <c r="E94" s="23"/>
    </row>
    <row r="95" spans="1:5">
      <c r="A95" s="537" t="s">
        <v>3460</v>
      </c>
      <c r="B95" s="3" t="s">
        <v>3113</v>
      </c>
      <c r="C95" s="677">
        <v>1</v>
      </c>
      <c r="D95" s="537" t="s">
        <v>2305</v>
      </c>
      <c r="E95" s="10"/>
    </row>
    <row r="96" spans="1:5">
      <c r="A96" s="537" t="s">
        <v>3461</v>
      </c>
      <c r="B96" s="3" t="s">
        <v>3114</v>
      </c>
      <c r="C96" s="677">
        <v>0</v>
      </c>
      <c r="D96" s="537" t="s">
        <v>2305</v>
      </c>
      <c r="E96" s="10"/>
    </row>
    <row r="97" spans="1:5">
      <c r="A97" s="537" t="s">
        <v>3105</v>
      </c>
      <c r="B97" s="3" t="s">
        <v>2109</v>
      </c>
      <c r="C97" s="677">
        <v>0</v>
      </c>
      <c r="D97" s="537" t="s">
        <v>2661</v>
      </c>
      <c r="E97" s="10" t="s">
        <v>2659</v>
      </c>
    </row>
    <row r="98" spans="1:5">
      <c r="A98" s="537" t="s">
        <v>920</v>
      </c>
      <c r="B98" s="3" t="s">
        <v>2145</v>
      </c>
      <c r="C98" s="677">
        <v>1</v>
      </c>
      <c r="D98" s="537" t="s">
        <v>2305</v>
      </c>
      <c r="E98" s="10" t="s">
        <v>921</v>
      </c>
    </row>
    <row r="99" spans="1:5">
      <c r="A99" s="537" t="s">
        <v>2662</v>
      </c>
      <c r="B99" s="3" t="s">
        <v>1345</v>
      </c>
      <c r="C99" s="677">
        <v>0</v>
      </c>
      <c r="D99" s="537" t="s">
        <v>2519</v>
      </c>
    </row>
    <row r="100" spans="1:5">
      <c r="A100" s="701" t="s">
        <v>2734</v>
      </c>
      <c r="B100" s="3" t="s">
        <v>983</v>
      </c>
      <c r="C100" s="680">
        <v>0</v>
      </c>
      <c r="D100" s="537" t="s">
        <v>2519</v>
      </c>
    </row>
    <row r="101" spans="1:5">
      <c r="A101" s="537" t="s">
        <v>2663</v>
      </c>
      <c r="B101" s="3" t="s">
        <v>2665</v>
      </c>
      <c r="C101" s="677">
        <v>1</v>
      </c>
      <c r="D101" s="537" t="s">
        <v>2664</v>
      </c>
    </row>
    <row r="102" spans="1:5">
      <c r="A102" s="701" t="s">
        <v>2734</v>
      </c>
      <c r="B102" s="3" t="s">
        <v>2666</v>
      </c>
      <c r="C102" s="680">
        <v>0</v>
      </c>
      <c r="D102" s="537" t="s">
        <v>2664</v>
      </c>
    </row>
    <row r="103" spans="1:5">
      <c r="A103" s="537" t="s">
        <v>2522</v>
      </c>
      <c r="B103" s="3" t="s">
        <v>1908</v>
      </c>
      <c r="C103" s="677">
        <v>1</v>
      </c>
      <c r="D103" s="537" t="s">
        <v>2240</v>
      </c>
    </row>
    <row r="104" spans="1:5">
      <c r="A104" s="537" t="s">
        <v>2668</v>
      </c>
      <c r="B104" s="3" t="s">
        <v>477</v>
      </c>
      <c r="C104" s="677">
        <v>1</v>
      </c>
      <c r="D104" s="537" t="s">
        <v>2664</v>
      </c>
    </row>
    <row r="105" spans="1:5">
      <c r="A105" s="701" t="s">
        <v>2734</v>
      </c>
      <c r="B105" s="3" t="s">
        <v>478</v>
      </c>
      <c r="C105" s="677">
        <v>0</v>
      </c>
      <c r="D105" s="537" t="s">
        <v>2664</v>
      </c>
    </row>
    <row r="106" spans="1:5">
      <c r="A106" s="537" t="s">
        <v>2667</v>
      </c>
      <c r="B106" s="3" t="s">
        <v>922</v>
      </c>
      <c r="C106" s="677">
        <v>2</v>
      </c>
      <c r="D106" s="537" t="s">
        <v>2305</v>
      </c>
      <c r="E106" s="10" t="s">
        <v>3454</v>
      </c>
    </row>
    <row r="107" spans="1:5">
      <c r="A107" s="701" t="s">
        <v>2734</v>
      </c>
      <c r="B107" s="3" t="s">
        <v>984</v>
      </c>
      <c r="C107" s="680">
        <v>0</v>
      </c>
      <c r="D107" s="537" t="s">
        <v>2305</v>
      </c>
      <c r="E107" s="10"/>
    </row>
    <row r="108" spans="1:5">
      <c r="A108" s="537" t="s">
        <v>2527</v>
      </c>
      <c r="B108" s="3" t="s">
        <v>2528</v>
      </c>
      <c r="C108" s="677">
        <v>2</v>
      </c>
      <c r="D108" s="537" t="s">
        <v>2305</v>
      </c>
      <c r="E108" s="10" t="s">
        <v>3454</v>
      </c>
    </row>
    <row r="109" spans="1:5">
      <c r="A109" s="701" t="s">
        <v>2734</v>
      </c>
      <c r="B109" s="3" t="s">
        <v>985</v>
      </c>
      <c r="C109" s="680">
        <v>0</v>
      </c>
      <c r="D109" s="537" t="s">
        <v>2305</v>
      </c>
      <c r="E109" s="10"/>
    </row>
    <row r="110" spans="1:5">
      <c r="A110" s="537" t="s">
        <v>866</v>
      </c>
      <c r="B110" s="3" t="s">
        <v>2530</v>
      </c>
      <c r="C110" s="677">
        <v>0</v>
      </c>
      <c r="D110" s="537" t="s">
        <v>2519</v>
      </c>
      <c r="E110" s="10"/>
    </row>
    <row r="111" spans="1:5">
      <c r="A111" s="537" t="s">
        <v>2669</v>
      </c>
      <c r="B111" s="3" t="s">
        <v>867</v>
      </c>
      <c r="C111" s="677">
        <v>1</v>
      </c>
      <c r="D111" s="537" t="s">
        <v>2664</v>
      </c>
      <c r="E111" s="10"/>
    </row>
    <row r="112" spans="1:5">
      <c r="A112" s="537" t="s">
        <v>2531</v>
      </c>
      <c r="B112" s="3" t="s">
        <v>2532</v>
      </c>
      <c r="C112" s="677">
        <v>2</v>
      </c>
      <c r="D112" s="537" t="s">
        <v>2305</v>
      </c>
      <c r="E112" s="10" t="s">
        <v>3453</v>
      </c>
    </row>
    <row r="113" spans="1:5">
      <c r="A113" s="701" t="s">
        <v>2734</v>
      </c>
      <c r="B113" s="3" t="s">
        <v>988</v>
      </c>
      <c r="C113" s="680">
        <v>0</v>
      </c>
      <c r="D113" s="537" t="s">
        <v>2305</v>
      </c>
      <c r="E113" s="10"/>
    </row>
    <row r="114" spans="1:5">
      <c r="A114" s="537" t="s">
        <v>496</v>
      </c>
      <c r="B114" s="3" t="s">
        <v>2670</v>
      </c>
      <c r="C114" s="677">
        <v>1</v>
      </c>
      <c r="D114" s="537" t="s">
        <v>2305</v>
      </c>
      <c r="E114" s="10" t="s">
        <v>3455</v>
      </c>
    </row>
    <row r="115" spans="1:5">
      <c r="A115" s="701" t="s">
        <v>2734</v>
      </c>
      <c r="B115" s="3" t="s">
        <v>2671</v>
      </c>
      <c r="C115" s="680">
        <v>0</v>
      </c>
      <c r="D115" s="537" t="s">
        <v>2305</v>
      </c>
      <c r="E115" s="10"/>
    </row>
    <row r="116" spans="1:5">
      <c r="A116" s="537" t="s">
        <v>497</v>
      </c>
      <c r="B116" s="3" t="s">
        <v>2533</v>
      </c>
      <c r="C116" s="677">
        <v>1</v>
      </c>
      <c r="D116" s="537" t="s">
        <v>2661</v>
      </c>
      <c r="E116" s="10"/>
    </row>
    <row r="117" spans="1:5">
      <c r="A117" s="701" t="s">
        <v>2734</v>
      </c>
      <c r="B117" s="3" t="s">
        <v>989</v>
      </c>
      <c r="C117" s="680">
        <v>0</v>
      </c>
      <c r="D117" s="537" t="s">
        <v>2661</v>
      </c>
      <c r="E117" s="10"/>
    </row>
    <row r="118" spans="1:5">
      <c r="A118" s="537" t="s">
        <v>498</v>
      </c>
      <c r="B118" s="3" t="s">
        <v>2538</v>
      </c>
      <c r="C118" s="677">
        <v>1</v>
      </c>
      <c r="D118" s="537" t="s">
        <v>2661</v>
      </c>
      <c r="E118" s="10"/>
    </row>
    <row r="119" spans="1:5">
      <c r="A119" s="537" t="s">
        <v>3456</v>
      </c>
      <c r="B119" s="3" t="s">
        <v>246</v>
      </c>
      <c r="C119" s="677">
        <v>1</v>
      </c>
      <c r="D119" s="537" t="s">
        <v>2305</v>
      </c>
      <c r="E119" s="10" t="s">
        <v>247</v>
      </c>
    </row>
    <row r="120" spans="1:5">
      <c r="A120" s="537" t="s">
        <v>2539</v>
      </c>
      <c r="B120" s="3" t="s">
        <v>2540</v>
      </c>
      <c r="C120" s="677">
        <v>3</v>
      </c>
      <c r="D120" s="537" t="s">
        <v>2305</v>
      </c>
      <c r="E120" s="10" t="s">
        <v>3457</v>
      </c>
    </row>
    <row r="121" spans="1:5">
      <c r="A121" s="537" t="s">
        <v>898</v>
      </c>
      <c r="B121" s="3" t="s">
        <v>899</v>
      </c>
      <c r="C121" s="677">
        <v>0</v>
      </c>
      <c r="D121" s="537" t="s">
        <v>2305</v>
      </c>
      <c r="E121" s="10" t="s">
        <v>3486</v>
      </c>
    </row>
    <row r="122" spans="1:5">
      <c r="B122" s="3"/>
      <c r="E122" s="10"/>
    </row>
    <row r="123" spans="1:5">
      <c r="A123" s="2" t="s">
        <v>900</v>
      </c>
    </row>
    <row r="124" spans="1:5">
      <c r="A124" s="598" t="s">
        <v>3392</v>
      </c>
    </row>
    <row r="125" spans="1:5">
      <c r="A125" s="10" t="s">
        <v>1144</v>
      </c>
      <c r="C125" s="674"/>
    </row>
    <row r="126" spans="1:5">
      <c r="A126" s="10" t="s">
        <v>1145</v>
      </c>
      <c r="C126" s="217"/>
    </row>
    <row r="127" spans="1:5">
      <c r="A127" s="537" t="s">
        <v>1146</v>
      </c>
      <c r="B127" s="3" t="s">
        <v>2953</v>
      </c>
      <c r="C127" s="677">
        <v>1</v>
      </c>
    </row>
    <row r="128" spans="1:5">
      <c r="A128" s="537" t="s">
        <v>1147</v>
      </c>
      <c r="B128" s="3" t="s">
        <v>2954</v>
      </c>
      <c r="C128" s="677">
        <v>1</v>
      </c>
    </row>
    <row r="129" spans="1:5">
      <c r="A129" s="537" t="s">
        <v>1148</v>
      </c>
      <c r="B129" s="3" t="s">
        <v>2336</v>
      </c>
      <c r="C129" s="677">
        <v>1</v>
      </c>
    </row>
    <row r="130" spans="1:5">
      <c r="A130" s="537" t="s">
        <v>3133</v>
      </c>
      <c r="B130" s="3" t="s">
        <v>2337</v>
      </c>
      <c r="C130" s="677">
        <v>1</v>
      </c>
    </row>
    <row r="132" spans="1:5">
      <c r="A132" s="537" t="s">
        <v>3618</v>
      </c>
      <c r="B132" s="3" t="s">
        <v>3619</v>
      </c>
      <c r="C132" s="677">
        <v>0</v>
      </c>
      <c r="D132" s="537" t="s">
        <v>38</v>
      </c>
      <c r="E132" s="825" t="s">
        <v>3620</v>
      </c>
    </row>
    <row r="133" spans="1:5">
      <c r="A133" s="537" t="s">
        <v>3011</v>
      </c>
      <c r="B133" s="142" t="s">
        <v>3117</v>
      </c>
      <c r="C133" s="680">
        <v>2</v>
      </c>
      <c r="D133" s="537" t="s">
        <v>2305</v>
      </c>
      <c r="E133" s="10" t="s">
        <v>2887</v>
      </c>
    </row>
    <row r="134" spans="1:5">
      <c r="A134" s="537" t="s">
        <v>3118</v>
      </c>
      <c r="B134" s="142" t="s">
        <v>3119</v>
      </c>
      <c r="C134" s="680">
        <v>0</v>
      </c>
      <c r="D134" s="537" t="s">
        <v>2305</v>
      </c>
      <c r="E134" s="10"/>
    </row>
    <row r="135" spans="1:5">
      <c r="A135" s="537" t="s">
        <v>975</v>
      </c>
      <c r="B135" s="142" t="s">
        <v>3122</v>
      </c>
      <c r="C135" s="680">
        <v>2</v>
      </c>
      <c r="D135" s="537" t="s">
        <v>2305</v>
      </c>
      <c r="E135" s="10" t="s">
        <v>2028</v>
      </c>
    </row>
    <row r="136" spans="1:5">
      <c r="A136" s="537" t="s">
        <v>3120</v>
      </c>
      <c r="B136" s="142" t="s">
        <v>3121</v>
      </c>
      <c r="C136" s="680">
        <v>0</v>
      </c>
      <c r="D136" s="537" t="s">
        <v>2305</v>
      </c>
      <c r="E136" s="10"/>
    </row>
    <row r="137" spans="1:5">
      <c r="A137" s="537" t="s">
        <v>915</v>
      </c>
      <c r="B137" s="142" t="s">
        <v>3123</v>
      </c>
      <c r="C137" s="680">
        <v>2</v>
      </c>
      <c r="D137" s="537" t="s">
        <v>2305</v>
      </c>
      <c r="E137" s="10" t="s">
        <v>2029</v>
      </c>
    </row>
    <row r="138" spans="1:5">
      <c r="A138" s="537" t="s">
        <v>3579</v>
      </c>
      <c r="B138" s="142" t="s">
        <v>3124</v>
      </c>
      <c r="C138" s="680">
        <v>0</v>
      </c>
      <c r="D138" s="537" t="s">
        <v>2305</v>
      </c>
      <c r="E138" s="10"/>
    </row>
    <row r="139" spans="1:5">
      <c r="A139" s="537" t="s">
        <v>916</v>
      </c>
      <c r="B139" s="142" t="s">
        <v>3125</v>
      </c>
      <c r="C139" s="680">
        <v>1</v>
      </c>
      <c r="D139" s="537" t="s">
        <v>3342</v>
      </c>
      <c r="E139" s="10" t="s">
        <v>702</v>
      </c>
    </row>
    <row r="140" spans="1:5">
      <c r="A140" s="537" t="s">
        <v>1869</v>
      </c>
      <c r="B140" s="142" t="s">
        <v>3126</v>
      </c>
      <c r="C140" s="680">
        <v>0</v>
      </c>
      <c r="D140" s="537" t="s">
        <v>3342</v>
      </c>
      <c r="E140" s="10"/>
    </row>
    <row r="141" spans="1:5">
      <c r="A141" s="537" t="s">
        <v>1040</v>
      </c>
      <c r="B141" s="3" t="s">
        <v>2124</v>
      </c>
      <c r="C141" s="677">
        <v>1</v>
      </c>
      <c r="D141" s="537" t="s">
        <v>1041</v>
      </c>
      <c r="E141" s="10" t="s">
        <v>3095</v>
      </c>
    </row>
    <row r="142" spans="1:5">
      <c r="A142" s="537" t="s">
        <v>630</v>
      </c>
      <c r="B142" s="3" t="s">
        <v>631</v>
      </c>
      <c r="C142" s="677">
        <v>3</v>
      </c>
      <c r="D142" s="537" t="s">
        <v>632</v>
      </c>
      <c r="E142" s="10" t="s">
        <v>633</v>
      </c>
    </row>
    <row r="143" spans="1:5">
      <c r="A143" s="537" t="s">
        <v>3614</v>
      </c>
      <c r="B143" s="3" t="s">
        <v>3615</v>
      </c>
      <c r="C143" s="677">
        <v>0</v>
      </c>
      <c r="D143" s="537" t="s">
        <v>38</v>
      </c>
      <c r="E143" s="10"/>
    </row>
    <row r="144" spans="1:5">
      <c r="A144" s="537" t="s">
        <v>2123</v>
      </c>
      <c r="B144" s="3" t="s">
        <v>2125</v>
      </c>
      <c r="C144" s="677">
        <v>4</v>
      </c>
      <c r="D144" s="537" t="s">
        <v>2126</v>
      </c>
      <c r="E144" s="10" t="s">
        <v>1342</v>
      </c>
    </row>
    <row r="145" spans="1:6">
      <c r="A145" s="537" t="s">
        <v>3616</v>
      </c>
      <c r="B145" s="3" t="s">
        <v>3617</v>
      </c>
      <c r="C145" s="677">
        <v>0</v>
      </c>
      <c r="D145" s="537" t="s">
        <v>38</v>
      </c>
      <c r="E145" s="10"/>
    </row>
    <row r="147" spans="1:6">
      <c r="A147" s="2" t="s">
        <v>926</v>
      </c>
      <c r="B147" s="3"/>
    </row>
    <row r="148" spans="1:6">
      <c r="A148" s="537" t="s">
        <v>3549</v>
      </c>
      <c r="B148" s="3" t="s">
        <v>3550</v>
      </c>
      <c r="C148" s="177">
        <v>6</v>
      </c>
      <c r="D148" s="4" t="s">
        <v>2302</v>
      </c>
      <c r="E148" s="10" t="s">
        <v>1430</v>
      </c>
      <c r="F148" s="538"/>
    </row>
    <row r="149" spans="1:6">
      <c r="A149" s="537" t="s">
        <v>3551</v>
      </c>
      <c r="B149" s="3" t="s">
        <v>3552</v>
      </c>
      <c r="C149" s="177">
        <v>1</v>
      </c>
      <c r="D149" s="4" t="s">
        <v>2302</v>
      </c>
      <c r="E149" s="10" t="s">
        <v>3553</v>
      </c>
      <c r="F149" s="538"/>
    </row>
    <row r="150" spans="1:6" ht="13.5" customHeight="1">
      <c r="A150" s="537" t="s">
        <v>968</v>
      </c>
      <c r="B150" s="3" t="s">
        <v>967</v>
      </c>
      <c r="C150" s="677">
        <v>4</v>
      </c>
      <c r="D150" s="537" t="s">
        <v>2302</v>
      </c>
      <c r="E150" s="10" t="s">
        <v>2653</v>
      </c>
      <c r="F150" s="538"/>
    </row>
    <row r="151" spans="1:6">
      <c r="A151" s="537" t="s">
        <v>965</v>
      </c>
      <c r="B151" s="3" t="s">
        <v>964</v>
      </c>
      <c r="C151" s="677">
        <v>0</v>
      </c>
      <c r="D151" s="537" t="s">
        <v>2302</v>
      </c>
      <c r="E151" s="10" t="s">
        <v>966</v>
      </c>
      <c r="F151" s="538"/>
    </row>
    <row r="152" spans="1:6">
      <c r="A152" s="537" t="s">
        <v>907</v>
      </c>
      <c r="B152" s="3" t="s">
        <v>908</v>
      </c>
      <c r="C152" s="677">
        <v>10</v>
      </c>
      <c r="D152" s="537" t="s">
        <v>2302</v>
      </c>
    </row>
    <row r="153" spans="1:6">
      <c r="A153" s="537" t="s">
        <v>909</v>
      </c>
      <c r="B153" s="3" t="s">
        <v>910</v>
      </c>
      <c r="C153" s="677">
        <v>40</v>
      </c>
      <c r="D153" s="537" t="s">
        <v>2302</v>
      </c>
    </row>
    <row r="154" spans="1:6">
      <c r="A154" s="537" t="s">
        <v>777</v>
      </c>
      <c r="B154" s="3" t="s">
        <v>3487</v>
      </c>
      <c r="C154" s="677">
        <v>6</v>
      </c>
      <c r="D154" s="537" t="s">
        <v>2302</v>
      </c>
      <c r="E154" s="10" t="s">
        <v>3488</v>
      </c>
    </row>
    <row r="155" spans="1:6">
      <c r="A155" s="537" t="s">
        <v>2987</v>
      </c>
      <c r="B155" s="42" t="s">
        <v>2988</v>
      </c>
      <c r="C155" s="677">
        <v>20</v>
      </c>
      <c r="D155" s="537" t="s">
        <v>2302</v>
      </c>
      <c r="E155" s="10"/>
    </row>
    <row r="156" spans="1:6">
      <c r="A156" s="537" t="s">
        <v>1745</v>
      </c>
      <c r="B156" s="3" t="s">
        <v>1746</v>
      </c>
      <c r="C156" s="677">
        <v>100</v>
      </c>
      <c r="D156" s="537" t="s">
        <v>1664</v>
      </c>
    </row>
    <row r="157" spans="1:6">
      <c r="A157" s="537" t="s">
        <v>855</v>
      </c>
      <c r="B157" s="3" t="s">
        <v>991</v>
      </c>
      <c r="C157" s="680">
        <v>0</v>
      </c>
      <c r="D157" s="537" t="s">
        <v>1664</v>
      </c>
      <c r="E157" s="10" t="s">
        <v>726</v>
      </c>
    </row>
    <row r="158" spans="1:6">
      <c r="A158" s="537" t="s">
        <v>1439</v>
      </c>
      <c r="B158" s="3" t="s">
        <v>1440</v>
      </c>
      <c r="C158" s="680">
        <f>6/12</f>
        <v>0.5</v>
      </c>
      <c r="D158" s="537" t="s">
        <v>2302</v>
      </c>
      <c r="E158" s="10"/>
    </row>
    <row r="159" spans="1:6">
      <c r="A159" s="537" t="s">
        <v>1129</v>
      </c>
      <c r="B159" s="3" t="s">
        <v>1130</v>
      </c>
      <c r="C159" s="680">
        <f>4/12</f>
        <v>0.33333333333333331</v>
      </c>
      <c r="D159" s="537" t="s">
        <v>2302</v>
      </c>
      <c r="E159" s="10"/>
    </row>
    <row r="160" spans="1:6">
      <c r="A160" s="537" t="s">
        <v>758</v>
      </c>
      <c r="B160" s="3" t="s">
        <v>759</v>
      </c>
      <c r="C160" s="677">
        <v>10000</v>
      </c>
      <c r="D160" s="537" t="s">
        <v>2977</v>
      </c>
      <c r="E160" s="10"/>
    </row>
    <row r="162" spans="1:5">
      <c r="A162" s="2" t="s">
        <v>131</v>
      </c>
      <c r="B162" s="3"/>
    </row>
    <row r="163" spans="1:5">
      <c r="A163" s="537" t="s">
        <v>36</v>
      </c>
      <c r="B163" s="3" t="s">
        <v>37</v>
      </c>
      <c r="C163" s="677">
        <v>0</v>
      </c>
      <c r="D163" s="537" t="s">
        <v>38</v>
      </c>
      <c r="E163" s="10" t="s">
        <v>2704</v>
      </c>
    </row>
    <row r="164" spans="1:5">
      <c r="A164" s="537" t="s">
        <v>2078</v>
      </c>
      <c r="B164" s="3" t="s">
        <v>2079</v>
      </c>
      <c r="C164" s="677">
        <v>1</v>
      </c>
      <c r="D164" s="537" t="s">
        <v>2080</v>
      </c>
      <c r="E164" s="10"/>
    </row>
    <row r="165" spans="1:5">
      <c r="A165" s="537" t="s">
        <v>2423</v>
      </c>
      <c r="B165" s="633" t="s">
        <v>2424</v>
      </c>
      <c r="C165" s="704">
        <v>90</v>
      </c>
      <c r="D165" s="537" t="s">
        <v>2301</v>
      </c>
      <c r="E165" s="10" t="s">
        <v>2874</v>
      </c>
    </row>
    <row r="166" spans="1:5">
      <c r="A166" s="537" t="s">
        <v>2083</v>
      </c>
      <c r="B166" s="3" t="s">
        <v>2085</v>
      </c>
      <c r="C166" s="677">
        <v>100</v>
      </c>
      <c r="D166" s="537" t="s">
        <v>1823</v>
      </c>
      <c r="E166" s="10"/>
    </row>
    <row r="167" spans="1:5">
      <c r="A167" s="537" t="s">
        <v>1855</v>
      </c>
      <c r="B167" s="3" t="s">
        <v>2086</v>
      </c>
      <c r="C167" s="677">
        <v>9.6</v>
      </c>
      <c r="D167" s="537" t="s">
        <v>2084</v>
      </c>
      <c r="E167" s="10"/>
    </row>
    <row r="168" spans="1:5">
      <c r="A168" s="537" t="s">
        <v>2871</v>
      </c>
      <c r="B168" s="3" t="s">
        <v>2872</v>
      </c>
      <c r="C168" s="677">
        <v>1</v>
      </c>
      <c r="D168" s="537" t="s">
        <v>2619</v>
      </c>
      <c r="E168" s="10"/>
    </row>
    <row r="169" spans="1:5">
      <c r="A169" s="537" t="s">
        <v>2690</v>
      </c>
      <c r="B169" s="633" t="s">
        <v>2691</v>
      </c>
      <c r="C169" s="677">
        <v>0.25</v>
      </c>
      <c r="D169" s="537" t="s">
        <v>2692</v>
      </c>
      <c r="E169" s="10"/>
    </row>
    <row r="170" spans="1:5">
      <c r="A170" s="537" t="s">
        <v>2082</v>
      </c>
      <c r="B170" s="3" t="s">
        <v>2705</v>
      </c>
      <c r="C170" s="677">
        <v>10</v>
      </c>
      <c r="D170" s="537" t="s">
        <v>2084</v>
      </c>
      <c r="E170" s="10"/>
    </row>
    <row r="171" spans="1:5">
      <c r="A171" s="537" t="s">
        <v>2081</v>
      </c>
      <c r="B171" s="3" t="s">
        <v>2616</v>
      </c>
      <c r="C171" s="677">
        <v>43</v>
      </c>
      <c r="D171" s="537" t="s">
        <v>2617</v>
      </c>
      <c r="E171" s="10"/>
    </row>
    <row r="172" spans="1:5">
      <c r="A172" s="537" t="s">
        <v>2870</v>
      </c>
      <c r="B172" s="3" t="s">
        <v>2618</v>
      </c>
      <c r="C172" s="677">
        <v>0.99</v>
      </c>
      <c r="D172" s="537" t="s">
        <v>2619</v>
      </c>
      <c r="E172" s="10"/>
    </row>
    <row r="173" spans="1:5">
      <c r="A173" s="537" t="s">
        <v>2799</v>
      </c>
      <c r="B173" s="3" t="s">
        <v>2800</v>
      </c>
      <c r="C173" s="677">
        <v>30</v>
      </c>
      <c r="D173" s="537" t="s">
        <v>2801</v>
      </c>
      <c r="E173" s="10"/>
    </row>
    <row r="174" spans="1:5">
      <c r="A174" s="537" t="s">
        <v>2556</v>
      </c>
      <c r="B174" s="3" t="s">
        <v>2557</v>
      </c>
      <c r="C174" s="677">
        <v>10</v>
      </c>
      <c r="D174" s="537" t="s">
        <v>127</v>
      </c>
      <c r="E174" s="10"/>
    </row>
    <row r="175" spans="1:5">
      <c r="A175" s="537" t="s">
        <v>3057</v>
      </c>
      <c r="B175" s="3" t="s">
        <v>3058</v>
      </c>
      <c r="C175" s="677">
        <v>2</v>
      </c>
      <c r="D175" s="537" t="s">
        <v>127</v>
      </c>
      <c r="E175" s="10"/>
    </row>
    <row r="176" spans="1:5">
      <c r="A176" s="537" t="s">
        <v>1571</v>
      </c>
      <c r="B176" s="3" t="s">
        <v>1618</v>
      </c>
      <c r="C176" s="677">
        <v>25</v>
      </c>
      <c r="D176" s="537" t="s">
        <v>2617</v>
      </c>
      <c r="E176" s="10"/>
    </row>
    <row r="177" spans="1:5">
      <c r="A177" s="537" t="s">
        <v>2055</v>
      </c>
      <c r="B177" s="3" t="s">
        <v>1619</v>
      </c>
      <c r="C177" s="688">
        <v>0.25</v>
      </c>
      <c r="E177" s="10"/>
    </row>
    <row r="178" spans="1:5">
      <c r="A178" s="537" t="s">
        <v>2056</v>
      </c>
      <c r="B178" s="3" t="s">
        <v>1620</v>
      </c>
      <c r="C178" s="688">
        <v>0.5</v>
      </c>
      <c r="E178" s="10"/>
    </row>
    <row r="179" spans="1:5">
      <c r="A179" s="537" t="s">
        <v>2057</v>
      </c>
      <c r="B179" s="3" t="s">
        <v>1621</v>
      </c>
      <c r="C179" s="688">
        <v>0.1</v>
      </c>
      <c r="E179" s="10"/>
    </row>
    <row r="180" spans="1:5">
      <c r="A180" s="537" t="s">
        <v>2058</v>
      </c>
      <c r="B180" s="3" t="s">
        <v>3331</v>
      </c>
      <c r="C180" s="677">
        <v>2</v>
      </c>
      <c r="E180" s="10" t="s">
        <v>1737</v>
      </c>
    </row>
    <row r="181" spans="1:5">
      <c r="A181" s="537" t="s">
        <v>2049</v>
      </c>
      <c r="B181" s="3" t="s">
        <v>2050</v>
      </c>
      <c r="C181" s="677">
        <v>1</v>
      </c>
      <c r="E181" s="10" t="s">
        <v>1565</v>
      </c>
    </row>
    <row r="182" spans="1:5">
      <c r="A182" s="537" t="s">
        <v>2051</v>
      </c>
      <c r="B182" s="3" t="s">
        <v>2052</v>
      </c>
      <c r="C182" s="677">
        <f>3/5</f>
        <v>0.6</v>
      </c>
      <c r="E182" s="10" t="s">
        <v>3477</v>
      </c>
    </row>
    <row r="183" spans="1:5">
      <c r="A183" s="537" t="s">
        <v>2053</v>
      </c>
      <c r="B183" s="3" t="s">
        <v>2054</v>
      </c>
      <c r="C183" s="677">
        <v>3</v>
      </c>
      <c r="D183" s="537" t="s">
        <v>2302</v>
      </c>
      <c r="E183" s="10" t="s">
        <v>3477</v>
      </c>
    </row>
    <row r="184" spans="1:5">
      <c r="A184" s="537" t="s">
        <v>1566</v>
      </c>
      <c r="B184" s="3" t="s">
        <v>2636</v>
      </c>
      <c r="C184" s="680">
        <v>0.25</v>
      </c>
      <c r="D184" s="537" t="s">
        <v>2637</v>
      </c>
      <c r="E184" s="10"/>
    </row>
    <row r="185" spans="1:5">
      <c r="A185" s="537" t="s">
        <v>1567</v>
      </c>
      <c r="B185" s="3" t="s">
        <v>727</v>
      </c>
      <c r="C185" s="680">
        <v>3</v>
      </c>
      <c r="D185" s="537" t="s">
        <v>1691</v>
      </c>
      <c r="E185" s="10"/>
    </row>
    <row r="186" spans="1:5">
      <c r="A186" s="537" t="s">
        <v>3625</v>
      </c>
      <c r="B186" s="3" t="s">
        <v>3626</v>
      </c>
      <c r="C186" s="680">
        <v>0</v>
      </c>
      <c r="D186" s="537" t="s">
        <v>941</v>
      </c>
      <c r="E186" s="10"/>
    </row>
    <row r="187" spans="1:5">
      <c r="A187" s="537" t="s">
        <v>3335</v>
      </c>
      <c r="B187" s="3" t="s">
        <v>3336</v>
      </c>
      <c r="C187" s="705">
        <v>1</v>
      </c>
      <c r="D187" s="537" t="s">
        <v>2305</v>
      </c>
      <c r="E187" s="10" t="s">
        <v>3337</v>
      </c>
    </row>
    <row r="188" spans="1:5">
      <c r="A188" s="537" t="s">
        <v>2030</v>
      </c>
      <c r="B188" s="3" t="s">
        <v>2031</v>
      </c>
      <c r="C188" s="705">
        <v>1</v>
      </c>
      <c r="D188" s="537" t="s">
        <v>2032</v>
      </c>
      <c r="E188" s="10"/>
    </row>
    <row r="189" spans="1:5">
      <c r="A189" s="537" t="s">
        <v>2607</v>
      </c>
      <c r="B189" s="3" t="s">
        <v>3338</v>
      </c>
      <c r="C189" s="677">
        <v>40</v>
      </c>
      <c r="D189" s="537" t="s">
        <v>127</v>
      </c>
      <c r="E189" s="10"/>
    </row>
    <row r="190" spans="1:5">
      <c r="A190" s="537" t="s">
        <v>2005</v>
      </c>
      <c r="B190" s="3" t="s">
        <v>2006</v>
      </c>
      <c r="C190" s="677">
        <v>40</v>
      </c>
      <c r="D190" s="537" t="s">
        <v>127</v>
      </c>
      <c r="E190" s="10" t="s">
        <v>2007</v>
      </c>
    </row>
    <row r="191" spans="1:5">
      <c r="A191" s="537" t="s">
        <v>3627</v>
      </c>
      <c r="B191" s="3" t="s">
        <v>3628</v>
      </c>
      <c r="C191" s="680">
        <v>0</v>
      </c>
      <c r="D191" s="537" t="s">
        <v>941</v>
      </c>
      <c r="E191" s="10"/>
    </row>
    <row r="192" spans="1:5">
      <c r="A192" s="537" t="s">
        <v>1096</v>
      </c>
      <c r="B192" s="3" t="s">
        <v>1097</v>
      </c>
      <c r="C192" s="677">
        <v>1</v>
      </c>
      <c r="D192" s="537" t="s">
        <v>1153</v>
      </c>
      <c r="E192" s="10"/>
    </row>
    <row r="193" spans="1:5">
      <c r="A193" s="537" t="s">
        <v>1098</v>
      </c>
      <c r="B193" s="3" t="s">
        <v>1099</v>
      </c>
      <c r="C193" s="677">
        <v>1</v>
      </c>
      <c r="D193" s="537" t="s">
        <v>1835</v>
      </c>
      <c r="E193" s="10"/>
    </row>
    <row r="194" spans="1:5">
      <c r="A194" s="537" t="s">
        <v>2633</v>
      </c>
      <c r="B194" s="3" t="s">
        <v>1100</v>
      </c>
      <c r="C194" s="677">
        <v>1</v>
      </c>
      <c r="E194" s="10"/>
    </row>
    <row r="195" spans="1:5">
      <c r="A195" s="537" t="s">
        <v>2634</v>
      </c>
      <c r="B195" s="3" t="s">
        <v>1287</v>
      </c>
      <c r="C195" s="677">
        <v>1</v>
      </c>
      <c r="E195" s="10"/>
    </row>
    <row r="196" spans="1:5">
      <c r="A196" s="537" t="s">
        <v>2635</v>
      </c>
      <c r="B196" s="3" t="s">
        <v>1499</v>
      </c>
      <c r="C196" s="677">
        <v>1</v>
      </c>
      <c r="E196" s="10"/>
    </row>
    <row r="197" spans="1:5">
      <c r="A197" s="537" t="s">
        <v>1101</v>
      </c>
      <c r="B197" s="3" t="s">
        <v>1102</v>
      </c>
      <c r="C197" s="677">
        <v>1</v>
      </c>
      <c r="D197" s="537" t="s">
        <v>2305</v>
      </c>
      <c r="E197" s="10"/>
    </row>
    <row r="198" spans="1:5">
      <c r="A198" s="537" t="s">
        <v>1568</v>
      </c>
      <c r="B198" s="3" t="s">
        <v>1103</v>
      </c>
      <c r="C198" s="677">
        <v>1</v>
      </c>
      <c r="D198" s="537" t="s">
        <v>2240</v>
      </c>
      <c r="E198" s="10"/>
    </row>
    <row r="199" spans="1:5">
      <c r="A199" s="537" t="s">
        <v>1431</v>
      </c>
      <c r="B199" s="3" t="s">
        <v>1104</v>
      </c>
      <c r="C199" s="705">
        <v>2</v>
      </c>
      <c r="D199" s="537" t="s">
        <v>1830</v>
      </c>
      <c r="E199" s="10" t="s">
        <v>3489</v>
      </c>
    </row>
    <row r="200" spans="1:5">
      <c r="A200" s="537" t="s">
        <v>2717</v>
      </c>
      <c r="B200" s="3" t="s">
        <v>2718</v>
      </c>
      <c r="C200" s="705">
        <v>0.5</v>
      </c>
      <c r="D200" s="537" t="s">
        <v>1830</v>
      </c>
      <c r="E200" s="10"/>
    </row>
    <row r="201" spans="1:5">
      <c r="A201" s="537" t="s">
        <v>1105</v>
      </c>
      <c r="B201" s="3" t="s">
        <v>1106</v>
      </c>
      <c r="C201" s="677">
        <v>1</v>
      </c>
      <c r="D201" s="537" t="s">
        <v>938</v>
      </c>
      <c r="E201" s="10"/>
    </row>
    <row r="202" spans="1:5">
      <c r="A202" s="537" t="s">
        <v>939</v>
      </c>
      <c r="B202" s="3" t="s">
        <v>940</v>
      </c>
      <c r="C202" s="677">
        <v>1</v>
      </c>
      <c r="D202" s="537" t="s">
        <v>941</v>
      </c>
    </row>
    <row r="203" spans="1:5">
      <c r="A203" s="537" t="s">
        <v>942</v>
      </c>
      <c r="B203" s="3" t="s">
        <v>802</v>
      </c>
      <c r="C203" s="677">
        <v>1</v>
      </c>
      <c r="D203" s="537" t="s">
        <v>941</v>
      </c>
    </row>
    <row r="204" spans="1:5">
      <c r="A204" s="537" t="s">
        <v>803</v>
      </c>
      <c r="B204" s="3" t="s">
        <v>804</v>
      </c>
      <c r="C204" s="677">
        <v>1</v>
      </c>
      <c r="D204" s="537" t="s">
        <v>941</v>
      </c>
    </row>
    <row r="205" spans="1:5">
      <c r="A205" s="537" t="s">
        <v>2969</v>
      </c>
      <c r="B205" s="3" t="s">
        <v>2970</v>
      </c>
      <c r="C205" s="677">
        <v>250</v>
      </c>
      <c r="D205" s="537" t="s">
        <v>1830</v>
      </c>
      <c r="E205" s="10" t="s">
        <v>3490</v>
      </c>
    </row>
    <row r="206" spans="1:5">
      <c r="A206" s="537" t="s">
        <v>2865</v>
      </c>
      <c r="B206" s="3" t="s">
        <v>2866</v>
      </c>
      <c r="C206" s="677">
        <v>1</v>
      </c>
      <c r="D206" s="537" t="s">
        <v>2867</v>
      </c>
      <c r="E206" s="10" t="s">
        <v>2868</v>
      </c>
    </row>
    <row r="207" spans="1:5">
      <c r="A207" s="537" t="s">
        <v>3612</v>
      </c>
      <c r="B207" s="3" t="s">
        <v>3613</v>
      </c>
      <c r="C207" s="677">
        <v>18</v>
      </c>
      <c r="D207" s="537" t="s">
        <v>3330</v>
      </c>
      <c r="E207" s="10"/>
    </row>
    <row r="208" spans="1:5">
      <c r="A208" s="537" t="s">
        <v>2971</v>
      </c>
      <c r="B208" s="3" t="s">
        <v>2972</v>
      </c>
      <c r="C208" s="677">
        <v>10</v>
      </c>
      <c r="D208" s="537" t="s">
        <v>2606</v>
      </c>
      <c r="E208" s="10"/>
    </row>
    <row r="209" spans="1:5">
      <c r="A209" s="537" t="s">
        <v>1497</v>
      </c>
      <c r="B209" s="3" t="s">
        <v>1498</v>
      </c>
      <c r="C209" s="677">
        <v>200</v>
      </c>
      <c r="D209" s="537" t="s">
        <v>2606</v>
      </c>
    </row>
    <row r="210" spans="1:5">
      <c r="A210" s="537" t="s">
        <v>2506</v>
      </c>
      <c r="B210" s="3" t="s">
        <v>2507</v>
      </c>
      <c r="C210" s="706">
        <v>700</v>
      </c>
      <c r="D210" s="537" t="s">
        <v>2606</v>
      </c>
    </row>
    <row r="211" spans="1:5">
      <c r="A211" s="537" t="s">
        <v>2508</v>
      </c>
      <c r="B211" s="3" t="s">
        <v>2509</v>
      </c>
      <c r="C211" s="706">
        <v>700</v>
      </c>
      <c r="D211" s="537" t="s">
        <v>2606</v>
      </c>
    </row>
    <row r="212" spans="1:5">
      <c r="B212" s="3"/>
      <c r="C212" s="538"/>
    </row>
    <row r="213" spans="1:5">
      <c r="A213" s="537" t="s">
        <v>3208</v>
      </c>
      <c r="B213" s="3" t="s">
        <v>3209</v>
      </c>
      <c r="C213" s="677">
        <v>2</v>
      </c>
      <c r="D213" s="537" t="s">
        <v>2801</v>
      </c>
      <c r="E213" s="10" t="s">
        <v>3210</v>
      </c>
    </row>
    <row r="214" spans="1:5">
      <c r="A214" s="537" t="s">
        <v>3211</v>
      </c>
      <c r="B214" s="3" t="s">
        <v>3212</v>
      </c>
      <c r="C214" s="689">
        <v>1000</v>
      </c>
      <c r="D214" s="537" t="s">
        <v>2964</v>
      </c>
      <c r="E214" s="10" t="s">
        <v>3213</v>
      </c>
    </row>
    <row r="215" spans="1:5">
      <c r="A215" s="537" t="s">
        <v>3217</v>
      </c>
      <c r="B215" s="3" t="s">
        <v>3218</v>
      </c>
      <c r="C215" s="688">
        <v>1.5</v>
      </c>
      <c r="E215" s="10" t="s">
        <v>3219</v>
      </c>
    </row>
    <row r="216" spans="1:5">
      <c r="A216" s="537" t="s">
        <v>3220</v>
      </c>
      <c r="B216" s="3" t="s">
        <v>3221</v>
      </c>
      <c r="C216" s="677">
        <v>0.5</v>
      </c>
      <c r="D216" s="537" t="s">
        <v>3222</v>
      </c>
      <c r="E216" s="10" t="s">
        <v>3223</v>
      </c>
    </row>
    <row r="217" spans="1:5">
      <c r="A217" s="537" t="s">
        <v>3224</v>
      </c>
      <c r="B217" s="3" t="s">
        <v>3225</v>
      </c>
      <c r="C217" s="677">
        <v>4</v>
      </c>
      <c r="D217" s="537" t="s">
        <v>2302</v>
      </c>
      <c r="E217" s="10" t="s">
        <v>3226</v>
      </c>
    </row>
    <row r="218" spans="1:5">
      <c r="A218" s="537" t="s">
        <v>3019</v>
      </c>
      <c r="B218" s="3" t="s">
        <v>917</v>
      </c>
      <c r="C218" s="677">
        <v>4</v>
      </c>
      <c r="D218" s="537" t="s">
        <v>2302</v>
      </c>
      <c r="E218" s="10" t="s">
        <v>3226</v>
      </c>
    </row>
    <row r="219" spans="1:5">
      <c r="A219" s="537" t="s">
        <v>918</v>
      </c>
      <c r="B219" s="3" t="s">
        <v>919</v>
      </c>
      <c r="C219" s="677">
        <v>1</v>
      </c>
      <c r="D219" s="537" t="s">
        <v>2302</v>
      </c>
      <c r="E219" s="10" t="s">
        <v>835</v>
      </c>
    </row>
    <row r="220" spans="1:5">
      <c r="A220" s="537" t="s">
        <v>836</v>
      </c>
      <c r="B220" s="3" t="s">
        <v>837</v>
      </c>
      <c r="C220" s="677">
        <v>2</v>
      </c>
      <c r="E220" s="10" t="s">
        <v>3210</v>
      </c>
    </row>
    <row r="221" spans="1:5">
      <c r="A221" s="537" t="s">
        <v>838</v>
      </c>
      <c r="B221" s="3" t="s">
        <v>839</v>
      </c>
      <c r="C221" s="677">
        <v>100</v>
      </c>
      <c r="D221" s="537" t="s">
        <v>2302</v>
      </c>
      <c r="E221" s="10" t="s">
        <v>3210</v>
      </c>
    </row>
    <row r="222" spans="1:5">
      <c r="A222" s="537" t="s">
        <v>840</v>
      </c>
      <c r="B222" s="3" t="s">
        <v>841</v>
      </c>
      <c r="C222" s="677">
        <v>8</v>
      </c>
      <c r="D222" s="537" t="s">
        <v>2302</v>
      </c>
      <c r="E222" s="10" t="s">
        <v>1514</v>
      </c>
    </row>
    <row r="223" spans="1:5">
      <c r="A223" s="537" t="s">
        <v>1515</v>
      </c>
      <c r="B223" s="3" t="s">
        <v>1516</v>
      </c>
      <c r="C223" s="677">
        <f>28/12</f>
        <v>2.3333333333333335</v>
      </c>
      <c r="D223" s="537" t="s">
        <v>2302</v>
      </c>
      <c r="E223" s="10" t="s">
        <v>2010</v>
      </c>
    </row>
    <row r="224" spans="1:5">
      <c r="A224" s="537" t="s">
        <v>2011</v>
      </c>
      <c r="B224" s="3" t="s">
        <v>2012</v>
      </c>
      <c r="C224" s="677">
        <v>10</v>
      </c>
      <c r="D224" s="537" t="s">
        <v>2302</v>
      </c>
      <c r="E224" s="10" t="s">
        <v>2013</v>
      </c>
    </row>
    <row r="225" spans="1:5">
      <c r="A225" s="537" t="s">
        <v>2014</v>
      </c>
      <c r="B225" s="3" t="s">
        <v>2015</v>
      </c>
      <c r="C225" s="677">
        <v>1</v>
      </c>
      <c r="D225" s="537" t="s">
        <v>2302</v>
      </c>
      <c r="E225" s="10" t="s">
        <v>2016</v>
      </c>
    </row>
    <row r="226" spans="1:5">
      <c r="A226" s="537" t="s">
        <v>2017</v>
      </c>
      <c r="B226" s="3" t="s">
        <v>2018</v>
      </c>
      <c r="C226" s="677">
        <v>7</v>
      </c>
      <c r="E226" s="10" t="s">
        <v>2019</v>
      </c>
    </row>
    <row r="227" spans="1:5">
      <c r="A227" s="537" t="s">
        <v>2020</v>
      </c>
      <c r="B227" s="3" t="s">
        <v>2973</v>
      </c>
      <c r="C227" s="677">
        <v>4</v>
      </c>
      <c r="D227" s="537" t="s">
        <v>574</v>
      </c>
      <c r="E227" s="10" t="s">
        <v>2974</v>
      </c>
    </row>
    <row r="229" spans="1:5">
      <c r="A229" s="537" t="s">
        <v>2450</v>
      </c>
      <c r="B229" s="3" t="s">
        <v>2451</v>
      </c>
      <c r="C229" s="677">
        <v>180</v>
      </c>
      <c r="D229" s="537" t="s">
        <v>2452</v>
      </c>
      <c r="E229" s="10" t="s">
        <v>3491</v>
      </c>
    </row>
    <row r="230" spans="1:5">
      <c r="A230" s="537" t="s">
        <v>2453</v>
      </c>
      <c r="B230" s="3" t="s">
        <v>2454</v>
      </c>
      <c r="C230" s="677">
        <v>0.7</v>
      </c>
      <c r="E230" s="10" t="s">
        <v>2455</v>
      </c>
    </row>
    <row r="231" spans="1:5">
      <c r="A231" s="537" t="s">
        <v>2456</v>
      </c>
      <c r="B231" s="3" t="s">
        <v>2457</v>
      </c>
      <c r="C231" s="677">
        <v>70</v>
      </c>
      <c r="D231" s="537" t="s">
        <v>2452</v>
      </c>
      <c r="E231" s="10" t="s">
        <v>3491</v>
      </c>
    </row>
    <row r="232" spans="1:5">
      <c r="A232" s="537" t="s">
        <v>2458</v>
      </c>
      <c r="B232" s="3" t="s">
        <v>2459</v>
      </c>
      <c r="C232" s="677">
        <v>180</v>
      </c>
      <c r="D232" s="537" t="s">
        <v>2801</v>
      </c>
      <c r="E232" s="10" t="s">
        <v>2460</v>
      </c>
    </row>
    <row r="233" spans="1:5">
      <c r="A233" s="537" t="s">
        <v>2461</v>
      </c>
      <c r="B233" s="3" t="s">
        <v>2462</v>
      </c>
      <c r="C233" s="677">
        <v>1.1000000000000001</v>
      </c>
      <c r="E233" s="10" t="s">
        <v>2463</v>
      </c>
    </row>
    <row r="234" spans="1:5">
      <c r="A234" s="537" t="s">
        <v>2464</v>
      </c>
      <c r="B234" s="3" t="s">
        <v>2465</v>
      </c>
      <c r="C234" s="677">
        <v>5</v>
      </c>
      <c r="D234" s="537" t="s">
        <v>906</v>
      </c>
    </row>
    <row r="235" spans="1:5">
      <c r="A235" s="537" t="s">
        <v>2466</v>
      </c>
      <c r="B235" s="3" t="s">
        <v>2467</v>
      </c>
      <c r="C235" s="677">
        <v>2</v>
      </c>
      <c r="D235" s="537" t="s">
        <v>2448</v>
      </c>
      <c r="E235" s="387" t="s">
        <v>3492</v>
      </c>
    </row>
    <row r="236" spans="1:5">
      <c r="A236" s="537" t="s">
        <v>2468</v>
      </c>
      <c r="B236" s="3" t="s">
        <v>2469</v>
      </c>
      <c r="C236" s="677">
        <v>0.5</v>
      </c>
      <c r="D236" s="537" t="s">
        <v>2302</v>
      </c>
      <c r="E236" s="387" t="s">
        <v>2470</v>
      </c>
    </row>
    <row r="237" spans="1:5">
      <c r="A237" s="537" t="s">
        <v>2471</v>
      </c>
      <c r="B237" s="3" t="s">
        <v>2472</v>
      </c>
      <c r="C237" s="677">
        <v>4</v>
      </c>
      <c r="D237" s="537" t="s">
        <v>127</v>
      </c>
      <c r="E237" s="10" t="s">
        <v>2473</v>
      </c>
    </row>
    <row r="238" spans="1:5">
      <c r="A238" s="537" t="s">
        <v>2474</v>
      </c>
      <c r="B238" s="3" t="s">
        <v>2475</v>
      </c>
      <c r="C238" s="677">
        <v>1</v>
      </c>
      <c r="D238" s="537" t="s">
        <v>2476</v>
      </c>
      <c r="E238" s="10" t="s">
        <v>3493</v>
      </c>
    </row>
    <row r="239" spans="1:5">
      <c r="A239" s="537" t="s">
        <v>2477</v>
      </c>
      <c r="B239" s="3" t="s">
        <v>2478</v>
      </c>
      <c r="C239" s="677">
        <v>25</v>
      </c>
      <c r="D239" s="537" t="s">
        <v>2617</v>
      </c>
    </row>
    <row r="240" spans="1:5">
      <c r="A240" s="537" t="s">
        <v>2479</v>
      </c>
      <c r="B240" s="3" t="s">
        <v>2480</v>
      </c>
      <c r="C240" s="677">
        <v>35.630000000000003</v>
      </c>
      <c r="D240" s="537" t="s">
        <v>1664</v>
      </c>
      <c r="E240" s="10" t="s">
        <v>2481</v>
      </c>
    </row>
    <row r="242" spans="1:6">
      <c r="A242" s="76" t="s">
        <v>3389</v>
      </c>
    </row>
    <row r="243" spans="1:6">
      <c r="A243" s="215" t="s">
        <v>3282</v>
      </c>
      <c r="B243" s="3"/>
      <c r="C243" s="674"/>
      <c r="E243" s="23"/>
    </row>
    <row r="244" spans="1:6" ht="14" thickBot="1">
      <c r="A244" s="215" t="s">
        <v>1437</v>
      </c>
      <c r="B244" s="3"/>
      <c r="C244" s="674"/>
      <c r="E244" s="23"/>
    </row>
    <row r="245" spans="1:6">
      <c r="A245" s="672" t="s">
        <v>3371</v>
      </c>
      <c r="B245" s="59" t="s">
        <v>3005</v>
      </c>
      <c r="C245" s="673" t="s">
        <v>1639</v>
      </c>
      <c r="D245" s="673" t="s">
        <v>3372</v>
      </c>
      <c r="E245" s="673" t="s">
        <v>3373</v>
      </c>
      <c r="F245" s="60" t="s">
        <v>1435</v>
      </c>
    </row>
    <row r="246" spans="1:6">
      <c r="A246" s="694" t="s">
        <v>1478</v>
      </c>
      <c r="B246" s="57" t="s">
        <v>1613</v>
      </c>
      <c r="C246" s="528">
        <v>0</v>
      </c>
      <c r="D246" s="528">
        <v>0</v>
      </c>
      <c r="E246" s="528">
        <v>2</v>
      </c>
      <c r="F246" s="695" t="s">
        <v>2243</v>
      </c>
    </row>
    <row r="247" spans="1:6">
      <c r="A247" s="694" t="s">
        <v>1479</v>
      </c>
      <c r="B247" s="57" t="s">
        <v>2227</v>
      </c>
      <c r="C247" s="528">
        <v>0</v>
      </c>
      <c r="D247" s="528">
        <v>0</v>
      </c>
      <c r="E247" s="528">
        <v>3</v>
      </c>
      <c r="F247" s="695" t="s">
        <v>2243</v>
      </c>
    </row>
    <row r="248" spans="1:6">
      <c r="A248" s="694" t="s">
        <v>2127</v>
      </c>
      <c r="B248" s="57" t="s">
        <v>2727</v>
      </c>
      <c r="C248" s="528">
        <v>0</v>
      </c>
      <c r="D248" s="528">
        <v>0</v>
      </c>
      <c r="E248" s="528">
        <v>2</v>
      </c>
      <c r="F248" s="695" t="s">
        <v>1153</v>
      </c>
    </row>
    <row r="249" spans="1:6">
      <c r="A249" s="694" t="s">
        <v>1480</v>
      </c>
      <c r="B249" s="57" t="s">
        <v>2728</v>
      </c>
      <c r="C249" s="528">
        <v>0</v>
      </c>
      <c r="D249" s="528">
        <v>0</v>
      </c>
      <c r="E249" s="528">
        <v>2</v>
      </c>
      <c r="F249" s="695" t="s">
        <v>2243</v>
      </c>
    </row>
    <row r="250" spans="1:6">
      <c r="A250" s="694" t="s">
        <v>1154</v>
      </c>
      <c r="B250" s="57" t="s">
        <v>2729</v>
      </c>
      <c r="C250" s="528">
        <v>0</v>
      </c>
      <c r="D250" s="528">
        <v>0</v>
      </c>
      <c r="E250" s="528">
        <v>1</v>
      </c>
      <c r="F250" s="695" t="s">
        <v>1153</v>
      </c>
    </row>
    <row r="251" spans="1:6">
      <c r="A251" s="694" t="s">
        <v>1156</v>
      </c>
      <c r="B251" s="57" t="s">
        <v>2730</v>
      </c>
      <c r="C251" s="528">
        <v>0</v>
      </c>
      <c r="D251" s="528">
        <v>0</v>
      </c>
      <c r="E251" s="528">
        <v>1</v>
      </c>
      <c r="F251" s="695" t="s">
        <v>1155</v>
      </c>
    </row>
    <row r="252" spans="1:6">
      <c r="A252" s="694" t="s">
        <v>8</v>
      </c>
      <c r="B252" s="57" t="s">
        <v>9</v>
      </c>
      <c r="C252" s="528">
        <v>0</v>
      </c>
      <c r="D252" s="528">
        <v>0</v>
      </c>
      <c r="E252" s="528">
        <v>1</v>
      </c>
      <c r="F252" s="695" t="s">
        <v>1835</v>
      </c>
    </row>
    <row r="253" spans="1:6">
      <c r="A253" s="694" t="s">
        <v>3339</v>
      </c>
      <c r="B253" s="57" t="s">
        <v>3340</v>
      </c>
      <c r="C253" s="528">
        <v>0</v>
      </c>
      <c r="D253" s="528">
        <v>0</v>
      </c>
      <c r="E253" s="528">
        <v>1</v>
      </c>
      <c r="F253" s="695" t="s">
        <v>1153</v>
      </c>
    </row>
    <row r="254" spans="1:6">
      <c r="A254" s="694" t="s">
        <v>1572</v>
      </c>
      <c r="B254" s="57" t="s">
        <v>914</v>
      </c>
      <c r="C254" s="528">
        <v>0</v>
      </c>
      <c r="D254" s="528">
        <v>0</v>
      </c>
      <c r="E254" s="528">
        <v>1</v>
      </c>
      <c r="F254" s="695" t="s">
        <v>1155</v>
      </c>
    </row>
    <row r="255" spans="1:6">
      <c r="A255" s="537" t="s">
        <v>2485</v>
      </c>
      <c r="B255" s="3" t="s">
        <v>2486</v>
      </c>
      <c r="C255" s="696">
        <v>0</v>
      </c>
      <c r="D255" s="696">
        <v>0</v>
      </c>
      <c r="E255" s="696">
        <v>1</v>
      </c>
      <c r="F255" s="695" t="s">
        <v>2487</v>
      </c>
    </row>
    <row r="256" spans="1:6">
      <c r="A256" s="694" t="s">
        <v>2700</v>
      </c>
      <c r="B256" s="57" t="s">
        <v>2701</v>
      </c>
      <c r="C256" s="528">
        <v>0</v>
      </c>
      <c r="D256" s="528">
        <v>0</v>
      </c>
      <c r="E256" s="528">
        <v>2</v>
      </c>
      <c r="F256" s="695" t="s">
        <v>1153</v>
      </c>
    </row>
    <row r="257" spans="1:6">
      <c r="A257" s="694" t="s">
        <v>253</v>
      </c>
      <c r="B257" s="57" t="s">
        <v>248</v>
      </c>
      <c r="C257" s="696">
        <v>0</v>
      </c>
      <c r="D257" s="696">
        <v>0</v>
      </c>
      <c r="E257" s="528">
        <v>1</v>
      </c>
      <c r="F257" s="695" t="s">
        <v>1835</v>
      </c>
    </row>
    <row r="258" spans="1:6">
      <c r="A258" s="694" t="s">
        <v>1949</v>
      </c>
      <c r="B258" s="57" t="s">
        <v>1614</v>
      </c>
      <c r="C258" s="528">
        <v>2</v>
      </c>
      <c r="D258" s="528">
        <v>2</v>
      </c>
      <c r="E258" s="528">
        <v>0</v>
      </c>
      <c r="F258" s="695" t="s">
        <v>2243</v>
      </c>
    </row>
    <row r="259" spans="1:6">
      <c r="A259" s="694" t="s">
        <v>1950</v>
      </c>
      <c r="B259" s="57" t="s">
        <v>1615</v>
      </c>
      <c r="C259" s="528">
        <v>3</v>
      </c>
      <c r="D259" s="528">
        <v>3</v>
      </c>
      <c r="E259" s="528">
        <v>0</v>
      </c>
      <c r="F259" s="695" t="s">
        <v>2243</v>
      </c>
    </row>
    <row r="260" spans="1:6">
      <c r="A260" s="694" t="s">
        <v>1609</v>
      </c>
      <c r="B260" s="57" t="s">
        <v>1604</v>
      </c>
      <c r="C260" s="528">
        <v>2</v>
      </c>
      <c r="D260" s="528">
        <v>2</v>
      </c>
      <c r="E260" s="528">
        <v>0</v>
      </c>
      <c r="F260" s="695" t="s">
        <v>1153</v>
      </c>
    </row>
    <row r="261" spans="1:6">
      <c r="A261" s="694" t="s">
        <v>2658</v>
      </c>
      <c r="B261" s="57" t="s">
        <v>1605</v>
      </c>
      <c r="C261" s="528">
        <v>2</v>
      </c>
      <c r="D261" s="528">
        <v>2</v>
      </c>
      <c r="E261" s="528">
        <v>0</v>
      </c>
      <c r="F261" s="695" t="s">
        <v>2243</v>
      </c>
    </row>
    <row r="262" spans="1:6">
      <c r="A262" s="694" t="s">
        <v>1610</v>
      </c>
      <c r="B262" s="57" t="s">
        <v>1606</v>
      </c>
      <c r="C262" s="528">
        <v>1</v>
      </c>
      <c r="D262" s="528">
        <v>1</v>
      </c>
      <c r="E262" s="528">
        <v>0</v>
      </c>
      <c r="F262" s="695" t="s">
        <v>1153</v>
      </c>
    </row>
    <row r="263" spans="1:6">
      <c r="A263" s="694" t="s">
        <v>1611</v>
      </c>
      <c r="B263" s="57" t="s">
        <v>1607</v>
      </c>
      <c r="C263" s="528">
        <v>1</v>
      </c>
      <c r="D263" s="528">
        <v>1</v>
      </c>
      <c r="E263" s="528">
        <v>0</v>
      </c>
      <c r="F263" s="695" t="s">
        <v>1155</v>
      </c>
    </row>
    <row r="264" spans="1:6">
      <c r="A264" s="694" t="s">
        <v>1612</v>
      </c>
      <c r="B264" s="57" t="s">
        <v>1608</v>
      </c>
      <c r="C264" s="528">
        <v>1</v>
      </c>
      <c r="D264" s="528">
        <v>1</v>
      </c>
      <c r="E264" s="528">
        <v>0</v>
      </c>
      <c r="F264" s="695" t="s">
        <v>1835</v>
      </c>
    </row>
    <row r="265" spans="1:6">
      <c r="A265" s="694" t="s">
        <v>911</v>
      </c>
      <c r="B265" s="57" t="s">
        <v>912</v>
      </c>
      <c r="C265" s="528">
        <v>1</v>
      </c>
      <c r="D265" s="528">
        <v>1</v>
      </c>
      <c r="E265" s="528">
        <v>0</v>
      </c>
      <c r="F265" s="695" t="s">
        <v>1153</v>
      </c>
    </row>
    <row r="266" spans="1:6">
      <c r="A266" s="694" t="s">
        <v>1570</v>
      </c>
      <c r="B266" s="57" t="s">
        <v>913</v>
      </c>
      <c r="C266" s="528">
        <v>1</v>
      </c>
      <c r="D266" s="528">
        <v>1</v>
      </c>
      <c r="E266" s="528">
        <v>0</v>
      </c>
      <c r="F266" s="695" t="s">
        <v>1155</v>
      </c>
    </row>
    <row r="267" spans="1:6">
      <c r="A267" s="537" t="s">
        <v>2485</v>
      </c>
      <c r="B267" s="3" t="s">
        <v>2488</v>
      </c>
      <c r="C267" s="696">
        <v>1</v>
      </c>
      <c r="D267" s="696">
        <v>1</v>
      </c>
      <c r="E267" s="696">
        <v>0</v>
      </c>
      <c r="F267" s="695" t="s">
        <v>2487</v>
      </c>
    </row>
    <row r="268" spans="1:6">
      <c r="A268" s="694" t="s">
        <v>2364</v>
      </c>
      <c r="B268" s="57" t="s">
        <v>2365</v>
      </c>
      <c r="C268" s="528">
        <v>2</v>
      </c>
      <c r="D268" s="528">
        <v>2</v>
      </c>
      <c r="E268" s="528">
        <v>0</v>
      </c>
      <c r="F268" s="695" t="s">
        <v>1153</v>
      </c>
    </row>
    <row r="269" spans="1:6" ht="14" thickBot="1">
      <c r="A269" s="697" t="s">
        <v>252</v>
      </c>
      <c r="B269" s="61" t="s">
        <v>249</v>
      </c>
      <c r="C269" s="698">
        <v>1</v>
      </c>
      <c r="D269" s="698">
        <v>1</v>
      </c>
      <c r="E269" s="699">
        <v>0</v>
      </c>
      <c r="F269" s="700" t="s">
        <v>1835</v>
      </c>
    </row>
    <row r="271" spans="1:6">
      <c r="A271" s="749" t="s">
        <v>3391</v>
      </c>
    </row>
    <row r="272" spans="1:6">
      <c r="A272" s="58" t="s">
        <v>1438</v>
      </c>
      <c r="C272" s="674"/>
    </row>
    <row r="273" spans="1:7" ht="14" thickBot="1">
      <c r="A273" s="58" t="s">
        <v>1437</v>
      </c>
    </row>
    <row r="274" spans="1:7">
      <c r="A274" s="672" t="s">
        <v>3004</v>
      </c>
      <c r="B274" s="59" t="s">
        <v>3005</v>
      </c>
      <c r="C274" s="673" t="s">
        <v>3006</v>
      </c>
      <c r="D274" s="673" t="s">
        <v>3007</v>
      </c>
      <c r="E274" s="673" t="s">
        <v>3008</v>
      </c>
      <c r="F274" s="60" t="s">
        <v>3009</v>
      </c>
      <c r="G274" s="188" t="s">
        <v>1436</v>
      </c>
    </row>
    <row r="275" spans="1:7">
      <c r="A275" s="694" t="s">
        <v>1556</v>
      </c>
      <c r="B275" s="57" t="s">
        <v>1557</v>
      </c>
      <c r="C275" s="528">
        <v>1</v>
      </c>
      <c r="D275" s="528">
        <v>1</v>
      </c>
      <c r="E275" s="528">
        <v>0</v>
      </c>
      <c r="F275" s="529">
        <v>0</v>
      </c>
    </row>
    <row r="276" spans="1:7">
      <c r="A276" s="694" t="s">
        <v>58</v>
      </c>
      <c r="B276" s="702" t="s">
        <v>59</v>
      </c>
      <c r="C276" s="528">
        <v>0</v>
      </c>
      <c r="D276" s="528">
        <v>0</v>
      </c>
      <c r="E276" s="528">
        <v>1</v>
      </c>
      <c r="F276" s="529">
        <v>0</v>
      </c>
      <c r="G276" s="10"/>
    </row>
    <row r="277" spans="1:7">
      <c r="A277" s="694" t="s">
        <v>60</v>
      </c>
      <c r="B277" s="702" t="s">
        <v>61</v>
      </c>
      <c r="C277" s="528">
        <v>0</v>
      </c>
      <c r="D277" s="528">
        <v>0</v>
      </c>
      <c r="E277" s="528">
        <v>2</v>
      </c>
      <c r="F277" s="529">
        <v>1</v>
      </c>
      <c r="G277" s="10" t="s">
        <v>629</v>
      </c>
    </row>
    <row r="278" spans="1:7">
      <c r="A278" s="694" t="s">
        <v>62</v>
      </c>
      <c r="B278" s="702" t="s">
        <v>63</v>
      </c>
      <c r="C278" s="528">
        <v>0</v>
      </c>
      <c r="D278" s="528">
        <v>0</v>
      </c>
      <c r="E278" s="528">
        <v>1</v>
      </c>
      <c r="F278" s="529">
        <v>0</v>
      </c>
      <c r="G278" s="10"/>
    </row>
    <row r="279" spans="1:7">
      <c r="A279" s="694" t="s">
        <v>64</v>
      </c>
      <c r="B279" s="702" t="s">
        <v>65</v>
      </c>
      <c r="C279" s="528">
        <v>0</v>
      </c>
      <c r="D279" s="528">
        <v>0</v>
      </c>
      <c r="E279" s="528">
        <v>2</v>
      </c>
      <c r="F279" s="529">
        <v>1</v>
      </c>
      <c r="G279" s="10" t="s">
        <v>629</v>
      </c>
    </row>
    <row r="280" spans="1:7">
      <c r="A280" s="694" t="s">
        <v>2899</v>
      </c>
      <c r="B280" s="57" t="s">
        <v>2900</v>
      </c>
      <c r="C280" s="528">
        <v>1</v>
      </c>
      <c r="D280" s="528">
        <v>0</v>
      </c>
      <c r="E280" s="528">
        <v>0</v>
      </c>
      <c r="F280" s="529">
        <v>0</v>
      </c>
    </row>
    <row r="281" spans="1:7">
      <c r="A281" s="694" t="s">
        <v>1560</v>
      </c>
      <c r="B281" s="57" t="s">
        <v>1561</v>
      </c>
      <c r="C281" s="528">
        <v>0</v>
      </c>
      <c r="D281" s="528">
        <v>0</v>
      </c>
      <c r="E281" s="528">
        <v>1</v>
      </c>
      <c r="F281" s="529">
        <v>0</v>
      </c>
    </row>
    <row r="282" spans="1:7">
      <c r="A282" s="694" t="s">
        <v>1558</v>
      </c>
      <c r="B282" s="57" t="s">
        <v>1559</v>
      </c>
      <c r="C282" s="528">
        <v>1</v>
      </c>
      <c r="D282" s="528">
        <v>0</v>
      </c>
      <c r="E282" s="528">
        <v>0</v>
      </c>
      <c r="F282" s="529">
        <v>0</v>
      </c>
    </row>
    <row r="283" spans="1:7">
      <c r="A283" s="694" t="s">
        <v>1294</v>
      </c>
      <c r="B283" s="57" t="s">
        <v>2901</v>
      </c>
      <c r="C283" s="528">
        <v>3</v>
      </c>
      <c r="D283" s="528">
        <v>1</v>
      </c>
      <c r="E283" s="528">
        <v>0</v>
      </c>
      <c r="F283" s="529">
        <v>0</v>
      </c>
    </row>
    <row r="284" spans="1:7">
      <c r="A284" s="694" t="s">
        <v>1562</v>
      </c>
      <c r="B284" s="57" t="s">
        <v>1563</v>
      </c>
      <c r="C284" s="528">
        <v>0</v>
      </c>
      <c r="D284" s="528">
        <v>0</v>
      </c>
      <c r="E284" s="528">
        <v>1</v>
      </c>
      <c r="F284" s="529">
        <v>0</v>
      </c>
    </row>
    <row r="285" spans="1:7">
      <c r="A285" s="694" t="s">
        <v>1564</v>
      </c>
      <c r="B285" s="57" t="s">
        <v>2529</v>
      </c>
      <c r="C285" s="528">
        <v>0</v>
      </c>
      <c r="D285" s="528">
        <v>0</v>
      </c>
      <c r="E285" s="528">
        <v>1</v>
      </c>
      <c r="F285" s="529">
        <v>0</v>
      </c>
    </row>
    <row r="286" spans="1:7" ht="14" thickBot="1">
      <c r="A286" s="697" t="s">
        <v>2233</v>
      </c>
      <c r="B286" s="61" t="s">
        <v>2234</v>
      </c>
      <c r="C286" s="699">
        <v>0</v>
      </c>
      <c r="D286" s="698">
        <v>0</v>
      </c>
      <c r="E286" s="698">
        <v>1</v>
      </c>
      <c r="F286" s="703">
        <v>1</v>
      </c>
    </row>
  </sheetData>
  <phoneticPr fontId="0" type="noConversion"/>
  <hyperlinks>
    <hyperlink ref="A84" location="valve_table" display="See the Valve Table at the bottom of this page for additional assumptions relating to valves" xr:uid="{00000000-0004-0000-0400-000000000000}"/>
    <hyperlink ref="A124" location="port_table" display="See the I/O Port Table at the bottom of this page for additional assumptions relating to system controls" xr:uid="{00000000-0004-0000-0400-000001000000}"/>
  </hyperlinks>
  <pageMargins left="0.75" right="0.75" top="1" bottom="1" header="0.5" footer="0.5"/>
  <pageSetup scale="8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E66"/>
  <sheetViews>
    <sheetView workbookViewId="0">
      <pane ySplit="4" topLeftCell="A5" activePane="bottomLeft" state="frozen"/>
      <selection activeCell="A122" sqref="A122"/>
      <selection pane="bottomLeft"/>
    </sheetView>
  </sheetViews>
  <sheetFormatPr baseColWidth="10" defaultColWidth="8.83203125" defaultRowHeight="13"/>
  <cols>
    <col min="1" max="1" width="46.5" customWidth="1"/>
    <col min="2" max="2" width="24.5" customWidth="1"/>
    <col min="3" max="3" width="11.33203125" bestFit="1" customWidth="1"/>
    <col min="4" max="4" width="16.5" customWidth="1"/>
  </cols>
  <sheetData>
    <row r="1" spans="1:5">
      <c r="A1" s="1" t="s">
        <v>627</v>
      </c>
      <c r="C1" s="50"/>
      <c r="D1" s="4"/>
    </row>
    <row r="2" spans="1:5">
      <c r="A2" s="748" t="s">
        <v>3393</v>
      </c>
      <c r="C2" s="50"/>
      <c r="D2" s="4"/>
    </row>
    <row r="4" spans="1:5">
      <c r="A4" s="208" t="s">
        <v>1432</v>
      </c>
      <c r="B4" s="209" t="s">
        <v>1433</v>
      </c>
      <c r="C4" s="210" t="s">
        <v>1434</v>
      </c>
      <c r="D4" s="209" t="s">
        <v>1435</v>
      </c>
      <c r="E4" s="209" t="s">
        <v>1436</v>
      </c>
    </row>
    <row r="5" spans="1:5">
      <c r="A5" s="2" t="s">
        <v>2220</v>
      </c>
    </row>
    <row r="6" spans="1:5">
      <c r="A6" t="s">
        <v>843</v>
      </c>
      <c r="B6" s="3" t="s">
        <v>1759</v>
      </c>
      <c r="C6" s="211">
        <v>0.01</v>
      </c>
      <c r="E6" s="10" t="s">
        <v>3469</v>
      </c>
    </row>
    <row r="7" spans="1:5">
      <c r="A7" t="s">
        <v>3269</v>
      </c>
      <c r="B7" s="3" t="s">
        <v>3268</v>
      </c>
      <c r="C7" s="512">
        <v>0.01</v>
      </c>
      <c r="D7" s="4"/>
      <c r="E7" s="10" t="s">
        <v>3270</v>
      </c>
    </row>
    <row r="9" spans="1:5">
      <c r="A9" s="2" t="s">
        <v>2217</v>
      </c>
    </row>
    <row r="10" spans="1:5">
      <c r="A10" s="5" t="s">
        <v>781</v>
      </c>
      <c r="B10" s="3" t="s">
        <v>782</v>
      </c>
      <c r="C10" s="212">
        <v>0.1</v>
      </c>
      <c r="D10" t="s">
        <v>783</v>
      </c>
    </row>
    <row r="11" spans="1:5">
      <c r="A11" s="5" t="s">
        <v>786</v>
      </c>
      <c r="B11" s="3" t="s">
        <v>2933</v>
      </c>
      <c r="C11" s="212">
        <v>0.1</v>
      </c>
      <c r="D11" t="s">
        <v>783</v>
      </c>
    </row>
    <row r="12" spans="1:5">
      <c r="A12" t="s">
        <v>499</v>
      </c>
      <c r="B12" s="3" t="s">
        <v>500</v>
      </c>
      <c r="C12" s="103">
        <v>1</v>
      </c>
      <c r="D12" s="4" t="s">
        <v>501</v>
      </c>
    </row>
    <row r="13" spans="1:5">
      <c r="A13" s="2"/>
    </row>
    <row r="14" spans="1:5">
      <c r="A14" s="2" t="s">
        <v>2268</v>
      </c>
    </row>
    <row r="15" spans="1:5">
      <c r="A15" s="5" t="s">
        <v>2269</v>
      </c>
      <c r="B15" s="3" t="s">
        <v>2270</v>
      </c>
      <c r="C15" s="177">
        <v>5</v>
      </c>
      <c r="D15" t="s">
        <v>2271</v>
      </c>
      <c r="E15" s="10" t="s">
        <v>2272</v>
      </c>
    </row>
    <row r="16" spans="1:5">
      <c r="A16" s="513" t="s">
        <v>943</v>
      </c>
      <c r="B16" s="3" t="s">
        <v>944</v>
      </c>
      <c r="C16" s="177">
        <v>5</v>
      </c>
      <c r="D16" s="14" t="s">
        <v>2271</v>
      </c>
      <c r="E16" s="10" t="s">
        <v>257</v>
      </c>
    </row>
    <row r="17" spans="1:5">
      <c r="A17" s="5" t="s">
        <v>2273</v>
      </c>
      <c r="B17" s="3" t="s">
        <v>2274</v>
      </c>
      <c r="C17" s="177">
        <v>5</v>
      </c>
      <c r="D17" t="s">
        <v>2271</v>
      </c>
      <c r="E17" s="10" t="s">
        <v>2275</v>
      </c>
    </row>
    <row r="18" spans="1:5">
      <c r="A18" s="5" t="s">
        <v>2276</v>
      </c>
      <c r="B18" s="3" t="s">
        <v>2277</v>
      </c>
      <c r="C18" s="177">
        <v>5</v>
      </c>
      <c r="D18" t="s">
        <v>2278</v>
      </c>
      <c r="E18" s="10" t="s">
        <v>2275</v>
      </c>
    </row>
    <row r="19" spans="1:5">
      <c r="A19" s="5" t="s">
        <v>2279</v>
      </c>
      <c r="B19" s="3" t="s">
        <v>2280</v>
      </c>
      <c r="C19" s="177">
        <v>1</v>
      </c>
      <c r="D19" s="514" t="s">
        <v>945</v>
      </c>
      <c r="E19" s="10"/>
    </row>
    <row r="20" spans="1:5">
      <c r="A20" s="5" t="s">
        <v>1732</v>
      </c>
      <c r="B20" s="3" t="s">
        <v>1733</v>
      </c>
      <c r="C20" s="177">
        <v>1</v>
      </c>
      <c r="D20" t="s">
        <v>258</v>
      </c>
      <c r="E20" s="53" t="s">
        <v>946</v>
      </c>
    </row>
    <row r="21" spans="1:5">
      <c r="A21" s="5" t="s">
        <v>259</v>
      </c>
      <c r="B21" s="3" t="s">
        <v>260</v>
      </c>
      <c r="C21" s="177">
        <f>8/(20*27)</f>
        <v>1.4814814814814815E-2</v>
      </c>
      <c r="D21" s="14" t="s">
        <v>1736</v>
      </c>
      <c r="E21" s="10" t="s">
        <v>3494</v>
      </c>
    </row>
    <row r="22" spans="1:5">
      <c r="A22" s="2"/>
    </row>
    <row r="23" spans="1:5">
      <c r="A23" s="515" t="s">
        <v>959</v>
      </c>
      <c r="B23" s="3"/>
      <c r="C23" s="6"/>
      <c r="D23" s="14"/>
    </row>
    <row r="24" spans="1:5">
      <c r="A24" s="513" t="s">
        <v>947</v>
      </c>
      <c r="B24" s="3" t="s">
        <v>948</v>
      </c>
      <c r="C24" s="177">
        <v>10</v>
      </c>
      <c r="D24" s="14" t="s">
        <v>949</v>
      </c>
    </row>
    <row r="25" spans="1:5">
      <c r="A25" s="513" t="s">
        <v>950</v>
      </c>
      <c r="B25" s="3" t="s">
        <v>951</v>
      </c>
      <c r="C25" s="177">
        <v>30.25</v>
      </c>
      <c r="D25" s="14" t="s">
        <v>1018</v>
      </c>
      <c r="E25" s="10" t="s">
        <v>952</v>
      </c>
    </row>
    <row r="26" spans="1:5">
      <c r="A26" s="513" t="s">
        <v>953</v>
      </c>
      <c r="B26" s="3" t="s">
        <v>954</v>
      </c>
      <c r="C26" s="177">
        <v>5</v>
      </c>
      <c r="D26" s="14" t="s">
        <v>955</v>
      </c>
      <c r="E26" s="10" t="s">
        <v>956</v>
      </c>
    </row>
    <row r="27" spans="1:5">
      <c r="A27" s="513" t="s">
        <v>957</v>
      </c>
      <c r="B27" s="3" t="s">
        <v>958</v>
      </c>
      <c r="C27" s="177">
        <v>60</v>
      </c>
      <c r="D27" s="14" t="s">
        <v>949</v>
      </c>
      <c r="E27" s="10"/>
    </row>
    <row r="28" spans="1:5">
      <c r="A28" s="2"/>
    </row>
    <row r="29" spans="1:5">
      <c r="A29" s="2" t="s">
        <v>718</v>
      </c>
    </row>
    <row r="30" spans="1:5">
      <c r="A30" t="s">
        <v>2526</v>
      </c>
      <c r="B30" s="3" t="s">
        <v>51</v>
      </c>
      <c r="C30" s="177">
        <v>44</v>
      </c>
      <c r="D30" s="4" t="s">
        <v>2302</v>
      </c>
      <c r="E30" s="10"/>
    </row>
    <row r="31" spans="1:5">
      <c r="A31" t="s">
        <v>2611</v>
      </c>
      <c r="B31" s="3" t="s">
        <v>2612</v>
      </c>
      <c r="C31" s="177">
        <v>33</v>
      </c>
      <c r="D31" s="4" t="s">
        <v>2302</v>
      </c>
      <c r="E31" s="10"/>
    </row>
    <row r="32" spans="1:5">
      <c r="A32" t="s">
        <v>2609</v>
      </c>
      <c r="B32" s="3" t="s">
        <v>2610</v>
      </c>
      <c r="C32" s="177">
        <v>25</v>
      </c>
      <c r="D32" s="4" t="s">
        <v>1387</v>
      </c>
      <c r="E32" s="10"/>
    </row>
    <row r="33" spans="1:5">
      <c r="A33" t="s">
        <v>2608</v>
      </c>
      <c r="B33" s="3" t="s">
        <v>52</v>
      </c>
      <c r="C33" s="213">
        <v>0.75</v>
      </c>
      <c r="E33" s="10"/>
    </row>
    <row r="35" spans="1:5">
      <c r="A35" t="s">
        <v>1979</v>
      </c>
      <c r="B35" s="44" t="s">
        <v>1980</v>
      </c>
      <c r="C35" s="508">
        <v>1</v>
      </c>
      <c r="D35" s="14" t="s">
        <v>1981</v>
      </c>
      <c r="E35" s="10" t="s">
        <v>3495</v>
      </c>
    </row>
    <row r="36" spans="1:5">
      <c r="A36" t="s">
        <v>1982</v>
      </c>
      <c r="B36" s="44" t="s">
        <v>1983</v>
      </c>
      <c r="C36" s="508">
        <v>2</v>
      </c>
      <c r="D36" s="14" t="s">
        <v>1981</v>
      </c>
    </row>
    <row r="37" spans="1:5">
      <c r="A37" t="s">
        <v>1984</v>
      </c>
      <c r="B37" s="44" t="s">
        <v>1985</v>
      </c>
      <c r="C37" s="508">
        <v>4</v>
      </c>
      <c r="D37" s="14" t="s">
        <v>1981</v>
      </c>
    </row>
    <row r="39" spans="1:5">
      <c r="A39" t="s">
        <v>2312</v>
      </c>
      <c r="B39" s="42" t="s">
        <v>1650</v>
      </c>
      <c r="C39" s="177">
        <v>3</v>
      </c>
      <c r="D39" s="52" t="s">
        <v>1655</v>
      </c>
    </row>
    <row r="40" spans="1:5">
      <c r="A40" t="s">
        <v>2331</v>
      </c>
      <c r="B40" s="42" t="s">
        <v>1651</v>
      </c>
      <c r="C40" s="177">
        <v>20</v>
      </c>
      <c r="D40" s="52" t="s">
        <v>1655</v>
      </c>
      <c r="E40" s="10" t="s">
        <v>775</v>
      </c>
    </row>
    <row r="41" spans="1:5">
      <c r="A41" t="s">
        <v>2236</v>
      </c>
      <c r="B41" s="42" t="s">
        <v>1652</v>
      </c>
      <c r="C41" s="177">
        <v>2</v>
      </c>
      <c r="D41" s="52" t="s">
        <v>1655</v>
      </c>
    </row>
    <row r="42" spans="1:5">
      <c r="A42" t="s">
        <v>2237</v>
      </c>
      <c r="B42" s="42" t="s">
        <v>1653</v>
      </c>
      <c r="C42" s="177">
        <v>2</v>
      </c>
      <c r="D42" s="52" t="s">
        <v>1655</v>
      </c>
    </row>
    <row r="43" spans="1:5">
      <c r="A43" t="s">
        <v>1657</v>
      </c>
      <c r="B43" s="44" t="s">
        <v>1659</v>
      </c>
      <c r="C43" s="177">
        <v>0.25</v>
      </c>
      <c r="D43" s="4" t="s">
        <v>1658</v>
      </c>
    </row>
    <row r="44" spans="1:5">
      <c r="A44" t="s">
        <v>1675</v>
      </c>
      <c r="B44" s="44" t="s">
        <v>1676</v>
      </c>
      <c r="C44" s="177">
        <v>90</v>
      </c>
      <c r="D44" s="4" t="s">
        <v>2117</v>
      </c>
      <c r="E44" s="10" t="s">
        <v>569</v>
      </c>
    </row>
    <row r="45" spans="1:5">
      <c r="A45" t="s">
        <v>3047</v>
      </c>
      <c r="B45" s="44" t="s">
        <v>3048</v>
      </c>
      <c r="C45" s="177">
        <v>90</v>
      </c>
      <c r="D45" s="4" t="s">
        <v>2117</v>
      </c>
      <c r="E45" s="10" t="s">
        <v>3049</v>
      </c>
    </row>
    <row r="46" spans="1:5">
      <c r="A46" t="s">
        <v>1716</v>
      </c>
      <c r="B46" s="44" t="s">
        <v>1717</v>
      </c>
      <c r="C46" s="177">
        <v>120</v>
      </c>
      <c r="D46" s="4" t="s">
        <v>2117</v>
      </c>
      <c r="E46" s="10" t="s">
        <v>1718</v>
      </c>
    </row>
    <row r="47" spans="1:5">
      <c r="A47" t="s">
        <v>1719</v>
      </c>
      <c r="B47" s="44" t="s">
        <v>1720</v>
      </c>
      <c r="C47" s="177">
        <v>120</v>
      </c>
      <c r="D47" s="4" t="s">
        <v>2117</v>
      </c>
      <c r="E47" s="10"/>
    </row>
    <row r="48" spans="1:5">
      <c r="A48" t="s">
        <v>1584</v>
      </c>
      <c r="B48" s="44" t="s">
        <v>1585</v>
      </c>
      <c r="C48" s="177">
        <v>185</v>
      </c>
      <c r="D48" s="4" t="s">
        <v>2117</v>
      </c>
      <c r="E48" s="10" t="s">
        <v>1586</v>
      </c>
    </row>
    <row r="49" spans="1:5">
      <c r="A49" t="s">
        <v>1587</v>
      </c>
      <c r="B49" s="44" t="s">
        <v>1588</v>
      </c>
      <c r="C49" s="177">
        <v>185</v>
      </c>
      <c r="D49" s="4" t="s">
        <v>2117</v>
      </c>
      <c r="E49" s="10"/>
    </row>
    <row r="51" spans="1:5">
      <c r="A51" t="s">
        <v>1929</v>
      </c>
      <c r="B51" s="3" t="s">
        <v>1931</v>
      </c>
      <c r="C51" s="177">
        <v>13</v>
      </c>
      <c r="D51" s="14" t="s">
        <v>1933</v>
      </c>
      <c r="E51" s="10" t="s">
        <v>3467</v>
      </c>
    </row>
    <row r="52" spans="1:5">
      <c r="A52" t="s">
        <v>1930</v>
      </c>
      <c r="B52" s="3" t="s">
        <v>1932</v>
      </c>
      <c r="C52" s="177">
        <v>38</v>
      </c>
      <c r="D52" s="14" t="s">
        <v>1933</v>
      </c>
      <c r="E52" s="10" t="s">
        <v>3467</v>
      </c>
    </row>
    <row r="53" spans="1:5">
      <c r="A53" t="s">
        <v>45</v>
      </c>
      <c r="B53" s="3" t="s">
        <v>46</v>
      </c>
      <c r="C53" s="214">
        <v>4923</v>
      </c>
      <c r="D53" s="14" t="s">
        <v>2516</v>
      </c>
      <c r="E53" s="10" t="s">
        <v>3470</v>
      </c>
    </row>
    <row r="54" spans="1:5">
      <c r="A54" t="s">
        <v>2514</v>
      </c>
      <c r="B54" s="3" t="s">
        <v>2515</v>
      </c>
      <c r="C54" s="214">
        <v>1697</v>
      </c>
      <c r="D54" s="14" t="s">
        <v>2516</v>
      </c>
      <c r="E54" s="10" t="s">
        <v>3470</v>
      </c>
    </row>
    <row r="55" spans="1:5">
      <c r="A55" t="s">
        <v>3034</v>
      </c>
      <c r="B55" s="3" t="s">
        <v>3036</v>
      </c>
      <c r="C55" s="214">
        <v>168679</v>
      </c>
      <c r="D55" s="14" t="s">
        <v>3038</v>
      </c>
      <c r="E55" s="10" t="s">
        <v>3470</v>
      </c>
    </row>
    <row r="56" spans="1:5">
      <c r="A56" t="s">
        <v>3035</v>
      </c>
      <c r="B56" s="3" t="s">
        <v>3037</v>
      </c>
      <c r="C56" s="214">
        <v>51771</v>
      </c>
      <c r="D56" s="14" t="s">
        <v>3038</v>
      </c>
      <c r="E56" s="10" t="s">
        <v>3470</v>
      </c>
    </row>
    <row r="57" spans="1:5">
      <c r="A57" t="s">
        <v>1410</v>
      </c>
      <c r="B57" s="3" t="s">
        <v>1412</v>
      </c>
      <c r="C57" s="192">
        <v>0.98</v>
      </c>
      <c r="D57" s="14"/>
      <c r="E57" s="10" t="s">
        <v>1290</v>
      </c>
    </row>
    <row r="58" spans="1:5">
      <c r="A58" t="s">
        <v>1411</v>
      </c>
      <c r="B58" s="3" t="s">
        <v>1413</v>
      </c>
      <c r="C58" s="300">
        <v>3.2</v>
      </c>
      <c r="D58" s="14"/>
      <c r="E58" s="10" t="s">
        <v>1290</v>
      </c>
    </row>
    <row r="59" spans="1:5">
      <c r="A59" t="s">
        <v>1592</v>
      </c>
      <c r="B59" s="3" t="s">
        <v>1595</v>
      </c>
      <c r="C59" s="192">
        <v>0.8</v>
      </c>
      <c r="D59" s="14"/>
      <c r="E59" s="10" t="s">
        <v>1290</v>
      </c>
    </row>
    <row r="60" spans="1:5">
      <c r="A60" t="s">
        <v>1593</v>
      </c>
      <c r="B60" s="3" t="s">
        <v>1596</v>
      </c>
      <c r="C60" s="192">
        <v>0.95</v>
      </c>
      <c r="D60" s="14"/>
      <c r="E60" s="10" t="s">
        <v>1290</v>
      </c>
    </row>
    <row r="61" spans="1:5">
      <c r="A61" t="s">
        <v>1291</v>
      </c>
      <c r="B61" s="3" t="s">
        <v>1597</v>
      </c>
      <c r="C61" s="192">
        <v>0.78</v>
      </c>
      <c r="D61" s="14"/>
      <c r="E61" s="10" t="s">
        <v>1290</v>
      </c>
    </row>
    <row r="62" spans="1:5">
      <c r="A62" t="s">
        <v>1292</v>
      </c>
      <c r="B62" s="3" t="s">
        <v>1598</v>
      </c>
      <c r="C62" s="192">
        <v>0.85</v>
      </c>
      <c r="D62" s="14"/>
      <c r="E62" s="10" t="s">
        <v>1290</v>
      </c>
    </row>
    <row r="63" spans="1:5">
      <c r="A63" t="s">
        <v>1902</v>
      </c>
      <c r="B63" s="3" t="s">
        <v>1903</v>
      </c>
      <c r="C63" s="177">
        <v>11</v>
      </c>
      <c r="D63" s="14" t="s">
        <v>1603</v>
      </c>
      <c r="E63" s="10" t="s">
        <v>1290</v>
      </c>
    </row>
    <row r="64" spans="1:5">
      <c r="A64" t="s">
        <v>2828</v>
      </c>
      <c r="B64" s="3" t="s">
        <v>1594</v>
      </c>
      <c r="C64" s="177">
        <v>10.1</v>
      </c>
      <c r="D64" s="14" t="s">
        <v>1603</v>
      </c>
      <c r="E64" s="10" t="s">
        <v>1290</v>
      </c>
    </row>
    <row r="65" spans="1:5">
      <c r="D65" s="14"/>
    </row>
    <row r="66" spans="1:5">
      <c r="A66" t="s">
        <v>1360</v>
      </c>
      <c r="B66" s="3" t="s">
        <v>1022</v>
      </c>
      <c r="C66" s="214">
        <v>139000</v>
      </c>
      <c r="D66" s="14" t="s">
        <v>2146</v>
      </c>
      <c r="E66" s="10" t="s">
        <v>3496</v>
      </c>
    </row>
  </sheetData>
  <phoneticPr fontId="0" type="noConversion"/>
  <pageMargins left="0.75" right="0.75" top="1" bottom="1" header="0.5" footer="0.5"/>
  <pageSetup orientation="portrait" horizontalDpi="200" verticalDpi="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F138"/>
  <sheetViews>
    <sheetView workbookViewId="0">
      <pane ySplit="4" topLeftCell="A5" activePane="bottomLeft" state="frozen"/>
      <selection activeCell="A122" sqref="A122"/>
      <selection pane="bottomLeft"/>
    </sheetView>
  </sheetViews>
  <sheetFormatPr baseColWidth="10" defaultColWidth="9.1640625" defaultRowHeight="13"/>
  <cols>
    <col min="1" max="1" width="60.33203125" style="537" customWidth="1"/>
    <col min="2" max="2" width="21.83203125" style="537" customWidth="1"/>
    <col min="3" max="3" width="17" style="537" customWidth="1"/>
    <col min="4" max="4" width="24.6640625" style="537" customWidth="1"/>
    <col min="5" max="5" width="16" style="10" customWidth="1"/>
    <col min="6" max="16384" width="9.1640625" style="537"/>
  </cols>
  <sheetData>
    <row r="1" spans="1:5">
      <c r="A1" s="1" t="s">
        <v>3394</v>
      </c>
      <c r="C1" s="674"/>
      <c r="E1" s="537"/>
    </row>
    <row r="2" spans="1:5">
      <c r="A2" s="748" t="s">
        <v>3393</v>
      </c>
      <c r="C2" s="674"/>
      <c r="E2" s="537"/>
    </row>
    <row r="3" spans="1:5">
      <c r="E3" s="537"/>
    </row>
    <row r="4" spans="1:5">
      <c r="A4" s="208" t="s">
        <v>1432</v>
      </c>
      <c r="B4" s="209" t="s">
        <v>1433</v>
      </c>
      <c r="C4" s="210" t="s">
        <v>1434</v>
      </c>
      <c r="D4" s="209" t="s">
        <v>1435</v>
      </c>
      <c r="E4" s="209" t="s">
        <v>1436</v>
      </c>
    </row>
    <row r="5" spans="1:5">
      <c r="A5" s="2" t="s">
        <v>2859</v>
      </c>
    </row>
    <row r="6" spans="1:5">
      <c r="A6" s="537" t="s">
        <v>297</v>
      </c>
      <c r="B6" s="3" t="s">
        <v>298</v>
      </c>
      <c r="C6" s="696">
        <v>1</v>
      </c>
      <c r="D6" s="537" t="s">
        <v>344</v>
      </c>
    </row>
    <row r="7" spans="1:5">
      <c r="A7" s="537" t="s">
        <v>2756</v>
      </c>
      <c r="B7" s="3" t="s">
        <v>2757</v>
      </c>
      <c r="C7" s="677">
        <v>0</v>
      </c>
      <c r="D7" s="537" t="s">
        <v>2758</v>
      </c>
      <c r="E7" s="10" t="s">
        <v>3471</v>
      </c>
    </row>
    <row r="8" spans="1:5">
      <c r="A8" s="1"/>
    </row>
    <row r="9" spans="1:5">
      <c r="A9" s="2" t="s">
        <v>2766</v>
      </c>
    </row>
    <row r="10" spans="1:5">
      <c r="A10" s="537" t="s">
        <v>299</v>
      </c>
      <c r="B10" s="3" t="s">
        <v>300</v>
      </c>
      <c r="C10" s="696">
        <v>1</v>
      </c>
      <c r="D10" s="537" t="s">
        <v>344</v>
      </c>
    </row>
    <row r="11" spans="1:5">
      <c r="A11" s="537" t="s">
        <v>3115</v>
      </c>
      <c r="B11" s="3" t="s">
        <v>3116</v>
      </c>
      <c r="C11" s="696">
        <v>1</v>
      </c>
      <c r="D11" s="537" t="s">
        <v>344</v>
      </c>
    </row>
    <row r="12" spans="1:5">
      <c r="B12" s="3"/>
      <c r="C12" s="963"/>
    </row>
    <row r="13" spans="1:5">
      <c r="A13" s="2" t="s">
        <v>301</v>
      </c>
    </row>
    <row r="14" spans="1:5">
      <c r="A14" s="537" t="s">
        <v>302</v>
      </c>
      <c r="B14" s="3" t="s">
        <v>303</v>
      </c>
      <c r="C14" s="696">
        <v>1</v>
      </c>
      <c r="D14" s="537" t="s">
        <v>344</v>
      </c>
    </row>
    <row r="15" spans="1:5">
      <c r="B15" s="3"/>
      <c r="C15" s="963"/>
    </row>
    <row r="16" spans="1:5">
      <c r="A16" s="191" t="s">
        <v>269</v>
      </c>
    </row>
    <row r="17" spans="1:5">
      <c r="A17" s="537" t="s">
        <v>969</v>
      </c>
      <c r="B17" s="3" t="s">
        <v>970</v>
      </c>
      <c r="C17" s="688">
        <v>0</v>
      </c>
      <c r="D17" s="537" t="s">
        <v>306</v>
      </c>
      <c r="E17" s="194" t="s">
        <v>3472</v>
      </c>
    </row>
    <row r="18" spans="1:5">
      <c r="A18" s="537" t="s">
        <v>304</v>
      </c>
      <c r="B18" s="3" t="s">
        <v>305</v>
      </c>
      <c r="C18" s="688">
        <v>0.05</v>
      </c>
      <c r="D18" s="537" t="s">
        <v>306</v>
      </c>
    </row>
    <row r="19" spans="1:5">
      <c r="A19" s="537" t="s">
        <v>307</v>
      </c>
      <c r="B19" s="3" t="s">
        <v>308</v>
      </c>
      <c r="C19" s="688">
        <v>0.04</v>
      </c>
      <c r="D19" s="537" t="s">
        <v>306</v>
      </c>
    </row>
    <row r="20" spans="1:5">
      <c r="A20" s="537" t="s">
        <v>309</v>
      </c>
      <c r="B20" s="3" t="s">
        <v>310</v>
      </c>
      <c r="C20" s="688">
        <v>0.02</v>
      </c>
      <c r="D20" s="537" t="s">
        <v>306</v>
      </c>
    </row>
    <row r="21" spans="1:5">
      <c r="B21" s="3"/>
      <c r="C21" s="964"/>
    </row>
    <row r="22" spans="1:5">
      <c r="A22" s="193" t="s">
        <v>270</v>
      </c>
    </row>
    <row r="23" spans="1:5">
      <c r="A23" s="537" t="s">
        <v>116</v>
      </c>
      <c r="B23" s="3" t="s">
        <v>117</v>
      </c>
      <c r="C23" s="704">
        <v>1</v>
      </c>
      <c r="D23" s="537" t="s">
        <v>344</v>
      </c>
      <c r="E23" s="10" t="s">
        <v>118</v>
      </c>
    </row>
    <row r="24" spans="1:5">
      <c r="A24" s="537" t="s">
        <v>235</v>
      </c>
      <c r="B24" s="3" t="s">
        <v>236</v>
      </c>
      <c r="C24" s="704">
        <v>0</v>
      </c>
      <c r="D24" s="537" t="s">
        <v>344</v>
      </c>
    </row>
    <row r="25" spans="1:5">
      <c r="B25" s="3"/>
      <c r="C25" s="964"/>
    </row>
    <row r="26" spans="1:5">
      <c r="A26" s="193" t="s">
        <v>1773</v>
      </c>
    </row>
    <row r="27" spans="1:5">
      <c r="A27" s="965" t="s">
        <v>311</v>
      </c>
      <c r="B27" s="3" t="s">
        <v>312</v>
      </c>
      <c r="C27" s="688">
        <v>0</v>
      </c>
      <c r="D27" s="537" t="s">
        <v>306</v>
      </c>
      <c r="E27" s="194" t="s">
        <v>313</v>
      </c>
    </row>
    <row r="28" spans="1:5">
      <c r="A28" s="684"/>
      <c r="B28" s="3"/>
      <c r="C28" s="966"/>
      <c r="E28" s="194"/>
    </row>
    <row r="29" spans="1:5">
      <c r="A29" s="2" t="s">
        <v>314</v>
      </c>
    </row>
    <row r="30" spans="1:5">
      <c r="A30" s="537" t="s">
        <v>315</v>
      </c>
      <c r="B30" s="3" t="s">
        <v>316</v>
      </c>
      <c r="C30" s="696">
        <v>1</v>
      </c>
      <c r="D30" s="537" t="s">
        <v>344</v>
      </c>
    </row>
    <row r="32" spans="1:5">
      <c r="A32" s="2" t="s">
        <v>2115</v>
      </c>
    </row>
    <row r="33" spans="1:5">
      <c r="A33" s="537" t="s">
        <v>317</v>
      </c>
      <c r="B33" s="3" t="s">
        <v>318</v>
      </c>
      <c r="C33" s="696">
        <v>1</v>
      </c>
      <c r="D33" s="537" t="s">
        <v>344</v>
      </c>
    </row>
    <row r="34" spans="1:5">
      <c r="A34" s="537" t="s">
        <v>3621</v>
      </c>
      <c r="B34" s="3" t="s">
        <v>3622</v>
      </c>
      <c r="C34" s="696">
        <v>0</v>
      </c>
      <c r="D34" s="537" t="s">
        <v>344</v>
      </c>
    </row>
    <row r="35" spans="1:5">
      <c r="A35" s="537" t="s">
        <v>1068</v>
      </c>
      <c r="B35" s="3" t="s">
        <v>1069</v>
      </c>
      <c r="C35" s="677">
        <v>38</v>
      </c>
      <c r="D35" s="537" t="s">
        <v>574</v>
      </c>
      <c r="E35" s="10" t="s">
        <v>3468</v>
      </c>
    </row>
    <row r="36" spans="1:5">
      <c r="A36" s="537" t="s">
        <v>1070</v>
      </c>
      <c r="B36" s="3" t="s">
        <v>1690</v>
      </c>
      <c r="C36" s="677">
        <v>36</v>
      </c>
      <c r="D36" s="537" t="s">
        <v>574</v>
      </c>
      <c r="E36" s="10" t="s">
        <v>1689</v>
      </c>
    </row>
    <row r="37" spans="1:5">
      <c r="A37" s="537" t="s">
        <v>2656</v>
      </c>
      <c r="B37" s="3" t="s">
        <v>2657</v>
      </c>
      <c r="C37" s="677">
        <v>97</v>
      </c>
      <c r="D37" s="537" t="s">
        <v>3143</v>
      </c>
      <c r="E37" s="10" t="s">
        <v>3144</v>
      </c>
    </row>
    <row r="38" spans="1:5">
      <c r="A38" s="537" t="s">
        <v>3145</v>
      </c>
      <c r="B38" s="3" t="s">
        <v>3147</v>
      </c>
      <c r="C38" s="677">
        <v>3</v>
      </c>
    </row>
    <row r="39" spans="1:5">
      <c r="A39" s="537" t="s">
        <v>3146</v>
      </c>
      <c r="B39" s="3" t="s">
        <v>3148</v>
      </c>
      <c r="C39" s="677">
        <v>0.46700000000000003</v>
      </c>
    </row>
    <row r="40" spans="1:5">
      <c r="A40" s="537" t="s">
        <v>148</v>
      </c>
      <c r="B40" s="3" t="s">
        <v>149</v>
      </c>
      <c r="C40" s="677">
        <v>6</v>
      </c>
      <c r="D40" s="537" t="s">
        <v>574</v>
      </c>
    </row>
    <row r="41" spans="1:5">
      <c r="A41" s="537" t="s">
        <v>1402</v>
      </c>
      <c r="B41" s="3" t="s">
        <v>1403</v>
      </c>
      <c r="C41" s="688">
        <v>0.25</v>
      </c>
      <c r="D41" s="537" t="s">
        <v>1404</v>
      </c>
    </row>
    <row r="42" spans="1:5">
      <c r="A42" s="68" t="s">
        <v>150</v>
      </c>
      <c r="B42" s="3" t="s">
        <v>1797</v>
      </c>
      <c r="C42" s="677">
        <f>RADIANS(45)</f>
        <v>0.78539816339744828</v>
      </c>
      <c r="D42" s="537" t="s">
        <v>2853</v>
      </c>
    </row>
    <row r="43" spans="1:5">
      <c r="A43" s="537" t="s">
        <v>1392</v>
      </c>
      <c r="B43" s="3" t="s">
        <v>1393</v>
      </c>
      <c r="C43" s="677">
        <v>0</v>
      </c>
      <c r="D43" s="537" t="s">
        <v>2302</v>
      </c>
      <c r="E43" s="10" t="s">
        <v>1395</v>
      </c>
    </row>
    <row r="44" spans="1:5">
      <c r="A44" s="537" t="s">
        <v>2854</v>
      </c>
      <c r="B44" s="3" t="s">
        <v>1394</v>
      </c>
      <c r="C44" s="677">
        <v>0</v>
      </c>
      <c r="D44" s="537" t="s">
        <v>2302</v>
      </c>
      <c r="E44" s="10" t="s">
        <v>1396</v>
      </c>
    </row>
    <row r="45" spans="1:5">
      <c r="B45" s="3"/>
    </row>
    <row r="46" spans="1:5">
      <c r="A46" s="2" t="s">
        <v>2116</v>
      </c>
    </row>
    <row r="47" spans="1:5">
      <c r="A47" s="537" t="s">
        <v>928</v>
      </c>
      <c r="B47" s="3" t="s">
        <v>319</v>
      </c>
      <c r="C47" s="696">
        <v>0</v>
      </c>
      <c r="D47" s="537" t="s">
        <v>344</v>
      </c>
      <c r="E47" s="10" t="s">
        <v>320</v>
      </c>
    </row>
    <row r="48" spans="1:5">
      <c r="A48" s="537" t="s">
        <v>929</v>
      </c>
      <c r="B48" s="3" t="s">
        <v>321</v>
      </c>
      <c r="C48" s="696">
        <v>0</v>
      </c>
      <c r="D48" s="537" t="s">
        <v>344</v>
      </c>
    </row>
    <row r="49" spans="1:5">
      <c r="A49" s="537" t="s">
        <v>930</v>
      </c>
      <c r="B49" s="3" t="s">
        <v>322</v>
      </c>
      <c r="C49" s="696">
        <v>1</v>
      </c>
      <c r="D49" s="537" t="s">
        <v>344</v>
      </c>
    </row>
    <row r="50" spans="1:5">
      <c r="A50" s="537" t="s">
        <v>931</v>
      </c>
      <c r="B50" s="3" t="s">
        <v>934</v>
      </c>
      <c r="C50" s="696">
        <v>1</v>
      </c>
      <c r="D50" s="537" t="s">
        <v>344</v>
      </c>
      <c r="E50" s="10" t="s">
        <v>937</v>
      </c>
    </row>
    <row r="51" spans="1:5">
      <c r="A51" s="537" t="s">
        <v>932</v>
      </c>
      <c r="B51" s="3" t="s">
        <v>935</v>
      </c>
      <c r="C51" s="696">
        <v>1</v>
      </c>
      <c r="D51" s="537" t="s">
        <v>344</v>
      </c>
    </row>
    <row r="52" spans="1:5">
      <c r="A52" s="537" t="s">
        <v>933</v>
      </c>
      <c r="B52" s="3" t="s">
        <v>936</v>
      </c>
      <c r="C52" s="696">
        <v>1</v>
      </c>
      <c r="D52" s="537" t="s">
        <v>344</v>
      </c>
    </row>
    <row r="53" spans="1:5">
      <c r="A53" s="537" t="s">
        <v>1002</v>
      </c>
      <c r="B53" s="3" t="s">
        <v>3127</v>
      </c>
      <c r="C53" s="677">
        <v>4</v>
      </c>
      <c r="D53" s="537" t="s">
        <v>2302</v>
      </c>
    </row>
    <row r="54" spans="1:5">
      <c r="A54" s="537" t="s">
        <v>1003</v>
      </c>
      <c r="B54" s="3" t="s">
        <v>3128</v>
      </c>
      <c r="C54" s="677">
        <v>4</v>
      </c>
      <c r="D54" s="537" t="s">
        <v>2302</v>
      </c>
    </row>
    <row r="55" spans="1:5">
      <c r="A55" s="537" t="s">
        <v>1004</v>
      </c>
      <c r="B55" s="3" t="s">
        <v>3129</v>
      </c>
      <c r="C55" s="677">
        <v>7</v>
      </c>
      <c r="D55" s="537" t="s">
        <v>2302</v>
      </c>
    </row>
    <row r="56" spans="1:5">
      <c r="A56" s="537" t="s">
        <v>2991</v>
      </c>
      <c r="B56" s="3" t="s">
        <v>2993</v>
      </c>
      <c r="C56" s="677">
        <v>10</v>
      </c>
      <c r="D56" s="537" t="s">
        <v>2302</v>
      </c>
    </row>
    <row r="57" spans="1:5">
      <c r="A57" s="537" t="s">
        <v>502</v>
      </c>
      <c r="B57" s="3" t="s">
        <v>503</v>
      </c>
      <c r="C57" s="677">
        <v>25</v>
      </c>
      <c r="D57" s="537" t="s">
        <v>2302</v>
      </c>
    </row>
    <row r="58" spans="1:5">
      <c r="A58" s="537" t="s">
        <v>504</v>
      </c>
      <c r="B58" s="3" t="s">
        <v>505</v>
      </c>
      <c r="C58" s="677">
        <v>50</v>
      </c>
      <c r="D58" s="537" t="s">
        <v>2302</v>
      </c>
    </row>
    <row r="59" spans="1:5">
      <c r="A59" s="537" t="s">
        <v>506</v>
      </c>
      <c r="B59" s="3" t="s">
        <v>507</v>
      </c>
      <c r="C59" s="677">
        <v>20</v>
      </c>
      <c r="D59" s="537" t="s">
        <v>2302</v>
      </c>
      <c r="E59" s="10" t="s">
        <v>2992</v>
      </c>
    </row>
    <row r="60" spans="1:5">
      <c r="A60" s="537" t="s">
        <v>3132</v>
      </c>
      <c r="B60" s="3" t="s">
        <v>3131</v>
      </c>
      <c r="C60" s="677">
        <v>2000</v>
      </c>
      <c r="D60" s="537" t="s">
        <v>3238</v>
      </c>
      <c r="E60" s="10" t="s">
        <v>508</v>
      </c>
    </row>
    <row r="61" spans="1:5">
      <c r="A61" s="537" t="s">
        <v>2586</v>
      </c>
      <c r="B61" s="3" t="s">
        <v>2587</v>
      </c>
      <c r="C61" s="677">
        <v>4</v>
      </c>
    </row>
    <row r="62" spans="1:5">
      <c r="A62" s="537" t="s">
        <v>2955</v>
      </c>
      <c r="B62" s="3" t="s">
        <v>2956</v>
      </c>
      <c r="C62" s="677">
        <v>1000</v>
      </c>
      <c r="D62" s="537" t="s">
        <v>3238</v>
      </c>
    </row>
    <row r="63" spans="1:5">
      <c r="A63" s="537" t="s">
        <v>2961</v>
      </c>
      <c r="B63" s="3" t="s">
        <v>2962</v>
      </c>
      <c r="C63" s="677">
        <v>24</v>
      </c>
      <c r="D63" s="537" t="s">
        <v>3152</v>
      </c>
    </row>
    <row r="64" spans="1:5">
      <c r="A64" s="537" t="s">
        <v>3154</v>
      </c>
      <c r="B64" s="3" t="s">
        <v>3151</v>
      </c>
      <c r="C64" s="677">
        <v>55.5</v>
      </c>
      <c r="D64" s="537" t="s">
        <v>3155</v>
      </c>
      <c r="E64" s="10" t="s">
        <v>3153</v>
      </c>
    </row>
    <row r="66" spans="1:5">
      <c r="A66" s="2" t="s">
        <v>2856</v>
      </c>
    </row>
    <row r="67" spans="1:5">
      <c r="A67" s="537" t="s">
        <v>323</v>
      </c>
      <c r="B67" s="3" t="s">
        <v>324</v>
      </c>
      <c r="C67" s="696">
        <v>1</v>
      </c>
      <c r="D67" s="537" t="s">
        <v>344</v>
      </c>
    </row>
    <row r="68" spans="1:5">
      <c r="A68" s="537" t="s">
        <v>233</v>
      </c>
      <c r="B68" s="3" t="s">
        <v>234</v>
      </c>
      <c r="C68" s="696">
        <v>0</v>
      </c>
      <c r="D68" s="537" t="s">
        <v>344</v>
      </c>
    </row>
    <row r="69" spans="1:5">
      <c r="A69" s="537" t="s">
        <v>3623</v>
      </c>
      <c r="B69" s="3" t="s">
        <v>3624</v>
      </c>
      <c r="C69" s="696">
        <v>0</v>
      </c>
      <c r="D69" s="537" t="s">
        <v>344</v>
      </c>
    </row>
    <row r="70" spans="1:5">
      <c r="A70" s="537" t="s">
        <v>2749</v>
      </c>
      <c r="B70" s="3" t="s">
        <v>2750</v>
      </c>
      <c r="C70" s="688">
        <v>0</v>
      </c>
      <c r="E70" s="10" t="s">
        <v>3497</v>
      </c>
    </row>
    <row r="71" spans="1:5">
      <c r="A71" s="537" t="s">
        <v>2811</v>
      </c>
      <c r="B71" s="3" t="s">
        <v>2813</v>
      </c>
      <c r="C71" s="705">
        <v>0</v>
      </c>
      <c r="D71" s="537" t="s">
        <v>344</v>
      </c>
      <c r="E71" s="10" t="s">
        <v>3498</v>
      </c>
    </row>
    <row r="72" spans="1:5">
      <c r="A72" s="537" t="s">
        <v>2812</v>
      </c>
      <c r="B72" s="3" t="s">
        <v>343</v>
      </c>
      <c r="C72" s="705">
        <v>0</v>
      </c>
      <c r="D72" s="537" t="s">
        <v>344</v>
      </c>
      <c r="E72" s="10" t="s">
        <v>1021</v>
      </c>
    </row>
    <row r="73" spans="1:5">
      <c r="A73" s="537" t="s">
        <v>272</v>
      </c>
      <c r="B73" s="3" t="s">
        <v>273</v>
      </c>
      <c r="C73" s="559">
        <v>1.5</v>
      </c>
      <c r="D73" s="537" t="s">
        <v>1428</v>
      </c>
    </row>
    <row r="75" spans="1:5">
      <c r="A75" s="193" t="s">
        <v>2857</v>
      </c>
      <c r="B75" s="3"/>
      <c r="C75" s="757"/>
    </row>
    <row r="76" spans="1:5">
      <c r="A76" s="537" t="s">
        <v>325</v>
      </c>
      <c r="B76" s="3" t="s">
        <v>326</v>
      </c>
      <c r="C76" s="688">
        <v>0.1</v>
      </c>
      <c r="D76" s="537" t="s">
        <v>327</v>
      </c>
      <c r="E76" s="194"/>
    </row>
    <row r="77" spans="1:5">
      <c r="B77" s="3"/>
      <c r="C77" s="757"/>
    </row>
    <row r="78" spans="1:5">
      <c r="A78" s="193" t="s">
        <v>2858</v>
      </c>
    </row>
    <row r="79" spans="1:5">
      <c r="A79" s="537" t="s">
        <v>328</v>
      </c>
      <c r="B79" s="3" t="s">
        <v>329</v>
      </c>
      <c r="C79" s="688">
        <v>0</v>
      </c>
      <c r="D79" s="537" t="s">
        <v>327</v>
      </c>
      <c r="E79" s="194" t="s">
        <v>3499</v>
      </c>
    </row>
    <row r="81" spans="1:5">
      <c r="A81" s="2" t="s">
        <v>2767</v>
      </c>
    </row>
    <row r="82" spans="1:5">
      <c r="A82" s="537" t="s">
        <v>972</v>
      </c>
      <c r="B82" s="3" t="s">
        <v>973</v>
      </c>
      <c r="C82" s="696">
        <v>0</v>
      </c>
      <c r="D82" s="537" t="s">
        <v>344</v>
      </c>
    </row>
    <row r="83" spans="1:5">
      <c r="A83" s="537" t="s">
        <v>974</v>
      </c>
      <c r="B83" s="3" t="s">
        <v>861</v>
      </c>
      <c r="C83" s="696">
        <v>0</v>
      </c>
      <c r="D83" s="537" t="s">
        <v>344</v>
      </c>
    </row>
    <row r="84" spans="1:5">
      <c r="A84" s="537" t="s">
        <v>862</v>
      </c>
      <c r="B84" s="3" t="s">
        <v>863</v>
      </c>
      <c r="C84" s="696">
        <v>1</v>
      </c>
      <c r="D84" s="537" t="s">
        <v>344</v>
      </c>
    </row>
    <row r="85" spans="1:5">
      <c r="A85" s="537" t="s">
        <v>1824</v>
      </c>
      <c r="B85" s="3" t="s">
        <v>1825</v>
      </c>
      <c r="C85" s="967">
        <v>1</v>
      </c>
      <c r="E85" s="10" t="s">
        <v>3500</v>
      </c>
    </row>
    <row r="87" spans="1:5">
      <c r="A87" s="2" t="s">
        <v>2768</v>
      </c>
    </row>
    <row r="88" spans="1:5">
      <c r="A88" s="537" t="s">
        <v>330</v>
      </c>
      <c r="B88" s="3" t="s">
        <v>3302</v>
      </c>
      <c r="C88" s="688">
        <v>0.2</v>
      </c>
      <c r="D88" s="537" t="s">
        <v>306</v>
      </c>
      <c r="E88" s="194" t="s">
        <v>3501</v>
      </c>
    </row>
    <row r="89" spans="1:5">
      <c r="A89" s="537" t="s">
        <v>3303</v>
      </c>
      <c r="B89" s="3" t="s">
        <v>3304</v>
      </c>
      <c r="C89" s="688">
        <v>0.12</v>
      </c>
      <c r="D89" s="537" t="s">
        <v>306</v>
      </c>
    </row>
    <row r="90" spans="1:5">
      <c r="A90" s="537" t="s">
        <v>3305</v>
      </c>
      <c r="B90" s="3" t="s">
        <v>3306</v>
      </c>
      <c r="C90" s="688">
        <v>0.08</v>
      </c>
      <c r="D90" s="537" t="s">
        <v>306</v>
      </c>
    </row>
    <row r="92" spans="1:5">
      <c r="A92" s="193" t="s">
        <v>1142</v>
      </c>
    </row>
    <row r="93" spans="1:5">
      <c r="A93" s="965" t="s">
        <v>3307</v>
      </c>
      <c r="B93" s="195" t="s">
        <v>3308</v>
      </c>
      <c r="C93" s="968">
        <v>0.1</v>
      </c>
      <c r="D93" s="537" t="s">
        <v>306</v>
      </c>
      <c r="E93" s="194" t="s">
        <v>3501</v>
      </c>
    </row>
    <row r="94" spans="1:5">
      <c r="A94" s="965"/>
      <c r="B94" s="969"/>
      <c r="C94" s="944"/>
      <c r="E94" s="194"/>
    </row>
    <row r="95" spans="1:5">
      <c r="A95" s="193" t="s">
        <v>2769</v>
      </c>
      <c r="B95" s="969"/>
      <c r="C95" s="944"/>
      <c r="E95" s="194"/>
    </row>
    <row r="96" spans="1:5">
      <c r="A96" s="965" t="s">
        <v>2654</v>
      </c>
      <c r="B96" s="195" t="s">
        <v>2655</v>
      </c>
      <c r="C96" s="968">
        <v>0.02</v>
      </c>
      <c r="D96" s="537" t="s">
        <v>306</v>
      </c>
      <c r="E96" s="970" t="s">
        <v>3473</v>
      </c>
    </row>
    <row r="97" spans="1:6">
      <c r="A97" s="965"/>
      <c r="B97" s="969"/>
      <c r="C97" s="944"/>
      <c r="E97" s="970"/>
    </row>
    <row r="98" spans="1:6">
      <c r="A98" s="193" t="s">
        <v>2770</v>
      </c>
      <c r="B98" s="969"/>
      <c r="C98" s="944"/>
      <c r="E98" s="970"/>
    </row>
    <row r="99" spans="1:6">
      <c r="A99" s="965" t="s">
        <v>2510</v>
      </c>
      <c r="B99" s="195" t="s">
        <v>2511</v>
      </c>
      <c r="C99" s="968">
        <v>0</v>
      </c>
      <c r="D99" s="537" t="s">
        <v>306</v>
      </c>
      <c r="E99" s="194" t="s">
        <v>3502</v>
      </c>
    </row>
    <row r="100" spans="1:6">
      <c r="A100" s="684"/>
      <c r="B100" s="969"/>
      <c r="C100" s="944"/>
      <c r="E100" s="194"/>
    </row>
    <row r="101" spans="1:6">
      <c r="A101" s="962" t="s">
        <v>1705</v>
      </c>
      <c r="B101" s="969"/>
      <c r="C101" s="944"/>
      <c r="E101" s="194"/>
    </row>
    <row r="102" spans="1:6">
      <c r="A102" s="684" t="s">
        <v>2512</v>
      </c>
      <c r="B102" s="195" t="s">
        <v>2513</v>
      </c>
      <c r="C102" s="971">
        <v>0.05</v>
      </c>
      <c r="D102" s="537" t="s">
        <v>306</v>
      </c>
      <c r="E102" s="194" t="s">
        <v>3503</v>
      </c>
    </row>
    <row r="103" spans="1:6">
      <c r="A103" s="741" t="s">
        <v>237</v>
      </c>
      <c r="B103" s="195" t="s">
        <v>239</v>
      </c>
      <c r="C103" s="971">
        <v>0</v>
      </c>
      <c r="D103" s="537" t="s">
        <v>306</v>
      </c>
      <c r="E103" s="194" t="s">
        <v>238</v>
      </c>
    </row>
    <row r="105" spans="1:6">
      <c r="A105" s="2" t="s">
        <v>119</v>
      </c>
      <c r="B105" s="195"/>
      <c r="E105" s="537"/>
    </row>
    <row r="106" spans="1:6">
      <c r="A106" s="537" t="s">
        <v>120</v>
      </c>
      <c r="B106" s="195" t="s">
        <v>121</v>
      </c>
      <c r="C106" s="972">
        <v>3.3999999999999998E-3</v>
      </c>
      <c r="E106" s="194" t="s">
        <v>122</v>
      </c>
    </row>
    <row r="107" spans="1:6">
      <c r="A107" s="537" t="s">
        <v>123</v>
      </c>
      <c r="B107" s="195" t="s">
        <v>528</v>
      </c>
      <c r="C107" s="973">
        <v>1</v>
      </c>
      <c r="D107" s="537" t="s">
        <v>344</v>
      </c>
      <c r="E107" s="194"/>
    </row>
    <row r="108" spans="1:6">
      <c r="A108" s="537" t="s">
        <v>529</v>
      </c>
      <c r="B108" s="195" t="s">
        <v>530</v>
      </c>
      <c r="C108" s="973">
        <v>1</v>
      </c>
      <c r="D108" s="537" t="s">
        <v>344</v>
      </c>
      <c r="E108" s="194"/>
    </row>
    <row r="109" spans="1:6">
      <c r="A109" s="537" t="s">
        <v>864</v>
      </c>
      <c r="B109" s="195" t="s">
        <v>865</v>
      </c>
      <c r="C109" s="973">
        <v>0</v>
      </c>
      <c r="D109" s="537" t="s">
        <v>344</v>
      </c>
      <c r="F109" s="537" t="s">
        <v>147</v>
      </c>
    </row>
    <row r="111" spans="1:6">
      <c r="A111" s="188" t="s">
        <v>294</v>
      </c>
      <c r="B111" s="189"/>
      <c r="C111" s="190"/>
      <c r="D111" s="189"/>
      <c r="E111" s="189"/>
    </row>
    <row r="112" spans="1:6">
      <c r="A112" s="741" t="s">
        <v>295</v>
      </c>
      <c r="B112" s="57" t="s">
        <v>296</v>
      </c>
      <c r="C112" s="696">
        <v>0</v>
      </c>
      <c r="D112" s="537" t="s">
        <v>344</v>
      </c>
      <c r="E112" s="189"/>
    </row>
    <row r="113" spans="1:6">
      <c r="A113" s="741" t="s">
        <v>274</v>
      </c>
      <c r="B113" s="57" t="s">
        <v>275</v>
      </c>
      <c r="C113" s="696">
        <v>1</v>
      </c>
      <c r="D113" s="537" t="s">
        <v>344</v>
      </c>
      <c r="E113" s="189"/>
    </row>
    <row r="115" spans="1:6" ht="14" thickBot="1">
      <c r="A115" s="750" t="s">
        <v>2875</v>
      </c>
    </row>
    <row r="116" spans="1:6">
      <c r="A116" s="1175" t="s">
        <v>2876</v>
      </c>
      <c r="B116" s="1177" t="s">
        <v>1433</v>
      </c>
      <c r="C116" s="1173" t="s">
        <v>1963</v>
      </c>
      <c r="D116" s="1173"/>
      <c r="E116" s="1174"/>
    </row>
    <row r="117" spans="1:6">
      <c r="A117" s="1176"/>
      <c r="B117" s="1178"/>
      <c r="C117" s="974" t="s">
        <v>1671</v>
      </c>
      <c r="D117" s="974" t="s">
        <v>1672</v>
      </c>
      <c r="E117" s="975" t="s">
        <v>1673</v>
      </c>
    </row>
    <row r="118" spans="1:6" ht="14">
      <c r="A118" s="526" t="s">
        <v>2877</v>
      </c>
      <c r="B118" s="976"/>
      <c r="C118" s="962"/>
      <c r="D118" s="962"/>
      <c r="E118" s="977"/>
    </row>
    <row r="119" spans="1:6" ht="14">
      <c r="A119" s="978" t="s">
        <v>2878</v>
      </c>
      <c r="B119" s="527" t="s">
        <v>2879</v>
      </c>
      <c r="C119" s="528">
        <v>0</v>
      </c>
      <c r="D119" s="528">
        <v>1</v>
      </c>
      <c r="E119" s="529">
        <v>1</v>
      </c>
      <c r="F119" s="3"/>
    </row>
    <row r="120" spans="1:6" ht="14">
      <c r="A120" s="978" t="s">
        <v>2880</v>
      </c>
      <c r="B120" s="979"/>
      <c r="C120" s="528">
        <v>1</v>
      </c>
      <c r="D120" s="528">
        <v>1</v>
      </c>
      <c r="E120" s="529">
        <v>1</v>
      </c>
    </row>
    <row r="121" spans="1:6" ht="14">
      <c r="A121" s="978" t="s">
        <v>2881</v>
      </c>
      <c r="B121" s="979"/>
      <c r="C121" s="528">
        <v>1</v>
      </c>
      <c r="D121" s="528">
        <v>1</v>
      </c>
      <c r="E121" s="529">
        <v>1</v>
      </c>
    </row>
    <row r="122" spans="1:6">
      <c r="A122" s="533" t="s">
        <v>2882</v>
      </c>
      <c r="B122" s="740"/>
      <c r="C122" s="740"/>
      <c r="D122" s="740"/>
      <c r="E122" s="980"/>
      <c r="F122" s="676"/>
    </row>
    <row r="123" spans="1:6">
      <c r="A123" s="981" t="s">
        <v>2878</v>
      </c>
      <c r="B123" s="534" t="s">
        <v>2883</v>
      </c>
      <c r="C123" s="982">
        <v>0</v>
      </c>
      <c r="D123" s="982">
        <v>0</v>
      </c>
      <c r="E123" s="983">
        <v>1</v>
      </c>
      <c r="F123" s="535"/>
    </row>
    <row r="124" spans="1:6" ht="14">
      <c r="A124" s="978" t="s">
        <v>2880</v>
      </c>
      <c r="B124" s="976"/>
      <c r="C124" s="528">
        <v>0</v>
      </c>
      <c r="D124" s="528">
        <v>0</v>
      </c>
      <c r="E124" s="529">
        <v>1</v>
      </c>
    </row>
    <row r="125" spans="1:6" ht="15" thickBot="1">
      <c r="A125" s="984" t="s">
        <v>2881</v>
      </c>
      <c r="B125" s="985"/>
      <c r="C125" s="698">
        <v>1</v>
      </c>
      <c r="D125" s="698">
        <v>1</v>
      </c>
      <c r="E125" s="703">
        <v>1</v>
      </c>
    </row>
    <row r="126" spans="1:6">
      <c r="A126" s="986"/>
      <c r="B126" s="987"/>
      <c r="E126" s="537"/>
    </row>
    <row r="127" spans="1:6" ht="14" thickBot="1">
      <c r="A127" s="751" t="s">
        <v>2884</v>
      </c>
      <c r="B127" s="987"/>
      <c r="E127" s="537"/>
    </row>
    <row r="128" spans="1:6">
      <c r="A128" s="1175" t="s">
        <v>2876</v>
      </c>
      <c r="B128" s="1177" t="s">
        <v>1433</v>
      </c>
      <c r="C128" s="1173" t="s">
        <v>1963</v>
      </c>
      <c r="D128" s="1173"/>
      <c r="E128" s="1174"/>
    </row>
    <row r="129" spans="1:6">
      <c r="A129" s="1176"/>
      <c r="B129" s="1178"/>
      <c r="C129" s="974" t="s">
        <v>1671</v>
      </c>
      <c r="D129" s="974" t="s">
        <v>1672</v>
      </c>
      <c r="E129" s="975" t="s">
        <v>1673</v>
      </c>
    </row>
    <row r="130" spans="1:6" ht="14">
      <c r="A130" s="526" t="s">
        <v>2877</v>
      </c>
      <c r="B130" s="976"/>
      <c r="C130" s="962"/>
      <c r="D130" s="962"/>
      <c r="E130" s="977"/>
    </row>
    <row r="131" spans="1:6" ht="14">
      <c r="A131" s="978" t="s">
        <v>2878</v>
      </c>
      <c r="B131" s="527" t="s">
        <v>2885</v>
      </c>
      <c r="C131" s="528">
        <v>0</v>
      </c>
      <c r="D131" s="528">
        <v>0</v>
      </c>
      <c r="E131" s="529">
        <v>1</v>
      </c>
      <c r="F131" s="3"/>
    </row>
    <row r="132" spans="1:6" ht="14">
      <c r="A132" s="978" t="s">
        <v>2880</v>
      </c>
      <c r="B132" s="979"/>
      <c r="C132" s="528">
        <v>0</v>
      </c>
      <c r="D132" s="528">
        <v>1</v>
      </c>
      <c r="E132" s="529">
        <v>1</v>
      </c>
    </row>
    <row r="133" spans="1:6" ht="14">
      <c r="A133" s="978" t="s">
        <v>2881</v>
      </c>
      <c r="B133" s="979"/>
      <c r="C133" s="528">
        <v>1</v>
      </c>
      <c r="D133" s="528">
        <v>1</v>
      </c>
      <c r="E133" s="529">
        <v>1</v>
      </c>
    </row>
    <row r="134" spans="1:6">
      <c r="A134" s="533" t="s">
        <v>2882</v>
      </c>
      <c r="B134" s="536"/>
      <c r="C134" s="740"/>
      <c r="D134" s="740"/>
      <c r="E134" s="980"/>
      <c r="F134" s="53"/>
    </row>
    <row r="135" spans="1:6">
      <c r="A135" s="981" t="s">
        <v>2878</v>
      </c>
      <c r="B135" s="534" t="s">
        <v>2886</v>
      </c>
      <c r="C135" s="982">
        <v>0</v>
      </c>
      <c r="D135" s="982">
        <v>0</v>
      </c>
      <c r="E135" s="983">
        <v>0</v>
      </c>
      <c r="F135" s="535"/>
    </row>
    <row r="136" spans="1:6" ht="14">
      <c r="A136" s="978" t="s">
        <v>2880</v>
      </c>
      <c r="B136" s="976"/>
      <c r="C136" s="528">
        <v>0</v>
      </c>
      <c r="D136" s="528">
        <v>0</v>
      </c>
      <c r="E136" s="529">
        <v>0</v>
      </c>
    </row>
    <row r="137" spans="1:6" ht="15" thickBot="1">
      <c r="A137" s="984" t="s">
        <v>2881</v>
      </c>
      <c r="B137" s="985"/>
      <c r="C137" s="698">
        <v>0</v>
      </c>
      <c r="D137" s="698">
        <v>0</v>
      </c>
      <c r="E137" s="703">
        <v>0</v>
      </c>
    </row>
    <row r="138" spans="1:6">
      <c r="A138" s="988"/>
      <c r="B138" s="976"/>
      <c r="C138" s="741"/>
      <c r="D138" s="741"/>
      <c r="E138" s="741"/>
      <c r="F138" s="538"/>
    </row>
  </sheetData>
  <mergeCells count="6">
    <mergeCell ref="C116:E116"/>
    <mergeCell ref="C128:E128"/>
    <mergeCell ref="A116:A117"/>
    <mergeCell ref="B116:B117"/>
    <mergeCell ref="A128:A129"/>
    <mergeCell ref="B128:B129"/>
  </mergeCells>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pageSetUpPr fitToPage="1"/>
  </sheetPr>
  <dimension ref="A1:E101"/>
  <sheetViews>
    <sheetView workbookViewId="0">
      <pane ySplit="3" topLeftCell="A4" activePane="bottomLeft" state="frozen"/>
      <selection pane="bottomLeft"/>
    </sheetView>
  </sheetViews>
  <sheetFormatPr baseColWidth="10" defaultColWidth="9.1640625" defaultRowHeight="13"/>
  <cols>
    <col min="1" max="1" width="60" style="537" customWidth="1"/>
    <col min="2" max="2" width="21.5" style="537" customWidth="1"/>
    <col min="3" max="3" width="16.5" style="537" customWidth="1"/>
    <col min="4" max="4" width="14.6640625" style="537" customWidth="1"/>
    <col min="5" max="16384" width="9.1640625" style="537"/>
  </cols>
  <sheetData>
    <row r="1" spans="1:5">
      <c r="A1" s="1" t="s">
        <v>3395</v>
      </c>
    </row>
    <row r="3" spans="1:5">
      <c r="A3" s="208" t="s">
        <v>3396</v>
      </c>
      <c r="B3" s="209" t="s">
        <v>1433</v>
      </c>
      <c r="C3" s="210" t="s">
        <v>1434</v>
      </c>
      <c r="D3" s="209" t="s">
        <v>1435</v>
      </c>
      <c r="E3" s="209" t="s">
        <v>1436</v>
      </c>
    </row>
    <row r="4" spans="1:5">
      <c r="A4" s="2" t="s">
        <v>791</v>
      </c>
    </row>
    <row r="5" spans="1:5">
      <c r="A5" s="754" t="s">
        <v>1084</v>
      </c>
      <c r="B5" s="3" t="s">
        <v>1081</v>
      </c>
      <c r="C5" s="537">
        <f>IF(retrofit_I="",0,1)</f>
        <v>0</v>
      </c>
      <c r="D5" s="537" t="s">
        <v>1085</v>
      </c>
    </row>
    <row r="6" spans="1:5">
      <c r="A6" s="754" t="s">
        <v>1091</v>
      </c>
      <c r="B6" s="3" t="s">
        <v>1092</v>
      </c>
      <c r="C6" s="138">
        <f>IF(r_freund_type_I="carbon life value- months",1,IF(r_freund_type_I="calculation from Freundlich isotherm",2,IF(r_freund_type_I="calculation from BDST",3,4)))</f>
        <v>4</v>
      </c>
      <c r="D6" s="671" t="s">
        <v>1351</v>
      </c>
    </row>
    <row r="7" spans="1:5">
      <c r="A7" s="754"/>
      <c r="B7" s="3"/>
      <c r="C7" s="138"/>
      <c r="D7" s="671"/>
    </row>
    <row r="8" spans="1:5">
      <c r="A8" s="754" t="s">
        <v>3580</v>
      </c>
      <c r="B8" s="3" t="s">
        <v>2784</v>
      </c>
      <c r="C8" s="138">
        <f>M</f>
        <v>3783628.9427391659</v>
      </c>
      <c r="D8" s="671" t="s">
        <v>2631</v>
      </c>
      <c r="E8" s="825" t="s">
        <v>3588</v>
      </c>
    </row>
    <row r="9" spans="1:5">
      <c r="A9" s="754" t="s">
        <v>3581</v>
      </c>
      <c r="B9" s="537" t="s">
        <v>2787</v>
      </c>
      <c r="C9" s="537">
        <f>QL</f>
        <v>659.74652777777771</v>
      </c>
      <c r="D9" s="537" t="s">
        <v>2788</v>
      </c>
      <c r="E9" s="825" t="s">
        <v>3588</v>
      </c>
    </row>
    <row r="10" spans="1:5">
      <c r="A10" s="760" t="s">
        <v>3014</v>
      </c>
      <c r="B10" s="40" t="s">
        <v>1094</v>
      </c>
      <c r="C10" s="756">
        <f>r_freund_1*GAC_density*453.59/0.02832</f>
        <v>0</v>
      </c>
      <c r="D10" s="671" t="s">
        <v>2791</v>
      </c>
      <c r="E10" s="62" t="s">
        <v>1095</v>
      </c>
    </row>
    <row r="11" spans="1:5">
      <c r="A11" s="760" t="s">
        <v>3582</v>
      </c>
      <c r="B11" s="40" t="s">
        <v>2590</v>
      </c>
      <c r="C11" s="756">
        <f>v</f>
        <v>0.12501623970954825</v>
      </c>
      <c r="D11" s="671" t="s">
        <v>2591</v>
      </c>
      <c r="E11" s="62" t="s">
        <v>3589</v>
      </c>
    </row>
    <row r="12" spans="1:5">
      <c r="A12" s="760" t="s">
        <v>3583</v>
      </c>
      <c r="B12" s="40" t="s">
        <v>2593</v>
      </c>
      <c r="C12" s="756">
        <f>D</f>
        <v>1.4935200000000002</v>
      </c>
      <c r="D12" s="671" t="s">
        <v>2594</v>
      </c>
      <c r="E12" s="62" t="s">
        <v>3589</v>
      </c>
    </row>
    <row r="13" spans="1:5">
      <c r="A13" s="760" t="s">
        <v>3013</v>
      </c>
      <c r="B13" s="40" t="s">
        <v>3012</v>
      </c>
      <c r="C13" s="81">
        <f>CHOOSE(r_freund_type,r_freund_1,(M*(r_freund_1/1000)*(r_C_b*1000)^r_freund_2/(QL*(r_C_0-r_C_b)))/(30*24*60),(r_N_0_e/(1000*v*r_C_0)*D-LOG(r_C_0/r_C_b-1)/(r_freund_2*r_C_0))/(30*24*60),r_freund_1*IF(design_type=1,comm_SA*bed_depth*num_treat_lines,basin_width*basin_length*basin_op_depth*op_num_basins)*7.48/average_flow_rate/60/24/30)</f>
        <v>0</v>
      </c>
      <c r="D13" s="671" t="s">
        <v>2597</v>
      </c>
      <c r="E13" s="671"/>
    </row>
    <row r="14" spans="1:5">
      <c r="A14" s="755"/>
      <c r="B14" s="40"/>
      <c r="C14" s="671"/>
      <c r="D14" s="671"/>
      <c r="E14" s="671"/>
    </row>
    <row r="15" spans="1:5">
      <c r="A15" s="760" t="s">
        <v>1468</v>
      </c>
      <c r="B15" s="40" t="s">
        <v>3015</v>
      </c>
      <c r="C15" s="756">
        <f>IF(retrofit=0,0,GAC_each*IF(design_type=1,op_num_tanks,op_num_basins)/(r_bed_life/12)/365)</f>
        <v>0</v>
      </c>
      <c r="D15" s="671" t="s">
        <v>125</v>
      </c>
      <c r="E15" s="671"/>
    </row>
    <row r="16" spans="1:5">
      <c r="A16" s="760" t="s">
        <v>1469</v>
      </c>
      <c r="B16" s="40" t="s">
        <v>3016</v>
      </c>
      <c r="C16" s="756">
        <f>r_regen_day*365</f>
        <v>0</v>
      </c>
      <c r="D16" s="671" t="s">
        <v>716</v>
      </c>
      <c r="E16" s="62" t="s">
        <v>1801</v>
      </c>
    </row>
    <row r="17" spans="1:5">
      <c r="A17" s="760" t="s">
        <v>1470</v>
      </c>
      <c r="B17" s="40" t="s">
        <v>3017</v>
      </c>
      <c r="C17" s="756">
        <f>CHOOSE(regen_type,(1-makeup_rate)*r_GAC_yr,(1-makeup_rate_off)*r_GAC_yr,0,(1-makeup_rate_off)*r_GAC_yr,0,0,0)</f>
        <v>0</v>
      </c>
      <c r="D17" s="671" t="s">
        <v>716</v>
      </c>
      <c r="E17" s="671"/>
    </row>
    <row r="18" spans="1:5">
      <c r="A18" s="760" t="s">
        <v>1471</v>
      </c>
      <c r="B18" s="40" t="s">
        <v>3018</v>
      </c>
      <c r="C18" s="756">
        <f>CHOOSE(regen_type,makeup_rate*r_GAC_yr,makeup_rate_off*r_GAC_yr,r_GAC_yr,makeup_rate_off*r_GAC_yr,r_GAC_yr,r_GAC_yr,r_GAC_yr)</f>
        <v>0</v>
      </c>
      <c r="D18" s="671" t="s">
        <v>716</v>
      </c>
      <c r="E18" s="671"/>
    </row>
    <row r="19" spans="1:5">
      <c r="A19" s="771"/>
      <c r="B19" s="40"/>
      <c r="C19" s="756"/>
      <c r="D19" s="671"/>
      <c r="E19" s="671"/>
    </row>
    <row r="20" spans="1:5">
      <c r="A20" s="754" t="s">
        <v>1458</v>
      </c>
      <c r="B20" s="3" t="s">
        <v>1457</v>
      </c>
      <c r="C20" s="775">
        <f>IF(r_bed_life=0,0,IF(OR(regen_type=3,regen_type=5),12/r_bed_life,0))</f>
        <v>0</v>
      </c>
      <c r="D20" s="776" t="s">
        <v>1632</v>
      </c>
      <c r="E20" s="671"/>
    </row>
    <row r="21" spans="1:5">
      <c r="A21" s="754" t="s">
        <v>1460</v>
      </c>
      <c r="B21" s="3" t="s">
        <v>1459</v>
      </c>
      <c r="C21" s="777">
        <f>spent_media*r_disp_freq</f>
        <v>0</v>
      </c>
      <c r="D21" s="776" t="s">
        <v>3330</v>
      </c>
      <c r="E21" s="671"/>
    </row>
    <row r="22" spans="1:5">
      <c r="A22" s="754" t="s">
        <v>1453</v>
      </c>
      <c r="B22" s="3" t="s">
        <v>1455</v>
      </c>
      <c r="C22" s="537">
        <f>IF(design_type=1,final_num_tanks,total_num_basins)*IF(OR(regen_type=3,regen_type=5),r_disp_freq,IF(OR(regen_type=2,regen_type=4),IF(r_bed_life=0,0,12/r_bed_life),0))</f>
        <v>0</v>
      </c>
      <c r="D22" s="701"/>
      <c r="E22" s="10" t="s">
        <v>825</v>
      </c>
    </row>
    <row r="23" spans="1:5">
      <c r="A23" s="754" t="s">
        <v>1454</v>
      </c>
      <c r="B23" s="40" t="s">
        <v>1456</v>
      </c>
      <c r="C23" s="537">
        <f>IF(OR(regen_type=3,regen_type=5),r_GAC_makeup+r_spent_media_yr*2000,IF(OR(regen_type=2,regen_type=4),r_GAC_makeup+2*r_regen_yr,0))/GAC_density</f>
        <v>0</v>
      </c>
      <c r="D23" s="671" t="s">
        <v>3100</v>
      </c>
      <c r="E23" s="10" t="s">
        <v>826</v>
      </c>
    </row>
    <row r="24" spans="1:5">
      <c r="A24" s="754" t="s">
        <v>1466</v>
      </c>
      <c r="B24" s="3" t="s">
        <v>1467</v>
      </c>
      <c r="C24" s="759">
        <f>IF(retrofit=0,0,IF(transfer_method=3,r_media_changes_cf*uloe_throwaway,r_media_changes*transfer_time)-IF(transfer_method=3,media_changes_cf*uloe_throwaway,media_changes*transfer_time)+r_regen_labor)</f>
        <v>0</v>
      </c>
      <c r="D24" s="537" t="s">
        <v>1643</v>
      </c>
      <c r="E24" s="671"/>
    </row>
    <row r="25" spans="1:5">
      <c r="A25" s="754"/>
      <c r="B25" s="3"/>
      <c r="C25" s="759"/>
      <c r="E25" s="671"/>
    </row>
    <row r="26" spans="1:5">
      <c r="A26" s="754" t="s">
        <v>1462</v>
      </c>
      <c r="B26" s="67"/>
      <c r="C26" s="67">
        <f>spent_media*r_disp_freq*CHOOSE(regen_type,0,0,nonhaz_disposal_cost_cl,0,haz_disposal_cost_cl,rad_disposal_cost_cl,hazrad_disposal_cost_cl)</f>
        <v>0</v>
      </c>
      <c r="D26" s="537" t="s">
        <v>408</v>
      </c>
    </row>
    <row r="27" spans="1:5">
      <c r="A27" s="754" t="s">
        <v>1464</v>
      </c>
      <c r="B27" s="94"/>
      <c r="C27" s="94">
        <f>CHOOSE(regen_type,r_disp_freq,r_disp_freq,r_disp_freq,r_disp_freq,IF(spent_media&gt;max_haz_ship,ROUNDUP(spent_media/max_haz_ship,0)*r_disp_freq,r_disp_freq),IF(spent_media&gt;max_rad_ship,ROUNDUP(spent_media/max_rad_ship,0)*r_disp_freq,r_disp_freq),IF(spent_media&gt;max_hazrad_ship,ROUNDUP(spent_media/max_hazrad_ship,0)*r_disp_freq,r_disp_freq))</f>
        <v>0</v>
      </c>
      <c r="E27" s="10"/>
    </row>
    <row r="28" spans="1:5">
      <c r="A28" s="754" t="s">
        <v>3543</v>
      </c>
      <c r="B28" s="94"/>
      <c r="C28" s="67">
        <f>CHOOSE(regen_type,0,0,nonhaz_transportation_cost_cl,0,haz_transportation_cost_cl,rad_transportation_cost_cl,hazrad_transportation_cost_cl)</f>
        <v>0</v>
      </c>
      <c r="D28" s="14" t="s">
        <v>3544</v>
      </c>
      <c r="E28" s="10"/>
    </row>
    <row r="29" spans="1:5">
      <c r="A29" s="754" t="s">
        <v>3546</v>
      </c>
      <c r="B29" s="3"/>
      <c r="C29" s="67">
        <f>CHOOSE(regen_type,0,0,0,0,haz_trans_min_cost_cl,rad_trans_min_cost_cl,hazrad_trans_min_cost_cl)</f>
        <v>0</v>
      </c>
      <c r="D29" s="14" t="s">
        <v>3545</v>
      </c>
      <c r="E29" s="10"/>
    </row>
    <row r="30" spans="1:5">
      <c r="A30" s="754" t="s">
        <v>3547</v>
      </c>
      <c r="B30" s="3"/>
      <c r="C30" s="45">
        <f>CHOOSE(regen_type,0,0,non_haz_miles,0,haz_miles,rad_miles,hazrad_miles)</f>
        <v>0</v>
      </c>
      <c r="D30" s="14" t="s">
        <v>2606</v>
      </c>
      <c r="E30" s="10"/>
    </row>
    <row r="31" spans="1:5">
      <c r="A31" s="154" t="s">
        <v>404</v>
      </c>
      <c r="B31" s="3"/>
      <c r="C31" s="67">
        <f>MAX(C27*C29,spent_media*C27*C30*C28)</f>
        <v>0</v>
      </c>
      <c r="D31" s="14" t="s">
        <v>408</v>
      </c>
    </row>
    <row r="32" spans="1:5">
      <c r="A32" s="754" t="s">
        <v>1463</v>
      </c>
      <c r="B32" s="3" t="s">
        <v>1461</v>
      </c>
      <c r="C32" s="54">
        <f>C31+C26+CHOOSE(regen_type,0,0,0,0,0,rad_annual_fee_cl,hazrad_annual_fee_cl)</f>
        <v>0</v>
      </c>
      <c r="D32" s="537" t="s">
        <v>408</v>
      </c>
    </row>
    <row r="33" spans="1:4">
      <c r="A33" s="754"/>
      <c r="B33" s="3"/>
      <c r="C33" s="54"/>
    </row>
    <row r="34" spans="1:4">
      <c r="A34" s="753"/>
      <c r="B34" s="3"/>
      <c r="C34" s="17"/>
      <c r="D34" s="9"/>
    </row>
    <row r="35" spans="1:4">
      <c r="A35" s="754" t="s">
        <v>3592</v>
      </c>
      <c r="B35" s="3"/>
      <c r="C35" s="49">
        <f>IF(r_bed_life=0,0,12/r_bed_life)</f>
        <v>0</v>
      </c>
      <c r="D35" s="9"/>
    </row>
    <row r="36" spans="1:4">
      <c r="A36" s="754" t="s">
        <v>3590</v>
      </c>
      <c r="B36" s="3"/>
      <c r="C36" s="94" t="str">
        <f>IF(regen_type=4,IF(r_regen_yr/2000&gt;max_haz_ship,ROUNDUP((r_regen_yr/2000)/max_haz_ship,0)*C35,C35),"NA")</f>
        <v>NA</v>
      </c>
      <c r="D36" s="14"/>
    </row>
    <row r="37" spans="1:4">
      <c r="A37" s="754" t="s">
        <v>3591</v>
      </c>
      <c r="B37" s="3" t="s">
        <v>3593</v>
      </c>
      <c r="C37" s="67">
        <f>IF(regen_type=4,MAX(C36*haz_trans_min_cost_cl,spent_media*C36*haz_miles*haz_transportation_cost_cl),0)</f>
        <v>0</v>
      </c>
      <c r="D37" s="14" t="s">
        <v>408</v>
      </c>
    </row>
    <row r="38" spans="1:4">
      <c r="A38" s="154"/>
      <c r="B38" s="3"/>
      <c r="C38" s="67"/>
      <c r="D38" s="14"/>
    </row>
    <row r="39" spans="1:4">
      <c r="A39" s="754" t="s">
        <v>610</v>
      </c>
      <c r="B39" s="3" t="s">
        <v>609</v>
      </c>
      <c r="C39" s="779">
        <f>MIN(1,(r_inc_Operator_LOE+Operator_LOE)/(24*365))*(build1_fp*lighting_energy_1+build2_fp*lighting_energy_2)/1000+r_furnace_lighting-lighting</f>
        <v>0</v>
      </c>
      <c r="D39" s="537" t="s">
        <v>2524</v>
      </c>
    </row>
    <row r="40" spans="1:4">
      <c r="A40" s="754" t="s">
        <v>620</v>
      </c>
      <c r="B40" s="3" t="s">
        <v>392</v>
      </c>
      <c r="C40" s="757">
        <f>((build1_fp*lighting_energy_1+build2_fp*lighting_energy_2)/1000+r_furnace_lighting-lighting)/365/24*1000</f>
        <v>0.1193172812362374</v>
      </c>
      <c r="D40" s="537" t="s">
        <v>1428</v>
      </c>
    </row>
    <row r="41" spans="1:4">
      <c r="A41" s="754" t="s">
        <v>626</v>
      </c>
      <c r="B41" s="3" t="s">
        <v>624</v>
      </c>
      <c r="C41" s="780">
        <f>ROUNDUP(2*MAX(min_standby,(IF(AND(need_heat=1,need_cool=1),MAX(std_heat,std_cool),need_heat*std_heat+need_cool*std_cool)+std_base+r_std_vent+r_std_lighting)*(1+std_safety_factor)),0)/2</f>
        <v>1.5</v>
      </c>
      <c r="D41" s="537" t="s">
        <v>1428</v>
      </c>
    </row>
    <row r="42" spans="1:4">
      <c r="A42" s="754" t="s">
        <v>621</v>
      </c>
      <c r="B42" s="3" t="s">
        <v>625</v>
      </c>
      <c r="C42" s="537">
        <f>r_std_power-std_power</f>
        <v>0</v>
      </c>
      <c r="D42" s="537" t="s">
        <v>1428</v>
      </c>
    </row>
    <row r="43" spans="1:4">
      <c r="A43" s="754" t="s">
        <v>622</v>
      </c>
      <c r="B43" s="3" t="s">
        <v>623</v>
      </c>
      <c r="C43" s="781">
        <f>VLOOKUP(r_std_power,std_gen_cost_cl,3)*r_inc_std_power</f>
        <v>0</v>
      </c>
    </row>
    <row r="44" spans="1:4">
      <c r="B44" s="3"/>
      <c r="C44" s="781"/>
    </row>
    <row r="45" spans="1:4">
      <c r="A45" s="2" t="s">
        <v>1465</v>
      </c>
    </row>
    <row r="46" spans="1:4">
      <c r="A46" s="753" t="s">
        <v>1444</v>
      </c>
    </row>
    <row r="47" spans="1:4">
      <c r="A47" s="770" t="s">
        <v>788</v>
      </c>
      <c r="B47" s="40" t="s">
        <v>789</v>
      </c>
      <c r="C47" s="756">
        <f>(r_regen_day/regen_runtime)*regen_redund</f>
        <v>0</v>
      </c>
      <c r="D47" s="671" t="s">
        <v>125</v>
      </c>
    </row>
    <row r="48" spans="1:4">
      <c r="A48" s="770" t="s">
        <v>790</v>
      </c>
      <c r="B48" s="40" t="s">
        <v>3108</v>
      </c>
      <c r="C48" s="756">
        <f>MAX(0,C47-regen_capacity)</f>
        <v>0</v>
      </c>
      <c r="D48" s="671" t="s">
        <v>125</v>
      </c>
    </row>
    <row r="49" spans="1:5">
      <c r="A49" s="770" t="s">
        <v>818</v>
      </c>
      <c r="B49" s="40" t="s">
        <v>819</v>
      </c>
      <c r="C49" s="758">
        <f>IF(AND(retrofit=1,regen_type=1,OUTPUT!G231&gt;0),1,0)</f>
        <v>0</v>
      </c>
      <c r="D49" s="671" t="s">
        <v>820</v>
      </c>
      <c r="E49" s="10" t="s">
        <v>821</v>
      </c>
    </row>
    <row r="50" spans="1:5">
      <c r="A50" s="754"/>
    </row>
    <row r="51" spans="1:5">
      <c r="A51" s="753" t="s">
        <v>1443</v>
      </c>
      <c r="B51" s="40"/>
      <c r="C51" s="756"/>
      <c r="D51" s="671"/>
    </row>
    <row r="52" spans="1:5">
      <c r="A52" s="771" t="s">
        <v>794</v>
      </c>
      <c r="B52" s="96" t="s">
        <v>793</v>
      </c>
      <c r="C52" s="756">
        <f>IF(r_new_furnace=0,0,IF(regen_type=1,121.3*r_regen_capacity^0.3656,0))</f>
        <v>0</v>
      </c>
      <c r="D52" s="537" t="s">
        <v>3238</v>
      </c>
      <c r="E52" s="10" t="s">
        <v>2615</v>
      </c>
    </row>
    <row r="53" spans="1:5">
      <c r="A53" s="771" t="s">
        <v>589</v>
      </c>
      <c r="B53" s="96" t="s">
        <v>590</v>
      </c>
      <c r="C53" s="756">
        <f>IF(OR(retrofit=0,r_new_furnace=0),0,r_onsite_regeneration_fp-Onsite_regeneration_fp)</f>
        <v>0</v>
      </c>
      <c r="D53" s="537" t="s">
        <v>3238</v>
      </c>
      <c r="E53" s="10"/>
    </row>
    <row r="54" spans="1:5">
      <c r="A54" s="771" t="s">
        <v>1446</v>
      </c>
      <c r="B54" s="40" t="s">
        <v>1445</v>
      </c>
      <c r="C54" s="756">
        <f>IF(OR(retrofit=0,r_new_furnace=0),0,ROUNDUP(IF(fp_required&lt;add_2nd_building,fp_required+r_onsite_regeneration_fp,vessel_fp),-1))</f>
        <v>0</v>
      </c>
      <c r="D54" s="537" t="s">
        <v>3238</v>
      </c>
      <c r="E54" s="10" t="s">
        <v>2752</v>
      </c>
    </row>
    <row r="55" spans="1:5">
      <c r="A55" s="771" t="s">
        <v>1447</v>
      </c>
      <c r="B55" s="40" t="s">
        <v>792</v>
      </c>
      <c r="C55" s="756">
        <f>IF(OR(retrofit=0,r_new_furnace=0),0,ROUNDUP(IF(fp_required&lt;add_2nd_building,0,back_tank_fp+pump_fp+r_onsite_regeneration_fp+Virgin_GAC_storage_fp+Spent_GAC_storage_fp+Regenerated_GAC_storage_fp+office_fp+htank_fp+cstore_fp),-1))</f>
        <v>0</v>
      </c>
      <c r="D55" s="537" t="s">
        <v>3238</v>
      </c>
      <c r="E55" s="10" t="s">
        <v>842</v>
      </c>
    </row>
    <row r="56" spans="1:5">
      <c r="A56" s="770" t="s">
        <v>1448</v>
      </c>
      <c r="B56" s="40" t="s">
        <v>808</v>
      </c>
      <c r="C56" s="537">
        <f>IF(OR(retrofit=0,r_new_furnace=0),0,r_build1_fp-build1_fp)</f>
        <v>0</v>
      </c>
      <c r="D56" s="537" t="s">
        <v>3238</v>
      </c>
    </row>
    <row r="57" spans="1:5">
      <c r="A57" s="770" t="s">
        <v>1449</v>
      </c>
      <c r="B57" s="40" t="s">
        <v>809</v>
      </c>
      <c r="C57" s="537">
        <f>IF(OR(retrofit=0,r_new_furnace=0),0,r_build2_fp-build2_fp)</f>
        <v>0</v>
      </c>
      <c r="D57" s="537" t="s">
        <v>3238</v>
      </c>
    </row>
    <row r="58" spans="1:5">
      <c r="A58" s="771" t="s">
        <v>810</v>
      </c>
      <c r="B58" s="40" t="s">
        <v>811</v>
      </c>
      <c r="C58" s="537">
        <f>r_build1_fp+r_build2_fp</f>
        <v>0</v>
      </c>
      <c r="D58" s="537" t="s">
        <v>3238</v>
      </c>
    </row>
    <row r="59" spans="1:5">
      <c r="A59" s="771" t="s">
        <v>600</v>
      </c>
      <c r="B59" s="40" t="s">
        <v>601</v>
      </c>
      <c r="C59" s="537">
        <f>IF(OR(retrofit=0,r_new_furnace=0),0,r_total_fp-total_fp)</f>
        <v>0</v>
      </c>
      <c r="D59" s="537" t="s">
        <v>3238</v>
      </c>
    </row>
    <row r="60" spans="1:5">
      <c r="A60" s="770" t="s">
        <v>588</v>
      </c>
      <c r="B60" s="3" t="s">
        <v>591</v>
      </c>
      <c r="C60" s="757">
        <f>ROUNDUP(r_inc_fp_required*IF(ss_cat2=1,pad_thick_small,pad_thick)/27,0)</f>
        <v>0</v>
      </c>
      <c r="D60" s="537" t="s">
        <v>2945</v>
      </c>
    </row>
    <row r="61" spans="1:5">
      <c r="A61" s="771" t="s">
        <v>812</v>
      </c>
      <c r="B61" s="40" t="s">
        <v>813</v>
      </c>
      <c r="C61" s="782">
        <f>IF(OR(retrofit=0,r_new_furnace=0),0,ROUNDUP(((r_build1_fp)^0.5+(2*non_fire_buffer))*((r_build1_fp)^0.5+(non_fire_buffer+fire_buffer))+IF(r_build2_fp=0,0,((r_build2_fp)^0.5+(2*non_fire_buffer))*((r_build2_fp)^0.5+(non_fire_buffer+fire_buffer)))+sept_fp+solids_pad_area,-2)/43560-land_required)</f>
        <v>0</v>
      </c>
      <c r="D61" s="671" t="s">
        <v>906</v>
      </c>
    </row>
    <row r="62" spans="1:5">
      <c r="A62" s="754"/>
    </row>
    <row r="63" spans="1:5">
      <c r="A63" s="753" t="s">
        <v>2859</v>
      </c>
    </row>
    <row r="64" spans="1:5">
      <c r="A64" s="770" t="s">
        <v>593</v>
      </c>
      <c r="C64" s="781">
        <f>SUMPRODUCT(OUTPUT!J285:J288,OUTPUT!L285:L288)</f>
        <v>0</v>
      </c>
      <c r="E64" s="10" t="s">
        <v>1375</v>
      </c>
    </row>
    <row r="65" spans="1:5">
      <c r="A65" s="770" t="s">
        <v>594</v>
      </c>
      <c r="C65" s="781">
        <f>SUMPRODUCT(OUTPUT!J290:J293,OUTPUT!L290:L293)</f>
        <v>0</v>
      </c>
      <c r="E65" s="10" t="s">
        <v>1375</v>
      </c>
    </row>
    <row r="66" spans="1:5">
      <c r="A66" s="770" t="s">
        <v>1368</v>
      </c>
      <c r="C66" s="781" t="e">
        <f ca="1">BPCost_UBC97(C64)+BPCost_UBC97(C65)</f>
        <v>#NAME?</v>
      </c>
      <c r="E66" s="10" t="s">
        <v>1376</v>
      </c>
    </row>
    <row r="67" spans="1:5">
      <c r="A67" s="770" t="s">
        <v>1369</v>
      </c>
      <c r="C67" s="781">
        <v>0</v>
      </c>
      <c r="E67" s="10" t="s">
        <v>595</v>
      </c>
    </row>
    <row r="68" spans="1:5">
      <c r="A68" s="770" t="s">
        <v>1370</v>
      </c>
      <c r="C68" s="781">
        <f>VLOOKUP(land_required+r_land_required,SW_permit_cost_cl,2)-VLOOKUP(land_required,SW_permit_cost_cl,2)</f>
        <v>0</v>
      </c>
      <c r="E68" s="10" t="s">
        <v>596</v>
      </c>
    </row>
    <row r="69" spans="1:5">
      <c r="A69" s="770" t="s">
        <v>1371</v>
      </c>
      <c r="C69" s="778">
        <v>0</v>
      </c>
      <c r="E69" s="10" t="s">
        <v>1379</v>
      </c>
    </row>
    <row r="70" spans="1:5">
      <c r="A70" s="770" t="s">
        <v>1372</v>
      </c>
      <c r="C70" s="781">
        <f>IF(OR(r_new_furnace=0,include_NEPA=2),0,IF(OR(component_level=2,include_NEPA=1),VLOOKUP(r_land_required+land_required,NEPA_cost_cl,2),0))</f>
        <v>0</v>
      </c>
      <c r="E70" s="10" t="s">
        <v>1380</v>
      </c>
    </row>
    <row r="71" spans="1:5">
      <c r="A71" s="770" t="s">
        <v>1373</v>
      </c>
      <c r="B71" s="3" t="s">
        <v>597</v>
      </c>
      <c r="C71" s="783" t="e">
        <f ca="1">SUM(C66:C70)</f>
        <v>#NAME?</v>
      </c>
    </row>
    <row r="72" spans="1:5">
      <c r="A72" s="754"/>
    </row>
    <row r="73" spans="1:5">
      <c r="A73" s="753" t="s">
        <v>602</v>
      </c>
    </row>
    <row r="74" spans="1:5">
      <c r="A74" s="770" t="s">
        <v>598</v>
      </c>
      <c r="B74" s="3" t="s">
        <v>599</v>
      </c>
      <c r="C74" s="781">
        <f>r_inc_total_fp*sitework_sf_cl</f>
        <v>0</v>
      </c>
    </row>
    <row r="75" spans="1:5">
      <c r="A75" s="754"/>
    </row>
    <row r="76" spans="1:5">
      <c r="A76" s="753" t="s">
        <v>105</v>
      </c>
      <c r="B76" s="3"/>
    </row>
    <row r="77" spans="1:5">
      <c r="A77" s="770" t="s">
        <v>106</v>
      </c>
      <c r="B77" s="3"/>
      <c r="C77" s="784">
        <f>building_matl_rate_cl*r_inc_total_fp</f>
        <v>0</v>
      </c>
      <c r="D77" s="701" t="s">
        <v>1644</v>
      </c>
      <c r="E77" s="10" t="s">
        <v>107</v>
      </c>
    </row>
    <row r="78" spans="1:5">
      <c r="A78" s="770" t="s">
        <v>108</v>
      </c>
      <c r="B78" s="3"/>
      <c r="C78" s="784">
        <f>build1_need_heat*heating_matl_rate_cl*r_inc_build1_fp</f>
        <v>0</v>
      </c>
      <c r="D78" s="701" t="s">
        <v>1644</v>
      </c>
    </row>
    <row r="79" spans="1:5">
      <c r="A79" s="770" t="s">
        <v>109</v>
      </c>
      <c r="B79" s="3"/>
      <c r="C79" s="784">
        <f>build1_need_cool*cooling_matl_rate_cl*r_inc_build1_fp</f>
        <v>0</v>
      </c>
      <c r="D79" s="701" t="s">
        <v>1644</v>
      </c>
    </row>
    <row r="80" spans="1:5">
      <c r="A80" s="770" t="s">
        <v>110</v>
      </c>
      <c r="B80" s="3"/>
      <c r="C80" s="784">
        <f>build2_need_heat*heating_matl_rate_cl*r_inc_build2_fp</f>
        <v>0</v>
      </c>
      <c r="D80" s="701" t="s">
        <v>1644</v>
      </c>
    </row>
    <row r="81" spans="1:5">
      <c r="A81" s="770" t="s">
        <v>111</v>
      </c>
      <c r="B81" s="3"/>
      <c r="C81" s="784">
        <f>build2_need_cool*cooling_matl_rate_cl*r_inc_build2_fp</f>
        <v>0</v>
      </c>
      <c r="D81" s="701" t="s">
        <v>1644</v>
      </c>
    </row>
    <row r="82" spans="1:5">
      <c r="A82" s="770" t="s">
        <v>112</v>
      </c>
      <c r="B82" s="3" t="s">
        <v>603</v>
      </c>
      <c r="C82" s="783">
        <f>SUM(C77:C81)</f>
        <v>0</v>
      </c>
      <c r="E82" s="10" t="s">
        <v>114</v>
      </c>
    </row>
    <row r="83" spans="1:5">
      <c r="A83" s="754"/>
    </row>
    <row r="84" spans="1:5">
      <c r="A84" s="753" t="s">
        <v>604</v>
      </c>
      <c r="B84" s="3"/>
    </row>
    <row r="85" spans="1:5">
      <c r="A85" s="770" t="s">
        <v>824</v>
      </c>
      <c r="B85" s="3" t="s">
        <v>823</v>
      </c>
      <c r="C85" s="781">
        <f>IF(retrofit=0,0,IF(regen_type=1,8451.4*r_regen_capacity^0.2017,0)-regen_materials)</f>
        <v>0</v>
      </c>
      <c r="D85" s="701" t="s">
        <v>1384</v>
      </c>
      <c r="E85" s="10" t="s">
        <v>1019</v>
      </c>
    </row>
    <row r="86" spans="1:5">
      <c r="A86" s="770" t="s">
        <v>827</v>
      </c>
      <c r="B86" s="3" t="s">
        <v>828</v>
      </c>
      <c r="C86" s="757">
        <f>IF(retrofit=0,0,IF(regen_type=1,2.2515*r_regen_capacity^0.7554,0)-regen_labor)</f>
        <v>0</v>
      </c>
      <c r="D86" s="537" t="s">
        <v>1018</v>
      </c>
      <c r="E86" s="10" t="s">
        <v>1019</v>
      </c>
    </row>
    <row r="87" spans="1:5">
      <c r="A87" s="770" t="s">
        <v>607</v>
      </c>
      <c r="B87" s="3" t="s">
        <v>605</v>
      </c>
      <c r="C87" s="785">
        <f>IF(retrofit=0,0,IF(regen_type=1,9.1217*r_regen_capacity^1.0475/1000-regen_energy,0))</f>
        <v>0</v>
      </c>
      <c r="D87" s="537" t="s">
        <v>2524</v>
      </c>
      <c r="E87" s="10" t="s">
        <v>1019</v>
      </c>
    </row>
    <row r="88" spans="1:5">
      <c r="A88" s="770" t="s">
        <v>608</v>
      </c>
      <c r="B88" s="3" t="s">
        <v>606</v>
      </c>
      <c r="C88" s="757">
        <f>IF(retrofit=0,0,IF(regen_type=1,28.161*r_inc_regen_capacity,0))</f>
        <v>0</v>
      </c>
      <c r="D88" s="537" t="s">
        <v>3290</v>
      </c>
      <c r="E88" s="10" t="s">
        <v>1019</v>
      </c>
    </row>
    <row r="89" spans="1:5">
      <c r="A89" s="754"/>
    </row>
    <row r="90" spans="1:5">
      <c r="A90" s="753" t="s">
        <v>221</v>
      </c>
      <c r="B90" s="3"/>
      <c r="C90" s="671"/>
    </row>
    <row r="91" spans="1:5">
      <c r="A91" s="770" t="s">
        <v>611</v>
      </c>
      <c r="B91" s="3" t="s">
        <v>612</v>
      </c>
      <c r="C91" s="779">
        <f>MIN(1,(r_inc_Operator_LOE+Operator_LOE)/(24*365))*(r_inc_build1_fp*lighting_energy_1+r_inc_build2_fp*lighting_energy_2)/1000</f>
        <v>0</v>
      </c>
      <c r="D91" s="537" t="s">
        <v>2524</v>
      </c>
    </row>
    <row r="92" spans="1:5">
      <c r="A92" s="754"/>
    </row>
    <row r="93" spans="1:5">
      <c r="A93" s="770" t="s">
        <v>613</v>
      </c>
      <c r="B93" s="3" t="s">
        <v>617</v>
      </c>
      <c r="C93" s="756">
        <f>IF(build2_fp=0,IF(r_build1_fp=0,0,(Air_changes_contactor*(vessel_fp+back_tank_fp+r_onsite_regeneration_fp+htank_fp)+Air_changes_pump*pump_fp+Air_changes_chem_storage*(Virgin_GAC_storage_fp+Spent_GAC_storage_fp+Regenerated_GAC_storage_fp+cstore_fp)+Air_changes_office*office_fp)/r_build1_fp),Air_changes_contactor)</f>
        <v>0</v>
      </c>
      <c r="D93" s="786" t="s">
        <v>1655</v>
      </c>
    </row>
    <row r="94" spans="1:5">
      <c r="A94" s="770" t="s">
        <v>614</v>
      </c>
      <c r="B94" s="3" t="s">
        <v>618</v>
      </c>
      <c r="C94" s="756">
        <f>IF(build2_fp=0,0,IF(r_build2_fp=0,0,(Air_changes_contactor*(back_tank_fp+r_onsite_regeneration_fp+htank_fp)+Air_changes_pump*pump_fp+Air_changes_chem_storage*(Virgin_GAC_storage_fp+Spent_GAC_storage_fp+Regenerated_GAC_storage_fp+cstore_fp)+Air_changes_office*office_fp)/r_build2_fp))</f>
        <v>0</v>
      </c>
      <c r="D94" s="786" t="s">
        <v>1655</v>
      </c>
    </row>
    <row r="95" spans="1:5">
      <c r="A95" s="770" t="s">
        <v>615</v>
      </c>
      <c r="B95" s="3"/>
      <c r="C95" s="756">
        <f>CHOOSE(ss_cat2,fan_days_build1_small,fan_days_build1_medium,fan_days_build1_large)*24*0.746*Fan_pressure_drop*r_build1_fp*Building_height*r_air_changes_build1/33000</f>
        <v>0</v>
      </c>
      <c r="D95" s="537" t="s">
        <v>2523</v>
      </c>
    </row>
    <row r="96" spans="1:5">
      <c r="A96" s="770" t="s">
        <v>616</v>
      </c>
      <c r="B96" s="3"/>
      <c r="C96" s="756">
        <f>CHOOSE(ss_cat2,fan_days_build2_small,fan_days_build2_medium,fan_days_build2_large)*24*0.746*Fan_pressure_drop*r_build2_fp*Building_height*r_air_changes_build2/33000</f>
        <v>0</v>
      </c>
      <c r="D96" s="537" t="s">
        <v>2523</v>
      </c>
    </row>
    <row r="97" spans="1:4">
      <c r="A97" s="770" t="s">
        <v>2755</v>
      </c>
      <c r="B97" s="3" t="s">
        <v>619</v>
      </c>
      <c r="C97" s="787">
        <f>IF(SUM(C95:C96)=0,0,SUM(C95:C96)/1000-ventilation)</f>
        <v>0</v>
      </c>
      <c r="D97" s="537" t="s">
        <v>2524</v>
      </c>
    </row>
    <row r="98" spans="1:4">
      <c r="A98" s="754"/>
    </row>
    <row r="99" spans="1:4">
      <c r="A99" s="770" t="s">
        <v>2753</v>
      </c>
      <c r="B99" s="3"/>
      <c r="C99" s="756">
        <f>0.746*Fan_pressure_drop*r_inc_build1_fp*Building_height*air_changes_build1/33000</f>
        <v>0</v>
      </c>
      <c r="D99" s="537" t="s">
        <v>1428</v>
      </c>
    </row>
    <row r="100" spans="1:4">
      <c r="A100" s="770" t="s">
        <v>2754</v>
      </c>
      <c r="B100" s="3"/>
      <c r="C100" s="756">
        <f>0.746*Fan_pressure_drop*r_inc_build2_fp*Building_height*air_changes_build2/33000</f>
        <v>0</v>
      </c>
      <c r="D100" s="537" t="s">
        <v>1428</v>
      </c>
    </row>
    <row r="101" spans="1:4">
      <c r="A101" s="770" t="s">
        <v>390</v>
      </c>
      <c r="B101" s="3" t="s">
        <v>391</v>
      </c>
      <c r="C101" s="788">
        <f>SUM(C99:C100)</f>
        <v>0</v>
      </c>
      <c r="D101" s="537" t="s">
        <v>1428</v>
      </c>
    </row>
  </sheetData>
  <phoneticPr fontId="48" type="noConversion"/>
  <pageMargins left="0.75" right="0.75" top="1" bottom="1" header="0.5" footer="0.5"/>
  <pageSetup scale="2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F83"/>
  <sheetViews>
    <sheetView zoomScaleNormal="100" workbookViewId="0">
      <pane ySplit="4" topLeftCell="A39" activePane="bottomLeft" state="frozen"/>
      <selection pane="bottomLeft" activeCell="K23" sqref="K23"/>
    </sheetView>
  </sheetViews>
  <sheetFormatPr baseColWidth="10" defaultColWidth="9.1640625" defaultRowHeight="13"/>
  <cols>
    <col min="1" max="1" width="45.5" style="537" customWidth="1"/>
    <col min="2" max="2" width="22.33203125" style="3" customWidth="1"/>
    <col min="3" max="3" width="10.33203125" style="537" bestFit="1" customWidth="1"/>
    <col min="4" max="4" width="9.1640625" style="537" customWidth="1"/>
    <col min="5" max="16384" width="9.1640625" style="537"/>
  </cols>
  <sheetData>
    <row r="1" spans="1:5">
      <c r="A1" s="1" t="s">
        <v>3397</v>
      </c>
    </row>
    <row r="2" spans="1:5" s="671" customFormat="1">
      <c r="A2" s="10" t="s">
        <v>3323</v>
      </c>
      <c r="B2" s="40"/>
    </row>
    <row r="3" spans="1:5" s="671" customFormat="1">
      <c r="A3" s="10"/>
      <c r="B3" s="40"/>
    </row>
    <row r="4" spans="1:5" s="671" customFormat="1">
      <c r="A4" s="208" t="s">
        <v>3396</v>
      </c>
      <c r="B4" s="209" t="s">
        <v>1433</v>
      </c>
      <c r="C4" s="210" t="s">
        <v>1434</v>
      </c>
      <c r="D4" s="209" t="s">
        <v>1435</v>
      </c>
      <c r="E4" s="209" t="s">
        <v>1436</v>
      </c>
    </row>
    <row r="5" spans="1:5" s="671" customFormat="1">
      <c r="A5" s="2" t="s">
        <v>3324</v>
      </c>
      <c r="B5" s="40"/>
    </row>
    <row r="6" spans="1:5">
      <c r="A6" s="754" t="s">
        <v>228</v>
      </c>
      <c r="B6" s="3" t="s">
        <v>3231</v>
      </c>
      <c r="C6" s="671">
        <f>IF(df_units="gpm",(1-bp_pct)*design_flow_I*24*60/1000000,(1-bp_pct)*design_flow_I)</f>
        <v>0.74</v>
      </c>
      <c r="D6" s="537" t="s">
        <v>226</v>
      </c>
      <c r="E6" s="10" t="s">
        <v>570</v>
      </c>
    </row>
    <row r="7" spans="1:5">
      <c r="A7" s="754" t="s">
        <v>230</v>
      </c>
      <c r="B7" s="3" t="s">
        <v>3232</v>
      </c>
      <c r="C7" s="671">
        <f>(1-bp_pct)*IF(af_units="gpm",average_flow_I*24*60/1000000,IF(af_units="fraction of design flow",average_flow_I*design_flow,average_flow_I))</f>
        <v>0.251</v>
      </c>
      <c r="D7" s="537" t="s">
        <v>226</v>
      </c>
      <c r="E7" s="10" t="s">
        <v>570</v>
      </c>
    </row>
    <row r="8" spans="1:5">
      <c r="A8" s="754" t="s">
        <v>3233</v>
      </c>
      <c r="B8" s="3" t="s">
        <v>3234</v>
      </c>
      <c r="C8" s="756">
        <f>design_flow*1000000/(24*60)</f>
        <v>513.88888888888891</v>
      </c>
      <c r="D8" s="537" t="s">
        <v>1831</v>
      </c>
      <c r="E8" s="10" t="s">
        <v>223</v>
      </c>
    </row>
    <row r="9" spans="1:5">
      <c r="A9" s="754" t="s">
        <v>1662</v>
      </c>
      <c r="B9" s="3" t="s">
        <v>1663</v>
      </c>
      <c r="C9" s="756">
        <f>average_flow*1000000/(24*60)</f>
        <v>174.30555555555554</v>
      </c>
      <c r="D9" s="537" t="s">
        <v>1831</v>
      </c>
      <c r="E9" s="10" t="s">
        <v>1442</v>
      </c>
    </row>
    <row r="10" spans="1:5">
      <c r="A10" s="754" t="s">
        <v>2294</v>
      </c>
      <c r="B10" s="3" t="s">
        <v>2295</v>
      </c>
      <c r="C10" s="756">
        <f>bp_pct/(1-bp_pct)*design_flow_rate</f>
        <v>0</v>
      </c>
      <c r="D10" s="537" t="s">
        <v>1831</v>
      </c>
    </row>
    <row r="11" spans="1:5">
      <c r="A11" s="760" t="s">
        <v>3060</v>
      </c>
      <c r="B11" s="3" t="s">
        <v>3061</v>
      </c>
      <c r="C11" s="756">
        <f>IF(EBCT_type_I="contaminant removal %",1,IF(EBCT_type_I="influent and effluent concentrations",2, 3))</f>
        <v>3</v>
      </c>
      <c r="D11" s="537" t="s">
        <v>3629</v>
      </c>
    </row>
    <row r="12" spans="1:5">
      <c r="A12" s="761" t="s">
        <v>2137</v>
      </c>
      <c r="B12" s="142" t="s">
        <v>1961</v>
      </c>
      <c r="C12" s="756">
        <v>17</v>
      </c>
      <c r="D12" s="762" t="s">
        <v>3451</v>
      </c>
    </row>
    <row r="13" spans="1:5">
      <c r="A13" s="760" t="s">
        <v>2174</v>
      </c>
      <c r="B13" s="40" t="s">
        <v>2175</v>
      </c>
      <c r="C13" s="756">
        <v>1</v>
      </c>
      <c r="D13" s="671" t="s">
        <v>2176</v>
      </c>
    </row>
    <row r="14" spans="1:5" ht="16">
      <c r="A14" s="754" t="s">
        <v>1616</v>
      </c>
      <c r="B14" s="3" t="s">
        <v>232</v>
      </c>
      <c r="C14" s="763">
        <f>IF(EBCT_type=1,(LN(1/(1-EBCT_I))/Kss)*60,IF(EBCT_type=2,(LN(EBCT_I/EBCT_O)/Kss)*60,EBCT_I))</f>
        <v>4</v>
      </c>
      <c r="D14" s="671" t="s">
        <v>2301</v>
      </c>
      <c r="E14" s="80" t="s">
        <v>1617</v>
      </c>
    </row>
    <row r="15" spans="1:5">
      <c r="A15" s="754" t="s">
        <v>163</v>
      </c>
      <c r="B15" s="3" t="s">
        <v>164</v>
      </c>
      <c r="C15" s="764">
        <f>IF(addon_I="add-on",1,0)</f>
        <v>1</v>
      </c>
      <c r="D15" s="671"/>
      <c r="E15" s="80"/>
    </row>
    <row r="16" spans="1:5">
      <c r="A16" s="671"/>
      <c r="B16" s="40"/>
      <c r="C16" s="756"/>
      <c r="D16" s="671"/>
    </row>
    <row r="17" spans="1:6">
      <c r="A17" s="2" t="s">
        <v>2178</v>
      </c>
      <c r="B17" s="40"/>
      <c r="C17" s="756"/>
      <c r="D17" s="671"/>
    </row>
    <row r="18" spans="1:6">
      <c r="A18" s="754" t="s">
        <v>2299</v>
      </c>
      <c r="B18" s="3" t="s">
        <v>2304</v>
      </c>
      <c r="C18" s="741">
        <f>IF(design_type=2,1,Num_tanks_I)</f>
        <v>1</v>
      </c>
      <c r="D18" s="537" t="s">
        <v>2305</v>
      </c>
    </row>
    <row r="19" spans="1:6">
      <c r="A19" s="761" t="s">
        <v>3318</v>
      </c>
      <c r="B19" s="142" t="s">
        <v>2950</v>
      </c>
      <c r="C19" s="765">
        <f>IF(tank_geom_I="upright",1,2)</f>
        <v>1</v>
      </c>
      <c r="D19" s="537" t="s">
        <v>393</v>
      </c>
      <c r="E19" s="671"/>
    </row>
    <row r="20" spans="1:6">
      <c r="A20" s="754"/>
      <c r="B20" s="145"/>
      <c r="C20" s="142"/>
      <c r="D20" s="146"/>
      <c r="E20" s="3"/>
      <c r="F20" s="671"/>
    </row>
    <row r="21" spans="1:6">
      <c r="A21" s="752" t="s">
        <v>2649</v>
      </c>
      <c r="C21" s="756"/>
      <c r="E21" s="3"/>
      <c r="F21" s="671"/>
    </row>
    <row r="22" spans="1:6">
      <c r="A22" s="754" t="s">
        <v>2650</v>
      </c>
      <c r="B22" s="3" t="s">
        <v>2651</v>
      </c>
      <c r="C22" s="766">
        <f>IF(design_type=2,"-",max_vessel_diam_cl)</f>
        <v>14</v>
      </c>
      <c r="D22" s="537" t="s">
        <v>2302</v>
      </c>
      <c r="E22" s="3"/>
      <c r="F22" s="671"/>
    </row>
    <row r="23" spans="1:6">
      <c r="A23" s="754" t="s">
        <v>3325</v>
      </c>
      <c r="B23" s="3" t="s">
        <v>3326</v>
      </c>
      <c r="C23" s="741">
        <f>IF(design_type=2,"-",min_vessel_diam_cl)</f>
        <v>1.5</v>
      </c>
      <c r="D23" s="671" t="s">
        <v>2302</v>
      </c>
      <c r="E23" s="3"/>
      <c r="F23" s="671"/>
    </row>
    <row r="24" spans="1:6">
      <c r="A24" s="754" t="s">
        <v>3327</v>
      </c>
      <c r="B24" s="3" t="s">
        <v>1822</v>
      </c>
      <c r="C24" s="380">
        <f>IF(design_type=2,"-",IF(max_diam_override&gt;0,max_diam_override,max_diam_std_size))</f>
        <v>14</v>
      </c>
      <c r="D24" s="537" t="s">
        <v>2302</v>
      </c>
      <c r="E24" s="10" t="s">
        <v>2652</v>
      </c>
      <c r="F24" s="671"/>
    </row>
    <row r="25" spans="1:6">
      <c r="A25" s="754"/>
      <c r="C25" s="142"/>
      <c r="D25" s="146"/>
      <c r="E25" s="3"/>
      <c r="F25" s="671"/>
    </row>
    <row r="26" spans="1:6">
      <c r="A26" s="753" t="s">
        <v>1814</v>
      </c>
      <c r="C26" s="767"/>
      <c r="E26" s="11"/>
    </row>
    <row r="27" spans="1:6">
      <c r="A27" s="754" t="s">
        <v>3235</v>
      </c>
      <c r="B27" s="3" t="s">
        <v>35</v>
      </c>
      <c r="C27" s="671">
        <f>IF(design_type=2,"-",EBCT/Num_tanks)</f>
        <v>4</v>
      </c>
      <c r="D27" s="537" t="s">
        <v>2301</v>
      </c>
    </row>
    <row r="28" spans="1:6">
      <c r="A28" s="754" t="s">
        <v>31</v>
      </c>
      <c r="B28" s="3" t="s">
        <v>32</v>
      </c>
      <c r="C28" s="671">
        <f>IF(tank_geom=1,(comm_diam-(2*Vessel_thickness))^2*PI()/4,IF(tank_geom=2,(comm_diam-(2*Vessel_thickness))*comm_height_length))</f>
        <v>56.745017305465637</v>
      </c>
      <c r="D28" s="537" t="s">
        <v>3238</v>
      </c>
    </row>
    <row r="29" spans="1:6">
      <c r="A29" s="754" t="s">
        <v>1347</v>
      </c>
      <c r="B29" s="3" t="s">
        <v>1348</v>
      </c>
      <c r="C29" s="943" t="str">
        <f>IF(design_type=2,"-",IF(tank_geom=2,comm_diam-bed_depth-horiz_underdrain,"NA"))</f>
        <v>NA</v>
      </c>
      <c r="D29" s="537" t="s">
        <v>127</v>
      </c>
    </row>
    <row r="30" spans="1:6">
      <c r="A30" s="754" t="s">
        <v>1349</v>
      </c>
      <c r="B30" s="3" t="s">
        <v>1350</v>
      </c>
      <c r="C30" s="790" t="str">
        <f>IF(design_type=2,"-",IF(tank_geom=2,comm_height_length*(comm_diam*comm_diam/2*ASIN(SQRT(distance_above/comm_diam))-(comm_diam/2-distance_above)*SQRT((comm_diam-distance_above)*distance_above)),"NA"))</f>
        <v>NA</v>
      </c>
      <c r="D30" s="537" t="s">
        <v>1880</v>
      </c>
    </row>
    <row r="31" spans="1:6">
      <c r="A31" s="754" t="s">
        <v>33</v>
      </c>
      <c r="B31" s="3" t="s">
        <v>34</v>
      </c>
      <c r="C31" s="756">
        <f>IF(design_type=2,"-",IF(tank_geom=1,(max_sa*bed_depth*7.48)/EBCT_tank,media_volume*7.48/EBCT_tank))</f>
        <v>519.95459356998174</v>
      </c>
      <c r="D31" s="537" t="s">
        <v>1831</v>
      </c>
    </row>
    <row r="32" spans="1:6">
      <c r="A32" s="754" t="s">
        <v>1359</v>
      </c>
      <c r="B32" s="3" t="s">
        <v>1507</v>
      </c>
      <c r="C32" s="671">
        <f>IF(design_type=2,"-",ROUNDUP(design_flow_rate/flow_per_vessel,0))</f>
        <v>1</v>
      </c>
      <c r="D32" s="537" t="s">
        <v>1508</v>
      </c>
    </row>
    <row r="33" spans="1:5">
      <c r="A33" s="754" t="s">
        <v>1770</v>
      </c>
      <c r="B33" s="3" t="s">
        <v>1771</v>
      </c>
      <c r="C33" s="671">
        <f>IF(design_type=2,"-",ROUNDUP(design_flow_rate/flow_per_vessel,0)*Num_tanks)</f>
        <v>1</v>
      </c>
      <c r="D33" s="537" t="s">
        <v>2305</v>
      </c>
    </row>
    <row r="34" spans="1:5">
      <c r="A34" s="754" t="s">
        <v>1509</v>
      </c>
      <c r="B34" s="3" t="s">
        <v>1510</v>
      </c>
      <c r="C34" s="671">
        <f>IF(design_type=2,"-",IF(NRD_I&lt;&gt;"",NRD_I,IF(design_flow&gt;=1,ROUNDUP(num_treat_lines/redund_freq,0),IF(op_num_tanks=1,NRD_small_1,NRD_small))))</f>
        <v>0</v>
      </c>
      <c r="D34" s="537" t="s">
        <v>2305</v>
      </c>
      <c r="E34" s="12"/>
    </row>
    <row r="35" spans="1:5">
      <c r="A35" s="754" t="s">
        <v>1768</v>
      </c>
      <c r="B35" s="3" t="s">
        <v>1769</v>
      </c>
      <c r="C35" s="671">
        <f>IF(design_type=2,0,op_num_tanks+NRD)</f>
        <v>1</v>
      </c>
      <c r="D35" s="537" t="s">
        <v>2305</v>
      </c>
    </row>
    <row r="36" spans="1:5">
      <c r="A36" s="754"/>
      <c r="C36" s="671"/>
    </row>
    <row r="37" spans="1:5" s="671" customFormat="1">
      <c r="A37" s="753" t="s">
        <v>2259</v>
      </c>
      <c r="B37" s="40"/>
    </row>
    <row r="38" spans="1:5">
      <c r="A38" s="760" t="s">
        <v>1815</v>
      </c>
      <c r="B38" s="3" t="s">
        <v>1879</v>
      </c>
      <c r="C38" s="764">
        <f>IF(design_type=2,"-",design_flow_rate*EBCT/(7.481))</f>
        <v>274.77015847554549</v>
      </c>
      <c r="D38" s="537" t="s">
        <v>1880</v>
      </c>
    </row>
    <row r="39" spans="1:5">
      <c r="A39" s="760" t="s">
        <v>1816</v>
      </c>
      <c r="B39" s="3" t="s">
        <v>1881</v>
      </c>
      <c r="C39" s="764">
        <f>IF(design_type=2,"-",contact_material/op_num_tanks)</f>
        <v>274.77015847554549</v>
      </c>
      <c r="D39" s="537" t="s">
        <v>1880</v>
      </c>
    </row>
    <row r="40" spans="1:5">
      <c r="A40" s="760" t="s">
        <v>1143</v>
      </c>
      <c r="B40" s="3" t="s">
        <v>1882</v>
      </c>
      <c r="C40" s="764">
        <f>IF(design_type=2,"-",contact_mat_per_vessel/(bed_depth))</f>
        <v>56.075542546029688</v>
      </c>
      <c r="D40" s="537" t="s">
        <v>3238</v>
      </c>
    </row>
    <row r="41" spans="1:5">
      <c r="A41" s="754"/>
      <c r="C41" s="764"/>
    </row>
    <row r="42" spans="1:5">
      <c r="A42" s="753" t="s">
        <v>153</v>
      </c>
      <c r="C42" s="764"/>
    </row>
    <row r="43" spans="1:5">
      <c r="A43" s="760" t="s">
        <v>1817</v>
      </c>
      <c r="B43" s="40" t="s">
        <v>1819</v>
      </c>
      <c r="C43" s="671">
        <f>IF(design_type=2,"-",IF(tank_geom=1,(comm_diam-(2*Vessel_thickness))^2*PI()/4,IF(tank_geom=2,(comm_diam-(2*Vessel_thickness))*comm_height_length)))</f>
        <v>56.745017305465637</v>
      </c>
      <c r="D43" s="537" t="s">
        <v>3238</v>
      </c>
    </row>
    <row r="44" spans="1:5">
      <c r="A44" s="760" t="s">
        <v>1818</v>
      </c>
      <c r="B44" s="40" t="s">
        <v>1820</v>
      </c>
      <c r="C44" s="768">
        <f>IF(design_type=2,"-",(design_flow_rate/num_treat_lines)/comm_SA)</f>
        <v>9.0561059506345689</v>
      </c>
      <c r="D44" s="537" t="s">
        <v>2547</v>
      </c>
    </row>
    <row r="45" spans="1:5">
      <c r="A45" s="760" t="s">
        <v>464</v>
      </c>
      <c r="B45" s="40" t="s">
        <v>2963</v>
      </c>
      <c r="C45" s="756">
        <f>IF(design_type=2,"-",PI()*comm_diam^2/4*comm_height_length)</f>
        <v>453.9601384437251</v>
      </c>
      <c r="D45" s="537" t="s">
        <v>1880</v>
      </c>
    </row>
    <row r="46" spans="1:5">
      <c r="A46" s="769"/>
      <c r="B46" s="40" t="s">
        <v>20</v>
      </c>
      <c r="C46" s="756">
        <f>IF(design_type=2,"-",comm_vol*7.48)</f>
        <v>3395.621835559064</v>
      </c>
      <c r="D46" s="537" t="s">
        <v>2964</v>
      </c>
    </row>
    <row r="47" spans="1:5">
      <c r="A47" s="769"/>
      <c r="B47" s="40"/>
      <c r="C47" s="756"/>
    </row>
    <row r="48" spans="1:5">
      <c r="A48" s="753" t="s">
        <v>2260</v>
      </c>
      <c r="B48" s="40"/>
      <c r="C48" s="764"/>
    </row>
    <row r="49" spans="1:5">
      <c r="A49" s="754" t="s">
        <v>2261</v>
      </c>
      <c r="B49" s="40"/>
      <c r="C49" s="764"/>
    </row>
    <row r="50" spans="1:5">
      <c r="A50" s="754" t="s">
        <v>2262</v>
      </c>
      <c r="B50" s="40" t="s">
        <v>1884</v>
      </c>
      <c r="C50" s="671">
        <f>IF(design_type=2,"-",bed_depth*(1+bed_expansion)+free_board)</f>
        <v>7.8500000000000005</v>
      </c>
      <c r="D50" s="537" t="s">
        <v>2302</v>
      </c>
    </row>
    <row r="51" spans="1:5">
      <c r="A51" s="760" t="s">
        <v>1885</v>
      </c>
      <c r="B51" s="40" t="s">
        <v>1883</v>
      </c>
      <c r="C51" s="763">
        <f>IF(design_type=2,"-",(SA*4/PI())^0.5+(2*Vessel_thickness))</f>
        <v>8.4497099513583365</v>
      </c>
      <c r="D51" s="537" t="s">
        <v>2302</v>
      </c>
    </row>
    <row r="52" spans="1:5">
      <c r="A52" s="769" t="s">
        <v>2263</v>
      </c>
      <c r="B52" s="40" t="s">
        <v>2264</v>
      </c>
      <c r="C52" s="764">
        <f>IF(design_type=2,"-",VLOOKUP(comm_diam,vessel_size_table_cl,2))</f>
        <v>6</v>
      </c>
      <c r="D52" s="537" t="s">
        <v>2302</v>
      </c>
    </row>
    <row r="53" spans="1:5">
      <c r="A53" s="769" t="s">
        <v>2265</v>
      </c>
      <c r="B53" s="40" t="s">
        <v>2266</v>
      </c>
      <c r="C53" s="764">
        <f>IF(design_type=2,"-",VLOOKUP(comm_diam,vessel_size_table_cl,3))</f>
        <v>20</v>
      </c>
      <c r="D53" s="537" t="s">
        <v>2302</v>
      </c>
    </row>
    <row r="54" spans="1:5">
      <c r="A54" s="754"/>
      <c r="C54" s="764"/>
    </row>
    <row r="55" spans="1:5" s="671" customFormat="1">
      <c r="A55" s="754" t="s">
        <v>2267</v>
      </c>
      <c r="B55" s="40"/>
    </row>
    <row r="56" spans="1:5" s="671" customFormat="1">
      <c r="A56" s="770" t="s">
        <v>452</v>
      </c>
      <c r="B56" s="3" t="s">
        <v>453</v>
      </c>
      <c r="C56" s="768">
        <f>IF(design_type=2,"-",comm_height_length*(comm_diam*comm_diam/2*ASIN(SQRT(free_board/comm_diam))-(comm_diam/2-free_board)*SQRT((comm_diam-free_board)*free_board)))</f>
        <v>10.798833643663727</v>
      </c>
      <c r="D56" s="537" t="s">
        <v>1880</v>
      </c>
      <c r="E56" s="10" t="s">
        <v>461</v>
      </c>
    </row>
    <row r="57" spans="1:5" s="671" customFormat="1">
      <c r="A57" s="770" t="s">
        <v>454</v>
      </c>
      <c r="B57" s="3" t="s">
        <v>455</v>
      </c>
      <c r="C57" s="768">
        <f>IF(design_type=2,"-",comm_height_length*(comm_diam*comm_diam/2*ASIN(SQRT(horiz_underdrain/comm_diam))-(comm_diam/2-horiz_underdrain)*SQRT((comm_diam-horiz_underdrain)*horiz_underdrain)))</f>
        <v>54.004308121350306</v>
      </c>
      <c r="D57" s="537" t="s">
        <v>1880</v>
      </c>
    </row>
    <row r="58" spans="1:5" s="671" customFormat="1">
      <c r="A58" s="771" t="s">
        <v>456</v>
      </c>
      <c r="B58" s="3" t="s">
        <v>457</v>
      </c>
      <c r="C58" s="768">
        <f>IF(design_type=2,"-",freeboard_horiz_void+underdrain_horiz_void)</f>
        <v>64.803141765014033</v>
      </c>
      <c r="D58" s="537" t="s">
        <v>1880</v>
      </c>
    </row>
    <row r="59" spans="1:5" s="671" customFormat="1">
      <c r="A59" s="754"/>
      <c r="B59" s="40"/>
    </row>
    <row r="60" spans="1:5">
      <c r="A60" s="754" t="s">
        <v>1721</v>
      </c>
    </row>
    <row r="61" spans="1:5">
      <c r="A61" s="770" t="s">
        <v>1722</v>
      </c>
      <c r="B61" s="3" t="s">
        <v>1723</v>
      </c>
      <c r="C61" s="772">
        <f>IF(design_type=2,"-",(comm_height_length-free_board)*PI()*comm_diam^2/4)</f>
        <v>425.58762979099225</v>
      </c>
      <c r="D61" s="537" t="s">
        <v>1880</v>
      </c>
    </row>
    <row r="62" spans="1:5">
      <c r="A62" s="770" t="s">
        <v>1724</v>
      </c>
      <c r="B62" s="3" t="s">
        <v>1725</v>
      </c>
      <c r="C62" s="772">
        <f>IF(design_type=2,"-",comm_vol-horiz_void)</f>
        <v>389.15699667871104</v>
      </c>
      <c r="D62" s="537" t="s">
        <v>1880</v>
      </c>
    </row>
    <row r="63" spans="1:5">
      <c r="A63" s="770" t="s">
        <v>1726</v>
      </c>
      <c r="B63" s="3" t="s">
        <v>1727</v>
      </c>
      <c r="C63" s="772">
        <f>IF(design_type=2,"-",CHOOSE(tank_geom,vert_vol_available,horiz_vol_available))</f>
        <v>425.58762979099225</v>
      </c>
      <c r="D63" s="537" t="s">
        <v>1880</v>
      </c>
      <c r="E63" s="10" t="s">
        <v>2258</v>
      </c>
    </row>
    <row r="64" spans="1:5">
      <c r="A64" s="754"/>
    </row>
    <row r="65" spans="1:5">
      <c r="A65" s="2" t="s">
        <v>2179</v>
      </c>
    </row>
    <row r="66" spans="1:5">
      <c r="A66" s="754" t="s">
        <v>2180</v>
      </c>
      <c r="B66" s="40" t="s">
        <v>2181</v>
      </c>
      <c r="C66" s="756" t="str">
        <f>IF(design_type=1,"-",design_flow_rate*EBCT/7.48)</f>
        <v>-</v>
      </c>
      <c r="D66" s="537" t="s">
        <v>1808</v>
      </c>
    </row>
    <row r="67" spans="1:5">
      <c r="A67" s="754" t="s">
        <v>2182</v>
      </c>
      <c r="B67" s="40" t="s">
        <v>2183</v>
      </c>
      <c r="C67" s="671" t="str">
        <f>IF(design_type=1,"-",ROUNDUP(min_basin_vol/(basin_width*basin_length*basin_op_depth),0))</f>
        <v>-</v>
      </c>
    </row>
    <row r="68" spans="1:5">
      <c r="A68" s="754" t="s">
        <v>2184</v>
      </c>
      <c r="B68" s="40" t="s">
        <v>2185</v>
      </c>
      <c r="C68" s="763" t="str">
        <f>IF(design_type=1,"-",basin_op_depth*(1+bed_expansion)+basin_freeboard)</f>
        <v>-</v>
      </c>
      <c r="D68" s="537" t="s">
        <v>127</v>
      </c>
    </row>
    <row r="69" spans="1:5">
      <c r="A69" s="754" t="s">
        <v>2186</v>
      </c>
      <c r="B69" s="40" t="s">
        <v>2187</v>
      </c>
      <c r="C69" s="756" t="str">
        <f>IF(design_type=1,"-",basin_width*basin_length*basin_depth*7.48)</f>
        <v>-</v>
      </c>
      <c r="D69" s="537" t="s">
        <v>2964</v>
      </c>
    </row>
    <row r="70" spans="1:5">
      <c r="A70" s="754" t="s">
        <v>2188</v>
      </c>
      <c r="B70" s="40" t="s">
        <v>2199</v>
      </c>
      <c r="C70" s="773" t="str">
        <f>IF(design_type=1,"-",design_flow_rate/(op_num_basins*(basin_width*basin_length)))</f>
        <v>-</v>
      </c>
      <c r="D70" s="537" t="s">
        <v>2547</v>
      </c>
    </row>
    <row r="71" spans="1:5">
      <c r="A71" s="754" t="s">
        <v>2189</v>
      </c>
      <c r="B71" s="40" t="s">
        <v>2200</v>
      </c>
      <c r="C71" s="774" t="str">
        <f>IF(design_type=1,"-",IF(NRD_I&lt;&gt;"",NRD_I,IF(op_num_basins=1,NRD_small_1,CHOOSE(ss_cat2,NRD_small,NRD_basins_medium,NRD_basins_large))))</f>
        <v>-</v>
      </c>
      <c r="D71" s="537" t="s">
        <v>2305</v>
      </c>
    </row>
    <row r="72" spans="1:5">
      <c r="A72" s="754" t="s">
        <v>2190</v>
      </c>
      <c r="B72" s="40" t="s">
        <v>2173</v>
      </c>
      <c r="C72" s="537">
        <f>IF(design_type=1,0,op_num_basins+NRD_g)</f>
        <v>0</v>
      </c>
      <c r="D72" s="537" t="s">
        <v>2305</v>
      </c>
    </row>
    <row r="73" spans="1:5">
      <c r="A73" s="754" t="s">
        <v>2141</v>
      </c>
      <c r="B73" s="40" t="s">
        <v>2191</v>
      </c>
      <c r="C73" s="757">
        <f>IF(design_type=1,0,(2*(basin_width*total_num_basins+conc_thick*(total_num_basins+1))*basin_depth*conc_thick+(total_num_basins+1)*basin_length*basin_depth*conc_thick+(basin_length+2*conc_thick)*(basin_width*total_num_basins+conc_thick*(total_num_basins+1))*conc_thick)/27)</f>
        <v>0</v>
      </c>
      <c r="D73" s="537" t="s">
        <v>1794</v>
      </c>
      <c r="E73" s="477" t="s">
        <v>2203</v>
      </c>
    </row>
    <row r="74" spans="1:5">
      <c r="A74" s="754" t="s">
        <v>2192</v>
      </c>
      <c r="B74" s="40" t="s">
        <v>2193</v>
      </c>
      <c r="C74" s="757" t="str">
        <f>IF(design_type=1,"-",((total_num_basins*basin_width+(total_num_basins+1)*conc_thick+overexcavate)*(basin_length+2*conc_thick+overexcavate)*(basin_depth+conc_thick+overexcavate)+0.5*(3*(basin_depth+conc_thick+overexcavate)*(basin_depth+conc_thick+overexcavate)*(basin_length+2*conc_thick+overexcavate)))/27)</f>
        <v>-</v>
      </c>
      <c r="D74" s="537" t="s">
        <v>1794</v>
      </c>
      <c r="E74" s="477" t="s">
        <v>2204</v>
      </c>
    </row>
    <row r="75" spans="1:5">
      <c r="A75" s="754" t="s">
        <v>2142</v>
      </c>
      <c r="B75" s="40" t="s">
        <v>2194</v>
      </c>
      <c r="C75" s="757" t="str">
        <f>IF(design_type=1,"-",excavation_vol-(total_num_basins*basin_width+(total_num_basins+1)*conc_thick)*(basin_length+2*conc_thick)*(basin_depth+conc_thick)/27)</f>
        <v>-</v>
      </c>
      <c r="D75" s="537" t="s">
        <v>1794</v>
      </c>
    </row>
    <row r="76" spans="1:5">
      <c r="A76" s="754" t="s">
        <v>1774</v>
      </c>
      <c r="B76" s="40" t="s">
        <v>2195</v>
      </c>
      <c r="C76" s="537" t="str">
        <f>IF(design_type=1,"-",2*(total_num_basins*basin_width+2*conc_thick/2+(total_num_basins-1)*conc_thick)+2*(basin_length+2*conc_thick/2))</f>
        <v>-</v>
      </c>
      <c r="D76" s="537" t="s">
        <v>2625</v>
      </c>
      <c r="E76" s="477" t="s">
        <v>2205</v>
      </c>
    </row>
    <row r="77" spans="1:5">
      <c r="A77" s="754" t="s">
        <v>2197</v>
      </c>
      <c r="B77" s="40" t="s">
        <v>2198</v>
      </c>
      <c r="C77" s="537" t="str">
        <f>IF(design_type=1,"-",basin_width*basin_length)</f>
        <v>-</v>
      </c>
      <c r="D77" s="537" t="s">
        <v>1664</v>
      </c>
      <c r="E77" s="387" t="s">
        <v>2206</v>
      </c>
    </row>
    <row r="78" spans="1:5">
      <c r="B78" s="40"/>
      <c r="E78" s="477"/>
    </row>
    <row r="79" spans="1:5">
      <c r="A79" s="2" t="s">
        <v>2207</v>
      </c>
    </row>
    <row r="80" spans="1:5">
      <c r="A80" s="754" t="s">
        <v>2196</v>
      </c>
      <c r="B80" s="3" t="s">
        <v>462</v>
      </c>
      <c r="C80" s="764">
        <f>IF(design_type=1,IF(tank_geom=1,comm_SA*bed_depth,IF(tank_geom=2,comm_vol-underdrain_horiz_void-void_above)),basin_width*basin_length*basin_op_depth)</f>
        <v>278.05058479678166</v>
      </c>
      <c r="D80" s="537" t="s">
        <v>1880</v>
      </c>
    </row>
    <row r="81" spans="1:4">
      <c r="A81" s="754" t="s">
        <v>2779</v>
      </c>
      <c r="B81" s="40" t="s">
        <v>2780</v>
      </c>
      <c r="C81" s="756">
        <f>media_volume*GAC_density</f>
        <v>8341.5175439034501</v>
      </c>
      <c r="D81" s="537" t="s">
        <v>2338</v>
      </c>
    </row>
    <row r="82" spans="1:4">
      <c r="A82" s="754" t="s">
        <v>2778</v>
      </c>
      <c r="B82" s="40" t="s">
        <v>1841</v>
      </c>
      <c r="C82" s="756">
        <f>GAC_each*IF(design_type=1,final_num_tanks,total_num_basins)</f>
        <v>8341.5175439034501</v>
      </c>
      <c r="D82" s="537" t="s">
        <v>2338</v>
      </c>
    </row>
    <row r="83" spans="1:4">
      <c r="A83" s="760" t="s">
        <v>1427</v>
      </c>
      <c r="B83" s="3" t="s">
        <v>463</v>
      </c>
      <c r="C83" s="764">
        <f>media_volume*(1+bed_expansion)</f>
        <v>417.0758771951725</v>
      </c>
      <c r="D83" s="537" t="s">
        <v>1880</v>
      </c>
    </row>
  </sheetData>
  <phoneticPr fontId="0" type="noConversion"/>
  <hyperlinks>
    <hyperlink ref="D12" location="contam_list" display="&lt;-- 1 for perchlorate, 2 for atrazine, 3 for radon, 4 for TCE, 5 for PCE, etc." xr:uid="{00000000-0004-0000-0800-000000000000}"/>
  </hyperlinks>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E86"/>
  <sheetViews>
    <sheetView tabSelected="1" zoomScaleNormal="100" workbookViewId="0">
      <pane ySplit="3" topLeftCell="A4" activePane="bottomLeft" state="frozen"/>
      <selection pane="bottomLeft" activeCell="E13" sqref="E13"/>
    </sheetView>
  </sheetViews>
  <sheetFormatPr baseColWidth="10" defaultColWidth="9.1640625" defaultRowHeight="13"/>
  <cols>
    <col min="1" max="1" width="36.83203125" style="537" customWidth="1"/>
    <col min="2" max="2" width="18.6640625" style="3" customWidth="1"/>
    <col min="3" max="3" width="14.5" style="537" customWidth="1"/>
    <col min="4" max="4" width="12.5" style="537" customWidth="1"/>
    <col min="5" max="16384" width="9.1640625" style="537"/>
  </cols>
  <sheetData>
    <row r="1" spans="1:5">
      <c r="A1" s="1" t="s">
        <v>3398</v>
      </c>
    </row>
    <row r="3" spans="1:5">
      <c r="A3" s="208" t="s">
        <v>3396</v>
      </c>
      <c r="B3" s="209" t="s">
        <v>1433</v>
      </c>
      <c r="C3" s="210" t="s">
        <v>1434</v>
      </c>
      <c r="D3" s="209" t="s">
        <v>1435</v>
      </c>
      <c r="E3" s="209" t="s">
        <v>1436</v>
      </c>
    </row>
    <row r="4" spans="1:5">
      <c r="A4" s="2" t="s">
        <v>2223</v>
      </c>
    </row>
    <row r="5" spans="1:5" s="538" customFormat="1">
      <c r="A5" s="537" t="s">
        <v>3314</v>
      </c>
      <c r="B5" s="3" t="s">
        <v>3065</v>
      </c>
      <c r="C5" s="138">
        <f>IF(freund_type_I="carbon life value- months",1,IF(freund_type_I="calculation from Freundlich isotherm",2,IF(freund_type_I="calculation from BDST",3,4)))</f>
        <v>1</v>
      </c>
      <c r="D5" s="671" t="s">
        <v>1351</v>
      </c>
    </row>
    <row r="6" spans="1:5" s="538" customFormat="1">
      <c r="A6" s="537" t="s">
        <v>1501</v>
      </c>
      <c r="B6" s="3" t="s">
        <v>1418</v>
      </c>
      <c r="C6" s="537">
        <f>IF(regen_type_I="regeneration on-site",1,IF(regen_type_I="regeneration off-site (non-hazardous)",2,IF(regen_type_I="throwaway (non-hazardous)",3,IF(regen_type_I="regeneration off-site (hazardous)",4,IF(regen_type_I="throwaway (hazardous)",5,IF(regen_type_I="throwaway (radioactive)",6,7))))))</f>
        <v>2</v>
      </c>
      <c r="D6" s="538" t="s">
        <v>2863</v>
      </c>
    </row>
    <row r="8" spans="1:5">
      <c r="A8" s="537" t="s">
        <v>128</v>
      </c>
      <c r="B8" s="3" t="s">
        <v>129</v>
      </c>
      <c r="C8" s="538">
        <f>back_interval_I</f>
        <v>168</v>
      </c>
      <c r="D8" s="537" t="s">
        <v>2937</v>
      </c>
      <c r="E8" s="10"/>
    </row>
    <row r="9" spans="1:5">
      <c r="A9" s="671" t="s">
        <v>2025</v>
      </c>
      <c r="B9" s="40" t="s">
        <v>2107</v>
      </c>
      <c r="C9" s="138">
        <f>IF(no_backwash_I="existing pumps",1,IF(no_backwash_I="new pumps","",IF(ss_cat2=1,1,"")))</f>
        <v>1</v>
      </c>
      <c r="D9" s="537" t="s">
        <v>1107</v>
      </c>
    </row>
    <row r="10" spans="1:5">
      <c r="A10" s="537" t="s">
        <v>2026</v>
      </c>
      <c r="B10" s="3" t="s">
        <v>429</v>
      </c>
      <c r="C10" s="138">
        <f>IF(no_back_tank_I="existing storage",1,IF(no_back_tank_I="new storage","",IF(ss_cat2=2,"",1)))</f>
        <v>1</v>
      </c>
      <c r="D10" s="537" t="s">
        <v>1108</v>
      </c>
    </row>
    <row r="12" spans="1:5">
      <c r="A12" s="2" t="s">
        <v>771</v>
      </c>
    </row>
    <row r="13" spans="1:5">
      <c r="A13" s="537" t="s">
        <v>2782</v>
      </c>
      <c r="B13" s="3" t="s">
        <v>1742</v>
      </c>
      <c r="C13" s="756">
        <f>ROUND(h2oflush_backwash_rate*IF(design_type=1,comm_SA,basin_width*basin_length),0)</f>
        <v>681</v>
      </c>
      <c r="D13" s="537" t="s">
        <v>1831</v>
      </c>
    </row>
    <row r="14" spans="1:5">
      <c r="A14" s="537" t="s">
        <v>2781</v>
      </c>
      <c r="B14" s="3" t="s">
        <v>2339</v>
      </c>
      <c r="C14" s="756">
        <f>water_flush*backwash_time</f>
        <v>6810</v>
      </c>
      <c r="D14" s="537" t="s">
        <v>1834</v>
      </c>
      <c r="E14" s="10"/>
    </row>
    <row r="15" spans="1:5">
      <c r="A15" s="537" t="s">
        <v>509</v>
      </c>
      <c r="B15" s="40" t="s">
        <v>510</v>
      </c>
      <c r="C15" s="756">
        <f>total_backwash*back_multiplier/7.48</f>
        <v>910.42780748663097</v>
      </c>
      <c r="D15" s="537" t="s">
        <v>1808</v>
      </c>
      <c r="E15" s="10" t="s">
        <v>1793</v>
      </c>
    </row>
    <row r="16" spans="1:5">
      <c r="A16" s="537" t="s">
        <v>511</v>
      </c>
      <c r="B16" s="3" t="s">
        <v>512</v>
      </c>
      <c r="C16" s="537">
        <f>IF(no_back_tank=1,0,IF(design_flow&gt;no_back_tank,0,back_basins_default))</f>
        <v>0</v>
      </c>
      <c r="D16" s="537" t="s">
        <v>2305</v>
      </c>
      <c r="E16" s="10" t="s">
        <v>1793</v>
      </c>
    </row>
    <row r="17" spans="1:5">
      <c r="A17" s="537" t="s">
        <v>513</v>
      </c>
      <c r="B17" s="40" t="s">
        <v>514</v>
      </c>
      <c r="C17" s="756">
        <f>IF(back_basins=0,0,ROUNDUP((back_vol_ft/back_basins)^(1/3)*back_ratio,0))</f>
        <v>0</v>
      </c>
      <c r="D17" s="537" t="s">
        <v>2302</v>
      </c>
      <c r="E17" s="10" t="s">
        <v>1793</v>
      </c>
    </row>
    <row r="18" spans="1:5">
      <c r="A18" s="537" t="s">
        <v>515</v>
      </c>
      <c r="B18" s="40" t="s">
        <v>516</v>
      </c>
      <c r="C18" s="756">
        <f>IF(back_basins=0,0,ROUNDUP(((back_vol_ft/back_basins)/back_basin_op_depth)^0.5,0))</f>
        <v>0</v>
      </c>
      <c r="D18" s="537" t="s">
        <v>2302</v>
      </c>
      <c r="E18" s="10" t="s">
        <v>1793</v>
      </c>
    </row>
    <row r="19" spans="1:5">
      <c r="A19" s="537" t="s">
        <v>517</v>
      </c>
      <c r="B19" s="40" t="s">
        <v>518</v>
      </c>
      <c r="C19" s="756">
        <f>back_basin_width</f>
        <v>0</v>
      </c>
      <c r="D19" s="537" t="s">
        <v>2302</v>
      </c>
      <c r="E19" s="10" t="s">
        <v>1793</v>
      </c>
    </row>
    <row r="20" spans="1:5">
      <c r="A20" s="537" t="s">
        <v>519</v>
      </c>
      <c r="B20" s="40" t="s">
        <v>520</v>
      </c>
      <c r="C20" s="756">
        <f>IF(back_basins=0,0,back_basin_op_depth+back_freeboard)</f>
        <v>0</v>
      </c>
      <c r="D20" s="537" t="s">
        <v>2302</v>
      </c>
      <c r="E20" s="10" t="s">
        <v>1793</v>
      </c>
    </row>
    <row r="21" spans="1:5">
      <c r="A21" s="537" t="s">
        <v>521</v>
      </c>
      <c r="B21" s="40" t="s">
        <v>522</v>
      </c>
      <c r="C21" s="756">
        <f>ROUND(back_basin_width*back_basin_length*back_basin_depth*7.48,0)</f>
        <v>0</v>
      </c>
      <c r="D21" s="537" t="s">
        <v>2964</v>
      </c>
      <c r="E21" s="10" t="s">
        <v>1793</v>
      </c>
    </row>
    <row r="22" spans="1:5">
      <c r="A22" s="537" t="s">
        <v>2141</v>
      </c>
      <c r="B22" s="40" t="s">
        <v>523</v>
      </c>
      <c r="C22" s="757">
        <f>(2*(back_basin_width*back_basins+conc_thick*(back_basins+1))*back_basin_depth*conc_thick+(back_basins+1)*back_basin_length*back_basin_depth*conc_thick+(back_basin_length+2*conc_thick)*(back_basin_width*back_basins+conc_thick*(back_basins+1))*conc_thick)/27</f>
        <v>7.407407407407407E-2</v>
      </c>
      <c r="D22" s="537" t="s">
        <v>1794</v>
      </c>
      <c r="E22" s="10" t="s">
        <v>1793</v>
      </c>
    </row>
    <row r="23" spans="1:5">
      <c r="A23" s="537" t="s">
        <v>2192</v>
      </c>
      <c r="B23" s="40" t="s">
        <v>524</v>
      </c>
      <c r="C23" s="757">
        <f>IF(back_basins=0,0,((back_basins*back_basin_width+(back_basins+1)*conc_thick+overexcavate)*(back_basin_length+2*conc_thick+overexcavate)*(back_basin_depth+conc_thick+overexcavate)+0.5*(3*(back_basin_depth+conc_thick+overexcavate)*(back_basin_depth+conc_thick+overexcavate)*(back_basin_length+2*conc_thick+overexcavate)))/27)</f>
        <v>0</v>
      </c>
      <c r="D23" s="537" t="s">
        <v>1794</v>
      </c>
      <c r="E23" s="10" t="s">
        <v>1793</v>
      </c>
    </row>
    <row r="24" spans="1:5">
      <c r="A24" s="537" t="s">
        <v>2142</v>
      </c>
      <c r="B24" s="40" t="s">
        <v>525</v>
      </c>
      <c r="C24" s="756">
        <f>IF(back_basins=0,0,back_excavation_vol-(back_basins*back_basin_width+(back_basins+1)*conc_thick)*(back_basin_length+2*conc_thick)*(back_basin_depth+conc_thick)/27)</f>
        <v>0</v>
      </c>
      <c r="D24" s="537" t="s">
        <v>1794</v>
      </c>
      <c r="E24" s="10" t="s">
        <v>1793</v>
      </c>
    </row>
    <row r="25" spans="1:5">
      <c r="A25" s="537" t="s">
        <v>1774</v>
      </c>
      <c r="B25" s="40" t="s">
        <v>526</v>
      </c>
      <c r="C25" s="757">
        <f>IF(back_basins=0,0,2*(back_basins*back_basin_width+2*conc_thick/2+(back_basins-1)*conc_thick)+2*(back_basin_length+2*conc_thick/2))</f>
        <v>0</v>
      </c>
      <c r="D25" s="537" t="s">
        <v>2625</v>
      </c>
      <c r="E25" s="10" t="s">
        <v>1793</v>
      </c>
    </row>
    <row r="26" spans="1:5" s="538" customFormat="1">
      <c r="A26" s="538" t="s">
        <v>26</v>
      </c>
      <c r="B26" s="7" t="s">
        <v>27</v>
      </c>
      <c r="C26" s="668">
        <f>MAX(VLOOKUP(10^6,st_bwt_cost_cl,1)-1,VLOOKUP(10^6,fg_bwt_cost_cl,1)-1,VLOOKUP(10^6,hdpe_bwt_cost_cl,1)-1)</f>
        <v>282094</v>
      </c>
      <c r="D26" s="538" t="s">
        <v>1834</v>
      </c>
      <c r="E26" s="387" t="s">
        <v>465</v>
      </c>
    </row>
    <row r="27" spans="1:5">
      <c r="A27" s="537" t="s">
        <v>724</v>
      </c>
      <c r="B27" s="3" t="s">
        <v>725</v>
      </c>
      <c r="C27" s="758">
        <f>IF(no_back_tank=1,0,IF(design_flow&gt;no_back_tank,0,ROUNDUP(total_backwash*back_multiplier/max_back_tank_size,0)))</f>
        <v>0</v>
      </c>
      <c r="D27" s="537" t="s">
        <v>2305</v>
      </c>
      <c r="E27" s="10"/>
    </row>
    <row r="28" spans="1:5">
      <c r="A28" s="537" t="s">
        <v>29</v>
      </c>
      <c r="B28" s="3" t="s">
        <v>30</v>
      </c>
      <c r="C28" s="756">
        <f>IF(no_back_tank=1,0,IF(design_flow&gt;no_back_tank,0,total_backwash*back_multiplier/num_back_tanks))</f>
        <v>0</v>
      </c>
      <c r="D28" s="537" t="s">
        <v>1834</v>
      </c>
      <c r="E28" s="10"/>
    </row>
    <row r="29" spans="1:5">
      <c r="C29" s="671"/>
    </row>
    <row r="30" spans="1:5">
      <c r="A30" s="631" t="s">
        <v>1417</v>
      </c>
      <c r="B30" s="40"/>
      <c r="C30" s="671"/>
      <c r="D30" s="671"/>
      <c r="E30" s="671"/>
    </row>
    <row r="31" spans="1:5">
      <c r="A31" s="671" t="s">
        <v>2783</v>
      </c>
      <c r="B31" s="40" t="s">
        <v>2784</v>
      </c>
      <c r="C31" s="756">
        <f>IF(design_type=1,GAC_each*num_treat_lines,GAC)*453.59</f>
        <v>3783628.9427391659</v>
      </c>
      <c r="D31" s="671" t="s">
        <v>2631</v>
      </c>
      <c r="E31" s="62" t="s">
        <v>2785</v>
      </c>
    </row>
    <row r="32" spans="1:5">
      <c r="A32" s="671" t="s">
        <v>2786</v>
      </c>
      <c r="B32" s="40" t="s">
        <v>2787</v>
      </c>
      <c r="C32" s="759">
        <f>average_flow_rate*3.785</f>
        <v>659.74652777777771</v>
      </c>
      <c r="D32" s="671" t="s">
        <v>2788</v>
      </c>
      <c r="E32" s="62" t="s">
        <v>2785</v>
      </c>
    </row>
    <row r="33" spans="1:5">
      <c r="A33" s="671" t="s">
        <v>2789</v>
      </c>
      <c r="B33" s="40" t="s">
        <v>2790</v>
      </c>
      <c r="C33" s="756">
        <f>freund_1*GAC_density*453.59/0.02832</f>
        <v>5765974.5762711857</v>
      </c>
      <c r="D33" s="671" t="s">
        <v>2791</v>
      </c>
      <c r="E33" s="62" t="s">
        <v>2588</v>
      </c>
    </row>
    <row r="34" spans="1:5">
      <c r="A34" s="671" t="s">
        <v>2589</v>
      </c>
      <c r="B34" s="40" t="s">
        <v>2590</v>
      </c>
      <c r="C34" s="759">
        <f>QL*0.001/IF(design_type=1,comm_SA*num_treat_lines*0.093,basin_width*basin_length*total_num_basins*0.093)</f>
        <v>0.12501623970954825</v>
      </c>
      <c r="D34" s="671" t="s">
        <v>2591</v>
      </c>
      <c r="E34" s="62" t="s">
        <v>2588</v>
      </c>
    </row>
    <row r="35" spans="1:5">
      <c r="A35" s="671" t="s">
        <v>2592</v>
      </c>
      <c r="B35" s="40" t="s">
        <v>2593</v>
      </c>
      <c r="C35" s="671">
        <f>IF(design_type=1,bed_depth,basin_op_depth)*0.3048</f>
        <v>1.4935200000000002</v>
      </c>
      <c r="D35" s="671" t="s">
        <v>2594</v>
      </c>
      <c r="E35" s="62" t="s">
        <v>2588</v>
      </c>
    </row>
    <row r="36" spans="1:5">
      <c r="A36" s="671" t="s">
        <v>2595</v>
      </c>
      <c r="B36" s="40" t="s">
        <v>2596</v>
      </c>
      <c r="C36" s="81">
        <f>CHOOSE(freund_type,freund_1,(M*(freund_1/1000)*(C_0*1000)^freund_2/(QL*(C_0-C_b)))/(30*24*60),(N_0_e/(1000*v*C_0)*D-LOG(C_0/C_b-1)/(freund_2*C_0))/(30*24*60),freund_1*IF(design_type=1,comm_SA*bed_depth*num_treat_lines,basin_width*basin_length*basin_op_depth*op_num_basins)*7.48/average_flow_rate/60/24/30)</f>
        <v>12</v>
      </c>
      <c r="D36" s="671" t="s">
        <v>2597</v>
      </c>
      <c r="E36" s="671"/>
    </row>
    <row r="37" spans="1:5">
      <c r="A37" s="78"/>
      <c r="B37" s="40"/>
      <c r="C37" s="671"/>
      <c r="D37" s="671"/>
      <c r="E37" s="671"/>
    </row>
    <row r="38" spans="1:5">
      <c r="A38" s="671" t="s">
        <v>2598</v>
      </c>
      <c r="B38" s="40" t="s">
        <v>2599</v>
      </c>
      <c r="C38" s="756">
        <f>GAC_each*IF(design_type=1,op_num_tanks,op_num_basins)/(bed_life/12)/365</f>
        <v>22.853472723023152</v>
      </c>
      <c r="D38" s="671" t="s">
        <v>125</v>
      </c>
      <c r="E38" s="671"/>
    </row>
    <row r="39" spans="1:5">
      <c r="A39" s="671" t="s">
        <v>2600</v>
      </c>
      <c r="B39" s="40" t="s">
        <v>2601</v>
      </c>
      <c r="C39" s="756">
        <f>(regen_day/regen_runtime)*regen_redund</f>
        <v>26.886438497674298</v>
      </c>
      <c r="D39" s="671" t="s">
        <v>125</v>
      </c>
      <c r="E39" s="62" t="s">
        <v>1798</v>
      </c>
    </row>
    <row r="40" spans="1:5">
      <c r="A40" s="671" t="s">
        <v>3641</v>
      </c>
      <c r="B40" s="40" t="s">
        <v>3642</v>
      </c>
      <c r="C40" s="756">
        <f>VLOOKUP(10^6,on_regen_cost_cl,1)-1</f>
        <v>100000</v>
      </c>
      <c r="D40" s="671" t="s">
        <v>125</v>
      </c>
      <c r="E40" s="387" t="s">
        <v>3216</v>
      </c>
    </row>
    <row r="41" spans="1:5">
      <c r="A41" s="671" t="s">
        <v>3643</v>
      </c>
      <c r="B41" s="40" t="s">
        <v>3644</v>
      </c>
      <c r="C41" s="756">
        <f>IF(regen_type=1,ROUNDUP(regen_capacity/max_furnace_size,0),0)</f>
        <v>0</v>
      </c>
      <c r="D41" s="671" t="s">
        <v>2305</v>
      </c>
      <c r="E41" s="387"/>
    </row>
    <row r="42" spans="1:5">
      <c r="A42" s="671" t="s">
        <v>3645</v>
      </c>
      <c r="B42" s="40" t="s">
        <v>3646</v>
      </c>
      <c r="C42" s="756">
        <f>IF(num_furnaces=0,0,regen_capacity/num_furnaces)</f>
        <v>0</v>
      </c>
      <c r="D42" s="671" t="s">
        <v>125</v>
      </c>
      <c r="E42" s="62"/>
    </row>
    <row r="43" spans="1:5">
      <c r="A43" s="671" t="s">
        <v>1799</v>
      </c>
      <c r="B43" s="40" t="s">
        <v>1800</v>
      </c>
      <c r="C43" s="756">
        <f>regen_day*365</f>
        <v>8341.5175439034501</v>
      </c>
      <c r="D43" s="671" t="s">
        <v>716</v>
      </c>
      <c r="E43" s="62" t="s">
        <v>1801</v>
      </c>
    </row>
    <row r="44" spans="1:5">
      <c r="A44" s="671" t="s">
        <v>1802</v>
      </c>
      <c r="B44" s="40" t="s">
        <v>1803</v>
      </c>
      <c r="C44" s="756">
        <f>CHOOSE(regen_type,(1-makeup_rate)*GAC_yr,(1-makeup_rate_off)*GAC_yr,0,(1-makeup_rate_off)*GAC_yr,0,0,0)</f>
        <v>5839.0622807324144</v>
      </c>
      <c r="D44" s="671" t="s">
        <v>716</v>
      </c>
      <c r="E44" s="671"/>
    </row>
    <row r="45" spans="1:5">
      <c r="A45" s="671" t="s">
        <v>1804</v>
      </c>
      <c r="B45" s="40" t="s">
        <v>1805</v>
      </c>
      <c r="C45" s="756">
        <f>CHOOSE(regen_type,makeup_rate*GAC_yr,makeup_rate_off*GAC_yr,GAC_yr,makeup_rate_off*GAC_yr,GAC_yr,GAC_yr,GAC_yr)</f>
        <v>2502.4552631710349</v>
      </c>
      <c r="D45" s="671" t="s">
        <v>716</v>
      </c>
      <c r="E45" s="671"/>
    </row>
    <row r="46" spans="1:5">
      <c r="A46" s="671"/>
      <c r="B46" s="40"/>
      <c r="C46" s="756"/>
      <c r="D46" s="671"/>
      <c r="E46" s="671"/>
    </row>
    <row r="47" spans="1:5">
      <c r="A47" s="631" t="s">
        <v>1812</v>
      </c>
      <c r="B47" s="40"/>
      <c r="C47" s="671"/>
      <c r="D47" s="671"/>
      <c r="E47" s="671"/>
    </row>
    <row r="48" spans="1:5">
      <c r="A48" s="671" t="s">
        <v>2131</v>
      </c>
      <c r="B48" s="40" t="s">
        <v>1807</v>
      </c>
      <c r="C48" s="756">
        <f>(GAC_each/GAC_density)*virgin_storage_bv</f>
        <v>369.80727777971964</v>
      </c>
      <c r="D48" s="671" t="s">
        <v>1808</v>
      </c>
      <c r="E48" s="671"/>
    </row>
    <row r="49" spans="1:5">
      <c r="A49" s="671" t="s">
        <v>47</v>
      </c>
      <c r="B49" s="40" t="s">
        <v>1809</v>
      </c>
      <c r="C49" s="756">
        <f>(GAC_each/GAC_density)*spent_storage_bv</f>
        <v>369.80727777971964</v>
      </c>
      <c r="D49" s="671" t="s">
        <v>1808</v>
      </c>
      <c r="E49" s="671"/>
    </row>
    <row r="50" spans="1:5">
      <c r="A50" s="671" t="s">
        <v>49</v>
      </c>
      <c r="B50" s="40" t="s">
        <v>1810</v>
      </c>
      <c r="C50" s="756">
        <f>(GAC_each/GAC_density)*regen_storage_bv</f>
        <v>369.80727777971964</v>
      </c>
      <c r="D50" s="671" t="s">
        <v>1808</v>
      </c>
      <c r="E50" s="671"/>
    </row>
    <row r="52" spans="1:5">
      <c r="A52" s="537" t="s">
        <v>1780</v>
      </c>
      <c r="B52" s="40" t="s">
        <v>1781</v>
      </c>
      <c r="C52" s="537">
        <f>ROUNDUP((virgin_storage/storage_basins)^(1/3)*storage_ratio,0)</f>
        <v>5</v>
      </c>
      <c r="D52" s="537" t="s">
        <v>2302</v>
      </c>
      <c r="E52" s="10" t="s">
        <v>1793</v>
      </c>
    </row>
    <row r="53" spans="1:5">
      <c r="A53" s="537" t="s">
        <v>1775</v>
      </c>
      <c r="B53" s="40" t="s">
        <v>1782</v>
      </c>
      <c r="C53" s="537">
        <f>ROUNDUP(((virgin_storage/storage_basins)/virgin_basin_op_depth)^0.5,0)</f>
        <v>9</v>
      </c>
      <c r="D53" s="537" t="s">
        <v>2302</v>
      </c>
      <c r="E53" s="10" t="s">
        <v>1793</v>
      </c>
    </row>
    <row r="54" spans="1:5">
      <c r="A54" s="537" t="s">
        <v>1776</v>
      </c>
      <c r="B54" s="40" t="s">
        <v>1783</v>
      </c>
      <c r="C54" s="537">
        <f>virgin_basin_width</f>
        <v>9</v>
      </c>
      <c r="D54" s="537" t="s">
        <v>2302</v>
      </c>
      <c r="E54" s="10" t="s">
        <v>1793</v>
      </c>
    </row>
    <row r="55" spans="1:5">
      <c r="A55" s="537" t="s">
        <v>1792</v>
      </c>
      <c r="B55" s="40" t="s">
        <v>1784</v>
      </c>
      <c r="C55" s="537">
        <f>virgin_basin_op_depth+storage_freeboard</f>
        <v>8</v>
      </c>
      <c r="D55" s="537" t="s">
        <v>2302</v>
      </c>
      <c r="E55" s="10" t="s">
        <v>1793</v>
      </c>
    </row>
    <row r="56" spans="1:5">
      <c r="A56" s="537" t="s">
        <v>1777</v>
      </c>
      <c r="B56" s="40" t="s">
        <v>1785</v>
      </c>
      <c r="C56" s="757">
        <f>ROUND(virgin_basin_width*virgin_basin_length*virgin_basin_depth*7.48,0)</f>
        <v>4847</v>
      </c>
      <c r="D56" s="537" t="s">
        <v>2964</v>
      </c>
      <c r="E56" s="10" t="s">
        <v>1793</v>
      </c>
    </row>
    <row r="57" spans="1:5">
      <c r="A57" s="537" t="s">
        <v>2141</v>
      </c>
      <c r="B57" s="40" t="s">
        <v>1786</v>
      </c>
      <c r="C57" s="537">
        <f>ROUNDUP(((2*virgin_basin_depth*virgin_basin_length+2*virgin_basin_depth*virgin_basin_width+virgin_basin_width*virgin_basin_length)*1.2*conc_thick*storage_basins)/27,0)</f>
        <v>17</v>
      </c>
      <c r="D57" s="537" t="s">
        <v>1794</v>
      </c>
      <c r="E57" s="10" t="s">
        <v>1793</v>
      </c>
    </row>
    <row r="58" spans="1:5">
      <c r="B58" s="40" t="s">
        <v>1787</v>
      </c>
      <c r="C58" s="537">
        <f>ROUNDUP(((virgin_basin_width+overexcavate)*(virgin_basin_length+overexcavate)*(virgin_basin_depth+overexcavate)+0.5*(3*(virgin_basin_depth+overexcavate)*(virgin_basin_width+overexcavate)*(virgin_basin_depth+overexcavate)))*storage_basins/27,0)</f>
        <v>180</v>
      </c>
      <c r="D58" s="537" t="s">
        <v>1794</v>
      </c>
      <c r="E58" s="10" t="s">
        <v>1793</v>
      </c>
    </row>
    <row r="59" spans="1:5">
      <c r="A59" s="537" t="s">
        <v>2142</v>
      </c>
      <c r="B59" s="40" t="s">
        <v>1788</v>
      </c>
      <c r="C59" s="537">
        <f>ROUNDUP(virgin_excavation_vol-(virgin_basin_width*virgin_basin_length*virgin_basin_depth*storage_basins)/27,0)</f>
        <v>156</v>
      </c>
      <c r="D59" s="537" t="s">
        <v>1794</v>
      </c>
      <c r="E59" s="10" t="s">
        <v>1793</v>
      </c>
    </row>
    <row r="60" spans="1:5">
      <c r="A60" s="537" t="s">
        <v>1774</v>
      </c>
      <c r="B60" s="40" t="s">
        <v>1789</v>
      </c>
      <c r="C60" s="537">
        <f>(virgin_basin_width*2+virgin_basin_length*2)*storage_basins*2</f>
        <v>72</v>
      </c>
      <c r="D60" s="537" t="s">
        <v>2625</v>
      </c>
      <c r="E60" s="10" t="s">
        <v>1793</v>
      </c>
    </row>
    <row r="61" spans="1:5">
      <c r="A61" s="537" t="s">
        <v>1778</v>
      </c>
      <c r="B61" s="40" t="s">
        <v>1790</v>
      </c>
      <c r="C61" s="537">
        <f>ROUNDUP(virgin_storage*7.48/max_back_tank_size,0)</f>
        <v>1</v>
      </c>
      <c r="D61" s="537" t="s">
        <v>2305</v>
      </c>
      <c r="E61" s="10" t="s">
        <v>1795</v>
      </c>
    </row>
    <row r="62" spans="1:5">
      <c r="A62" s="537" t="s">
        <v>1779</v>
      </c>
      <c r="B62" s="40" t="s">
        <v>1791</v>
      </c>
      <c r="C62" s="757">
        <f>virgin_storage*7.48/virgin_tanks</f>
        <v>2766.1584377923032</v>
      </c>
      <c r="D62" s="537" t="s">
        <v>2964</v>
      </c>
      <c r="E62" s="10" t="s">
        <v>1795</v>
      </c>
    </row>
    <row r="64" spans="1:5">
      <c r="A64" s="537" t="s">
        <v>494</v>
      </c>
      <c r="B64" s="40" t="s">
        <v>1549</v>
      </c>
      <c r="C64" s="537">
        <f>ROUNDUP((spent_storage/storage_basins)^(1/3)*storage_ratio,0)</f>
        <v>5</v>
      </c>
      <c r="D64" s="537" t="s">
        <v>2302</v>
      </c>
      <c r="E64" s="10" t="s">
        <v>1793</v>
      </c>
    </row>
    <row r="65" spans="1:5">
      <c r="A65" s="537" t="s">
        <v>489</v>
      </c>
      <c r="B65" s="40" t="s">
        <v>479</v>
      </c>
      <c r="C65" s="537">
        <f>ROUNDUP(((spent_storage/storage_basins)/spent_basin_op_depth)^0.5,0)</f>
        <v>9</v>
      </c>
      <c r="D65" s="537" t="s">
        <v>2302</v>
      </c>
      <c r="E65" s="10" t="s">
        <v>1793</v>
      </c>
    </row>
    <row r="66" spans="1:5">
      <c r="A66" s="537" t="s">
        <v>490</v>
      </c>
      <c r="B66" s="40" t="s">
        <v>480</v>
      </c>
      <c r="C66" s="537">
        <f>spent_basin_width</f>
        <v>9</v>
      </c>
      <c r="D66" s="537" t="s">
        <v>2302</v>
      </c>
      <c r="E66" s="10" t="s">
        <v>1793</v>
      </c>
    </row>
    <row r="67" spans="1:5">
      <c r="A67" s="537" t="s">
        <v>1792</v>
      </c>
      <c r="B67" s="40" t="s">
        <v>481</v>
      </c>
      <c r="C67" s="537">
        <f>spent_basin_op_depth+storage_freeboard</f>
        <v>8</v>
      </c>
      <c r="D67" s="537" t="s">
        <v>2302</v>
      </c>
      <c r="E67" s="10" t="s">
        <v>1793</v>
      </c>
    </row>
    <row r="68" spans="1:5">
      <c r="A68" s="537" t="s">
        <v>491</v>
      </c>
      <c r="B68" s="40" t="s">
        <v>482</v>
      </c>
      <c r="C68" s="757">
        <f>ROUND(spent_basin_width*spent_basin_length*spent_basin_depth*7.48,0)</f>
        <v>4847</v>
      </c>
      <c r="D68" s="537" t="s">
        <v>2964</v>
      </c>
      <c r="E68" s="10" t="s">
        <v>1793</v>
      </c>
    </row>
    <row r="69" spans="1:5">
      <c r="A69" s="537" t="s">
        <v>2141</v>
      </c>
      <c r="B69" s="40" t="s">
        <v>483</v>
      </c>
      <c r="C69" s="537">
        <f>ROUNDUP(((2*spent_basin_depth*spent_basin_length+2*spent_basin_depth*spent_basin_width+spent_basin_width*spent_basin_length)*1.2*conc_thick*storage_basins)/27,0)</f>
        <v>17</v>
      </c>
      <c r="D69" s="537" t="s">
        <v>1794</v>
      </c>
      <c r="E69" s="10" t="s">
        <v>1793</v>
      </c>
    </row>
    <row r="70" spans="1:5">
      <c r="B70" s="40" t="s">
        <v>484</v>
      </c>
      <c r="C70" s="537">
        <f>ROUNDUP(((spent_basin_width+overexcavate)*(spent_basin_length+overexcavate)*(spent_basin_depth+overexcavate)+0.5*(3*(spent_basin_depth+overexcavate)*(spent_basin_width+overexcavate)*(spent_basin_depth+overexcavate)))*storage_basins/27,0)</f>
        <v>180</v>
      </c>
      <c r="D70" s="537" t="s">
        <v>1794</v>
      </c>
      <c r="E70" s="10" t="s">
        <v>1793</v>
      </c>
    </row>
    <row r="71" spans="1:5">
      <c r="A71" s="537" t="s">
        <v>2142</v>
      </c>
      <c r="B71" s="40" t="s">
        <v>485</v>
      </c>
      <c r="C71" s="537">
        <f>ROUNDUP(spent_excavation_vol-(spent_basin_width*spent_basin_length*spent_basin_depth*storage_basins)/27,0)</f>
        <v>156</v>
      </c>
      <c r="D71" s="537" t="s">
        <v>1794</v>
      </c>
      <c r="E71" s="10" t="s">
        <v>1793</v>
      </c>
    </row>
    <row r="72" spans="1:5">
      <c r="A72" s="537" t="s">
        <v>1774</v>
      </c>
      <c r="B72" s="40" t="s">
        <v>486</v>
      </c>
      <c r="C72" s="537">
        <f>(spent_basin_width*2+spent_basin_length*2)*storage_basins*2</f>
        <v>72</v>
      </c>
      <c r="D72" s="537" t="s">
        <v>2625</v>
      </c>
      <c r="E72" s="10" t="s">
        <v>1793</v>
      </c>
    </row>
    <row r="73" spans="1:5">
      <c r="A73" s="537" t="s">
        <v>492</v>
      </c>
      <c r="B73" s="40" t="s">
        <v>487</v>
      </c>
      <c r="C73" s="537">
        <f>ROUNDUP(spent_storage*7.48/max_back_tank_size,0)</f>
        <v>1</v>
      </c>
      <c r="D73" s="537" t="s">
        <v>2305</v>
      </c>
      <c r="E73" s="10" t="s">
        <v>1795</v>
      </c>
    </row>
    <row r="74" spans="1:5">
      <c r="A74" s="537" t="s">
        <v>493</v>
      </c>
      <c r="B74" s="40" t="s">
        <v>488</v>
      </c>
      <c r="C74" s="757">
        <f>spent_storage*7.48/spent_tanks</f>
        <v>2766.1584377923032</v>
      </c>
      <c r="D74" s="537" t="s">
        <v>2964</v>
      </c>
      <c r="E74" s="10" t="s">
        <v>1795</v>
      </c>
    </row>
    <row r="76" spans="1:5">
      <c r="A76" s="537" t="s">
        <v>2099</v>
      </c>
      <c r="B76" s="40" t="s">
        <v>2823</v>
      </c>
      <c r="C76" s="537">
        <f>ROUNDUP((regen_storage/storage_basins)^(1/3)*storage_ratio,0)</f>
        <v>5</v>
      </c>
      <c r="D76" s="537" t="s">
        <v>2302</v>
      </c>
      <c r="E76" s="10" t="s">
        <v>1793</v>
      </c>
    </row>
    <row r="77" spans="1:5">
      <c r="A77" s="537" t="s">
        <v>495</v>
      </c>
      <c r="B77" s="40" t="s">
        <v>2100</v>
      </c>
      <c r="C77" s="537">
        <f>ROUNDUP(((regen_storage/storage_basins)/regen_basin_op_depth)^0.5,0)</f>
        <v>9</v>
      </c>
      <c r="D77" s="537" t="s">
        <v>2302</v>
      </c>
      <c r="E77" s="10" t="s">
        <v>1793</v>
      </c>
    </row>
    <row r="78" spans="1:5">
      <c r="A78" s="537" t="s">
        <v>2095</v>
      </c>
      <c r="B78" s="40" t="s">
        <v>2101</v>
      </c>
      <c r="C78" s="537">
        <f>regen_basin_width</f>
        <v>9</v>
      </c>
      <c r="D78" s="537" t="s">
        <v>2302</v>
      </c>
      <c r="E78" s="10" t="s">
        <v>1793</v>
      </c>
    </row>
    <row r="79" spans="1:5">
      <c r="A79" s="537" t="s">
        <v>1792</v>
      </c>
      <c r="B79" s="40" t="s">
        <v>2102</v>
      </c>
      <c r="C79" s="537">
        <f>regen_basin_op_depth+storage_freeboard</f>
        <v>8</v>
      </c>
      <c r="D79" s="537" t="s">
        <v>2302</v>
      </c>
      <c r="E79" s="10" t="s">
        <v>1793</v>
      </c>
    </row>
    <row r="80" spans="1:5">
      <c r="A80" s="537" t="s">
        <v>2096</v>
      </c>
      <c r="B80" s="40" t="s">
        <v>2103</v>
      </c>
      <c r="C80" s="757">
        <f>ROUND(regen_basin_width*regen_basin_length*regen_basin_depth*7.48,0)</f>
        <v>4847</v>
      </c>
      <c r="D80" s="537" t="s">
        <v>2964</v>
      </c>
      <c r="E80" s="10" t="s">
        <v>1793</v>
      </c>
    </row>
    <row r="81" spans="1:5">
      <c r="A81" s="537" t="s">
        <v>2141</v>
      </c>
      <c r="B81" s="40" t="s">
        <v>2104</v>
      </c>
      <c r="C81" s="537">
        <f>ROUNDUP(((2*regen_basin_depth*regen_basin_length+2*regen_basin_depth*regen_basin_width+regen_basin_width*regen_basin_length)*1.2*conc_thick*storage_basins)/27,0)</f>
        <v>17</v>
      </c>
      <c r="D81" s="537" t="s">
        <v>1794</v>
      </c>
      <c r="E81" s="10" t="s">
        <v>1793</v>
      </c>
    </row>
    <row r="82" spans="1:5">
      <c r="B82" s="40" t="s">
        <v>2105</v>
      </c>
      <c r="C82" s="537">
        <f>ROUNDUP(((regen_basin_width+overexcavate)*(regen_basin_length+overexcavate)*(regen_basin_depth+overexcavate)+0.5*(3*(regen_basin_depth+overexcavate)*(regen_basin_width+overexcavate)*(regen_basin_depth+overexcavate)))*storage_basins/27,0)</f>
        <v>180</v>
      </c>
      <c r="D82" s="537" t="s">
        <v>1794</v>
      </c>
      <c r="E82" s="10" t="s">
        <v>1793</v>
      </c>
    </row>
    <row r="83" spans="1:5">
      <c r="A83" s="537" t="s">
        <v>2142</v>
      </c>
      <c r="B83" s="40" t="s">
        <v>2819</v>
      </c>
      <c r="C83" s="537">
        <f>ROUNDUP(regen_excavation_vol-(regen_basin_width*regen_basin_length*regen_basin_depth*storage_basins)/27,0)</f>
        <v>156</v>
      </c>
      <c r="D83" s="537" t="s">
        <v>1794</v>
      </c>
      <c r="E83" s="10" t="s">
        <v>1793</v>
      </c>
    </row>
    <row r="84" spans="1:5">
      <c r="A84" s="537" t="s">
        <v>1774</v>
      </c>
      <c r="B84" s="40" t="s">
        <v>2820</v>
      </c>
      <c r="C84" s="537">
        <f>(regen_basin_width*2+regen_basin_length*2)*storage_basins*2</f>
        <v>72</v>
      </c>
      <c r="D84" s="537" t="s">
        <v>2625</v>
      </c>
      <c r="E84" s="10" t="s">
        <v>1793</v>
      </c>
    </row>
    <row r="85" spans="1:5">
      <c r="A85" s="537" t="s">
        <v>2097</v>
      </c>
      <c r="B85" s="40" t="s">
        <v>2821</v>
      </c>
      <c r="C85" s="537">
        <f>ROUNDUP(regen_storage*7.48/max_back_tank_size,0)</f>
        <v>1</v>
      </c>
      <c r="D85" s="537" t="s">
        <v>2305</v>
      </c>
      <c r="E85" s="10" t="s">
        <v>1795</v>
      </c>
    </row>
    <row r="86" spans="1:5">
      <c r="A86" s="537" t="s">
        <v>2098</v>
      </c>
      <c r="B86" s="40" t="s">
        <v>2822</v>
      </c>
      <c r="C86" s="757">
        <f>regen_storage*7.48/regen_tanks</f>
        <v>2766.1584377923032</v>
      </c>
      <c r="D86" s="537" t="s">
        <v>2964</v>
      </c>
      <c r="E86" s="10" t="s">
        <v>1795</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E80"/>
  <sheetViews>
    <sheetView zoomScaleNormal="100" workbookViewId="0">
      <pane ySplit="3" topLeftCell="A4" activePane="bottomLeft" state="frozen"/>
      <selection pane="bottomLeft"/>
    </sheetView>
  </sheetViews>
  <sheetFormatPr baseColWidth="10" defaultColWidth="9.1640625" defaultRowHeight="13"/>
  <cols>
    <col min="1" max="1" width="47" style="537" customWidth="1"/>
    <col min="2" max="2" width="15.6640625" style="3" customWidth="1"/>
    <col min="3" max="3" width="11.33203125" style="537" bestFit="1" customWidth="1"/>
    <col min="4" max="4" width="9.1640625" style="537" customWidth="1"/>
    <col min="5" max="16384" width="9.1640625" style="537"/>
  </cols>
  <sheetData>
    <row r="1" spans="1:5">
      <c r="A1" s="1" t="s">
        <v>3400</v>
      </c>
    </row>
    <row r="3" spans="1:5">
      <c r="A3" s="208" t="s">
        <v>3396</v>
      </c>
      <c r="B3" s="209" t="s">
        <v>1433</v>
      </c>
      <c r="C3" s="210" t="s">
        <v>1434</v>
      </c>
      <c r="D3" s="209" t="s">
        <v>1435</v>
      </c>
      <c r="E3" s="209" t="s">
        <v>1436</v>
      </c>
    </row>
    <row r="4" spans="1:5">
      <c r="A4" s="2" t="s">
        <v>3399</v>
      </c>
    </row>
    <row r="5" spans="1:5">
      <c r="A5" s="537" t="s">
        <v>1416</v>
      </c>
      <c r="B5" s="3" t="s">
        <v>829</v>
      </c>
      <c r="C5" s="138">
        <f>IF(transfer_method_I="slurry pumps",1,IF(transfer_method_I="eductors",2,3))</f>
        <v>3</v>
      </c>
      <c r="D5" s="537" t="s">
        <v>395</v>
      </c>
    </row>
    <row r="6" spans="1:5">
      <c r="C6" s="138"/>
    </row>
    <row r="7" spans="1:5">
      <c r="A7" s="537" t="s">
        <v>1753</v>
      </c>
      <c r="B7" s="3" t="s">
        <v>1893</v>
      </c>
      <c r="C7" s="756">
        <f>IF(lines_pump_I="",IF(AND(ss_cat2=1,design_type=1),0,MIN(MAX(average_flow_rate+bp_flow_rate*average_flow_rate/design_flow_rate,(design_flow_rate+bp_flow_rate)/2)*(1+pump_safety_factor),max_pump_size)),IF(lines_pump_I=0,0,(design_flow_rate+bp_flow_rate)*(1+pump_safety_factor)/lines_pump_I))</f>
        <v>0</v>
      </c>
      <c r="D7" s="537" t="s">
        <v>1831</v>
      </c>
      <c r="E7" s="10" t="s">
        <v>571</v>
      </c>
    </row>
    <row r="8" spans="1:5" s="538" customFormat="1">
      <c r="A8" s="538" t="s">
        <v>24</v>
      </c>
      <c r="B8" s="7" t="s">
        <v>25</v>
      </c>
      <c r="C8" s="668">
        <f>VLOOKUP(10^6,pump_cost_cl,1)-1</f>
        <v>10000</v>
      </c>
      <c r="D8" s="538" t="s">
        <v>1831</v>
      </c>
      <c r="E8" s="387" t="s">
        <v>2214</v>
      </c>
    </row>
    <row r="9" spans="1:5" s="538" customFormat="1">
      <c r="A9" s="537" t="s">
        <v>2695</v>
      </c>
      <c r="B9" s="3" t="s">
        <v>2696</v>
      </c>
      <c r="C9" s="668">
        <f>MAX(VLOOKUP(10^6,ss_empump_cost_cl,1)-0.01,VLOOKUP(10^6,ss_mmpump_cost_cl,1)-0.01,VLOOKUP(10^6,pvc_empump_cost_cl,1)-0.01,VLOOKUP(10^6,pvc_mmpump_cost_cl,1)-0.01)</f>
        <v>360</v>
      </c>
      <c r="D9" s="537" t="s">
        <v>2685</v>
      </c>
      <c r="E9" s="10" t="s">
        <v>3334</v>
      </c>
    </row>
    <row r="10" spans="1:5">
      <c r="A10" s="537" t="s">
        <v>1891</v>
      </c>
      <c r="B10" s="3" t="s">
        <v>1892</v>
      </c>
      <c r="C10" s="671">
        <f>IF(pump_rating=0,0,ROUNDUP((design_flow_rate+bp_flow_rate)*(1+pump_safety_factor)/pump_rating,0))</f>
        <v>0</v>
      </c>
      <c r="D10" s="537" t="s">
        <v>2305</v>
      </c>
      <c r="E10" s="10" t="s">
        <v>578</v>
      </c>
    </row>
    <row r="11" spans="1:5">
      <c r="A11" s="537" t="s">
        <v>1894</v>
      </c>
      <c r="B11" s="3" t="s">
        <v>1895</v>
      </c>
      <c r="C11" s="671">
        <f>IF(booster_pumps=0,0,booster_pumps+NRD_pumps)</f>
        <v>0</v>
      </c>
      <c r="D11" s="537" t="s">
        <v>2305</v>
      </c>
      <c r="E11" s="10" t="s">
        <v>577</v>
      </c>
    </row>
    <row r="12" spans="1:5">
      <c r="C12" s="671"/>
      <c r="E12" s="10"/>
    </row>
    <row r="13" spans="1:5">
      <c r="A13" s="537" t="s">
        <v>2719</v>
      </c>
      <c r="B13" s="3" t="s">
        <v>2724</v>
      </c>
      <c r="C13" s="756">
        <f>water_flush*(1+pump_safety_factor)</f>
        <v>851.25</v>
      </c>
      <c r="D13" s="537" t="s">
        <v>1831</v>
      </c>
      <c r="E13" s="10" t="s">
        <v>571</v>
      </c>
    </row>
    <row r="14" spans="1:5">
      <c r="A14" s="537" t="s">
        <v>2807</v>
      </c>
      <c r="B14" s="3" t="s">
        <v>2809</v>
      </c>
      <c r="C14" s="537">
        <f>IF(no_backwash=1,0,ROUNDUP(back_pump_flow_total/max_pump_size,0)+NRD_back_pumps)</f>
        <v>0</v>
      </c>
      <c r="D14" s="537" t="s">
        <v>2808</v>
      </c>
      <c r="E14" s="10" t="s">
        <v>2723</v>
      </c>
    </row>
    <row r="15" spans="1:5">
      <c r="A15" s="537" t="s">
        <v>1752</v>
      </c>
      <c r="B15" s="3" t="s">
        <v>1754</v>
      </c>
      <c r="C15" s="756">
        <f>IF(no_backwash=1,0,back_pump_flow_total/(backwash_pumps-NRD_back_pumps))</f>
        <v>0</v>
      </c>
      <c r="D15" s="537" t="s">
        <v>1831</v>
      </c>
    </row>
    <row r="16" spans="1:5">
      <c r="C16" s="756"/>
    </row>
    <row r="17" spans="1:5" s="538" customFormat="1">
      <c r="A17" s="671" t="s">
        <v>1806</v>
      </c>
      <c r="B17" s="40" t="s">
        <v>1135</v>
      </c>
      <c r="C17" s="756">
        <f>GAC_each/transfer_time</f>
        <v>2085.3793859758625</v>
      </c>
      <c r="D17" s="671" t="s">
        <v>1136</v>
      </c>
      <c r="E17" s="387"/>
    </row>
    <row r="18" spans="1:5" s="538" customFormat="1">
      <c r="A18" s="538" t="s">
        <v>55</v>
      </c>
      <c r="B18" s="7" t="s">
        <v>56</v>
      </c>
      <c r="C18" s="668">
        <f>VLOOKUP(10^6,eductor_size_table_cl,1)*GAC_density/7.48*60</f>
        <v>12874.331550802139</v>
      </c>
      <c r="D18" s="538" t="s">
        <v>1136</v>
      </c>
      <c r="E18" s="387" t="s">
        <v>57</v>
      </c>
    </row>
    <row r="19" spans="1:5" s="538" customFormat="1">
      <c r="A19" s="538" t="s">
        <v>2733</v>
      </c>
      <c r="B19" s="3" t="s">
        <v>2725</v>
      </c>
      <c r="C19" s="789">
        <f>IF(transfer_method=2,ROUNDUP(transfer_rate/max_eductor_size,0)+NRD_eductors,0)</f>
        <v>0</v>
      </c>
      <c r="D19" s="538" t="s">
        <v>2305</v>
      </c>
    </row>
    <row r="20" spans="1:5" s="538" customFormat="1">
      <c r="A20" s="537" t="s">
        <v>1137</v>
      </c>
      <c r="B20" s="3" t="s">
        <v>1138</v>
      </c>
      <c r="C20" s="790" t="str">
        <f>IF(transfer_method=2,VLOOKUP(transfer_rate/(eductors-NRD_eductors),eductor_size_table,2),"NA")</f>
        <v>NA</v>
      </c>
      <c r="D20" s="537" t="s">
        <v>574</v>
      </c>
      <c r="E20" s="387"/>
    </row>
    <row r="21" spans="1:5">
      <c r="C21" s="756"/>
      <c r="E21" s="10"/>
    </row>
    <row r="22" spans="1:5">
      <c r="A22" s="2" t="s">
        <v>1751</v>
      </c>
      <c r="C22" s="671"/>
    </row>
    <row r="23" spans="1:5">
      <c r="A23" s="537" t="s">
        <v>2341</v>
      </c>
      <c r="B23" s="3" t="s">
        <v>2342</v>
      </c>
      <c r="C23" s="756">
        <f>2*facil_length</f>
        <v>40</v>
      </c>
      <c r="D23" s="537" t="s">
        <v>1649</v>
      </c>
    </row>
    <row r="24" spans="1:5">
      <c r="A24" s="537" t="s">
        <v>572</v>
      </c>
      <c r="B24" s="3" t="s">
        <v>573</v>
      </c>
      <c r="C24" s="756">
        <f>design_flow_rate</f>
        <v>513.88888888888891</v>
      </c>
      <c r="D24" s="537" t="s">
        <v>1831</v>
      </c>
    </row>
    <row r="25" spans="1:5">
      <c r="A25" s="537" t="s">
        <v>2344</v>
      </c>
      <c r="B25" s="3" t="s">
        <v>2345</v>
      </c>
      <c r="C25" s="671">
        <f>VLOOKUP(in_out_pipe_flow,pipe_size_table_cl,2)</f>
        <v>6</v>
      </c>
      <c r="D25" s="537" t="s">
        <v>574</v>
      </c>
    </row>
    <row r="26" spans="1:5">
      <c r="A26" s="537" t="s">
        <v>2810</v>
      </c>
      <c r="B26" s="3" t="s">
        <v>1646</v>
      </c>
      <c r="C26" s="756">
        <f>2*facil_length</f>
        <v>40</v>
      </c>
      <c r="D26" s="537" t="s">
        <v>1649</v>
      </c>
    </row>
    <row r="27" spans="1:5">
      <c r="A27" s="537" t="s">
        <v>576</v>
      </c>
      <c r="B27" s="3" t="s">
        <v>1739</v>
      </c>
      <c r="C27" s="756">
        <f>IF(design_type=1,flow_per_vessel,design_flow_rate/op_num_basins)</f>
        <v>519.95459356998174</v>
      </c>
      <c r="D27" s="537" t="s">
        <v>1831</v>
      </c>
    </row>
    <row r="28" spans="1:5">
      <c r="A28" s="537" t="s">
        <v>1740</v>
      </c>
      <c r="B28" s="3" t="s">
        <v>1741</v>
      </c>
      <c r="C28" s="671">
        <f>VLOOKUP(proc_pipe_flow,pipe_size_table_cl,2)</f>
        <v>6</v>
      </c>
      <c r="D28" s="537" t="s">
        <v>574</v>
      </c>
    </row>
    <row r="29" spans="1:5">
      <c r="A29" s="537" t="s">
        <v>1647</v>
      </c>
      <c r="B29" s="3" t="s">
        <v>1648</v>
      </c>
      <c r="C29" s="671">
        <f>2.5*facil_length</f>
        <v>50</v>
      </c>
      <c r="D29" s="537" t="s">
        <v>1649</v>
      </c>
    </row>
    <row r="30" spans="1:5">
      <c r="A30" s="537" t="s">
        <v>1755</v>
      </c>
      <c r="B30" s="3" t="s">
        <v>1756</v>
      </c>
      <c r="C30" s="756">
        <f>water_flush</f>
        <v>681</v>
      </c>
      <c r="D30" s="537" t="s">
        <v>1831</v>
      </c>
    </row>
    <row r="31" spans="1:5">
      <c r="A31" s="537" t="s">
        <v>1757</v>
      </c>
      <c r="B31" s="3" t="s">
        <v>1758</v>
      </c>
      <c r="C31" s="671">
        <f>VLOOKUP(back_pipe_flow,pipe_size_table_cl,2)</f>
        <v>6</v>
      </c>
      <c r="D31" s="537" t="s">
        <v>574</v>
      </c>
    </row>
    <row r="32" spans="1:5">
      <c r="A32" s="537" t="s">
        <v>2297</v>
      </c>
      <c r="B32" s="3" t="s">
        <v>2298</v>
      </c>
      <c r="C32" s="671">
        <f>IF(bp_pct&gt;0,2.5*facil_length,0)</f>
        <v>0</v>
      </c>
      <c r="D32" s="537" t="s">
        <v>1649</v>
      </c>
    </row>
    <row r="33" spans="1:4">
      <c r="A33" s="537" t="s">
        <v>243</v>
      </c>
      <c r="B33" s="3" t="s">
        <v>244</v>
      </c>
      <c r="C33" s="671">
        <f>IF(bp_pct&gt;0,VLOOKUP(bp_flow_rate,pipe_size_table_cl,2),0)</f>
        <v>0</v>
      </c>
      <c r="D33" s="537" t="s">
        <v>574</v>
      </c>
    </row>
    <row r="34" spans="1:4">
      <c r="A34" s="671" t="s">
        <v>2374</v>
      </c>
      <c r="B34" s="40" t="s">
        <v>2375</v>
      </c>
      <c r="C34" s="671">
        <f>IF(polymer_day=0,0,facil_length)</f>
        <v>0</v>
      </c>
      <c r="D34" s="537" t="s">
        <v>1649</v>
      </c>
    </row>
    <row r="35" spans="1:4">
      <c r="A35" s="537" t="s">
        <v>2370</v>
      </c>
      <c r="B35" s="40" t="s">
        <v>2371</v>
      </c>
      <c r="C35" s="791">
        <f>polymer_rate/60</f>
        <v>0</v>
      </c>
      <c r="D35" s="537" t="s">
        <v>1831</v>
      </c>
    </row>
    <row r="36" spans="1:4">
      <c r="A36" s="537" t="s">
        <v>2372</v>
      </c>
      <c r="B36" s="3" t="s">
        <v>2373</v>
      </c>
      <c r="C36" s="671">
        <f>IF(polymer_day=0,0,VLOOKUP(polymer_pipe_flow,pipe_size_table_cl,2))</f>
        <v>0</v>
      </c>
      <c r="D36" s="537" t="s">
        <v>574</v>
      </c>
    </row>
    <row r="37" spans="1:4">
      <c r="C37" s="671"/>
    </row>
    <row r="38" spans="1:4">
      <c r="A38" s="2" t="s">
        <v>1913</v>
      </c>
      <c r="C38" s="671"/>
    </row>
    <row r="39" spans="1:4">
      <c r="A39" s="537" t="s">
        <v>3020</v>
      </c>
      <c r="B39" s="40" t="s">
        <v>3021</v>
      </c>
      <c r="C39" s="671">
        <f>ROUNDUP((2*(back_tank_vol/7.48)/PI())^(1/3),0)</f>
        <v>0</v>
      </c>
      <c r="D39" s="537" t="s">
        <v>2302</v>
      </c>
    </row>
    <row r="40" spans="1:4">
      <c r="A40" s="537" t="s">
        <v>3025</v>
      </c>
      <c r="B40" s="40" t="s">
        <v>3026</v>
      </c>
      <c r="C40" s="671">
        <f>ROUNDUP((2*(virgin_tank_vol/7.48)/PI())^(1/3),0)</f>
        <v>7</v>
      </c>
      <c r="D40" s="537" t="s">
        <v>2302</v>
      </c>
    </row>
    <row r="41" spans="1:4">
      <c r="A41" s="537" t="s">
        <v>3027</v>
      </c>
      <c r="B41" s="40" t="s">
        <v>3022</v>
      </c>
      <c r="C41" s="671">
        <f>ROUNDUP((2*(spent_tank_vol/7.48)/PI())^(1/3),0)</f>
        <v>7</v>
      </c>
      <c r="D41" s="537" t="s">
        <v>2302</v>
      </c>
    </row>
    <row r="42" spans="1:4">
      <c r="A42" s="537" t="s">
        <v>3028</v>
      </c>
      <c r="B42" s="40" t="s">
        <v>3029</v>
      </c>
      <c r="C42" s="671">
        <f>ROUNDUP((2*(regen_tank_vol/7.48)/PI())^(1/3),0)</f>
        <v>7</v>
      </c>
      <c r="D42" s="537" t="s">
        <v>2302</v>
      </c>
    </row>
    <row r="43" spans="1:4">
      <c r="A43" s="537" t="s">
        <v>3023</v>
      </c>
      <c r="B43" s="40" t="s">
        <v>3024</v>
      </c>
      <c r="C43" s="671">
        <f>ROUNDUP((2*(htank_vol/7.48)/PI())^(1/3),0)</f>
        <v>0</v>
      </c>
      <c r="D43" s="537" t="s">
        <v>2302</v>
      </c>
    </row>
    <row r="44" spans="1:4">
      <c r="A44" s="671" t="s">
        <v>2377</v>
      </c>
      <c r="B44" s="40" t="s">
        <v>2378</v>
      </c>
      <c r="C44" s="671">
        <f>ROUNDUP((2*(polymer_tank_vol/7.48)/PI())^(1/3),0)</f>
        <v>0</v>
      </c>
      <c r="D44" s="537" t="s">
        <v>2302</v>
      </c>
    </row>
    <row r="45" spans="1:4">
      <c r="A45" s="537" t="s">
        <v>3093</v>
      </c>
      <c r="B45" s="3" t="s">
        <v>3094</v>
      </c>
      <c r="C45" s="538">
        <f>IF(AND(design_type=1,ss_cat2=1),max_space_vessels_pre,max_space_vessels_cust)</f>
        <v>1</v>
      </c>
      <c r="D45" s="537" t="s">
        <v>2302</v>
      </c>
    </row>
    <row r="46" spans="1:4">
      <c r="A46" s="537" t="s">
        <v>2211</v>
      </c>
      <c r="B46" s="3" t="s">
        <v>282</v>
      </c>
      <c r="C46" s="537">
        <f>IF(system_type=2,max_space_vessels,IF(comm_diam&gt;max_space_vessels,max_space_vessels,comm_diam))</f>
        <v>1</v>
      </c>
      <c r="D46" s="537" t="s">
        <v>2302</v>
      </c>
    </row>
    <row r="47" spans="1:4">
      <c r="A47" s="537" t="s">
        <v>3092</v>
      </c>
      <c r="B47" s="3" t="s">
        <v>1491</v>
      </c>
      <c r="C47" s="671">
        <f>IF(bt_diam&gt;max_space_vessels,max_space_vessels,bt_diam)</f>
        <v>0</v>
      </c>
      <c r="D47" s="537" t="s">
        <v>2302</v>
      </c>
    </row>
    <row r="48" spans="1:4">
      <c r="A48" s="537" t="s">
        <v>1008</v>
      </c>
      <c r="B48" s="3" t="s">
        <v>1009</v>
      </c>
      <c r="C48" s="671">
        <f>IF(vt_diam&gt;max_space_vessels,max_space_vessels,vt_diam)</f>
        <v>1</v>
      </c>
      <c r="D48" s="537" t="s">
        <v>2302</v>
      </c>
    </row>
    <row r="49" spans="1:5">
      <c r="A49" s="537" t="s">
        <v>1010</v>
      </c>
      <c r="B49" s="3" t="s">
        <v>1012</v>
      </c>
      <c r="C49" s="671">
        <f>IF(st_diam&gt;max_space_vessels,max_space_vessels,st_diam)</f>
        <v>1</v>
      </c>
      <c r="D49" s="537" t="s">
        <v>2302</v>
      </c>
    </row>
    <row r="50" spans="1:5">
      <c r="A50" s="537" t="s">
        <v>1011</v>
      </c>
      <c r="B50" s="3" t="s">
        <v>1013</v>
      </c>
      <c r="C50" s="671">
        <f>IF(rt_diam&gt;max_space_vessels,max_space_vessels,rt_diam)</f>
        <v>1</v>
      </c>
      <c r="D50" s="537" t="s">
        <v>2302</v>
      </c>
    </row>
    <row r="51" spans="1:5">
      <c r="A51" s="537" t="s">
        <v>409</v>
      </c>
      <c r="B51" s="3" t="s">
        <v>410</v>
      </c>
      <c r="C51" s="671">
        <f>IF(ht_diam&gt;max_space_vessels,max_space_vessels,ht_diam)</f>
        <v>0</v>
      </c>
      <c r="D51" s="537" t="s">
        <v>2302</v>
      </c>
    </row>
    <row r="52" spans="1:5">
      <c r="A52" s="537" t="s">
        <v>2379</v>
      </c>
      <c r="B52" s="3" t="s">
        <v>2380</v>
      </c>
      <c r="C52" s="671">
        <f>IF(polymer_st_diam&gt;max_space_vessels,max_space_vessels,polymer_st_diam)</f>
        <v>0</v>
      </c>
      <c r="D52" s="537" t="s">
        <v>2302</v>
      </c>
    </row>
    <row r="53" spans="1:5">
      <c r="A53" s="537" t="s">
        <v>2946</v>
      </c>
      <c r="B53" s="3" t="s">
        <v>3090</v>
      </c>
      <c r="C53" s="538">
        <f>IF(AND(design_type=1,ss_cat2=1),space_pumps_pre,space_pumps_cust)</f>
        <v>0</v>
      </c>
      <c r="D53" s="537" t="s">
        <v>2302</v>
      </c>
    </row>
    <row r="54" spans="1:5">
      <c r="A54" s="537" t="s">
        <v>2150</v>
      </c>
      <c r="C54" s="756">
        <f>IF(design_type=2,0,IF(tank_geom=1,ROUNDUP(((comm_diam+2*space_vessels)^2+(final_num_tanks-1)*(comm_diam+2*space_vessels)*(comm_diam+space_vessels)),0),IF(tank_geom=2,ROUNDUP((comm_diam+2*space_vessels)*(comm_height_length+2*space_vessels)+(final_num_tanks-1)*(comm_height_length+2*space_vessels)*(comm_diam+space_vessels),0))))</f>
        <v>111</v>
      </c>
      <c r="D54" s="537" t="s">
        <v>3238</v>
      </c>
    </row>
    <row r="55" spans="1:5">
      <c r="A55" s="537" t="s">
        <v>2210</v>
      </c>
      <c r="C55" s="756">
        <f>IF(design_type=2,0,IF(tank_geom=1,ROUNDUP(((comm_diam+2*space_vessels)^2+(final_num_tanks-1)*(comm_diam+2*space_vessels)*(comm_diam+space_vessels/2)),0),IF(tank_geom=2,ROUNDUP((comm_diam+2*space_vessels)*(comm_height_length+2*space_vessels)+(final_num_tanks-1)*(comm_height_length+2*space_vessels)*(comm_diam+space_vessels/2),0))))</f>
        <v>111</v>
      </c>
      <c r="D55" s="537" t="s">
        <v>3238</v>
      </c>
      <c r="E55" s="10" t="s">
        <v>990</v>
      </c>
    </row>
    <row r="56" spans="1:5">
      <c r="A56" s="537" t="s">
        <v>2212</v>
      </c>
      <c r="C56" s="756">
        <f>ROUNDUP(total_num_basins*basin_length*basin_width*2,0)</f>
        <v>0</v>
      </c>
      <c r="D56" s="537" t="s">
        <v>3238</v>
      </c>
      <c r="E56" s="10" t="s">
        <v>470</v>
      </c>
    </row>
    <row r="57" spans="1:5">
      <c r="A57" s="537" t="s">
        <v>469</v>
      </c>
      <c r="B57" s="3" t="s">
        <v>1914</v>
      </c>
      <c r="C57" s="756">
        <f>IF(ss_cat2=1,C55,C54)+C56+IF(transfer_method=1,ROUNDUP(IF(transfer_rate&lt;40000,99.152*transfer_rate^0.0434,0.8761*transfer_rate^0.49),0),0)</f>
        <v>111</v>
      </c>
      <c r="D57" s="537" t="s">
        <v>3238</v>
      </c>
    </row>
    <row r="58" spans="1:5">
      <c r="A58" s="537" t="s">
        <v>1811</v>
      </c>
      <c r="B58" s="3" t="s">
        <v>2106</v>
      </c>
      <c r="C58" s="757">
        <f>IF(OUTPUT!L47=1,ROUNDUP(back_basins*back_basin_length*back_basin_width*2,0),IF(num_back_tanks=0,0,ROUNDUP((bt_diam+2*space_bt)^2+(num_back_tanks-1)*(bt_diam+2*space_bt)*(bt_diam+space_bt),0)))</f>
        <v>0</v>
      </c>
      <c r="D58" s="537" t="s">
        <v>3238</v>
      </c>
    </row>
    <row r="59" spans="1:5">
      <c r="A59" s="537" t="s">
        <v>1667</v>
      </c>
      <c r="C59" s="757">
        <f>IF(total_booster_pumps=0,0,ROUNDUP((VLOOKUP(pump_rating,pump_dim_table_cl,3)+space_pumps)*(VLOOKUP(pump_rating,pump_dim_table_cl,4)+2*space_pumps)+(total_booster_pumps-1)*(VLOOKUP(pump_rating,pump_dim_table_cl,3)+space_pumps)*(VLOOKUP(pump_rating,pump_dim_table_cl,4)+space_pumps),0))</f>
        <v>0</v>
      </c>
      <c r="D59" s="537" t="s">
        <v>3238</v>
      </c>
    </row>
    <row r="60" spans="1:5">
      <c r="A60" s="537" t="s">
        <v>1289</v>
      </c>
      <c r="C60" s="757">
        <f>IF(backwash_pumps=0,0,ROUNDUP((VLOOKUP(back_pump_rating,pump_dim_table_cl,3)+space_pumps)*(VLOOKUP(back_pump_rating,pump_dim_table_cl,4)+2*space_pumps)+(backwash_pumps-1)*(VLOOKUP(back_pump_rating,pump_dim_table_cl,3)+2*space_pumps)*(VLOOKUP(back_pump_rating,pump_dim_table_cl,4)+space_pumps),0))</f>
        <v>0</v>
      </c>
      <c r="D60" s="537" t="s">
        <v>3238</v>
      </c>
    </row>
    <row r="61" spans="1:5">
      <c r="A61" s="537" t="s">
        <v>411</v>
      </c>
      <c r="C61" s="757">
        <f>IF(res_pumps=0,0,ROUNDUP((VLOOKUP(res_pump_rating,pump_dim_table_cl,3)+space_pumps)*(VLOOKUP(res_pump_rating,pump_dim_table_cl,4)+2*space_pumps)+(res_pumps-1)*(VLOOKUP(res_pump_rating,pump_dim_table_cl,3)+2*space_pumps)*(VLOOKUP(res_pump_rating,pump_dim_table_cl,4)+space_pumps),0))</f>
        <v>0</v>
      </c>
      <c r="D61" s="671" t="s">
        <v>3238</v>
      </c>
    </row>
    <row r="62" spans="1:5">
      <c r="A62" s="537" t="s">
        <v>1668</v>
      </c>
      <c r="B62" s="3" t="s">
        <v>2940</v>
      </c>
      <c r="C62" s="756">
        <f>C59+C60+C61</f>
        <v>0</v>
      </c>
      <c r="D62" s="537" t="s">
        <v>3238</v>
      </c>
      <c r="E62" s="756"/>
    </row>
    <row r="63" spans="1:5">
      <c r="A63" s="671" t="s">
        <v>1813</v>
      </c>
      <c r="B63" s="82" t="s">
        <v>332</v>
      </c>
      <c r="C63" s="756">
        <f>IF(regen_type=1,num_furnaces*(121.3*furnace_size^0.3656),0)</f>
        <v>0</v>
      </c>
      <c r="D63" s="537" t="s">
        <v>3238</v>
      </c>
      <c r="E63" s="10" t="s">
        <v>2615</v>
      </c>
    </row>
    <row r="64" spans="1:5">
      <c r="A64" s="671" t="s">
        <v>1854</v>
      </c>
      <c r="B64" s="82" t="s">
        <v>1851</v>
      </c>
      <c r="C64" s="757">
        <f>IF(regen_type=1,IF(OUTPUT!L234=1,ROUNDUP((vt_diam+2*space_vt)^2+(virgin_tanks-1)*(vt_diam+2*space_vt)*(vt_diam+space_vt),0),ROUNDUP(virgin_basin_length*virgin_basin_width*2,0)),0)</f>
        <v>0</v>
      </c>
      <c r="D64" s="537" t="s">
        <v>3238</v>
      </c>
      <c r="E64" s="10"/>
    </row>
    <row r="65" spans="1:5">
      <c r="A65" s="671" t="s">
        <v>1006</v>
      </c>
      <c r="B65" s="82" t="s">
        <v>1852</v>
      </c>
      <c r="C65" s="757">
        <f>IF(regen_type=1,IF(OUTPUT!L237=1,ROUNDUP((st_diam+2*space_st)^2+(spent_tanks-1)*(st_diam+2*space_st)*(st_diam+space_st),0),ROUNDUP(spent_basin_length*spent_basin_width*2,0)),0)</f>
        <v>0</v>
      </c>
      <c r="D65" s="537" t="s">
        <v>3238</v>
      </c>
      <c r="E65" s="10"/>
    </row>
    <row r="66" spans="1:5">
      <c r="A66" s="671" t="s">
        <v>1007</v>
      </c>
      <c r="B66" s="82" t="s">
        <v>1853</v>
      </c>
      <c r="C66" s="757">
        <f>IF(regen_type=1,IF(OUTPUT!L240=1,ROUNDUP((rt_diam+2*space_rt)^2+(regen_tanks-1)*(rt_diam+2*space_rt)*(rt_diam+space_rt),0),ROUNDUP(regen_basin_length*regen_basin_width*2,0)),0)</f>
        <v>0</v>
      </c>
      <c r="D66" s="537" t="s">
        <v>3238</v>
      </c>
      <c r="E66" s="10"/>
    </row>
    <row r="67" spans="1:5">
      <c r="A67" s="671" t="s">
        <v>412</v>
      </c>
      <c r="B67" s="96" t="s">
        <v>413</v>
      </c>
      <c r="C67" s="757">
        <f>IF(res_holding&lt;&gt;"tanks",0,ROUNDUP((ht_diam+2*space_ht)^2+(htanks-1)*(ht_diam+2*space_ht)*(ht_diam+space_ht),0))</f>
        <v>0</v>
      </c>
      <c r="D67" s="537" t="s">
        <v>3238</v>
      </c>
      <c r="E67" s="10"/>
    </row>
    <row r="68" spans="1:5">
      <c r="A68" s="671" t="s">
        <v>2077</v>
      </c>
      <c r="B68" s="96" t="s">
        <v>2076</v>
      </c>
      <c r="C68" s="757">
        <f>IF(res_holding&lt;&gt;"basins",0,ROUNDUP(hbasins*hbasin_length*hbasin_width*2,0))</f>
        <v>0</v>
      </c>
      <c r="D68" s="537" t="s">
        <v>3238</v>
      </c>
      <c r="E68" s="10"/>
    </row>
    <row r="69" spans="1:5">
      <c r="A69" s="671" t="s">
        <v>2381</v>
      </c>
      <c r="B69" s="96" t="s">
        <v>2382</v>
      </c>
      <c r="C69" s="757">
        <f>ROUNDUP((polymer_st_diam+2*space_polymer_st)^2+(polymer_tanks-1)*(polymer_st_diam+2*space_polymer_st)*(polymer_st_diam+space_polymer_st),0)</f>
        <v>0</v>
      </c>
      <c r="D69" s="537" t="s">
        <v>3238</v>
      </c>
      <c r="E69" s="10"/>
    </row>
    <row r="70" spans="1:5">
      <c r="A70" s="671" t="s">
        <v>2555</v>
      </c>
      <c r="B70" s="96" t="s">
        <v>2558</v>
      </c>
      <c r="C70" s="757">
        <f>ROUNDUP(coag_store/coag_density/storage_height,0)</f>
        <v>0</v>
      </c>
      <c r="D70" s="537" t="s">
        <v>3238</v>
      </c>
      <c r="E70" s="10"/>
    </row>
    <row r="71" spans="1:5">
      <c r="A71" s="537" t="s">
        <v>1743</v>
      </c>
      <c r="B71" s="3" t="s">
        <v>1744</v>
      </c>
      <c r="C71" s="756">
        <f>VLOOKUP(design_flow,labor_table_cl,3)*IF(ss_cat2=1,space_office_small,space_office)</f>
        <v>0</v>
      </c>
      <c r="D71" s="537" t="s">
        <v>3238</v>
      </c>
      <c r="E71" s="15"/>
    </row>
    <row r="72" spans="1:5">
      <c r="A72" s="671" t="s">
        <v>2215</v>
      </c>
      <c r="B72" s="40" t="s">
        <v>2216</v>
      </c>
      <c r="C72" s="756">
        <f>vessel_fp+back_tank_fp+pump_fp+Onsite_regeneration_fp+Virgin_GAC_storage_fp+Spent_GAC_storage_fp+Regenerated_GAC_storage_fp+office_fp+htank_fp+hbasin_fp+cstore_fp+polymer_fp</f>
        <v>111</v>
      </c>
      <c r="D72" s="537" t="s">
        <v>3238</v>
      </c>
      <c r="E72" s="15"/>
    </row>
    <row r="73" spans="1:5">
      <c r="A73" s="671" t="s">
        <v>2128</v>
      </c>
      <c r="B73" s="40" t="s">
        <v>2129</v>
      </c>
      <c r="C73" s="756">
        <f>ROUNDUP(IF(fp_required&lt;add_2nd_building,fp_required,vessel_fp),-1)</f>
        <v>120</v>
      </c>
      <c r="D73" s="671" t="s">
        <v>3238</v>
      </c>
      <c r="E73" s="10" t="s">
        <v>2752</v>
      </c>
    </row>
    <row r="74" spans="1:5">
      <c r="A74" s="671" t="s">
        <v>2130</v>
      </c>
      <c r="B74" s="40" t="s">
        <v>2332</v>
      </c>
      <c r="C74" s="756">
        <f>ROUNDUP(IF(fp_required&lt;add_2nd_building,0,back_tank_fp+pump_fp+Onsite_regeneration_fp+Virgin_GAC_storage_fp+Spent_GAC_storage_fp+Regenerated_GAC_storage_fp+office_fp+htank_fp+hbasin_fp+cstore_fp+polymer_fp),-1)</f>
        <v>0</v>
      </c>
      <c r="D74" s="671" t="s">
        <v>3238</v>
      </c>
      <c r="E74" s="10" t="s">
        <v>842</v>
      </c>
    </row>
    <row r="75" spans="1:5">
      <c r="A75" s="537" t="s">
        <v>2941</v>
      </c>
      <c r="B75" s="3" t="s">
        <v>2942</v>
      </c>
      <c r="C75" s="756">
        <f>build1_fp+build2_fp</f>
        <v>120</v>
      </c>
      <c r="D75" s="537" t="s">
        <v>3238</v>
      </c>
      <c r="E75" s="10"/>
    </row>
    <row r="76" spans="1:5">
      <c r="A76" s="537" t="s">
        <v>2943</v>
      </c>
      <c r="B76" s="3" t="s">
        <v>2944</v>
      </c>
      <c r="C76" s="757">
        <f>ROUNDUP((fp_required-office_fp)*IF(ss_cat2=1,pad_thick_small,pad_thick)/27,0)</f>
        <v>2</v>
      </c>
      <c r="D76" s="537" t="s">
        <v>2945</v>
      </c>
    </row>
    <row r="77" spans="1:5">
      <c r="A77" s="537" t="s">
        <v>2340</v>
      </c>
      <c r="B77" s="3" t="s">
        <v>2893</v>
      </c>
      <c r="C77" s="757">
        <f>ROUNDUP(total_fp^0.5,-1)</f>
        <v>20</v>
      </c>
      <c r="D77" s="537" t="s">
        <v>2302</v>
      </c>
    </row>
    <row r="78" spans="1:5">
      <c r="A78" s="671" t="s">
        <v>2489</v>
      </c>
      <c r="B78" s="40" t="s">
        <v>2490</v>
      </c>
      <c r="C78" s="757">
        <f>IF(ep_cells=0,0,ROUNDUP((ep_cell_side+2*non_fire_buffer)^2+(ep_cells-1)*(ep_cell_side+2*non_fire_buffer)*(ep_cell_side+non_fire_buffer),0))</f>
        <v>0</v>
      </c>
      <c r="D78" s="671" t="s">
        <v>3238</v>
      </c>
    </row>
    <row r="79" spans="1:5">
      <c r="A79" s="671" t="s">
        <v>927</v>
      </c>
      <c r="B79" s="40" t="s">
        <v>905</v>
      </c>
      <c r="C79" s="782">
        <f>ROUNDUP(((build1_fp)^0.5+(2*non_fire_buffer))*((build1_fp)^0.5+(non_fire_buffer+fire_buffer))+IF(build2_fp=0,0,((build2_fp)^0.5+(2*non_fire_buffer))*((build2_fp)^0.5+(non_fire_buffer+fire_buffer)))+sept_fp+ep_fp+solids_pad_area,-2)/43560</f>
        <v>4.3617998163452708E-2</v>
      </c>
      <c r="D79" s="671" t="s">
        <v>906</v>
      </c>
    </row>
    <row r="80" spans="1:5">
      <c r="A80" s="537" t="s">
        <v>3044</v>
      </c>
      <c r="B80" s="3" t="s">
        <v>3045</v>
      </c>
      <c r="C80" s="781">
        <f>VLOOKUP(design_flow,land_cost_cl,3)</f>
        <v>19306.234049498013</v>
      </c>
      <c r="D80" s="537" t="s">
        <v>1772</v>
      </c>
    </row>
  </sheetData>
  <phoneticPr fontId="0" type="noConversion"/>
  <pageMargins left="0.75" right="0.75" top="1" bottom="1" header="0.5" footer="0.5"/>
  <pageSetup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I71"/>
  <sheetViews>
    <sheetView workbookViewId="0">
      <pane ySplit="3" topLeftCell="A4" activePane="bottomLeft" state="frozen"/>
      <selection pane="bottomLeft"/>
    </sheetView>
  </sheetViews>
  <sheetFormatPr baseColWidth="10" defaultColWidth="9.1640625" defaultRowHeight="13"/>
  <cols>
    <col min="1" max="1" width="42.1640625" style="537" customWidth="1"/>
    <col min="2" max="2" width="17.5" style="537" customWidth="1"/>
    <col min="3" max="3" width="9.1640625" style="537"/>
    <col min="4" max="4" width="35.83203125" style="537" customWidth="1"/>
    <col min="5" max="16384" width="9.1640625" style="537"/>
  </cols>
  <sheetData>
    <row r="1" spans="1:9">
      <c r="A1" s="1" t="s">
        <v>3401</v>
      </c>
    </row>
    <row r="3" spans="1:9">
      <c r="A3" s="208" t="s">
        <v>3396</v>
      </c>
      <c r="B3" s="209" t="s">
        <v>1433</v>
      </c>
      <c r="C3" s="210" t="s">
        <v>1434</v>
      </c>
      <c r="D3" s="209" t="s">
        <v>1435</v>
      </c>
      <c r="E3" s="209" t="s">
        <v>1436</v>
      </c>
    </row>
    <row r="4" spans="1:9">
      <c r="A4" s="2" t="s">
        <v>3324</v>
      </c>
    </row>
    <row r="5" spans="1:9">
      <c r="A5" s="537" t="s">
        <v>745</v>
      </c>
      <c r="B5" s="3" t="s">
        <v>333</v>
      </c>
      <c r="C5" s="537" t="str">
        <f>IF(component_level_I="high cost",2,IF(component_level_I="mid cost",1,""))</f>
        <v/>
      </c>
      <c r="D5" s="537" t="s">
        <v>2745</v>
      </c>
    </row>
    <row r="6" spans="1:9" ht="42">
      <c r="A6" s="537" t="s">
        <v>151</v>
      </c>
      <c r="B6" s="3" t="s">
        <v>152</v>
      </c>
      <c r="C6" s="537">
        <f>IF(manual_I="manual",1,IF(manual_I="semi-automated",2,IF(manual_I="fully automated",3,IF(component_level="",1,IF(component_level=2,3,CHOOSE(ss_cat2,1,3,3))))))</f>
        <v>3</v>
      </c>
      <c r="D6" s="940" t="s">
        <v>1293</v>
      </c>
      <c r="E6" s="10" t="s">
        <v>3402</v>
      </c>
    </row>
    <row r="8" spans="1:9">
      <c r="A8" s="2" t="s">
        <v>925</v>
      </c>
      <c r="B8" s="3"/>
      <c r="C8" s="671"/>
      <c r="F8" s="684"/>
      <c r="G8" s="596"/>
      <c r="H8" s="596"/>
      <c r="I8" s="684"/>
    </row>
    <row r="9" spans="1:9">
      <c r="A9" s="537" t="s">
        <v>1132</v>
      </c>
      <c r="B9" s="3" t="s">
        <v>1133</v>
      </c>
      <c r="C9" s="671">
        <f>in_out_pipe_diam</f>
        <v>6</v>
      </c>
      <c r="D9" s="537" t="s">
        <v>574</v>
      </c>
      <c r="F9" s="596"/>
      <c r="G9" s="596"/>
      <c r="H9" s="596"/>
      <c r="I9" s="684"/>
    </row>
    <row r="10" spans="1:9">
      <c r="A10" s="537" t="s">
        <v>1635</v>
      </c>
      <c r="B10" s="3" t="s">
        <v>1904</v>
      </c>
      <c r="C10" s="671">
        <f>proc_pipe_diam</f>
        <v>6</v>
      </c>
      <c r="D10" s="537" t="s">
        <v>574</v>
      </c>
      <c r="F10" s="596"/>
      <c r="G10" s="596"/>
      <c r="H10" s="596"/>
      <c r="I10" s="684"/>
    </row>
    <row r="11" spans="1:9">
      <c r="A11" s="537" t="s">
        <v>1638</v>
      </c>
      <c r="B11" s="3" t="s">
        <v>1905</v>
      </c>
      <c r="C11" s="671">
        <f>back_pipe_diam</f>
        <v>6</v>
      </c>
      <c r="D11" s="537" t="s">
        <v>574</v>
      </c>
      <c r="F11" s="596"/>
      <c r="G11" s="596"/>
      <c r="H11" s="596"/>
      <c r="I11" s="684"/>
    </row>
    <row r="12" spans="1:9">
      <c r="A12" s="671" t="s">
        <v>1728</v>
      </c>
      <c r="B12" s="40" t="s">
        <v>1729</v>
      </c>
      <c r="C12" s="671">
        <f>bp_pipe_diam</f>
        <v>0</v>
      </c>
      <c r="D12" s="537" t="s">
        <v>574</v>
      </c>
      <c r="F12" s="596"/>
      <c r="G12" s="596"/>
      <c r="H12" s="596"/>
      <c r="I12" s="684"/>
    </row>
    <row r="13" spans="1:9">
      <c r="A13" s="671" t="s">
        <v>3443</v>
      </c>
      <c r="B13" s="40" t="s">
        <v>2376</v>
      </c>
      <c r="C13" s="671">
        <f>polymer_pipe_diam</f>
        <v>0</v>
      </c>
      <c r="D13" s="537" t="s">
        <v>574</v>
      </c>
      <c r="F13" s="596"/>
      <c r="G13" s="596"/>
      <c r="H13" s="596"/>
      <c r="I13" s="684"/>
    </row>
    <row r="14" spans="1:9">
      <c r="B14" s="3"/>
      <c r="C14" s="671"/>
    </row>
    <row r="15" spans="1:9">
      <c r="A15" s="537" t="s">
        <v>475</v>
      </c>
      <c r="B15" s="3" t="s">
        <v>1419</v>
      </c>
      <c r="C15" s="671">
        <f>VLOOKUP(IF(Num_tanks=1,"proc_mov_vessel_par","proc_mov_vessel_ser"),valve_table,manual+1,FALSE)</f>
        <v>2</v>
      </c>
      <c r="D15" s="537" t="s">
        <v>476</v>
      </c>
      <c r="F15" s="596"/>
      <c r="G15" s="596"/>
      <c r="H15" s="4"/>
    </row>
    <row r="16" spans="1:9">
      <c r="A16" s="537" t="s">
        <v>1414</v>
      </c>
      <c r="B16" s="3" t="s">
        <v>1636</v>
      </c>
      <c r="C16" s="671">
        <f>IF(design_type=1,final_num_tanks,total_num_basins)*proc_MOV_vessel+total_booster_pumps*VLOOKUP("proc_MOV_pump",valve_table,manual+1,FALSE)</f>
        <v>2</v>
      </c>
      <c r="D16" s="537" t="s">
        <v>1835</v>
      </c>
    </row>
    <row r="17" spans="1:4">
      <c r="A17" s="537" t="s">
        <v>0</v>
      </c>
      <c r="B17" s="3" t="s">
        <v>1637</v>
      </c>
      <c r="C17" s="671">
        <f>IF(design_type=1,final_num_tanks,total_num_basins)*VLOOKUP("back_MOV_vessel",valve_table,manual+1,FALSE)+backwash_pumps*VLOOKUP("back_MOV_pump",valve_table,manual+1,FALSE)+IF(OUTPUT!L47=1,back_basins,num_back_tanks)*VLOOKUP("back_MOV_tank",valve_table,manual+1,FALSE)+IF(no_back_tank=1,VLOOKUP("back_MOV_no_back",valve_table,manual+1,FALSE),0)</f>
        <v>3</v>
      </c>
      <c r="D17" s="537" t="s">
        <v>1835</v>
      </c>
    </row>
    <row r="18" spans="1:4">
      <c r="A18" s="537" t="s">
        <v>250</v>
      </c>
      <c r="B18" s="3" t="s">
        <v>248</v>
      </c>
      <c r="C18" s="671">
        <f>IF(bp_pct=0,0,VLOOKUP("tot_bp_movs",valve_table,manual+1,FALSE))</f>
        <v>0</v>
      </c>
      <c r="D18" s="537" t="s">
        <v>1835</v>
      </c>
    </row>
    <row r="19" spans="1:4">
      <c r="A19" s="537" t="s">
        <v>2366</v>
      </c>
      <c r="B19" s="3" t="s">
        <v>2367</v>
      </c>
      <c r="C19" s="671">
        <f>IF(polymer_day=0,0,(cm_pumps_polymer)*VLOOKUP("chem_MOV_pump",valve_table,manual+1,FALSE))</f>
        <v>0</v>
      </c>
      <c r="D19" s="537" t="s">
        <v>1835</v>
      </c>
    </row>
    <row r="20" spans="1:4">
      <c r="A20" s="537" t="s">
        <v>2231</v>
      </c>
      <c r="B20" s="3" t="s">
        <v>2232</v>
      </c>
      <c r="C20" s="537">
        <f>tot_proc_MOVs+tot_back_MOVs+tot_bp_MOVs+tot_polymer_MOVs+total_res_MOVs</f>
        <v>5</v>
      </c>
      <c r="D20" s="537" t="s">
        <v>1835</v>
      </c>
    </row>
    <row r="21" spans="1:4">
      <c r="B21" s="3"/>
    </row>
    <row r="22" spans="1:4">
      <c r="A22" s="537" t="s">
        <v>2702</v>
      </c>
      <c r="B22" s="3" t="s">
        <v>165</v>
      </c>
      <c r="C22" s="537">
        <f>IF(add_on=1,in_man_addon,in_man)</f>
        <v>0</v>
      </c>
      <c r="D22" s="537" t="s">
        <v>1835</v>
      </c>
    </row>
    <row r="23" spans="1:4">
      <c r="A23" s="537" t="s">
        <v>1949</v>
      </c>
      <c r="B23" s="3" t="s">
        <v>2230</v>
      </c>
      <c r="C23" s="671">
        <f>VLOOKUP(IF(Num_tanks=1,"proc_man_vessel_par","proc_man_vessel_ser"),valve_table,manual+1,FALSE)</f>
        <v>0</v>
      </c>
      <c r="D23" s="537" t="s">
        <v>476</v>
      </c>
    </row>
    <row r="24" spans="1:4">
      <c r="A24" s="537" t="s">
        <v>2979</v>
      </c>
      <c r="B24" s="3" t="s">
        <v>2980</v>
      </c>
      <c r="C24" s="671">
        <f>IF(design_type=1,(proc_man_vessel_cont+proc_man_vessel)*final_num_tanks,proc_man_vessel_cont*total_num_basins)+total_booster_pumps*VLOOKUP("proc_man_pump",valve_table,manual+1,FALSE)</f>
        <v>1</v>
      </c>
      <c r="D24" s="537" t="s">
        <v>1835</v>
      </c>
    </row>
    <row r="25" spans="1:4">
      <c r="A25" s="537" t="s">
        <v>2228</v>
      </c>
      <c r="B25" s="3" t="s">
        <v>2229</v>
      </c>
      <c r="C25" s="671">
        <f>IF(design_type=1,final_num_tanks,total_num_basins)*VLOOKUP("back_man_vessel",valve_table,manual+1,FALSE)+backwash_pumps*VLOOKUP("back_man_pump",valve_table,manual+1,FALSE)+IF(OUTPUT!L47=1,back_basins,num_back_tanks)*VLOOKUP("back_man_tank",valve_table,manual+1,FALSE)+IF(no_back_tank=1,VLOOKUP("back_man_no_back",valve_table,manual+1,FALSE),0)</f>
        <v>0</v>
      </c>
      <c r="D25" s="537" t="s">
        <v>1835</v>
      </c>
    </row>
    <row r="26" spans="1:4">
      <c r="A26" s="537" t="s">
        <v>251</v>
      </c>
      <c r="B26" s="3" t="s">
        <v>249</v>
      </c>
      <c r="C26" s="671">
        <f>IF(bp_pct=0,0,VLOOKUP("tot_bp_man",valve_table,manual+1,FALSE))</f>
        <v>0</v>
      </c>
      <c r="D26" s="537" t="s">
        <v>1835</v>
      </c>
    </row>
    <row r="27" spans="1:4">
      <c r="A27" s="537" t="s">
        <v>2368</v>
      </c>
      <c r="B27" s="3" t="s">
        <v>2369</v>
      </c>
      <c r="C27" s="671">
        <f>IF(polymer_day=0,0,(cm_pumps_polymer)*VLOOKUP("chem_man_pump",valve_table,manual+1,FALSE))</f>
        <v>0</v>
      </c>
      <c r="D27" s="537" t="s">
        <v>1835</v>
      </c>
    </row>
    <row r="28" spans="1:4">
      <c r="B28" s="3"/>
      <c r="C28" s="671"/>
    </row>
    <row r="29" spans="1:4">
      <c r="A29" s="537" t="s">
        <v>1519</v>
      </c>
      <c r="B29" s="3" t="s">
        <v>1520</v>
      </c>
      <c r="C29" s="537">
        <f>IF(add_on=1,in_chv_addon,in_chv)</f>
        <v>0</v>
      </c>
      <c r="D29" s="537" t="s">
        <v>1835</v>
      </c>
    </row>
    <row r="30" spans="1:4">
      <c r="A30" s="537" t="s">
        <v>1</v>
      </c>
      <c r="B30" s="3" t="s">
        <v>2</v>
      </c>
      <c r="C30" s="537">
        <f>back_chv_pump*backwash_pumps+IF(no_backwash=1,back_chv_no_back,0)</f>
        <v>1</v>
      </c>
      <c r="D30" s="537" t="s">
        <v>1835</v>
      </c>
    </row>
    <row r="31" spans="1:4">
      <c r="A31" s="538" t="s">
        <v>1860</v>
      </c>
      <c r="B31" s="7" t="s">
        <v>1861</v>
      </c>
      <c r="C31" s="792">
        <f>polymer_chv_pump*cm_pumps_polymer</f>
        <v>0</v>
      </c>
      <c r="D31" s="537" t="s">
        <v>1835</v>
      </c>
    </row>
    <row r="33" spans="1:5">
      <c r="A33" s="537" t="s">
        <v>2952</v>
      </c>
      <c r="B33" s="3" t="s">
        <v>3</v>
      </c>
      <c r="C33" s="671">
        <f>in_out_pipe_diam</f>
        <v>6</v>
      </c>
      <c r="D33" s="537" t="s">
        <v>574</v>
      </c>
    </row>
    <row r="34" spans="1:5">
      <c r="A34" s="537" t="s">
        <v>4</v>
      </c>
      <c r="B34" s="3" t="s">
        <v>5</v>
      </c>
      <c r="C34" s="537">
        <f>proc_pipe_diam</f>
        <v>6</v>
      </c>
      <c r="D34" s="537" t="s">
        <v>574</v>
      </c>
    </row>
    <row r="35" spans="1:5">
      <c r="A35" s="537" t="s">
        <v>1907</v>
      </c>
      <c r="B35" s="3" t="s">
        <v>773</v>
      </c>
      <c r="C35" s="671">
        <f>back_pipe_diam</f>
        <v>6</v>
      </c>
      <c r="D35" s="537" t="s">
        <v>574</v>
      </c>
    </row>
    <row r="36" spans="1:5">
      <c r="A36" s="537" t="s">
        <v>2143</v>
      </c>
      <c r="B36" s="3" t="s">
        <v>2144</v>
      </c>
      <c r="C36" s="671">
        <f>fm_proc*IF(design_type=1,final_num_tanks,total_num_basins)</f>
        <v>0</v>
      </c>
      <c r="D36" s="537" t="s">
        <v>2305</v>
      </c>
    </row>
    <row r="37" spans="1:5">
      <c r="A37" s="537" t="s">
        <v>3112</v>
      </c>
      <c r="B37" s="3" t="s">
        <v>2108</v>
      </c>
      <c r="C37" s="538">
        <f>IF(add_on=1,fm_in_addon,fm_in)</f>
        <v>0</v>
      </c>
      <c r="D37" s="537" t="s">
        <v>2305</v>
      </c>
    </row>
    <row r="38" spans="1:5">
      <c r="B38" s="3"/>
      <c r="C38" s="671"/>
    </row>
    <row r="39" spans="1:5">
      <c r="A39" s="537" t="s">
        <v>2520</v>
      </c>
      <c r="B39" s="3" t="s">
        <v>2521</v>
      </c>
      <c r="C39" s="671">
        <f>IF(design_type=1,final_num_tanks*IF(ss_cat2=1,level_switch_small,level_switch),total_num_basins*IF(ss_cat2=1,level_switch_small_g,level_switch_g))</f>
        <v>0</v>
      </c>
      <c r="D39" s="537" t="s">
        <v>2305</v>
      </c>
    </row>
    <row r="40" spans="1:5">
      <c r="A40" s="537" t="s">
        <v>2241</v>
      </c>
      <c r="B40" s="3" t="s">
        <v>2242</v>
      </c>
      <c r="C40" s="671">
        <f>IF(OUTPUT!L47=1,back_basins,num_back_tanks)*alarm_back</f>
        <v>0</v>
      </c>
      <c r="D40" s="537" t="s">
        <v>2305</v>
      </c>
    </row>
    <row r="41" spans="1:5">
      <c r="A41" s="537" t="s">
        <v>923</v>
      </c>
      <c r="B41" s="3" t="s">
        <v>1906</v>
      </c>
      <c r="C41" s="671">
        <f>IF(design_type=2,total_num_basins*IF(ss_cat2=1,pH_controls_small_g,pH_controls_g),IF(ss_cat2=1,add_pH_controls_small,add_pH_controls))</f>
        <v>0</v>
      </c>
      <c r="D41" s="537" t="s">
        <v>2305</v>
      </c>
    </row>
    <row r="42" spans="1:5">
      <c r="A42" s="537" t="s">
        <v>986</v>
      </c>
      <c r="B42" s="3" t="s">
        <v>987</v>
      </c>
      <c r="C42" s="671">
        <f>IF(ss_cat2=1,temp_meters_small,temp_meters)</f>
        <v>0</v>
      </c>
      <c r="D42" s="537" t="s">
        <v>2305</v>
      </c>
    </row>
    <row r="43" spans="1:5">
      <c r="A43" s="537" t="s">
        <v>2534</v>
      </c>
      <c r="B43" s="3" t="s">
        <v>2536</v>
      </c>
      <c r="C43" s="671">
        <f>IF(design_type=1,turb_tank*final_num_tanks,turb_tank_g*total_num_basins)+IF(ss_cat2=1,add_turb_small,add_turb)+IF(design_type=1,IF(ss_cat2=1,add_turb_small_p,add_turb_p),0)</f>
        <v>0</v>
      </c>
      <c r="D43" s="537" t="s">
        <v>2305</v>
      </c>
    </row>
    <row r="44" spans="1:5">
      <c r="A44" s="537" t="s">
        <v>2535</v>
      </c>
      <c r="B44" s="3" t="s">
        <v>2537</v>
      </c>
      <c r="C44" s="671">
        <f>IF(ss_cat2=1,head_tank_small,head_tank)*IF(design_type=1,final_num_tanks,total_num_basins)</f>
        <v>0</v>
      </c>
      <c r="D44" s="537" t="s">
        <v>2305</v>
      </c>
    </row>
    <row r="45" spans="1:5">
      <c r="A45" s="537" t="s">
        <v>1909</v>
      </c>
      <c r="B45" s="3" t="s">
        <v>2245</v>
      </c>
      <c r="C45" s="671">
        <f>ports_tank*IF(design_type=1,final_num_tanks,total_num_basins)+add_ports+IF(bp_pct&gt;0,ports_bp,0)</f>
        <v>4</v>
      </c>
      <c r="D45" s="537" t="s">
        <v>2305</v>
      </c>
    </row>
    <row r="46" spans="1:5">
      <c r="A46" s="537" t="s">
        <v>3134</v>
      </c>
      <c r="B46" s="3" t="s">
        <v>1839</v>
      </c>
      <c r="C46" s="671">
        <f>IF(manual=2,0,S_booster_pump*total_booster_pumps+S_back_pump*backwash_pumps+S_res_pump*(res_pumps+cm_pumps_polymer)+CHOOSE(transfer_method,S_slurry,S_eductor*eductors,0)+CHOOSE(res_transfer_method,S_slurry*(res_slurry_pumps),S_eductor*(res_eductors),0)+S_mixer*hmixers+IF(grav_feed_rate&lt;&gt;0,S_feeder*IF(res_holding="tanks",htanks,IF(res_holding="basins",hbasins,0)),0))</f>
        <v>0</v>
      </c>
      <c r="D46" s="537" t="s">
        <v>2305</v>
      </c>
      <c r="E46" s="10"/>
    </row>
    <row r="47" spans="1:5">
      <c r="B47" s="3"/>
      <c r="C47" s="671"/>
    </row>
    <row r="48" spans="1:5">
      <c r="A48" s="2" t="s">
        <v>900</v>
      </c>
    </row>
    <row r="49" spans="1:5">
      <c r="A49" s="537" t="s">
        <v>96</v>
      </c>
      <c r="B49" s="3" t="s">
        <v>97</v>
      </c>
      <c r="C49" s="537" t="str">
        <f>IF(OUTPUT!L160=1,"flow_op",IF(OUTPUT!L161=1,"flow_prop",IF(OUTPUT!L162=1,"flow_ven","flow_mag")))</f>
        <v>flow_mag</v>
      </c>
      <c r="E49" s="10" t="s">
        <v>98</v>
      </c>
    </row>
    <row r="50" spans="1:5">
      <c r="A50" s="537" t="s">
        <v>99</v>
      </c>
      <c r="B50" s="3" t="s">
        <v>100</v>
      </c>
      <c r="C50" s="537" t="str">
        <f>IF(OUTPUT!L165=1,"flow_op",IF(OUTPUT!L166=1,"flow_prop",IF(OUTPUT!L167=1,"flow_ven","flow_mag")))</f>
        <v>flow_mag</v>
      </c>
    </row>
    <row r="51" spans="1:5">
      <c r="A51" s="537" t="s">
        <v>104</v>
      </c>
      <c r="B51" s="3" t="s">
        <v>102</v>
      </c>
      <c r="C51" s="537" t="str">
        <f>IF(OUTPUT!L170=1,"flow_op",IF(OUTPUT!L171=1,"flow_prop",IF(OUTPUT!L172=1,"flow_ven","flow_mag")))</f>
        <v>flow_prop</v>
      </c>
    </row>
    <row r="52" spans="1:5">
      <c r="A52" s="537" t="s">
        <v>101</v>
      </c>
      <c r="B52" s="3" t="s">
        <v>103</v>
      </c>
      <c r="C52" s="537" t="str">
        <f>IF(OUTPUT!L175=1,"flow_op",IF(OUTPUT!L176=1,"flow_prop",IF(OUTPUT!L177=1,"flow_ven","flow_mag")))</f>
        <v>flow_prop</v>
      </c>
    </row>
    <row r="53" spans="1:5">
      <c r="A53" s="537" t="s">
        <v>1684</v>
      </c>
      <c r="B53" s="3" t="s">
        <v>1688</v>
      </c>
      <c r="C53" s="537">
        <f>VLOOKUP(fm_lkp_io,port_table,2,FALSE)*tot_fm_in+VLOOKUP(fm_lkp_proc,port_table,2,FALSE)*tot_fm_proc+VLOOKUP(fm_lkp_back,port_table,2,FALSE)*tot_fm_back+VLOOKUP(fm_lkp_res,port_table,2,FALSE)*tot_fm_res+VLOOKUP("alarm",port_table,2,FALSE)*(tot_level_switch+tot_back_alarm+tot_res_alarm)+VLOOKUP("ph",port_table,2,FALSE)*pH_controls+VLOOKUP("temp",port_table,2,FALSE)*tot_temp_meters+VLOOKUP("turb",port_table,2,FALSE)*tot_turb_meters+VLOOKUP("head",port_table,2,FALSE)*tot_head_sens+VLOOKUP("port",port_table,2,FALSE)*ports+VLOOKUP("switch",port_table,2,FALSE)*tot_switches+VLOOKUP("valve",port_table,2,FALSE)*tot_MOVs</f>
        <v>4</v>
      </c>
      <c r="D53" s="537" t="s">
        <v>2305</v>
      </c>
    </row>
    <row r="54" spans="1:5">
      <c r="A54" s="537" t="s">
        <v>1685</v>
      </c>
      <c r="B54" s="3" t="s">
        <v>3227</v>
      </c>
      <c r="C54" s="537">
        <f>IF(manual=2,0,VLOOKUP(fm_lkp_io,port_table,3,FALSE)*tot_fm_in+VLOOKUP(fm_lkp_proc,port_table,3,FALSE)*tot_fm_proc+VLOOKUP(fm_lkp_back,port_table,3,FALSE)*tot_fm_back+VLOOKUP(fm_lkp_res,port_table,3,FALSE)*tot_fm_res+VLOOKUP("alarm",port_table,3,FALSE)*(tot_level_switch+tot_back_alarm+tot_res_alarm)+VLOOKUP("ph",port_table,3,FALSE)*pH_controls+VLOOKUP("temp",port_table,3,FALSE)*tot_temp_meters+VLOOKUP("turb",port_table,3,FALSE)*tot_turb_meters+VLOOKUP("head",port_table,3,FALSE)*tot_head_sens+VLOOKUP("port",port_table,3,FALSE)*ports+VLOOKUP("switch",port_table,3,FALSE)*tot_switches+VLOOKUP("valve",port_table,3,FALSE)*tot_MOVs)</f>
        <v>0</v>
      </c>
      <c r="D54" s="537" t="s">
        <v>2305</v>
      </c>
    </row>
    <row r="55" spans="1:5">
      <c r="A55" s="537" t="s">
        <v>1686</v>
      </c>
      <c r="B55" s="3" t="s">
        <v>3228</v>
      </c>
      <c r="C55" s="537">
        <f>VLOOKUP(fm_lkp_io,port_table,4,FALSE)*tot_fm_in+VLOOKUP(fm_lkp_proc,port_table,4,FALSE)*tot_fm_proc+VLOOKUP(fm_lkp_back,port_table,4,FALSE)*tot_fm_back+VLOOKUP(fm_lkp_res,port_table,4,FALSE)*tot_fm_res+VLOOKUP("alarm",port_table,4,FALSE)*(tot_level_switch+tot_back_alarm+tot_res_alarm)+VLOOKUP("ph",port_table,4,FALSE)*pH_controls+VLOOKUP("temp",port_table,4,FALSE)*tot_temp_meters+VLOOKUP("turb",port_table,4,FALSE)*tot_turb_meters+VLOOKUP("head",port_table,4,FALSE)*tot_head_sens+VLOOKUP("port",port_table,4,FALSE)*ports+VLOOKUP("switch",port_table,4,FALSE)*tot_switches+VLOOKUP("valve",port_table,4,FALSE)*tot_MOVs</f>
        <v>7</v>
      </c>
      <c r="D55" s="537" t="s">
        <v>2305</v>
      </c>
    </row>
    <row r="56" spans="1:5">
      <c r="A56" s="537" t="s">
        <v>1687</v>
      </c>
      <c r="B56" s="3" t="s">
        <v>3229</v>
      </c>
      <c r="C56" s="537">
        <f>IF(manual=2,0,VLOOKUP(fm_lkp_io,port_table,5,FALSE)*tot_fm_in+VLOOKUP(fm_lkp_proc,port_table,5,FALSE)*tot_fm_proc+VLOOKUP(fm_lkp_back,port_table,5,FALSE)*tot_fm_back+VLOOKUP(fm_lkp_res,port_table,5,FALSE)*tot_fm_res+VLOOKUP("alarm",port_table,5,FALSE)*(tot_level_switch+tot_back_alarm+tot_res_alarm)+VLOOKUP("ph",port_table,5,FALSE)*pH_controls+VLOOKUP("temp",port_table,5,FALSE)*tot_temp_meters+VLOOKUP("turb",port_table,5,FALSE)*tot_turb_meters+VLOOKUP("head",port_table,5,FALSE)*tot_head_sens+VLOOKUP("port",port_table,5,FALSE)*ports+VLOOKUP("switch",port_table,5,FALSE)*tot_switches+VLOOKUP("valve",port_table,5,FALSE)*tot_MOVs)</f>
        <v>5</v>
      </c>
      <c r="D56" s="537" t="s">
        <v>2305</v>
      </c>
    </row>
    <row r="57" spans="1:5">
      <c r="B57" s="3"/>
    </row>
    <row r="58" spans="1:5">
      <c r="A58" s="537" t="s">
        <v>3075</v>
      </c>
      <c r="B58" s="3" t="s">
        <v>3291</v>
      </c>
      <c r="C58" s="537">
        <f>ROUNDUP(discrete_outputs/32,0)</f>
        <v>0</v>
      </c>
      <c r="D58" s="537" t="s">
        <v>2305</v>
      </c>
    </row>
    <row r="59" spans="1:5">
      <c r="A59" s="537" t="s">
        <v>3292</v>
      </c>
      <c r="B59" s="3" t="s">
        <v>3293</v>
      </c>
      <c r="C59" s="537">
        <f>ROUNDUP(discrete_inputs/32,0)</f>
        <v>1</v>
      </c>
      <c r="D59" s="537" t="s">
        <v>2305</v>
      </c>
    </row>
    <row r="60" spans="1:5">
      <c r="A60" s="537" t="s">
        <v>3294</v>
      </c>
      <c r="B60" s="3" t="s">
        <v>3295</v>
      </c>
      <c r="C60" s="537">
        <f>ROUNDUP((analog_inputs + analog_outputs)/12,0)</f>
        <v>1</v>
      </c>
      <c r="D60" s="537" t="s">
        <v>2305</v>
      </c>
    </row>
    <row r="61" spans="1:5">
      <c r="A61" s="537" t="s">
        <v>3011</v>
      </c>
      <c r="B61" s="142" t="s">
        <v>2045</v>
      </c>
      <c r="C61" s="793">
        <f>IF(add_on=1,plc_cpu_addon,plc_cpu_standalone)</f>
        <v>0</v>
      </c>
      <c r="D61" s="537" t="s">
        <v>2305</v>
      </c>
    </row>
    <row r="62" spans="1:5">
      <c r="A62" s="537" t="s">
        <v>975</v>
      </c>
      <c r="B62" s="142" t="s">
        <v>2046</v>
      </c>
      <c r="C62" s="793">
        <f>IF(add_on=1,plc_ethernet_addon,plc_ethernet_standalone)</f>
        <v>0</v>
      </c>
      <c r="D62" s="537" t="s">
        <v>2305</v>
      </c>
    </row>
    <row r="63" spans="1:5">
      <c r="A63" s="537" t="s">
        <v>3296</v>
      </c>
      <c r="B63" s="3" t="s">
        <v>3297</v>
      </c>
      <c r="C63" s="537">
        <f>plc_cpu + plc_ethernet + plc_discrete_input + plc_discrete_output +  plc_combination_analog</f>
        <v>2</v>
      </c>
      <c r="D63" s="537" t="s">
        <v>2305</v>
      </c>
    </row>
    <row r="64" spans="1:5">
      <c r="A64" s="537" t="s">
        <v>3298</v>
      </c>
      <c r="B64" s="3" t="s">
        <v>3299</v>
      </c>
      <c r="C64" s="537">
        <f>IF(plc_slots&lt;=9,0,ROUNDUP((plc_slots-9)/8,0))</f>
        <v>0</v>
      </c>
      <c r="D64" s="537" t="s">
        <v>2305</v>
      </c>
    </row>
    <row r="65" spans="1:4">
      <c r="A65" s="537" t="s">
        <v>3300</v>
      </c>
      <c r="B65" s="3" t="s">
        <v>3301</v>
      </c>
      <c r="C65" s="537">
        <f>IF(AND(add_on=1,plc_rack_addon=0),0,1+plc_expansions)</f>
        <v>0</v>
      </c>
      <c r="D65" s="537" t="s">
        <v>2305</v>
      </c>
    </row>
    <row r="66" spans="1:4">
      <c r="A66" s="537" t="s">
        <v>2041</v>
      </c>
      <c r="B66" s="3" t="s">
        <v>2042</v>
      </c>
      <c r="C66" s="537">
        <f>plc_expansions</f>
        <v>0</v>
      </c>
      <c r="D66" s="537" t="s">
        <v>2305</v>
      </c>
    </row>
    <row r="67" spans="1:4">
      <c r="A67" s="537" t="s">
        <v>2043</v>
      </c>
      <c r="B67" s="3" t="s">
        <v>2044</v>
      </c>
      <c r="C67" s="537">
        <f>plc_expansions</f>
        <v>0</v>
      </c>
      <c r="D67" s="537" t="s">
        <v>2305</v>
      </c>
    </row>
    <row r="68" spans="1:4">
      <c r="A68" s="537" t="s">
        <v>915</v>
      </c>
      <c r="B68" s="142" t="s">
        <v>2047</v>
      </c>
      <c r="C68" s="793">
        <f>IF(add_on=1,plc_interface_addon,plc_interface_standalone)</f>
        <v>0</v>
      </c>
      <c r="D68" s="537" t="s">
        <v>2305</v>
      </c>
    </row>
    <row r="69" spans="1:4">
      <c r="A69" s="537" t="s">
        <v>916</v>
      </c>
      <c r="B69" s="142" t="s">
        <v>2048</v>
      </c>
      <c r="C69" s="793">
        <f>IF(add_on=1,ups_addon,ups_standalone)</f>
        <v>0</v>
      </c>
      <c r="D69" s="537" t="s">
        <v>2305</v>
      </c>
    </row>
    <row r="70" spans="1:4">
      <c r="A70" s="537" t="s">
        <v>1343</v>
      </c>
      <c r="B70" s="3" t="s">
        <v>1344</v>
      </c>
      <c r="C70" s="537">
        <f>IF(AND(add_on=1,workstation_addon=0),0,ROUNDUP(Operator_LOE/2080/shifts_day/workstation_ratio,0))</f>
        <v>0</v>
      </c>
      <c r="D70" s="537" t="s">
        <v>2305</v>
      </c>
    </row>
    <row r="71" spans="1:4">
      <c r="A71" s="537" t="s">
        <v>432</v>
      </c>
      <c r="B71" s="3" t="s">
        <v>998</v>
      </c>
      <c r="C71" s="537">
        <f>IF(AND(add_on=1,printer_addon=0),0,ROUNDUP(workstations/printer_ratio,0))</f>
        <v>0</v>
      </c>
      <c r="D71" s="537" t="s">
        <v>2305</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E242"/>
  <sheetViews>
    <sheetView workbookViewId="0">
      <pane ySplit="3" topLeftCell="A4" activePane="bottomLeft" state="frozen"/>
      <selection pane="bottomLeft"/>
    </sheetView>
  </sheetViews>
  <sheetFormatPr baseColWidth="10" defaultColWidth="8.83203125" defaultRowHeight="13"/>
  <cols>
    <col min="1" max="1" width="43.5" bestFit="1" customWidth="1"/>
    <col min="2" max="2" width="21" customWidth="1"/>
    <col min="3" max="3" width="17.33203125" customWidth="1"/>
    <col min="4" max="4" width="15.1640625" style="537" customWidth="1"/>
    <col min="5" max="5" width="15" bestFit="1" customWidth="1"/>
  </cols>
  <sheetData>
    <row r="1" spans="1:5">
      <c r="A1" s="1" t="s">
        <v>3406</v>
      </c>
    </row>
    <row r="3" spans="1:5">
      <c r="A3" s="208" t="s">
        <v>3396</v>
      </c>
      <c r="B3" s="209" t="s">
        <v>1433</v>
      </c>
      <c r="C3" s="210" t="s">
        <v>1434</v>
      </c>
      <c r="D3" s="209" t="s">
        <v>1435</v>
      </c>
      <c r="E3" s="209" t="s">
        <v>1436</v>
      </c>
    </row>
    <row r="4" spans="1:5">
      <c r="A4" s="2" t="s">
        <v>3324</v>
      </c>
    </row>
    <row r="5" spans="1:5" s="6" customFormat="1">
      <c r="A5" s="6" t="s">
        <v>2716</v>
      </c>
      <c r="B5" s="3" t="s">
        <v>3329</v>
      </c>
      <c r="C5" s="101">
        <f>IF(res_s2_opt_I="surface water",1,IF(res_s2_opt_I="POTW",2,IF(res_s2_opt_I="recycle",3,IF(res_s2_opt_I="septic system",4,5))))</f>
        <v>2</v>
      </c>
      <c r="D5" s="538" t="s">
        <v>2425</v>
      </c>
    </row>
    <row r="6" spans="1:5" s="6" customFormat="1">
      <c r="A6" s="6" t="s">
        <v>378</v>
      </c>
      <c r="B6" s="3" t="s">
        <v>285</v>
      </c>
      <c r="C6" s="138">
        <f>IF(OR(res_s2_opt=4,res_s2_opt=5),2,IF(OR(res_s2_opt=3,res_s1_opt_I="holding tank"),1,2))</f>
        <v>2</v>
      </c>
      <c r="D6" s="929" t="s">
        <v>1850</v>
      </c>
    </row>
    <row r="7" spans="1:5" s="6" customFormat="1">
      <c r="A7" s="6" t="s">
        <v>3106</v>
      </c>
      <c r="B7" s="3" t="s">
        <v>1500</v>
      </c>
      <c r="C7" s="138">
        <f>IF(solids_haz_I="non-hazardous",1,IF(solids_haz_I="hazardous",2,IF(solids_haz_I="radioactive",3,4)))</f>
        <v>4</v>
      </c>
      <c r="D7" s="929" t="s">
        <v>2864</v>
      </c>
    </row>
    <row r="8" spans="1:5" s="6" customFormat="1">
      <c r="B8" s="3"/>
      <c r="C8" s="138"/>
      <c r="D8" s="929"/>
    </row>
    <row r="9" spans="1:5">
      <c r="A9" s="2" t="s">
        <v>1626</v>
      </c>
      <c r="B9" s="3"/>
      <c r="C9" s="5"/>
    </row>
    <row r="10" spans="1:5">
      <c r="A10" t="s">
        <v>379</v>
      </c>
      <c r="B10" s="3" t="s">
        <v>380</v>
      </c>
      <c r="C10" s="36">
        <f>total_backwash</f>
        <v>6810</v>
      </c>
      <c r="D10" s="537" t="s">
        <v>2964</v>
      </c>
      <c r="E10" s="10" t="s">
        <v>2347</v>
      </c>
    </row>
    <row r="11" spans="1:5">
      <c r="A11" t="s">
        <v>381</v>
      </c>
      <c r="B11" s="3" t="s">
        <v>382</v>
      </c>
      <c r="C11" s="89">
        <f>back_interval*60/IF(design_type=1,final_num_tanks,total_num_basins)</f>
        <v>10080</v>
      </c>
      <c r="D11" s="537" t="s">
        <v>2301</v>
      </c>
      <c r="E11" s="10"/>
    </row>
    <row r="12" spans="1:5">
      <c r="A12" t="s">
        <v>383</v>
      </c>
      <c r="B12" s="3" t="s">
        <v>384</v>
      </c>
      <c r="C12" s="56">
        <f>IF(OR(res_s1_opt=1,res_s2_opt=3),res_vol/res_stagger_time,res_vol/backwash_time)</f>
        <v>681</v>
      </c>
      <c r="D12" s="537" t="s">
        <v>1831</v>
      </c>
      <c r="E12" s="10" t="s">
        <v>1627</v>
      </c>
    </row>
    <row r="13" spans="1:5">
      <c r="A13" t="s">
        <v>385</v>
      </c>
      <c r="B13" s="3" t="s">
        <v>386</v>
      </c>
      <c r="C13" s="56">
        <f>IF(OR(res_s1_opt=1,res_s2_opt=3),res_cap_factor*res_vol/res_stagger_time,res_flow_actual)</f>
        <v>681</v>
      </c>
      <c r="D13" s="537" t="s">
        <v>1831</v>
      </c>
      <c r="E13" s="10" t="s">
        <v>1628</v>
      </c>
    </row>
    <row r="14" spans="1:5">
      <c r="A14" t="s">
        <v>387</v>
      </c>
      <c r="B14" s="3" t="s">
        <v>1625</v>
      </c>
      <c r="C14" s="56">
        <f>res_vol*IF(design_type=1,final_num_tanks,total_num_basins)*(365*24/back_interval)</f>
        <v>355092.85714285716</v>
      </c>
      <c r="D14" s="537" t="s">
        <v>2964</v>
      </c>
      <c r="E14" s="10"/>
    </row>
    <row r="15" spans="1:5">
      <c r="B15" s="3"/>
      <c r="C15" s="90"/>
    </row>
    <row r="16" spans="1:5">
      <c r="A16" s="2" t="s">
        <v>2482</v>
      </c>
      <c r="B16" s="3"/>
      <c r="C16" s="90"/>
    </row>
    <row r="17" spans="1:4">
      <c r="A17" t="s">
        <v>1502</v>
      </c>
      <c r="B17" s="3" t="s">
        <v>1503</v>
      </c>
      <c r="C17" s="45">
        <f>(influent_TSS-effluent_TSS)*average_flow*1000000*(back_interval/24)/(res_vol*IF(design_type=1,final_num_tanks,total_num_basins))</f>
        <v>387.00440528634363</v>
      </c>
      <c r="D17" s="537" t="s">
        <v>1830</v>
      </c>
    </row>
    <row r="18" spans="1:4">
      <c r="A18" t="s">
        <v>2483</v>
      </c>
      <c r="B18" s="3" t="s">
        <v>2484</v>
      </c>
      <c r="C18" s="45">
        <f>IF(res_s2_opt=5,TSS_residuals*res_flow_annual*3.785/1000/453.59/dredging_freq,0)</f>
        <v>0</v>
      </c>
      <c r="D18" s="537" t="s">
        <v>2338</v>
      </c>
    </row>
    <row r="19" spans="1:4">
      <c r="A19" t="s">
        <v>1504</v>
      </c>
      <c r="B19" s="3"/>
      <c r="C19" s="56">
        <f>IF(OR(res_s2_opt=5,AND(res_holding="none",num_sept_tanks=0)),0,TSS_residuals*IF(coag_res=1,coag_TSSrem,htank_TSSrem)*res_flow_annual*3.785/1000/453.59)</f>
        <v>0</v>
      </c>
      <c r="D19" s="537" t="s">
        <v>407</v>
      </c>
    </row>
    <row r="20" spans="1:4">
      <c r="A20" t="s">
        <v>1505</v>
      </c>
      <c r="B20" s="3"/>
      <c r="C20" s="56">
        <f>IF(AND(res_holding&lt;&gt;"none",coag_res=1),IF(coag_type&lt;&gt;1,coag_dose*coag_spf*8.34*res_flow_annual/10^6)+IF(coag_type&lt;&gt;2,polymer_dose*polymer_spf*8.34*res_flow_annual/10^6),0)</f>
        <v>0</v>
      </c>
      <c r="D20" s="537" t="s">
        <v>407</v>
      </c>
    </row>
    <row r="21" spans="1:4">
      <c r="A21" t="s">
        <v>1506</v>
      </c>
      <c r="B21" s="3" t="s">
        <v>848</v>
      </c>
      <c r="C21" s="90">
        <f>C20+C19</f>
        <v>0</v>
      </c>
      <c r="D21" s="537" t="s">
        <v>407</v>
      </c>
    </row>
    <row r="22" spans="1:4">
      <c r="A22" t="s">
        <v>846</v>
      </c>
      <c r="B22" s="3" t="s">
        <v>850</v>
      </c>
      <c r="C22" s="90">
        <f>IF(res_s2_opt=5,dredging_freq,IF(res_holding="none",0,ROUNDUP((ht_solids/ht_solids_density*7.48)/(IF(res_holding="tanks",htanks*htank_vol,hbasins*hbasin_vol)*htank_clean_pct),0)))</f>
        <v>0</v>
      </c>
      <c r="D22" s="1040" t="s">
        <v>1632</v>
      </c>
    </row>
    <row r="23" spans="1:4">
      <c r="A23" t="s">
        <v>2975</v>
      </c>
      <c r="B23" s="3" t="s">
        <v>2976</v>
      </c>
      <c r="C23" s="91">
        <f>IF(num_sept_tanks=0,0,(ht_solids/ht_solids_density*7.48)/(num_sept_tanks*sept_tank_vol*htank_clean_pct))</f>
        <v>0</v>
      </c>
      <c r="D23" s="1040" t="s">
        <v>1632</v>
      </c>
    </row>
    <row r="24" spans="1:4">
      <c r="A24" t="s">
        <v>847</v>
      </c>
      <c r="B24" s="3" t="s">
        <v>849</v>
      </c>
      <c r="C24" s="91">
        <f>IF(AND(res_holding="none",num_sept_tanks=0,ep_solids=0),0,IF(res_s2_opt=5,ep_solids/2000,ht_solids/IF(res_holding="none",septic_disp_freq,sol_disp_freq)/2000))</f>
        <v>0</v>
      </c>
      <c r="D24" s="537" t="s">
        <v>3330</v>
      </c>
    </row>
    <row r="25" spans="1:4">
      <c r="B25" s="3"/>
      <c r="C25" s="90"/>
    </row>
    <row r="26" spans="1:4">
      <c r="A26" s="2" t="s">
        <v>1429</v>
      </c>
      <c r="B26" s="3"/>
      <c r="C26" s="90"/>
    </row>
    <row r="27" spans="1:4">
      <c r="A27" t="s">
        <v>1629</v>
      </c>
      <c r="B27" s="3" t="s">
        <v>1630</v>
      </c>
      <c r="C27" s="90">
        <f>IF(OR(regen_type=3,regen_type=5,regen_type=6,regen_type=7),12/bed_life,0)</f>
        <v>0</v>
      </c>
      <c r="D27" s="776" t="s">
        <v>1632</v>
      </c>
    </row>
    <row r="28" spans="1:4">
      <c r="A28" t="s">
        <v>1631</v>
      </c>
      <c r="B28" s="3" t="s">
        <v>897</v>
      </c>
      <c r="C28" s="532">
        <f>IF(OR(regen_type=3,regen_type=5,regen_type=6,regen_type=7),GAC/2000,0)</f>
        <v>0</v>
      </c>
      <c r="D28" s="776" t="s">
        <v>3330</v>
      </c>
    </row>
    <row r="29" spans="1:4">
      <c r="A29" t="s">
        <v>3181</v>
      </c>
      <c r="B29" s="3" t="s">
        <v>3182</v>
      </c>
      <c r="C29" s="531">
        <f>spent_media*disp_freq</f>
        <v>0</v>
      </c>
      <c r="D29" s="776" t="s">
        <v>3330</v>
      </c>
    </row>
    <row r="30" spans="1:4">
      <c r="B30" s="3"/>
      <c r="C30" s="90"/>
    </row>
    <row r="31" spans="1:4">
      <c r="A31" s="2" t="s">
        <v>1633</v>
      </c>
      <c r="B31" s="3"/>
      <c r="C31" s="91"/>
    </row>
    <row r="32" spans="1:4">
      <c r="A32" s="753" t="s">
        <v>1634</v>
      </c>
      <c r="B32" s="3"/>
      <c r="C32" s="56"/>
    </row>
    <row r="33" spans="1:5" s="6" customFormat="1">
      <c r="A33" s="608" t="s">
        <v>3332</v>
      </c>
      <c r="B33" s="7" t="s">
        <v>3333</v>
      </c>
      <c r="C33" s="627">
        <f>MAX(VLOOKUP(10^6,st_bwt_cost_cl,1)-1,VLOOKUP(10^6,fg_bwt_cost_cl,1)-1,VLOOKUP(10^6,hdpe_bwt_cost_cl,1)-1)</f>
        <v>282094</v>
      </c>
      <c r="D33" s="538" t="s">
        <v>2964</v>
      </c>
      <c r="E33" s="387" t="s">
        <v>3334</v>
      </c>
    </row>
    <row r="34" spans="1:5">
      <c r="A34" s="794" t="s">
        <v>2947</v>
      </c>
      <c r="B34" s="3" t="s">
        <v>2948</v>
      </c>
      <c r="C34" s="90">
        <f>IF(coag_res=1,0,IF(OR(res_s1_opt=1,res_s2_opt=3),ROUNDUP(res_cap_factor*res_vol/max_htank_size,0),0))</f>
        <v>0</v>
      </c>
      <c r="D34" s="537" t="s">
        <v>2305</v>
      </c>
      <c r="E34" s="10" t="s">
        <v>2873</v>
      </c>
    </row>
    <row r="35" spans="1:5">
      <c r="A35" s="794" t="s">
        <v>345</v>
      </c>
      <c r="B35" s="3" t="s">
        <v>346</v>
      </c>
      <c r="C35" s="45">
        <f>IF(htanks=0,0,res_cap_factor*res_vol/htanks)</f>
        <v>0</v>
      </c>
      <c r="D35" s="537" t="s">
        <v>2964</v>
      </c>
    </row>
    <row r="36" spans="1:5">
      <c r="A36" s="794"/>
      <c r="B36" s="3"/>
      <c r="C36" s="45"/>
    </row>
    <row r="37" spans="1:5">
      <c r="A37" s="753" t="s">
        <v>2071</v>
      </c>
      <c r="B37" s="3"/>
      <c r="C37" s="56"/>
    </row>
    <row r="38" spans="1:5">
      <c r="A38" s="608" t="s">
        <v>1581</v>
      </c>
      <c r="B38" s="7" t="s">
        <v>1582</v>
      </c>
      <c r="C38" s="6">
        <f>IF(coag_res=1,ROUNDUP(res_coag_settle_time/res_stagger_time,0),1)</f>
        <v>1</v>
      </c>
      <c r="E38" s="387" t="s">
        <v>1583</v>
      </c>
    </row>
    <row r="39" spans="1:5">
      <c r="A39" s="794" t="s">
        <v>2059</v>
      </c>
      <c r="B39" s="3" t="s">
        <v>2060</v>
      </c>
      <c r="C39" s="56">
        <f>IF(OR(res_s1_opt=1,res_s2_opt=3),hbasins_default*hbasin_redun,0)</f>
        <v>0</v>
      </c>
      <c r="D39" s="537" t="s">
        <v>2305</v>
      </c>
      <c r="E39" s="10" t="s">
        <v>1793</v>
      </c>
    </row>
    <row r="40" spans="1:5">
      <c r="A40" s="795" t="s">
        <v>1578</v>
      </c>
      <c r="B40" s="667" t="s">
        <v>1579</v>
      </c>
      <c r="C40" s="668">
        <f>IF(hbasins=0,0,res_cap_factor*res_vol*hbasin_redun/7.48)</f>
        <v>0</v>
      </c>
      <c r="D40" s="538" t="s">
        <v>1880</v>
      </c>
      <c r="E40" s="387" t="s">
        <v>1793</v>
      </c>
    </row>
    <row r="41" spans="1:5">
      <c r="A41" s="154" t="s">
        <v>1580</v>
      </c>
      <c r="B41" s="40" t="s">
        <v>2061</v>
      </c>
      <c r="C41" s="56">
        <f>IF(hbasins=0,0,total_hvol_ft/hbasins)</f>
        <v>0</v>
      </c>
      <c r="D41" s="537" t="s">
        <v>1880</v>
      </c>
      <c r="E41" s="10" t="s">
        <v>1793</v>
      </c>
    </row>
    <row r="42" spans="1:5">
      <c r="A42" s="154" t="s">
        <v>1573</v>
      </c>
      <c r="B42" s="40" t="s">
        <v>2062</v>
      </c>
      <c r="C42" s="56">
        <f>IF(hbasins=0,0,ROUNDUP(hvol_ft^(1/3)*holding_ratio,0))</f>
        <v>0</v>
      </c>
      <c r="D42" s="537" t="s">
        <v>127</v>
      </c>
      <c r="E42" s="10" t="s">
        <v>1793</v>
      </c>
    </row>
    <row r="43" spans="1:5">
      <c r="A43" s="154" t="s">
        <v>1574</v>
      </c>
      <c r="B43" s="40" t="s">
        <v>2063</v>
      </c>
      <c r="C43" s="56">
        <f>IF(hbasins=0,0,ROUNDUP((hvol_ft/hbasin_op_depth)^0.5,0))</f>
        <v>0</v>
      </c>
      <c r="D43" s="537" t="s">
        <v>127</v>
      </c>
      <c r="E43" s="10" t="s">
        <v>1793</v>
      </c>
    </row>
    <row r="44" spans="1:5">
      <c r="A44" s="154" t="s">
        <v>1575</v>
      </c>
      <c r="B44" s="40" t="s">
        <v>2064</v>
      </c>
      <c r="C44" s="56">
        <f>hbasin_width</f>
        <v>0</v>
      </c>
      <c r="D44" s="537" t="s">
        <v>127</v>
      </c>
      <c r="E44" s="10" t="s">
        <v>1793</v>
      </c>
    </row>
    <row r="45" spans="1:5">
      <c r="A45" s="154" t="s">
        <v>1576</v>
      </c>
      <c r="B45" s="40" t="s">
        <v>2065</v>
      </c>
      <c r="C45" s="56">
        <f>IF(hbasins=0,0,hbasin_op_depth+holding_freeboard)</f>
        <v>0</v>
      </c>
      <c r="D45" s="537" t="s">
        <v>127</v>
      </c>
      <c r="E45" s="10" t="s">
        <v>1793</v>
      </c>
    </row>
    <row r="46" spans="1:5">
      <c r="A46" s="154" t="s">
        <v>1577</v>
      </c>
      <c r="B46" s="40" t="s">
        <v>2066</v>
      </c>
      <c r="C46" s="56">
        <f>ROUND(hbasin_width*hbasin_length*hbasin_depth*7.48,0)</f>
        <v>0</v>
      </c>
      <c r="D46" s="537" t="s">
        <v>2964</v>
      </c>
      <c r="E46" s="10" t="s">
        <v>1793</v>
      </c>
    </row>
    <row r="47" spans="1:5">
      <c r="A47" s="154" t="s">
        <v>2141</v>
      </c>
      <c r="B47" s="40" t="s">
        <v>2067</v>
      </c>
      <c r="C47" s="627">
        <f>(2*(hbasin_width*hbasins+conc_thick*(hbasins+1))*hbasin_depth*conc_thick+(hbasins+1)*hbasin_length*hbasin_depth*conc_thick+(hbasin_length+2*conc_thick)*(hbasin_width*hbasins+conc_thick*(hbasins+1))*conc_thick)/27</f>
        <v>7.407407407407407E-2</v>
      </c>
      <c r="D47" s="538" t="s">
        <v>2945</v>
      </c>
      <c r="E47" s="10" t="s">
        <v>1793</v>
      </c>
    </row>
    <row r="48" spans="1:5">
      <c r="A48" s="154" t="s">
        <v>2192</v>
      </c>
      <c r="B48" s="40" t="s">
        <v>2068</v>
      </c>
      <c r="C48" s="627">
        <f>IF(hbasins=0,0,((hbasins*hbasin_width+(hbasins+1)*conc_thick+overexcavate)*(hbasin_length+2*conc_thick+overexcavate)*(hbasin_depth+conc_thick+overexcavate)+0.5*(3*(hbasin_depth+conc_thick+overexcavate)*(hbasin_depth+conc_thick+overexcavate)*(hbasin_length+2*conc_thick+overexcavate)))/27)</f>
        <v>0</v>
      </c>
      <c r="D48" s="538" t="s">
        <v>2945</v>
      </c>
      <c r="E48" s="10" t="s">
        <v>1793</v>
      </c>
    </row>
    <row r="49" spans="1:5">
      <c r="A49" s="154" t="s">
        <v>2142</v>
      </c>
      <c r="B49" s="40" t="s">
        <v>2069</v>
      </c>
      <c r="C49" s="627">
        <f>IF(hbasins=0,0,hexcavation_vol-(hbasins*hbasin_width+(hbasins+1)*conc_thick)*(hbasin_length+2*conc_thick)*(hbasin_depth+conc_thick)/27)</f>
        <v>0</v>
      </c>
      <c r="D49" s="538" t="s">
        <v>2945</v>
      </c>
      <c r="E49" s="10" t="s">
        <v>1793</v>
      </c>
    </row>
    <row r="50" spans="1:5">
      <c r="A50" s="154" t="s">
        <v>1774</v>
      </c>
      <c r="B50" s="40" t="s">
        <v>2070</v>
      </c>
      <c r="C50" s="627">
        <f>IF(hbasins=0,0,2*(hbasins*hbasin_width+2*conc_thick/2+(hbasins-1)*conc_thick)+2*(hbasin_length+2*conc_thick/2))</f>
        <v>0</v>
      </c>
      <c r="D50" s="538" t="s">
        <v>2625</v>
      </c>
      <c r="E50" s="10" t="s">
        <v>1793</v>
      </c>
    </row>
    <row r="51" spans="1:5">
      <c r="A51" s="794"/>
      <c r="B51" s="3"/>
      <c r="C51" s="45"/>
    </row>
    <row r="52" spans="1:5">
      <c r="A52" s="794" t="s">
        <v>2074</v>
      </c>
      <c r="B52" s="3" t="s">
        <v>2073</v>
      </c>
      <c r="C52" s="630" t="str">
        <f>IF(OR(res_s2_opt=5,res_s1_opt=2),"none",IF(AND(hbasins&lt;&gt;0,coag_res=1),"basins",IF(OUTPUT!L52=1,"basins","tanks")))</f>
        <v>none</v>
      </c>
      <c r="D52" s="538"/>
      <c r="E52" s="10" t="s">
        <v>2075</v>
      </c>
    </row>
    <row r="53" spans="1:5">
      <c r="A53" s="794"/>
      <c r="B53" s="3"/>
    </row>
    <row r="54" spans="1:5">
      <c r="A54" s="753" t="s">
        <v>2087</v>
      </c>
      <c r="B54" s="3"/>
      <c r="C54" s="90"/>
      <c r="D54" s="1040"/>
      <c r="E54" s="45"/>
    </row>
    <row r="55" spans="1:5">
      <c r="A55" s="154" t="s">
        <v>851</v>
      </c>
      <c r="B55" s="3" t="s">
        <v>2792</v>
      </c>
      <c r="C55" s="99">
        <f>IF(AND(res_holding&lt;&gt;"none",coag_res=1,coag_type&lt;&gt;1),coag_dose*8.34*res_vol/10^6/backwash_time/IF(res_holding="tanks",htanks,hbasins),0)</f>
        <v>0</v>
      </c>
      <c r="D55" s="537" t="s">
        <v>2798</v>
      </c>
      <c r="E55" s="45"/>
    </row>
    <row r="56" spans="1:5">
      <c r="A56" s="154" t="s">
        <v>2793</v>
      </c>
      <c r="B56" s="3" t="s">
        <v>2794</v>
      </c>
      <c r="C56" s="100">
        <f>grav_feed_rate/coag_density</f>
        <v>0</v>
      </c>
      <c r="D56" s="537" t="s">
        <v>3040</v>
      </c>
      <c r="E56" s="45"/>
    </row>
    <row r="57" spans="1:5">
      <c r="A57" s="154" t="s">
        <v>2641</v>
      </c>
      <c r="B57" s="3" t="s">
        <v>2642</v>
      </c>
      <c r="C57" s="33">
        <f>IF(AND(res_holding&lt;&gt;"none",coag_res=1,coag_type&lt;&gt;1),ROUNDUP(IF(res_holding="tanks",htank_vol,hbasin_vol)/1000*hmix_hp_per/hmix_hp_max,0),0)</f>
        <v>0</v>
      </c>
      <c r="D57" s="537" t="s">
        <v>2305</v>
      </c>
      <c r="E57" s="45"/>
    </row>
    <row r="58" spans="1:5" s="6" customFormat="1">
      <c r="A58" s="795" t="s">
        <v>2638</v>
      </c>
      <c r="B58" s="7" t="s">
        <v>2639</v>
      </c>
      <c r="C58" s="597">
        <f>VLOOKUP(10^6,imp_mix_cost_cl,1)-0.1</f>
        <v>20</v>
      </c>
      <c r="D58" s="538" t="s">
        <v>1642</v>
      </c>
      <c r="E58" s="387" t="s">
        <v>2640</v>
      </c>
    </row>
    <row r="59" spans="1:5">
      <c r="A59" s="154" t="s">
        <v>2795</v>
      </c>
      <c r="B59" s="3" t="s">
        <v>2796</v>
      </c>
      <c r="C59" s="56">
        <f>IF(AND(res_holding&lt;&gt;"none",coag_res=1,coag_type&lt;&gt;1),IF(res_holding="tanks",htanks,hbasins)*hmix_per_tank,0)</f>
        <v>0</v>
      </c>
      <c r="D59" s="537" t="s">
        <v>2305</v>
      </c>
      <c r="E59" s="45"/>
    </row>
    <row r="60" spans="1:5">
      <c r="A60" s="794" t="s">
        <v>1285</v>
      </c>
      <c r="B60" s="3" t="s">
        <v>1286</v>
      </c>
      <c r="C60" s="291">
        <f>IF(AND(res_holding&lt;&gt;"none",coag_res=1,coag_type&lt;&gt;1),IF(res_holding="tanks",htank_vol,hbasin_vol)/1000*hmix_hp_per/hmix_per_tank,0)</f>
        <v>0</v>
      </c>
      <c r="D60" s="537" t="s">
        <v>1642</v>
      </c>
      <c r="E60" s="45"/>
    </row>
    <row r="61" spans="1:5">
      <c r="A61" s="794" t="s">
        <v>2088</v>
      </c>
      <c r="B61" s="3" t="s">
        <v>2797</v>
      </c>
      <c r="C61" s="56">
        <f>IF(AND(res_holding&lt;&gt;"none",coag_res=1,coag_type&lt;&gt;1),coag_dose*8.34*res_flow_annual/10^6/365*cstore_days,0)</f>
        <v>0</v>
      </c>
      <c r="D61" s="537" t="s">
        <v>2338</v>
      </c>
      <c r="E61" s="45"/>
    </row>
    <row r="62" spans="1:5">
      <c r="A62" s="154"/>
      <c r="C62" s="90"/>
      <c r="D62" s="1040"/>
      <c r="E62" s="45"/>
    </row>
    <row r="63" spans="1:5">
      <c r="A63" s="752" t="s">
        <v>2089</v>
      </c>
      <c r="C63" s="90"/>
      <c r="D63" s="1040"/>
      <c r="E63" s="45"/>
    </row>
    <row r="64" spans="1:5">
      <c r="A64" s="794" t="s">
        <v>731</v>
      </c>
      <c r="B64" s="3" t="s">
        <v>2090</v>
      </c>
      <c r="C64" s="665">
        <f>IF(AND(res_holding&lt;&gt;"none",coag_res=1,coag_type&lt;&gt;2),polymer_dose*8.34*res_vol/10^6/polymer_density,0)</f>
        <v>0</v>
      </c>
      <c r="D64" s="537" t="s">
        <v>2964</v>
      </c>
      <c r="E64" s="45"/>
    </row>
    <row r="65" spans="1:5">
      <c r="A65" s="794" t="s">
        <v>2091</v>
      </c>
      <c r="B65" s="3" t="s">
        <v>2092</v>
      </c>
      <c r="C65" s="665">
        <f>IF(AND(res_holding&lt;&gt;"none",coag_res=1,coag_type&lt;&gt;2),polymer_dose*8.34*res_flow_annual/10^6/polymer_density/365*cstore_days,0)</f>
        <v>0</v>
      </c>
      <c r="D65" s="537" t="s">
        <v>2964</v>
      </c>
      <c r="E65" s="45"/>
    </row>
    <row r="66" spans="1:5">
      <c r="A66" s="754" t="s">
        <v>3594</v>
      </c>
      <c r="B66" s="3" t="s">
        <v>3595</v>
      </c>
      <c r="C66" s="665">
        <f>polymer_storage*polymer_density</f>
        <v>0</v>
      </c>
      <c r="D66" s="537" t="s">
        <v>2338</v>
      </c>
      <c r="E66" s="45"/>
    </row>
    <row r="67" spans="1:5">
      <c r="A67" s="154" t="s">
        <v>2686</v>
      </c>
      <c r="B67" s="3" t="s">
        <v>2687</v>
      </c>
      <c r="C67" s="632">
        <f>MAX(VLOOKUP(10^6,pl_cst_cost_cl,1)-1,VLOOKUP(10^6,fg_cst_cost_cl,1)-1,VLOOKUP(10^6,ss_cst_cost_cl,1)-1)</f>
        <v>30000</v>
      </c>
      <c r="D67" s="537" t="s">
        <v>1834</v>
      </c>
      <c r="E67" s="10" t="s">
        <v>3216</v>
      </c>
    </row>
    <row r="68" spans="1:5">
      <c r="A68" s="154" t="s">
        <v>2093</v>
      </c>
      <c r="B68" s="3" t="s">
        <v>2094</v>
      </c>
      <c r="C68" s="90">
        <f>ROUNDUP(polymer_storage/max_chem_tank_size,0)</f>
        <v>0</v>
      </c>
      <c r="D68" s="537" t="s">
        <v>2305</v>
      </c>
      <c r="E68" s="45"/>
    </row>
    <row r="69" spans="1:5">
      <c r="A69" s="154" t="s">
        <v>2672</v>
      </c>
      <c r="B69" s="3" t="s">
        <v>2673</v>
      </c>
      <c r="C69" s="91">
        <f>IF(polymer_tanks&gt;0,polymer_storage/polymer_tanks,0)</f>
        <v>0</v>
      </c>
      <c r="D69" s="537" t="s">
        <v>2964</v>
      </c>
      <c r="E69" s="45"/>
    </row>
    <row r="70" spans="1:5">
      <c r="A70" s="154" t="s">
        <v>2688</v>
      </c>
      <c r="B70" s="633" t="s">
        <v>2689</v>
      </c>
      <c r="C70" s="91">
        <f>MAX(VLOOKUP(10^6,port_mix_cost_cl,1)-0.1,VLOOKUP(10^6,mount_mix_cost_cl,1)-0.1,VLOOKUP(10^6,imp_mix_cost_cl,1)-0.1)</f>
        <v>20</v>
      </c>
      <c r="D70" s="537" t="s">
        <v>1642</v>
      </c>
      <c r="E70" s="45"/>
    </row>
    <row r="71" spans="1:5">
      <c r="A71" s="154" t="s">
        <v>2674</v>
      </c>
      <c r="B71" s="3" t="s">
        <v>2675</v>
      </c>
      <c r="C71" s="634">
        <f>IF(polymer_tanks&lt;&gt;0,ROUNDUP(polymer_tank_vol/1000*cmix_hp_per/cmix_hp_max,0),0)</f>
        <v>0</v>
      </c>
      <c r="D71" s="537" t="s">
        <v>2305</v>
      </c>
      <c r="E71" s="45"/>
    </row>
    <row r="72" spans="1:5">
      <c r="A72" s="154" t="s">
        <v>2676</v>
      </c>
      <c r="B72" s="3" t="s">
        <v>2677</v>
      </c>
      <c r="C72" s="9">
        <f>IF(AND(res_holding&lt;&gt;"none",coag_res=1,coag_type&lt;&gt;2),polymer_tanks*polymer_cmix_per_tank,0)</f>
        <v>0</v>
      </c>
      <c r="D72" s="537" t="s">
        <v>2305</v>
      </c>
      <c r="E72" s="45"/>
    </row>
    <row r="73" spans="1:5">
      <c r="A73" s="154" t="s">
        <v>2678</v>
      </c>
      <c r="B73" s="3" t="s">
        <v>2679</v>
      </c>
      <c r="C73" s="635">
        <f>IF(polymer_tanks&lt;&gt;0,polymer_tank_vol/1000*cmix_hp_per/polymer_cmix_per_tank,0)</f>
        <v>0</v>
      </c>
      <c r="D73" s="537" t="s">
        <v>1642</v>
      </c>
      <c r="E73" s="45"/>
    </row>
    <row r="74" spans="1:5">
      <c r="A74" s="794" t="s">
        <v>1856</v>
      </c>
      <c r="B74" s="3" t="s">
        <v>2680</v>
      </c>
      <c r="C74" s="635">
        <f>polymer_day/backwash_time*60</f>
        <v>0</v>
      </c>
      <c r="D74" s="537" t="s">
        <v>2685</v>
      </c>
      <c r="E74" s="45"/>
    </row>
    <row r="75" spans="1:5">
      <c r="A75" s="154" t="s">
        <v>2681</v>
      </c>
      <c r="B75" s="3" t="s">
        <v>2682</v>
      </c>
      <c r="C75" s="34">
        <f>IF(polymer_day=0,0,ROUNDUP(polymer_rate/max_cm_pump_size,0)+NRD_cm_pump)</f>
        <v>0</v>
      </c>
      <c r="D75" s="671" t="s">
        <v>2305</v>
      </c>
      <c r="E75" s="45"/>
    </row>
    <row r="76" spans="1:5">
      <c r="A76" s="154" t="s">
        <v>2683</v>
      </c>
      <c r="B76" s="3" t="s">
        <v>2684</v>
      </c>
      <c r="C76" s="79">
        <f>IF(polymer_day=0,0,polymer_rate*(1+pump_safety_factor)/(cm_pumps_polymer-NRD_cm_pump))</f>
        <v>0</v>
      </c>
      <c r="D76" s="671" t="s">
        <v>2685</v>
      </c>
      <c r="E76" s="45"/>
    </row>
    <row r="77" spans="1:5">
      <c r="A77" s="154"/>
      <c r="C77" s="90"/>
      <c r="D77" s="1040"/>
      <c r="E77" s="45"/>
    </row>
    <row r="78" spans="1:5">
      <c r="A78" s="753" t="s">
        <v>769</v>
      </c>
      <c r="B78" s="3"/>
      <c r="C78" s="90"/>
      <c r="D78" s="1040"/>
      <c r="E78" s="45"/>
    </row>
    <row r="79" spans="1:5">
      <c r="A79" s="794" t="s">
        <v>353</v>
      </c>
      <c r="B79" s="3" t="s">
        <v>354</v>
      </c>
      <c r="C79">
        <f>IF(AND(add_on=1,res_pump_addon=0),0,IF(res_holding&lt;&gt;"none",ROUNDUP(res_flow*(1+pump_safety_factor)/max_pump_size,0)+NRD_res_pump,0))</f>
        <v>0</v>
      </c>
      <c r="D79" s="537" t="s">
        <v>2305</v>
      </c>
      <c r="E79" s="45"/>
    </row>
    <row r="80" spans="1:5">
      <c r="A80" s="794" t="s">
        <v>355</v>
      </c>
      <c r="B80" s="3" t="s">
        <v>356</v>
      </c>
      <c r="C80" s="63">
        <f>IF(add_on=1,0,IF(res_holding&lt;&gt;"none",res_flow*(1+pump_safety_factor)/(res_pumps-NRD_res_pump),0))</f>
        <v>0</v>
      </c>
      <c r="D80" s="537" t="s">
        <v>1831</v>
      </c>
    </row>
    <row r="81" spans="1:5">
      <c r="A81" s="794"/>
      <c r="B81" s="3"/>
      <c r="C81" s="63"/>
    </row>
    <row r="82" spans="1:5">
      <c r="A82" s="753" t="s">
        <v>1692</v>
      </c>
      <c r="B82" s="3"/>
      <c r="C82" s="63"/>
    </row>
    <row r="83" spans="1:5">
      <c r="A83" s="154" t="s">
        <v>1806</v>
      </c>
      <c r="B83" s="3" t="s">
        <v>1693</v>
      </c>
      <c r="C83" s="32">
        <f>res_solids*2000/htransfer_time</f>
        <v>0</v>
      </c>
      <c r="D83" s="537" t="s">
        <v>1136</v>
      </c>
    </row>
    <row r="84" spans="1:5">
      <c r="A84" s="154" t="s">
        <v>1694</v>
      </c>
      <c r="B84" s="3" t="s">
        <v>1695</v>
      </c>
      <c r="C84" s="294">
        <f>res_transfer_rate/(ht_solids_density/7.48*60)</f>
        <v>0</v>
      </c>
      <c r="D84" s="537" t="s">
        <v>1831</v>
      </c>
    </row>
    <row r="85" spans="1:5">
      <c r="A85" s="154" t="s">
        <v>1696</v>
      </c>
      <c r="B85" s="3" t="s">
        <v>1697</v>
      </c>
      <c r="C85" s="35">
        <f>IF(res_transfer_method=1,1,0)</f>
        <v>0</v>
      </c>
      <c r="D85" s="537" t="s">
        <v>2305</v>
      </c>
    </row>
    <row r="86" spans="1:5">
      <c r="A86" s="795" t="s">
        <v>2733</v>
      </c>
      <c r="B86" s="3" t="s">
        <v>1698</v>
      </c>
      <c r="C86" s="101">
        <f>IF(res_transfer_method&lt;&gt;2,0,ROUNDUP(res_transfer_rate_gal/max_eductor_size,0))</f>
        <v>0</v>
      </c>
      <c r="D86" s="538" t="s">
        <v>2305</v>
      </c>
    </row>
    <row r="87" spans="1:5">
      <c r="A87" s="795" t="s">
        <v>1699</v>
      </c>
      <c r="B87" s="3" t="s">
        <v>1700</v>
      </c>
      <c r="C87" s="32">
        <f>IF(res_eductors=0,0,res_transfer_rate_gal/res_eductors)</f>
        <v>0</v>
      </c>
      <c r="D87" s="537" t="s">
        <v>1831</v>
      </c>
    </row>
    <row r="88" spans="1:5">
      <c r="A88" s="154" t="s">
        <v>1137</v>
      </c>
      <c r="B88" s="3" t="s">
        <v>1701</v>
      </c>
      <c r="C88" s="33" t="str">
        <f>IF(res_transfer_method=2,VLOOKUP(res_eff_transfer_rate,eductor_size_table_cl,2),"NA")</f>
        <v>NA</v>
      </c>
      <c r="D88" s="537" t="s">
        <v>574</v>
      </c>
    </row>
    <row r="89" spans="1:5">
      <c r="A89" s="794"/>
      <c r="B89" s="3"/>
    </row>
    <row r="90" spans="1:5">
      <c r="A90" s="753" t="s">
        <v>3051</v>
      </c>
      <c r="B90" s="3"/>
    </row>
    <row r="91" spans="1:5">
      <c r="A91" s="794" t="s">
        <v>3052</v>
      </c>
      <c r="B91" s="3" t="s">
        <v>3053</v>
      </c>
      <c r="C91">
        <f>IF(res_s2_opt=5,0,ROUNDUP(MAX(spent_media*2000/GAC_density,IF(res_s2_opt=4,0,(res_solids*2000/ht_solids_density)/solids_storage_height)),-1))</f>
        <v>0</v>
      </c>
      <c r="D91" s="537" t="s">
        <v>1664</v>
      </c>
      <c r="E91" s="10" t="s">
        <v>3283</v>
      </c>
    </row>
    <row r="92" spans="1:5">
      <c r="A92" s="794" t="s">
        <v>3054</v>
      </c>
      <c r="B92" s="3" t="s">
        <v>3055</v>
      </c>
      <c r="C92">
        <f>ROUNDUP(solids_pad_area*IF(ss_cat2=1,pad_thick_small,pad_thick)/27,0)</f>
        <v>0</v>
      </c>
      <c r="D92" s="537" t="s">
        <v>3056</v>
      </c>
    </row>
    <row r="93" spans="1:5">
      <c r="A93" s="794"/>
      <c r="B93" s="3"/>
    </row>
    <row r="94" spans="1:5">
      <c r="A94" s="753" t="s">
        <v>2623</v>
      </c>
      <c r="B94" s="3"/>
    </row>
    <row r="95" spans="1:5">
      <c r="A95" s="154" t="s">
        <v>130</v>
      </c>
      <c r="B95" s="3" t="s">
        <v>126</v>
      </c>
      <c r="C95" s="38">
        <f>facil_length+IF(AND(add_on=1,include_add_res_pipe_addon=0),0,IF(OR(contam_type=4,contam_type=5),add_res_pipe_length_TCE,add_res_pipe_length))</f>
        <v>20</v>
      </c>
      <c r="D95" s="537" t="s">
        <v>127</v>
      </c>
    </row>
    <row r="96" spans="1:5">
      <c r="A96" s="154" t="s">
        <v>357</v>
      </c>
      <c r="B96" s="3" t="s">
        <v>358</v>
      </c>
      <c r="C96" s="38">
        <f>MAX(min_res_pipe_size,VLOOKUP(res_flow,pipe_size_table_cl,2))</f>
        <v>6</v>
      </c>
      <c r="D96" s="537" t="s">
        <v>574</v>
      </c>
    </row>
    <row r="97" spans="1:4">
      <c r="A97" s="154" t="s">
        <v>1547</v>
      </c>
      <c r="B97" s="3" t="s">
        <v>1548</v>
      </c>
      <c r="C97" s="38">
        <f>IF(OR(AND(add_on=1,include_add_res_pipe_addon=0), res_s2_opt=3),0,IF(OR(contam_type=4,contam_type=5),add_res_pipe_length_TCE,add_res_pipe_length))</f>
        <v>0</v>
      </c>
      <c r="D97" s="537" t="s">
        <v>127</v>
      </c>
    </row>
    <row r="98" spans="1:4">
      <c r="A98" s="795" t="s">
        <v>1969</v>
      </c>
      <c r="B98" s="3" t="s">
        <v>155</v>
      </c>
      <c r="C98">
        <f>MAX(frost,min_trench_depth)</f>
        <v>38</v>
      </c>
      <c r="D98" s="537" t="s">
        <v>2626</v>
      </c>
    </row>
    <row r="99" spans="1:4">
      <c r="A99" s="795" t="s">
        <v>134</v>
      </c>
      <c r="B99" s="3" t="s">
        <v>156</v>
      </c>
      <c r="C99" s="520">
        <f>VLOOKUP(res_pipe_diam,thrust_block_table_cl,2)*2.2</f>
        <v>6237.043283051893</v>
      </c>
      <c r="D99" s="537" t="s">
        <v>574</v>
      </c>
    </row>
    <row r="100" spans="1:4">
      <c r="A100" s="795" t="s">
        <v>136</v>
      </c>
      <c r="B100" s="3" t="s">
        <v>157</v>
      </c>
      <c r="C100">
        <f>1.5*res_thrust_force/(soil_dens*(res_trn_depth/12+res_pipe_diam/12)*Coeff_Kp*Reduction)</f>
        <v>18.775379196767016</v>
      </c>
      <c r="D100" s="537" t="s">
        <v>2338</v>
      </c>
    </row>
    <row r="101" spans="1:4">
      <c r="A101" s="795" t="s">
        <v>137</v>
      </c>
      <c r="B101" s="3"/>
      <c r="C101">
        <f>res_bearing_area/C102</f>
        <v>6.1278673609612362</v>
      </c>
      <c r="D101" s="537" t="s">
        <v>1664</v>
      </c>
    </row>
    <row r="102" spans="1:4">
      <c r="A102" s="795" t="s">
        <v>138</v>
      </c>
      <c r="B102" s="3"/>
      <c r="C102">
        <f>(res_bearing_area/2)^0.5</f>
        <v>3.0639336804806185</v>
      </c>
      <c r="D102" s="537" t="s">
        <v>127</v>
      </c>
    </row>
    <row r="103" spans="1:4">
      <c r="A103" s="795" t="s">
        <v>139</v>
      </c>
      <c r="B103" s="3"/>
      <c r="C103">
        <f>MAX(0.5,res_pipe_diam/12)</f>
        <v>0.5</v>
      </c>
      <c r="D103" s="537" t="s">
        <v>127</v>
      </c>
    </row>
    <row r="104" spans="1:4">
      <c r="A104" s="795" t="s">
        <v>140</v>
      </c>
      <c r="B104" s="3"/>
      <c r="C104">
        <f>C101/2</f>
        <v>3.0639336804806181</v>
      </c>
      <c r="D104" s="537" t="s">
        <v>127</v>
      </c>
    </row>
    <row r="105" spans="1:4">
      <c r="A105" s="795" t="s">
        <v>143</v>
      </c>
      <c r="B105" s="3" t="s">
        <v>158</v>
      </c>
      <c r="C105" s="156">
        <f>IF(OR(buried_res_pipe_length=0,res_pipe_diam=0),0,(C104+(C97/12)/2)*(C101+C103)/2*C102/27)</f>
        <v>0</v>
      </c>
      <c r="D105" s="537" t="s">
        <v>1660</v>
      </c>
    </row>
    <row r="106" spans="1:4">
      <c r="A106" s="795" t="s">
        <v>159</v>
      </c>
      <c r="B106" s="3" t="s">
        <v>160</v>
      </c>
      <c r="C106" s="69">
        <f>IF(res_pipe_diam=0,0,(res_pipe_diam/12+2)*(bedding_depth/12+res_pipe_diam/12+res_trn_depth/12)+(bedding_depth/12+res_pipe_diam/12+res_trn_depth/12)^2*TAN(trench_angle))</f>
        <v>27.777777777777768</v>
      </c>
      <c r="D106" s="537" t="s">
        <v>1660</v>
      </c>
    </row>
    <row r="107" spans="1:4">
      <c r="A107" s="795" t="s">
        <v>161</v>
      </c>
      <c r="B107" s="3"/>
      <c r="C107" s="20">
        <f>res_trench_area*buried_res_pipe_length/27</f>
        <v>0</v>
      </c>
      <c r="D107" s="537" t="s">
        <v>1664</v>
      </c>
    </row>
    <row r="108" spans="1:4">
      <c r="A108" s="795" t="s">
        <v>2281</v>
      </c>
      <c r="B108" s="3" t="s">
        <v>2282</v>
      </c>
      <c r="C108" s="20">
        <f>IF(OR(buried_res_pipe_length=0,res_pipe_diam=0),0,C107+res_block_vol)</f>
        <v>0</v>
      </c>
      <c r="D108" s="537" t="s">
        <v>1660</v>
      </c>
    </row>
    <row r="109" spans="1:4">
      <c r="A109" s="795" t="s">
        <v>1401</v>
      </c>
      <c r="B109" s="3"/>
      <c r="C109" s="70">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1.9147384469184763</v>
      </c>
      <c r="D109" s="537" t="s">
        <v>1664</v>
      </c>
    </row>
    <row r="110" spans="1:4">
      <c r="A110" s="795" t="s">
        <v>1409</v>
      </c>
      <c r="B110" s="3" t="s">
        <v>2283</v>
      </c>
      <c r="C110">
        <f>C109*buried_res_pipe_length/2/27</f>
        <v>0</v>
      </c>
      <c r="D110" s="537" t="s">
        <v>1660</v>
      </c>
    </row>
    <row r="111" spans="1:4">
      <c r="A111" s="154"/>
      <c r="B111" s="3"/>
      <c r="C111" s="38"/>
    </row>
    <row r="112" spans="1:4">
      <c r="A112" s="753" t="s">
        <v>359</v>
      </c>
      <c r="B112" s="3"/>
      <c r="C112" s="38"/>
    </row>
    <row r="113" spans="1:5">
      <c r="A113" s="794" t="s">
        <v>360</v>
      </c>
      <c r="B113" s="3" t="s">
        <v>361</v>
      </c>
      <c r="C113" s="38">
        <f>res_pipe_diam</f>
        <v>6</v>
      </c>
      <c r="D113" s="537" t="s">
        <v>574</v>
      </c>
      <c r="E113" s="92"/>
    </row>
    <row r="114" spans="1:5">
      <c r="A114" s="154" t="s">
        <v>362</v>
      </c>
      <c r="B114" s="3" t="s">
        <v>363</v>
      </c>
      <c r="C114" s="45">
        <f>VLOOKUP("res_MOV_pump",valve_table,manual+1,FALSE)*res_pumps+VLOOKUP("res_MOV_tank",valve_table,manual+1,FALSE)*IF(res_holding="tanks",htanks,IF(res_holding="basins",hbasins,0))+VLOOKUP("res_MOV_ep",valve_table,manual+1,FALSE)*ep_cells</f>
        <v>0</v>
      </c>
      <c r="D114" s="537" t="s">
        <v>1835</v>
      </c>
    </row>
    <row r="115" spans="1:5">
      <c r="A115" s="154" t="s">
        <v>3078</v>
      </c>
      <c r="B115" s="3" t="s">
        <v>3079</v>
      </c>
      <c r="C115" s="45">
        <f>VLOOKUP("res_man_pump",valve_table,manual+1,FALSE)*res_pumps+VLOOKUP("res_man_tank",valve_table,manual+1,FALSE)*IF(res_holding="tanks",htanks,IF(res_holding="basins",hbasins,0))+VLOOKUP("res_man_ep",valve_table,manual+1,FALSE)*ep_cells</f>
        <v>0</v>
      </c>
      <c r="D115" s="537" t="s">
        <v>1835</v>
      </c>
    </row>
    <row r="116" spans="1:5">
      <c r="A116" s="154" t="s">
        <v>364</v>
      </c>
      <c r="B116" s="3" t="s">
        <v>365</v>
      </c>
      <c r="C116">
        <f>res_chv_pump*res_pumps+IF(res_pumps=0,res_chv_no_pump,0)</f>
        <v>1</v>
      </c>
      <c r="D116" s="537" t="s">
        <v>1835</v>
      </c>
    </row>
    <row r="117" spans="1:5">
      <c r="A117" s="154" t="s">
        <v>2241</v>
      </c>
      <c r="B117" s="3" t="s">
        <v>366</v>
      </c>
      <c r="C117">
        <f>IF(res_holding="tanks",htanks,IF(res_holding="basins",hbasins,0))*alarm_res</f>
        <v>0</v>
      </c>
      <c r="D117" s="537" t="s">
        <v>2305</v>
      </c>
    </row>
    <row r="118" spans="1:5">
      <c r="A118" s="154" t="s">
        <v>367</v>
      </c>
      <c r="B118" s="3" t="s">
        <v>368</v>
      </c>
      <c r="C118" s="38">
        <f>res_pipe_diam</f>
        <v>6</v>
      </c>
      <c r="D118" s="537" t="s">
        <v>574</v>
      </c>
    </row>
    <row r="119" spans="1:5">
      <c r="A119" s="154"/>
      <c r="B119" s="3"/>
      <c r="C119" s="38"/>
    </row>
    <row r="120" spans="1:5">
      <c r="A120" s="753" t="s">
        <v>556</v>
      </c>
      <c r="B120" s="3"/>
      <c r="C120" s="38"/>
    </row>
    <row r="121" spans="1:5" s="6" customFormat="1">
      <c r="A121" s="795" t="s">
        <v>3214</v>
      </c>
      <c r="B121" s="7" t="s">
        <v>3215</v>
      </c>
      <c r="C121" s="627">
        <f>VLOOKUP(10^6,septic_tank_cost_cl,1)-1</f>
        <v>100000</v>
      </c>
      <c r="D121" s="538" t="s">
        <v>2964</v>
      </c>
      <c r="E121" s="387" t="s">
        <v>3216</v>
      </c>
    </row>
    <row r="122" spans="1:5">
      <c r="A122" s="794" t="s">
        <v>557</v>
      </c>
      <c r="B122" s="3" t="s">
        <v>558</v>
      </c>
      <c r="C122">
        <f>IF(res_s2_opt&lt;&gt;4,0,ROUNDUP(res_vol*sept_tank_sf/max_sept_tank_vol,0))</f>
        <v>0</v>
      </c>
      <c r="D122" s="537" t="s">
        <v>2305</v>
      </c>
    </row>
    <row r="123" spans="1:5">
      <c r="A123" s="154" t="s">
        <v>559</v>
      </c>
      <c r="B123" s="3" t="s">
        <v>560</v>
      </c>
      <c r="C123" s="45">
        <f>IF(num_sept_tanks=0,0,MAX(res_vol*sept_tank_sf,min_sept_tank_vol)/num_sept_tanks)</f>
        <v>0</v>
      </c>
      <c r="D123" s="537" t="s">
        <v>2964</v>
      </c>
      <c r="E123" s="10"/>
    </row>
    <row r="124" spans="1:5">
      <c r="A124" s="154" t="s">
        <v>561</v>
      </c>
      <c r="B124" s="3" t="s">
        <v>562</v>
      </c>
      <c r="C124" s="45">
        <f>IF(num_sept_tanks=0,0,res_vol*sept_tank_sf/MIN(min_sept_disch_time,res_stagger_time/(24*60)))</f>
        <v>0</v>
      </c>
      <c r="D124" s="537" t="s">
        <v>3202</v>
      </c>
      <c r="E124" s="10"/>
    </row>
    <row r="125" spans="1:5">
      <c r="A125" s="154" t="s">
        <v>563</v>
      </c>
      <c r="B125" s="3" t="s">
        <v>564</v>
      </c>
      <c r="C125" s="45">
        <f>sept_design_flow/sept_LTAR</f>
        <v>0</v>
      </c>
      <c r="D125" s="537" t="s">
        <v>3203</v>
      </c>
      <c r="E125" s="10"/>
    </row>
    <row r="126" spans="1:5" ht="13.5" customHeight="1">
      <c r="A126" s="154" t="s">
        <v>565</v>
      </c>
      <c r="B126" s="3" t="s">
        <v>566</v>
      </c>
      <c r="C126" s="45">
        <f>sept_infil_area*sept_trench_w/(sept_trench_w+2*sept_gravel_d_below)</f>
        <v>0</v>
      </c>
      <c r="D126" s="537" t="s">
        <v>3203</v>
      </c>
      <c r="E126" s="10" t="s">
        <v>3204</v>
      </c>
    </row>
    <row r="127" spans="1:5">
      <c r="A127" s="154" t="s">
        <v>567</v>
      </c>
      <c r="B127" s="3" t="s">
        <v>568</v>
      </c>
      <c r="C127" s="13">
        <f>IF(num_sept_tanks=0,0,MAX(sept_min_trenches,ROUNDUP(sept_trench_bot_area/(sept_trench_w*sept_max_trench_l),0)))</f>
        <v>0</v>
      </c>
      <c r="E127" s="10"/>
    </row>
    <row r="128" spans="1:5">
      <c r="A128" s="154" t="s">
        <v>3186</v>
      </c>
      <c r="B128" s="3" t="s">
        <v>3187</v>
      </c>
      <c r="C128" s="45">
        <f>IF(num_sept_tanks=0,0,sept_trench_bot_area/(sept_trenches*sept_trench_w))</f>
        <v>0</v>
      </c>
      <c r="D128" s="537" t="s">
        <v>2302</v>
      </c>
      <c r="E128" s="10"/>
    </row>
    <row r="129" spans="1:5">
      <c r="A129" s="154" t="s">
        <v>3188</v>
      </c>
      <c r="B129" s="3" t="s">
        <v>3189</v>
      </c>
      <c r="C129" s="45">
        <f>sept_trench_l*sept_trenches*sept_trench_w*sept_gravel_d/27</f>
        <v>0</v>
      </c>
      <c r="D129" s="537" t="s">
        <v>3205</v>
      </c>
      <c r="E129" s="10"/>
    </row>
    <row r="130" spans="1:5">
      <c r="A130" s="154" t="s">
        <v>3190</v>
      </c>
      <c r="B130" s="3" t="s">
        <v>3191</v>
      </c>
      <c r="C130" s="45">
        <f>sept_trench_l*sept_trenches*sept_trench_d*sept_trench_w/27</f>
        <v>0</v>
      </c>
      <c r="D130" s="537" t="s">
        <v>3205</v>
      </c>
      <c r="E130" s="10"/>
    </row>
    <row r="131" spans="1:5">
      <c r="A131" s="154" t="s">
        <v>3192</v>
      </c>
      <c r="B131" s="3" t="s">
        <v>3193</v>
      </c>
      <c r="C131" s="45">
        <f>(sept_tank_vol/7.48)^(1/3)</f>
        <v>0</v>
      </c>
      <c r="D131" s="537" t="s">
        <v>2302</v>
      </c>
      <c r="E131" s="10" t="s">
        <v>3206</v>
      </c>
    </row>
    <row r="132" spans="1:5">
      <c r="A132" s="154" t="s">
        <v>3194</v>
      </c>
      <c r="B132" s="3" t="s">
        <v>3195</v>
      </c>
      <c r="C132" s="45">
        <f>num_sept_tanks*(sept_tank_vol/7.48+(sept_tank_side+sept_overexcav*2)^2*sept_overexcav+(sept_tank_side+sept_overexcav*2)*sept_tank_side*2*sept_overexcav+sept_tank_side^2*2*sept_overexcav)/27</f>
        <v>0</v>
      </c>
      <c r="D132" s="537" t="s">
        <v>3205</v>
      </c>
      <c r="E132" s="10"/>
    </row>
    <row r="133" spans="1:5">
      <c r="A133" s="154" t="s">
        <v>3196</v>
      </c>
      <c r="B133" s="3" t="s">
        <v>3197</v>
      </c>
      <c r="C133">
        <f>ROUNDUP(sept_trenches/sept_dist_connections,0)</f>
        <v>0</v>
      </c>
      <c r="E133" s="10"/>
    </row>
    <row r="134" spans="1:5">
      <c r="A134" s="154" t="s">
        <v>3198</v>
      </c>
      <c r="B134" s="3" t="s">
        <v>3199</v>
      </c>
      <c r="C134" s="45">
        <f>sept_trenches*sept_trench_l</f>
        <v>0</v>
      </c>
      <c r="D134" s="537" t="s">
        <v>2302</v>
      </c>
      <c r="E134" s="10" t="s">
        <v>3207</v>
      </c>
    </row>
    <row r="135" spans="1:5">
      <c r="A135" s="154" t="s">
        <v>3200</v>
      </c>
      <c r="B135" s="3" t="s">
        <v>3201</v>
      </c>
      <c r="C135" s="45">
        <f>IF(num_sept_tanks=0,0,((sept_trench_l+sept_buffer*2)*(sept_trenches*sept_trench_w+(sept_trenches-1)*sept_trench_dist+sept_buffer*2))+sept_tank_side^2)</f>
        <v>0</v>
      </c>
      <c r="D135" s="537" t="s">
        <v>3203</v>
      </c>
      <c r="E135" s="10"/>
    </row>
    <row r="136" spans="1:5">
      <c r="A136" s="154"/>
      <c r="B136" s="3"/>
      <c r="C136" s="63"/>
    </row>
    <row r="137" spans="1:5">
      <c r="A137" s="753" t="s">
        <v>2426</v>
      </c>
      <c r="C137" s="63"/>
    </row>
    <row r="138" spans="1:5">
      <c r="A138" s="154" t="s">
        <v>2427</v>
      </c>
      <c r="B138" s="3" t="s">
        <v>2428</v>
      </c>
      <c r="C138" s="22">
        <f>IF(res_s2_opt=5,(res_flow_annual/7.48)*ep_safety_factor/((pan_evap*evap_ratio-precip)*0.0328),0)</f>
        <v>0</v>
      </c>
      <c r="D138" s="537" t="s">
        <v>3238</v>
      </c>
    </row>
    <row r="139" spans="1:5">
      <c r="A139" s="154" t="s">
        <v>2429</v>
      </c>
      <c r="B139" s="3" t="s">
        <v>2430</v>
      </c>
      <c r="C139" s="26">
        <f>IF(res_s2_opt=5,ep_solids/ep_solids_density/ep_total_sa,0)</f>
        <v>0</v>
      </c>
      <c r="D139" s="537" t="s">
        <v>2302</v>
      </c>
    </row>
    <row r="140" spans="1:5">
      <c r="A140" s="154" t="s">
        <v>2431</v>
      </c>
      <c r="B140" s="3" t="s">
        <v>2432</v>
      </c>
      <c r="C140" s="26">
        <f>IF(res_s2_opt=5,(res_flow_annual/7.48)*winter_days/365/ep_total_sa,0)</f>
        <v>0</v>
      </c>
      <c r="D140" s="537" t="s">
        <v>2302</v>
      </c>
    </row>
    <row r="141" spans="1:5">
      <c r="A141" s="154" t="s">
        <v>2433</v>
      </c>
      <c r="B141" s="3" t="s">
        <v>2434</v>
      </c>
      <c r="C141" s="156">
        <f>IF(res_s2_opt=5,ep_solids_depth+ep_water_depth+ep_freeboard,0)</f>
        <v>0</v>
      </c>
      <c r="D141" s="537" t="s">
        <v>2302</v>
      </c>
      <c r="E141" s="10" t="s">
        <v>2447</v>
      </c>
    </row>
    <row r="142" spans="1:5">
      <c r="A142" s="154" t="s">
        <v>2435</v>
      </c>
      <c r="B142" s="3" t="s">
        <v>2436</v>
      </c>
      <c r="C142">
        <f>IF(res_s2_opt=5,IF(ROUNDUP(ep_total_sa/(max_ep_cell_area*43560),0)&lt;min_ep_cells,min_ep_cells,ROUNDUP(ep_total_sa/(max_ep_cell_area*43560),0)),0)</f>
        <v>0</v>
      </c>
      <c r="D142" s="537" t="s">
        <v>2448</v>
      </c>
    </row>
    <row r="143" spans="1:5">
      <c r="A143" s="154" t="s">
        <v>2437</v>
      </c>
      <c r="B143" s="3" t="s">
        <v>2438</v>
      </c>
      <c r="C143" s="13">
        <f>IF(res_s2_opt=5,SQRT(ep_total_sa/ep_cells),0)</f>
        <v>0</v>
      </c>
      <c r="D143" s="537" t="s">
        <v>2302</v>
      </c>
    </row>
    <row r="144" spans="1:5">
      <c r="A144" s="154" t="s">
        <v>2439</v>
      </c>
      <c r="B144" s="3" t="s">
        <v>2440</v>
      </c>
      <c r="C144" s="22">
        <f>IF(res_s2_opt=5,ROUNDUP(((ep_cell_side+ep_overexcavate)^2*(ep_depth+ep_overexcavate)+0.5*(3*(ep_depth+ep_overexcavate)*(ep_cell_side+ep_overexcavate)*(ep_depth+ep_overexcavate)))*ep_cells/27,0),0)</f>
        <v>0</v>
      </c>
      <c r="D144" s="537" t="s">
        <v>2945</v>
      </c>
    </row>
    <row r="145" spans="1:5">
      <c r="A145" s="154" t="s">
        <v>2441</v>
      </c>
      <c r="B145" s="3" t="s">
        <v>2442</v>
      </c>
      <c r="C145" s="22">
        <f>IF(res_s2_opt=5,ROUNDUP(ep_excavation_vol-(ep_cell_side^2*ep_depth*ep_cells)/27,0),0)</f>
        <v>0</v>
      </c>
      <c r="D145" s="537" t="s">
        <v>2945</v>
      </c>
    </row>
    <row r="146" spans="1:5">
      <c r="A146" s="154" t="s">
        <v>2443</v>
      </c>
      <c r="B146" s="3" t="s">
        <v>2444</v>
      </c>
      <c r="C146" s="22">
        <f>IF(res_s2_opt=5,ep_cells*ep_cell_side*4*dike_xsection/27,0)</f>
        <v>0</v>
      </c>
      <c r="D146" s="537" t="s">
        <v>2945</v>
      </c>
    </row>
    <row r="147" spans="1:5">
      <c r="A147" s="154" t="s">
        <v>2445</v>
      </c>
      <c r="B147" s="3" t="s">
        <v>2446</v>
      </c>
      <c r="C147" s="22">
        <f>(ep_cell_side^2+ep_cell_side*(ep_depth+2)*4)*ep_cells</f>
        <v>0</v>
      </c>
      <c r="D147" s="537" t="s">
        <v>3238</v>
      </c>
      <c r="E147" s="10" t="s">
        <v>2449</v>
      </c>
    </row>
    <row r="148" spans="1:5">
      <c r="B148" s="3"/>
      <c r="C148" s="63"/>
    </row>
    <row r="149" spans="1:5">
      <c r="A149" s="2" t="s">
        <v>3107</v>
      </c>
      <c r="B149" s="3"/>
      <c r="C149" s="63"/>
    </row>
    <row r="150" spans="1:5">
      <c r="A150" s="753" t="s">
        <v>769</v>
      </c>
      <c r="B150" s="3"/>
    </row>
    <row r="151" spans="1:5">
      <c r="A151" s="154" t="s">
        <v>369</v>
      </c>
      <c r="B151" s="3"/>
      <c r="C151" s="45">
        <f>IF(res_pumps=0,0,res_flow_actual*res_pump_psi/(res_pumps-NRD_res_pump)/pump_efficiency/14.7*33.9*8.34/550/60)</f>
        <v>0</v>
      </c>
      <c r="D151" s="537" t="s">
        <v>1642</v>
      </c>
    </row>
    <row r="152" spans="1:5">
      <c r="A152" s="154" t="s">
        <v>370</v>
      </c>
      <c r="B152" s="3"/>
      <c r="C152" s="37">
        <f>C151*0.7457/1000*24*365</f>
        <v>0</v>
      </c>
      <c r="D152" s="537" t="s">
        <v>2524</v>
      </c>
    </row>
    <row r="153" spans="1:5">
      <c r="A153" s="154" t="s">
        <v>371</v>
      </c>
      <c r="B153" s="3" t="s">
        <v>372</v>
      </c>
      <c r="C153" s="37">
        <f>C152*(res_pumps-NRD_res_pump)</f>
        <v>0</v>
      </c>
      <c r="D153" s="537" t="s">
        <v>2524</v>
      </c>
    </row>
    <row r="154" spans="1:5">
      <c r="A154" s="154" t="s">
        <v>373</v>
      </c>
      <c r="B154" s="3" t="s">
        <v>374</v>
      </c>
      <c r="C154" s="17">
        <f>IF(OUTPUT!J152="--",0,OUTPUT!J152*booster_pump_maintenance)</f>
        <v>0</v>
      </c>
      <c r="D154" s="701" t="s">
        <v>1644</v>
      </c>
      <c r="E154" s="10"/>
    </row>
    <row r="155" spans="1:5">
      <c r="A155" s="154"/>
      <c r="B155" s="3"/>
    </row>
    <row r="156" spans="1:5">
      <c r="A156" s="753" t="s">
        <v>2802</v>
      </c>
      <c r="B156" s="3"/>
      <c r="C156" s="17"/>
      <c r="D156" s="701"/>
    </row>
    <row r="157" spans="1:5">
      <c r="A157" s="794" t="s">
        <v>2699</v>
      </c>
      <c r="B157" s="3" t="s">
        <v>2803</v>
      </c>
      <c r="C157" s="56">
        <f>IF(AND(res_holding&lt;&gt;"none",coag_res=1, coag_type&lt;&gt;1),coag_dose*8.34*res_flow_annual/10^6,0)</f>
        <v>0</v>
      </c>
      <c r="D157" s="537" t="s">
        <v>2338</v>
      </c>
    </row>
    <row r="158" spans="1:5">
      <c r="A158" s="794" t="s">
        <v>2697</v>
      </c>
      <c r="B158" s="3" t="s">
        <v>2698</v>
      </c>
      <c r="C158" s="56">
        <f>IF(AND(res_holding&lt;&gt;"none",coag_res=1, coag_type&lt;&gt;2),polymer_dose*8.34*res_flow_annual/10^6,0)</f>
        <v>0</v>
      </c>
      <c r="D158" s="537" t="s">
        <v>2338</v>
      </c>
    </row>
    <row r="159" spans="1:5">
      <c r="A159" s="154"/>
      <c r="B159" s="3"/>
    </row>
    <row r="160" spans="1:5">
      <c r="A160" s="1054" t="s">
        <v>3630</v>
      </c>
      <c r="B160" s="1055"/>
      <c r="C160" s="1055"/>
      <c r="D160" s="1055"/>
      <c r="E160" s="1055"/>
    </row>
    <row r="161" spans="1:5">
      <c r="A161" s="1056" t="s">
        <v>3631</v>
      </c>
      <c r="B161" s="1055"/>
      <c r="C161" s="1057">
        <f>VLOOKUP("Ferric Chloride - Large Qty",chem_break_table_cl,2,FALSE)</f>
        <v>31500</v>
      </c>
      <c r="D161" s="1055" t="s">
        <v>2338</v>
      </c>
      <c r="E161" s="825" t="s">
        <v>3632</v>
      </c>
    </row>
    <row r="162" spans="1:5">
      <c r="A162" s="1056" t="s">
        <v>3633</v>
      </c>
      <c r="B162" s="1055"/>
      <c r="C162" s="1057">
        <f>VLOOKUP("Ferric Chloride - Mid Qty",chem_break_table_cl,2,FALSE)</f>
        <v>2772</v>
      </c>
      <c r="D162" s="1055" t="s">
        <v>2338</v>
      </c>
      <c r="E162" s="825" t="s">
        <v>3632</v>
      </c>
    </row>
    <row r="163" spans="1:5">
      <c r="A163" s="1056" t="s">
        <v>3634</v>
      </c>
      <c r="B163" s="1055"/>
      <c r="C163" s="1057">
        <f>VLOOKUP("Ferric Chloride - Small Qty",chem_break_table_cl,2,FALSE)</f>
        <v>0</v>
      </c>
      <c r="D163" s="1055" t="s">
        <v>2338</v>
      </c>
      <c r="E163" s="825" t="s">
        <v>3632</v>
      </c>
    </row>
    <row r="164" spans="1:5">
      <c r="A164" s="1056" t="s">
        <v>3635</v>
      </c>
      <c r="B164" s="1058" t="s">
        <v>3636</v>
      </c>
      <c r="C164" s="1055" t="str">
        <f>IF(AND(ISNA(C161),ISNA(C162),ISNA(C163)),"",IF(coag_store&gt;=C161," - Large Qty",IF(coag_store&gt;=C162," - Mid Qty"," - Small Qty")))</f>
        <v xml:space="preserve"> - Small Qty</v>
      </c>
      <c r="D164" s="1055"/>
      <c r="E164" s="825" t="s">
        <v>3637</v>
      </c>
    </row>
    <row r="165" spans="1:5">
      <c r="A165" s="154"/>
      <c r="B165" s="3"/>
    </row>
    <row r="166" spans="1:5">
      <c r="A166" s="1054" t="s">
        <v>3638</v>
      </c>
      <c r="B166" s="1055"/>
      <c r="C166" s="1055"/>
      <c r="D166" s="1055"/>
      <c r="E166" s="1055"/>
    </row>
    <row r="167" spans="1:5">
      <c r="A167" s="1056" t="s">
        <v>3631</v>
      </c>
      <c r="B167" s="1055"/>
      <c r="C167" s="1057">
        <f>VLOOKUP("Polymers - Large Qty",chem_break_table_cl,2,FALSE)</f>
        <v>450</v>
      </c>
      <c r="D167" s="1055" t="s">
        <v>2338</v>
      </c>
      <c r="E167" s="825" t="s">
        <v>3632</v>
      </c>
    </row>
    <row r="168" spans="1:5">
      <c r="A168" s="1056" t="s">
        <v>3633</v>
      </c>
      <c r="B168" s="1055"/>
      <c r="C168" s="1057">
        <f>VLOOKUP("Polymers - Mid Qty",chem_break_table_cl,2,FALSE)</f>
        <v>450</v>
      </c>
      <c r="D168" s="1055" t="s">
        <v>2338</v>
      </c>
      <c r="E168" s="825" t="s">
        <v>3632</v>
      </c>
    </row>
    <row r="169" spans="1:5">
      <c r="A169" s="1056" t="s">
        <v>3634</v>
      </c>
      <c r="B169" s="1055"/>
      <c r="C169" s="1057">
        <f>VLOOKUP("Polymers - Small Qty",chem_break_table_cl,2,FALSE)</f>
        <v>0</v>
      </c>
      <c r="D169" s="1055" t="s">
        <v>2338</v>
      </c>
      <c r="E169" s="825" t="s">
        <v>3632</v>
      </c>
    </row>
    <row r="170" spans="1:5">
      <c r="A170" s="1056" t="s">
        <v>3635</v>
      </c>
      <c r="B170" s="1058" t="s">
        <v>3639</v>
      </c>
      <c r="C170" s="1055" t="str">
        <f>IF(AND(ISNA(C167),ISNA(C168),ISNA(C169)),"",IF(polymer_storage_lbs&gt;=C167," - Large Qty",IF(polymer_storage_lbs&gt;=C168," - Mid Qty"," - Small Qty")))</f>
        <v xml:space="preserve"> - Small Qty</v>
      </c>
      <c r="D170" s="1055"/>
      <c r="E170" s="825" t="s">
        <v>3637</v>
      </c>
    </row>
    <row r="171" spans="1:5">
      <c r="A171" s="1056"/>
      <c r="B171" s="1058"/>
      <c r="C171" s="1055"/>
      <c r="D171" s="1055"/>
      <c r="E171" s="825"/>
    </row>
    <row r="172" spans="1:5">
      <c r="A172" s="753" t="s">
        <v>375</v>
      </c>
      <c r="B172" s="3"/>
    </row>
    <row r="173" spans="1:5">
      <c r="A173" s="154" t="s">
        <v>376</v>
      </c>
      <c r="B173" s="3" t="s">
        <v>377</v>
      </c>
      <c r="C173" s="45">
        <f>IF(res_holding&lt;&gt;"none",TSS_residuals*(1-IF(coag_res=1,coag_TSSrem,htank_TSSrem)),TSS_residuals)</f>
        <v>387.00440528634363</v>
      </c>
      <c r="D173" s="537" t="s">
        <v>1830</v>
      </c>
    </row>
    <row r="174" spans="1:5">
      <c r="A174" s="154" t="s">
        <v>396</v>
      </c>
      <c r="B174" s="3" t="s">
        <v>2630</v>
      </c>
      <c r="C174" s="56">
        <f>IF((TSS_residuals_dis-POTW_TSS_limit)*res_flow_annual*3.785/1000/453.59&gt;0,(TSS_residuals_dis-POTW_TSS_limit)*res_flow_annual*3.785/1000/453.59,0)</f>
        <v>405.95592148982882</v>
      </c>
      <c r="D174" s="671" t="s">
        <v>407</v>
      </c>
    </row>
    <row r="175" spans="1:5">
      <c r="A175" s="794" t="s">
        <v>397</v>
      </c>
      <c r="B175" s="3"/>
      <c r="C175" s="54">
        <f>IF(POTW_rate_type=1,POTW_base_cost_avg_cl,IF(POTW_base_fee=1,POTW_base_cost_typ_cl,0))*12</f>
        <v>184.01098329801161</v>
      </c>
      <c r="D175" s="537" t="s">
        <v>408</v>
      </c>
    </row>
    <row r="176" spans="1:5">
      <c r="A176" s="794" t="s">
        <v>398</v>
      </c>
      <c r="B176" s="3"/>
      <c r="C176" s="54">
        <f>IF(POTW_rate_type=1,POTW_vol_cost_avg_cl,IF(POTW_volume_fee=1,POTW_vol_cost_typ_cl,0))*res_flow_annual/1000</f>
        <v>1536.3316426835586</v>
      </c>
      <c r="D176" s="537" t="s">
        <v>408</v>
      </c>
      <c r="E176" s="10"/>
    </row>
    <row r="177" spans="1:5">
      <c r="A177" s="794" t="s">
        <v>399</v>
      </c>
      <c r="B177" s="3"/>
      <c r="C177" s="54">
        <f>IF(POTW_rate_type=1,POTW_TSS_cost_avg_cl,IF(POTW_TSS_fee=1,POTW_TSS_cost_typ_cl,0))*ex_TSS_total</f>
        <v>95.66732216328937</v>
      </c>
      <c r="D177" s="537" t="s">
        <v>408</v>
      </c>
    </row>
    <row r="178" spans="1:5">
      <c r="A178" s="794" t="s">
        <v>400</v>
      </c>
      <c r="B178" s="3" t="s">
        <v>401</v>
      </c>
      <c r="C178" s="93">
        <f>SUM(C175:C177)</f>
        <v>1816.0099481448594</v>
      </c>
      <c r="D178" s="537" t="s">
        <v>408</v>
      </c>
    </row>
    <row r="179" spans="1:5">
      <c r="A179" s="154"/>
      <c r="B179" s="3"/>
      <c r="C179" s="38"/>
    </row>
    <row r="180" spans="1:5">
      <c r="A180" s="753" t="s">
        <v>402</v>
      </c>
      <c r="B180" s="5"/>
      <c r="C180" s="38"/>
    </row>
    <row r="181" spans="1:5">
      <c r="A181" s="154" t="s">
        <v>403</v>
      </c>
      <c r="B181" s="3"/>
      <c r="C181" s="67">
        <f>spent_media*disp_freq*CHOOSE(regen_type,0,0,nonhaz_disposal_cost_cl,0,haz_disposal_cost_cl,rad_disposal_cost_cl,hazrad_disposal_cost_cl)</f>
        <v>0</v>
      </c>
      <c r="D181" s="537" t="s">
        <v>408</v>
      </c>
      <c r="E181" s="634"/>
    </row>
    <row r="182" spans="1:5">
      <c r="A182" s="154" t="s">
        <v>2804</v>
      </c>
      <c r="B182" s="3" t="s">
        <v>3608</v>
      </c>
      <c r="C182" s="94">
        <f>IF(spent_media&gt;max_waste_ship,ROUNDUP(spent_media/max_waste_ship,0)*disp_freq,disp_freq)</f>
        <v>0</v>
      </c>
      <c r="E182" s="10"/>
    </row>
    <row r="183" spans="1:5">
      <c r="A183" s="754" t="s">
        <v>3543</v>
      </c>
      <c r="B183" s="3"/>
      <c r="C183" s="67">
        <f>CHOOSE(regen_type,0,0,nonhaz_transportation_cost_cl,0,haz_transportation_cost_cl,rad_transportation_cost_cl,hazrad_transportation_cost_cl)</f>
        <v>0</v>
      </c>
      <c r="D183" s="537" t="s">
        <v>3544</v>
      </c>
      <c r="E183" s="10"/>
    </row>
    <row r="184" spans="1:5">
      <c r="A184" s="754" t="s">
        <v>3546</v>
      </c>
      <c r="B184" s="3"/>
      <c r="C184" s="67">
        <f>CHOOSE(regen_type,0,0,0,0,haz_trans_min_cost_cl,rad_trans_min_cost_cl,hazrad_trans_min_cost_cl)</f>
        <v>0</v>
      </c>
      <c r="D184" s="537" t="s">
        <v>3545</v>
      </c>
      <c r="E184" s="10"/>
    </row>
    <row r="185" spans="1:5">
      <c r="A185" s="754" t="s">
        <v>3547</v>
      </c>
      <c r="B185" s="3" t="s">
        <v>3609</v>
      </c>
      <c r="C185" s="45">
        <f>CHOOSE(regen_type,0,0,non_haz_miles,0,haz_miles,rad_miles,hazrad_miles)</f>
        <v>0</v>
      </c>
      <c r="D185" s="537" t="s">
        <v>2606</v>
      </c>
      <c r="E185" s="10"/>
    </row>
    <row r="186" spans="1:5">
      <c r="A186" s="154" t="s">
        <v>404</v>
      </c>
      <c r="B186" s="3"/>
      <c r="C186" s="67">
        <f>MAX(C182*C184,spent_media*disp_freq*disposal_miles*C183)</f>
        <v>0</v>
      </c>
      <c r="D186" s="537" t="s">
        <v>408</v>
      </c>
    </row>
    <row r="187" spans="1:5">
      <c r="A187" s="154" t="s">
        <v>405</v>
      </c>
      <c r="B187" s="3" t="s">
        <v>406</v>
      </c>
      <c r="C187" s="54">
        <f>C186+C181+CHOOSE(regen_type,0,0,0,0,0,rad_annual_fee_cl,hazrad_annual_fee_cl)</f>
        <v>0</v>
      </c>
      <c r="D187" s="537" t="s">
        <v>408</v>
      </c>
      <c r="E187" s="778"/>
    </row>
    <row r="188" spans="1:5">
      <c r="A188" s="154"/>
      <c r="B188" s="3"/>
    </row>
    <row r="189" spans="1:5">
      <c r="A189" s="753" t="s">
        <v>888</v>
      </c>
      <c r="B189" s="5"/>
    </row>
    <row r="190" spans="1:5">
      <c r="A190" s="154" t="s">
        <v>403</v>
      </c>
      <c r="B190" s="3"/>
      <c r="C190" s="67">
        <f>res_solids*sol_disp_freq*CHOOSE(solids_haz,nonhaz_disposal_cost_cl,haz_disposal_cost_cl,rad_disposal_cost_cl,hazrad_disposal_cost_cl)</f>
        <v>0</v>
      </c>
      <c r="D190" s="537" t="s">
        <v>408</v>
      </c>
    </row>
    <row r="191" spans="1:5">
      <c r="A191" s="154" t="s">
        <v>2804</v>
      </c>
      <c r="B191" s="3" t="s">
        <v>3610</v>
      </c>
      <c r="C191" s="94">
        <f>IF(res_solids&gt;max_waste_ship,ROUNDUP(res_solids/max_waste_ship,0)*sol_disp_freq,sol_disp_freq)</f>
        <v>0</v>
      </c>
      <c r="E191" s="10"/>
    </row>
    <row r="192" spans="1:5">
      <c r="A192" s="754" t="s">
        <v>3543</v>
      </c>
      <c r="B192" s="3"/>
      <c r="C192" s="67">
        <f>CHOOSE(solids_haz,nonhaz_transportation_cost_cl,haz_transportation_cost_cl,rad_transportation_cost_cl,hazrad_transportation_cost_cl)</f>
        <v>0.26443419457954331</v>
      </c>
      <c r="D192" s="537" t="s">
        <v>3544</v>
      </c>
      <c r="E192" s="10"/>
    </row>
    <row r="193" spans="1:5">
      <c r="A193" s="754" t="s">
        <v>3546</v>
      </c>
      <c r="B193" s="3"/>
      <c r="C193" s="67">
        <f>CHOOSE(solids_haz,0,haz_trans_min_cost_cl,rad_trans_min_cost_cl,hazrad_trans_min_cost_cl)</f>
        <v>3067.0932360907809</v>
      </c>
      <c r="D193" s="537" t="s">
        <v>3545</v>
      </c>
      <c r="E193" s="10"/>
    </row>
    <row r="194" spans="1:5">
      <c r="A194" s="754" t="s">
        <v>3547</v>
      </c>
      <c r="B194" s="3" t="s">
        <v>3611</v>
      </c>
      <c r="C194" s="45">
        <f>CHOOSE(solids_haz,non_haz_miles,haz_miles,rad_miles,hazrad_miles)</f>
        <v>700</v>
      </c>
      <c r="D194" s="537" t="s">
        <v>2606</v>
      </c>
      <c r="E194" s="10"/>
    </row>
    <row r="195" spans="1:5">
      <c r="A195" s="154" t="s">
        <v>404</v>
      </c>
      <c r="B195" s="3"/>
      <c r="C195" s="67">
        <f>MAX(C191*C193,res_solids*sol_disp_freq*sol_disposal_miles*C192)</f>
        <v>0</v>
      </c>
      <c r="D195" s="537" t="s">
        <v>408</v>
      </c>
    </row>
    <row r="196" spans="1:5">
      <c r="A196" s="154" t="s">
        <v>889</v>
      </c>
      <c r="B196" s="3" t="s">
        <v>2554</v>
      </c>
      <c r="C196" s="72">
        <f>IF(AND(solids_haz=1,solids_method=2),0,C195+C190+CHOOSE(solids_haz,0,0,rad_annual_fee_cl,hazrad_annual_fee_cl))</f>
        <v>1585.0597728336134</v>
      </c>
      <c r="D196" s="537" t="s">
        <v>408</v>
      </c>
      <c r="E196" s="537"/>
    </row>
    <row r="197" spans="1:5">
      <c r="A197" s="154"/>
      <c r="B197" s="3"/>
      <c r="C197" s="45"/>
    </row>
    <row r="198" spans="1:5">
      <c r="A198" s="753" t="s">
        <v>3066</v>
      </c>
      <c r="B198" s="5"/>
      <c r="C198" s="37"/>
    </row>
    <row r="199" spans="1:5">
      <c r="A199" s="154" t="s">
        <v>889</v>
      </c>
      <c r="B199" s="3" t="s">
        <v>3067</v>
      </c>
      <c r="C199" s="72">
        <f>num_sept_tanks*sept_tank_vol*septic_disp_freq*septic_disposal_cost_cl</f>
        <v>0</v>
      </c>
      <c r="D199" s="537" t="s">
        <v>408</v>
      </c>
    </row>
    <row r="200" spans="1:5">
      <c r="A200" s="753"/>
      <c r="B200" s="3"/>
    </row>
    <row r="201" spans="1:5">
      <c r="A201" s="753" t="s">
        <v>3264</v>
      </c>
      <c r="B201" s="3"/>
      <c r="C201" s="17"/>
      <c r="D201" s="701"/>
    </row>
    <row r="202" spans="1:5">
      <c r="A202" s="794" t="s">
        <v>3265</v>
      </c>
      <c r="B202" s="3"/>
      <c r="C202" s="49">
        <f>12/bed_life</f>
        <v>1</v>
      </c>
      <c r="D202" s="701"/>
    </row>
    <row r="203" spans="1:5">
      <c r="A203" s="154" t="s">
        <v>2804</v>
      </c>
      <c r="B203" s="3"/>
      <c r="C203" s="94" t="str">
        <f>IF(regen_type=4,IF(regen_yr/2000&gt;max_haz_ship,ROUNDUP((regen_yr/2000)/max_haz_ship,0)*C202,C202),"NA")</f>
        <v>NA</v>
      </c>
      <c r="E203" s="10" t="s">
        <v>2553</v>
      </c>
    </row>
    <row r="204" spans="1:5">
      <c r="A204" s="154" t="s">
        <v>404</v>
      </c>
      <c r="B204" s="3" t="s">
        <v>3266</v>
      </c>
      <c r="C204" s="67">
        <f>IF(regen_type=4,MAX(C203*haz_trans_min_cost_cl,spent_media*C203*haz_miles*haz_transportation_cost_cl),0)</f>
        <v>0</v>
      </c>
      <c r="D204" s="537" t="s">
        <v>408</v>
      </c>
    </row>
    <row r="205" spans="1:5">
      <c r="A205" s="5"/>
      <c r="B205" s="3"/>
      <c r="C205" s="54"/>
    </row>
    <row r="206" spans="1:5">
      <c r="A206" s="5"/>
      <c r="B206" s="3"/>
      <c r="C206" s="93"/>
    </row>
    <row r="207" spans="1:5">
      <c r="B207" s="3"/>
    </row>
    <row r="208" spans="1:5">
      <c r="A208" s="2"/>
      <c r="B208" s="5"/>
    </row>
    <row r="209" spans="1:5">
      <c r="B209" s="3"/>
      <c r="C209" s="67"/>
    </row>
    <row r="210" spans="1:5">
      <c r="B210" s="3"/>
      <c r="C210" s="94"/>
      <c r="E210" s="10"/>
    </row>
    <row r="211" spans="1:5">
      <c r="B211" s="3"/>
      <c r="C211" s="67"/>
    </row>
    <row r="212" spans="1:5">
      <c r="B212" s="3"/>
      <c r="C212" s="72"/>
    </row>
    <row r="213" spans="1:5">
      <c r="C213" s="25"/>
    </row>
    <row r="214" spans="1:5">
      <c r="A214" s="2"/>
      <c r="B214" s="5"/>
    </row>
    <row r="215" spans="1:5">
      <c r="B215" s="3"/>
      <c r="C215" s="67"/>
    </row>
    <row r="216" spans="1:5">
      <c r="B216" s="3"/>
      <c r="C216" s="94"/>
      <c r="E216" s="10"/>
    </row>
    <row r="217" spans="1:5">
      <c r="B217" s="3"/>
      <c r="C217" s="67"/>
    </row>
    <row r="218" spans="1:5">
      <c r="B218" s="3"/>
      <c r="C218" s="72"/>
    </row>
    <row r="219" spans="1:5">
      <c r="D219" s="564"/>
      <c r="E219" s="95"/>
    </row>
    <row r="220" spans="1:5">
      <c r="D220" s="564"/>
      <c r="E220" s="95"/>
    </row>
    <row r="221" spans="1:5">
      <c r="D221" s="564"/>
      <c r="E221" s="95"/>
    </row>
    <row r="222" spans="1:5">
      <c r="D222" s="564"/>
      <c r="E222" s="95"/>
    </row>
    <row r="223" spans="1:5">
      <c r="D223" s="564"/>
      <c r="E223" s="95"/>
    </row>
    <row r="224" spans="1:5">
      <c r="D224" s="564"/>
      <c r="E224" s="95"/>
    </row>
    <row r="225" spans="4:5">
      <c r="D225" s="564"/>
      <c r="E225" s="95"/>
    </row>
    <row r="226" spans="4:5">
      <c r="D226" s="564"/>
      <c r="E226" s="95"/>
    </row>
    <row r="227" spans="4:5">
      <c r="D227" s="564"/>
      <c r="E227" s="95"/>
    </row>
    <row r="228" spans="4:5">
      <c r="D228" s="564"/>
      <c r="E228" s="95"/>
    </row>
    <row r="229" spans="4:5">
      <c r="D229" s="564"/>
      <c r="E229" s="95"/>
    </row>
    <row r="230" spans="4:5">
      <c r="D230" s="564"/>
      <c r="E230" s="95"/>
    </row>
    <row r="231" spans="4:5">
      <c r="D231" s="564"/>
      <c r="E231" s="95"/>
    </row>
    <row r="232" spans="4:5">
      <c r="D232" s="564"/>
      <c r="E232" s="95"/>
    </row>
    <row r="233" spans="4:5">
      <c r="D233" s="564"/>
      <c r="E233" s="95"/>
    </row>
    <row r="234" spans="4:5">
      <c r="D234" s="564"/>
      <c r="E234" s="95"/>
    </row>
    <row r="235" spans="4:5">
      <c r="D235" s="564"/>
      <c r="E235" s="95"/>
    </row>
    <row r="236" spans="4:5">
      <c r="D236" s="564"/>
      <c r="E236" s="95"/>
    </row>
    <row r="237" spans="4:5">
      <c r="D237" s="564"/>
      <c r="E237" s="95"/>
    </row>
    <row r="238" spans="4:5">
      <c r="D238" s="564"/>
      <c r="E238" s="95"/>
    </row>
    <row r="239" spans="4:5">
      <c r="D239" s="564"/>
      <c r="E239" s="95"/>
    </row>
    <row r="240" spans="4:5">
      <c r="D240" s="564"/>
      <c r="E240" s="95"/>
    </row>
    <row r="241" spans="4:5">
      <c r="D241" s="564"/>
      <c r="E241" s="95"/>
    </row>
    <row r="242" spans="4:5">
      <c r="D242" s="564"/>
      <c r="E242" s="95"/>
    </row>
  </sheetData>
  <phoneticPr fontId="0"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E82"/>
  <sheetViews>
    <sheetView workbookViewId="0">
      <pane ySplit="3" topLeftCell="A4" activePane="bottomLeft" state="frozen"/>
      <selection pane="bottomLeft"/>
    </sheetView>
  </sheetViews>
  <sheetFormatPr baseColWidth="10" defaultColWidth="8.83203125" defaultRowHeight="13"/>
  <cols>
    <col min="1" max="1" width="56.1640625" customWidth="1"/>
    <col min="2" max="2" width="20" style="3" customWidth="1"/>
    <col min="3" max="3" width="16.5" style="5" customWidth="1"/>
    <col min="4" max="4" width="10.5" style="537" customWidth="1"/>
    <col min="6" max="6" width="12.5" bestFit="1" customWidth="1"/>
  </cols>
  <sheetData>
    <row r="1" spans="1:5">
      <c r="A1" s="1" t="s">
        <v>3407</v>
      </c>
    </row>
    <row r="3" spans="1:5">
      <c r="A3" s="208" t="s">
        <v>3396</v>
      </c>
      <c r="B3" s="209" t="s">
        <v>1433</v>
      </c>
      <c r="C3" s="210" t="s">
        <v>1434</v>
      </c>
      <c r="D3" s="209" t="s">
        <v>1435</v>
      </c>
      <c r="E3" s="209" t="s">
        <v>1436</v>
      </c>
    </row>
    <row r="4" spans="1:5">
      <c r="A4" s="2" t="s">
        <v>1354</v>
      </c>
    </row>
    <row r="5" spans="1:5">
      <c r="A5" s="753" t="s">
        <v>960</v>
      </c>
      <c r="B5" s="21"/>
      <c r="C5" s="38"/>
      <c r="E5" s="10"/>
    </row>
    <row r="6" spans="1:5">
      <c r="A6" s="154" t="s">
        <v>852</v>
      </c>
      <c r="B6" s="3" t="s">
        <v>715</v>
      </c>
      <c r="C6" s="39">
        <f>IF(OUTPUT!J150="--",0,OUTPUT!J150*booster_pump_maintenance)</f>
        <v>0</v>
      </c>
      <c r="D6" s="701" t="s">
        <v>1644</v>
      </c>
    </row>
    <row r="7" spans="1:5">
      <c r="A7" s="154" t="s">
        <v>1014</v>
      </c>
      <c r="B7" s="3" t="s">
        <v>1015</v>
      </c>
      <c r="C7" s="39">
        <f>IF(AND(back_interval&lt;=24*7,NOT(OUTPUT!J151="--")),OUTPUT!J151*booster_pump_maintenance,0)</f>
        <v>0</v>
      </c>
      <c r="D7" s="701" t="s">
        <v>1644</v>
      </c>
      <c r="E7" s="10" t="s">
        <v>1541</v>
      </c>
    </row>
    <row r="8" spans="1:5">
      <c r="A8" s="154" t="s">
        <v>2984</v>
      </c>
      <c r="B8" s="3" t="s">
        <v>3271</v>
      </c>
      <c r="C8" s="390">
        <f>Materials_pct*SUMPRODUCT(OUTPUT!J34:J42,OUTPUT!L34:L42)</f>
        <v>305.70707435532915</v>
      </c>
      <c r="D8" s="701" t="s">
        <v>1644</v>
      </c>
      <c r="E8" s="10" t="s">
        <v>2024</v>
      </c>
    </row>
    <row r="9" spans="1:5">
      <c r="A9" s="154" t="s">
        <v>961</v>
      </c>
      <c r="B9" s="3" t="s">
        <v>1383</v>
      </c>
      <c r="C9" s="17">
        <f>IF(regen_type=1,8451.4*regen_capacity^0.2017,0)</f>
        <v>0</v>
      </c>
      <c r="D9" s="701" t="s">
        <v>1384</v>
      </c>
      <c r="E9" s="10" t="s">
        <v>1019</v>
      </c>
    </row>
    <row r="10" spans="1:5">
      <c r="A10" s="154"/>
      <c r="C10" s="17"/>
      <c r="D10" s="701"/>
      <c r="E10" s="10"/>
    </row>
    <row r="11" spans="1:5">
      <c r="A11" s="753" t="s">
        <v>1353</v>
      </c>
      <c r="C11" s="102"/>
      <c r="D11" s="701"/>
      <c r="E11" s="10"/>
    </row>
    <row r="12" spans="1:5" ht="14">
      <c r="A12" s="796" t="s">
        <v>962</v>
      </c>
      <c r="B12" s="3" t="s">
        <v>261</v>
      </c>
      <c r="C12" s="102">
        <f>tot_fm_in+tot_fm_proc+tot_level_switch+tot_turb_meters+tot_head_sens+pH_controls+tot_temp_meters</f>
        <v>0</v>
      </c>
      <c r="D12" s="701"/>
      <c r="E12" s="516" t="s">
        <v>963</v>
      </c>
    </row>
    <row r="13" spans="1:5">
      <c r="A13" s="154" t="s">
        <v>1550</v>
      </c>
      <c r="B13" s="40" t="s">
        <v>1551</v>
      </c>
      <c r="C13" s="102">
        <f>tot_fm_in+tot_fm_proc+tot_level_switch+tot_turb_meters+tot_head_sens+pH_controls+tot_temp_meters+tot_fm_back+tot_fm_res</f>
        <v>2</v>
      </c>
      <c r="D13" s="701"/>
      <c r="E13" s="516" t="s">
        <v>1530</v>
      </c>
    </row>
    <row r="14" spans="1:5" ht="14">
      <c r="A14" s="796" t="s">
        <v>1531</v>
      </c>
      <c r="B14" s="3" t="s">
        <v>262</v>
      </c>
      <c r="C14" s="102">
        <f>booster_pumps</f>
        <v>0</v>
      </c>
      <c r="D14" s="701"/>
      <c r="E14" s="517" t="s">
        <v>1532</v>
      </c>
    </row>
    <row r="15" spans="1:5">
      <c r="A15" s="154" t="s">
        <v>1533</v>
      </c>
      <c r="B15" s="40" t="s">
        <v>1534</v>
      </c>
      <c r="C15" s="102">
        <f>booster_pumps+res_pumps+IF(back_interval&lt;=24*7,backwash_pumps,0)</f>
        <v>0</v>
      </c>
      <c r="D15" s="701"/>
      <c r="E15" s="10" t="s">
        <v>1535</v>
      </c>
    </row>
    <row r="16" spans="1:5">
      <c r="A16" s="794" t="s">
        <v>263</v>
      </c>
      <c r="B16" s="3" t="s">
        <v>264</v>
      </c>
      <c r="C16" s="102">
        <f>tot_proc_MOVs+tot_bp_MOVs+tot_proc_man+tot_bp_man</f>
        <v>3</v>
      </c>
      <c r="D16" s="701"/>
      <c r="E16" s="10" t="s">
        <v>1536</v>
      </c>
    </row>
    <row r="17" spans="1:5">
      <c r="A17" s="154" t="s">
        <v>1734</v>
      </c>
      <c r="B17" s="40" t="s">
        <v>1735</v>
      </c>
      <c r="C17" s="102">
        <f>IF(design_type=1,final_num_tanks,total_num_basins)*(365*24/back_interval)</f>
        <v>52.142857142857146</v>
      </c>
      <c r="D17" s="701"/>
      <c r="E17" s="10"/>
    </row>
    <row r="18" spans="1:5">
      <c r="A18" s="154" t="s">
        <v>728</v>
      </c>
      <c r="B18" s="40" t="s">
        <v>729</v>
      </c>
      <c r="C18" s="102">
        <f>polymer_tanks</f>
        <v>0</v>
      </c>
      <c r="D18" s="701"/>
      <c r="E18" s="10"/>
    </row>
    <row r="19" spans="1:5">
      <c r="A19" s="794" t="s">
        <v>265</v>
      </c>
      <c r="B19" s="3" t="s">
        <v>266</v>
      </c>
      <c r="C19" s="5">
        <f>IF(design_type=1,final_num_tanks,total_num_basins)*IF(OR(regen_type=3,regen_type=5),disp_freq,IF(OR(regen_type=2,regen_type=4),12/bed_life,0))</f>
        <v>1</v>
      </c>
      <c r="D19" s="701"/>
      <c r="E19" s="10" t="s">
        <v>3101</v>
      </c>
    </row>
    <row r="20" spans="1:5">
      <c r="A20" s="794" t="s">
        <v>2904</v>
      </c>
      <c r="B20" s="40" t="s">
        <v>3099</v>
      </c>
      <c r="C20" s="5">
        <f>IF(OR(regen_type=3,regen_type=5),GAC_makeup+spent_media_yr*2000,IF(OR(regen_type=2,regen_type=4),GAC_makeup+2*regen_yr,0))/GAC_density</f>
        <v>472.68599415452883</v>
      </c>
      <c r="D20" s="671" t="s">
        <v>3100</v>
      </c>
      <c r="E20" s="10" t="s">
        <v>3102</v>
      </c>
    </row>
    <row r="21" spans="1:5">
      <c r="A21" s="154"/>
      <c r="E21" s="10"/>
    </row>
    <row r="22" spans="1:5">
      <c r="A22" s="154" t="s">
        <v>1537</v>
      </c>
      <c r="C22" s="518">
        <f>IF(manual=1,tot_inst*uloe_inst*365/60,uloe_inst_auto*365/60)</f>
        <v>30.416666666666668</v>
      </c>
      <c r="D22" s="701"/>
      <c r="E22" s="10"/>
    </row>
    <row r="23" spans="1:5" ht="14">
      <c r="A23" s="796" t="s">
        <v>1538</v>
      </c>
      <c r="C23" s="518">
        <f>tot_inst_maint*uloe_inst_maint*12/60</f>
        <v>4</v>
      </c>
      <c r="D23" s="701"/>
      <c r="E23" s="10"/>
    </row>
    <row r="24" spans="1:5" ht="14">
      <c r="A24" s="796" t="s">
        <v>1539</v>
      </c>
      <c r="C24" s="519">
        <f>IF(OR(manual=1,manual=2),tot_pumps*uloe_pump*365/60,0)</f>
        <v>0</v>
      </c>
      <c r="D24" s="701"/>
      <c r="E24" s="10"/>
    </row>
    <row r="25" spans="1:5" ht="14">
      <c r="A25" s="796" t="s">
        <v>1540</v>
      </c>
      <c r="C25" s="519">
        <f>tot_pumps_maint*uloe_pump_maint</f>
        <v>0</v>
      </c>
      <c r="D25" s="701"/>
      <c r="E25" s="10"/>
    </row>
    <row r="26" spans="1:5" ht="14">
      <c r="A26" s="796" t="s">
        <v>1542</v>
      </c>
      <c r="C26" s="519">
        <f>IF(OR(manual=1,manual=2),tot_valves*uloe_valve*52/60,0)</f>
        <v>0</v>
      </c>
      <c r="D26" s="701"/>
      <c r="E26" s="10"/>
    </row>
    <row r="27" spans="1:5">
      <c r="A27" s="154" t="s">
        <v>1543</v>
      </c>
      <c r="C27" s="519">
        <f>tot_valves*uloe_valve_maint/60</f>
        <v>0.25</v>
      </c>
      <c r="D27" s="701"/>
      <c r="E27" s="10"/>
    </row>
    <row r="28" spans="1:5">
      <c r="A28" s="154" t="s">
        <v>1544</v>
      </c>
      <c r="C28" s="519">
        <f>total_fp/100*uloe_fp*365/60</f>
        <v>7.3</v>
      </c>
      <c r="D28" s="701"/>
      <c r="E28" s="10"/>
    </row>
    <row r="29" spans="1:5">
      <c r="A29" s="154" t="s">
        <v>730</v>
      </c>
      <c r="B29" s="5"/>
      <c r="C29" s="476">
        <f>tot_chem*uloe_chem_maint*12/60</f>
        <v>0</v>
      </c>
      <c r="D29" s="537" t="s">
        <v>1643</v>
      </c>
      <c r="E29" s="10"/>
    </row>
    <row r="30" spans="1:5">
      <c r="A30" s="794" t="s">
        <v>435</v>
      </c>
      <c r="C30" s="519">
        <f>IF(OR(manual=1,manual=2),backwash_yr*2*backwash_time/60,backwash_yr*uloe_autoback/60)</f>
        <v>0.86904761904761907</v>
      </c>
      <c r="D30" s="701"/>
      <c r="E30" s="10"/>
    </row>
    <row r="31" spans="1:5">
      <c r="A31" s="794" t="s">
        <v>267</v>
      </c>
      <c r="C31" s="519">
        <f>IF(transfer_method=3,media_changes_cf*uloe_throwaway,media_changes*transfer_time)</f>
        <v>7.002755468955983</v>
      </c>
      <c r="D31" s="701"/>
      <c r="E31" s="10"/>
    </row>
    <row r="32" spans="1:5" ht="14.25" customHeight="1">
      <c r="A32" s="794" t="s">
        <v>2905</v>
      </c>
      <c r="C32" s="519">
        <f>IF(res_transfer_method=3,res_solids*2000/ht_solids_density*sol_disp_freq*uloe_throwaway,sol_disp_freq*htransfer_time)</f>
        <v>0</v>
      </c>
      <c r="D32" s="701"/>
      <c r="E32" s="10"/>
    </row>
    <row r="33" spans="1:5">
      <c r="A33" s="154" t="s">
        <v>1886</v>
      </c>
      <c r="B33" s="3" t="s">
        <v>1887</v>
      </c>
      <c r="C33" s="37">
        <f>SUM(C22:C32)</f>
        <v>49.838469754670271</v>
      </c>
      <c r="D33" s="537" t="s">
        <v>1643</v>
      </c>
      <c r="E33" s="10"/>
    </row>
    <row r="34" spans="1:5">
      <c r="A34" s="154"/>
      <c r="C34" s="37"/>
      <c r="E34" s="10"/>
    </row>
    <row r="35" spans="1:5">
      <c r="A35" s="797" t="s">
        <v>1545</v>
      </c>
      <c r="C35" s="37"/>
      <c r="E35" s="10"/>
    </row>
    <row r="36" spans="1:5">
      <c r="A36" s="794" t="s">
        <v>2985</v>
      </c>
      <c r="B36" s="3" t="s">
        <v>2986</v>
      </c>
      <c r="C36" s="37">
        <f>Weekly_labor*52*total_num_basins</f>
        <v>0</v>
      </c>
      <c r="D36" s="537" t="s">
        <v>2219</v>
      </c>
      <c r="E36" s="10"/>
    </row>
    <row r="37" spans="1:5">
      <c r="A37" s="154" t="s">
        <v>1546</v>
      </c>
      <c r="B37" s="3" t="s">
        <v>1017</v>
      </c>
      <c r="C37" s="45">
        <f>IF(regen_type=1,2.2515*regen_capacity^0.7554,0)</f>
        <v>0</v>
      </c>
      <c r="D37" s="537" t="s">
        <v>1018</v>
      </c>
      <c r="E37" s="10" t="s">
        <v>1019</v>
      </c>
    </row>
    <row r="38" spans="1:5">
      <c r="A38" s="154"/>
      <c r="C38" s="45"/>
      <c r="E38" s="10"/>
    </row>
    <row r="39" spans="1:5">
      <c r="A39" s="154" t="s">
        <v>2935</v>
      </c>
      <c r="B39" s="3" t="s">
        <v>2936</v>
      </c>
      <c r="C39" s="37">
        <f>General_Oper_Labor+regen_labor+filter_labor</f>
        <v>49.838469754670271</v>
      </c>
      <c r="D39" s="537" t="s">
        <v>1643</v>
      </c>
      <c r="E39" s="10"/>
    </row>
    <row r="40" spans="1:5">
      <c r="A40" s="154" t="s">
        <v>785</v>
      </c>
      <c r="B40" s="3" t="s">
        <v>784</v>
      </c>
      <c r="C40" s="37">
        <f>Operator_LOE*Manager_percent</f>
        <v>4.9838469754670278</v>
      </c>
      <c r="D40" s="537" t="s">
        <v>1643</v>
      </c>
      <c r="E40" s="10" t="s">
        <v>1889</v>
      </c>
    </row>
    <row r="41" spans="1:5">
      <c r="A41" s="154" t="s">
        <v>787</v>
      </c>
      <c r="B41" s="3" t="s">
        <v>2934</v>
      </c>
      <c r="C41" s="37">
        <f>Operator_LOE*Clerical_percent</f>
        <v>4.9838469754670278</v>
      </c>
      <c r="D41" s="537" t="s">
        <v>1643</v>
      </c>
      <c r="E41" s="10" t="s">
        <v>1889</v>
      </c>
    </row>
    <row r="42" spans="1:5">
      <c r="A42" s="154"/>
      <c r="C42" s="39"/>
      <c r="D42" s="701"/>
    </row>
    <row r="43" spans="1:5">
      <c r="A43" s="797" t="s">
        <v>105</v>
      </c>
    </row>
    <row r="44" spans="1:5">
      <c r="A44" s="154" t="s">
        <v>106</v>
      </c>
      <c r="C44" s="390">
        <f>building_matl_rate_cl*total_fp</f>
        <v>677.20685670272712</v>
      </c>
      <c r="D44" s="701" t="s">
        <v>1644</v>
      </c>
      <c r="E44" s="10" t="s">
        <v>107</v>
      </c>
    </row>
    <row r="45" spans="1:5">
      <c r="A45" s="154" t="s">
        <v>108</v>
      </c>
      <c r="C45" s="390">
        <f>build1_need_heat*heating_matl_rate_cl*build1_fp</f>
        <v>0</v>
      </c>
      <c r="D45" s="701" t="s">
        <v>1644</v>
      </c>
    </row>
    <row r="46" spans="1:5">
      <c r="A46" s="154" t="s">
        <v>109</v>
      </c>
      <c r="C46" s="390">
        <f>build1_need_cool*cooling_matl_rate_cl*build1_fp</f>
        <v>0</v>
      </c>
      <c r="D46" s="701" t="s">
        <v>1644</v>
      </c>
    </row>
    <row r="47" spans="1:5">
      <c r="A47" s="154" t="s">
        <v>110</v>
      </c>
      <c r="C47" s="390">
        <f>build2_need_heat*heating_matl_rate_cl*build2_fp</f>
        <v>0</v>
      </c>
      <c r="D47" s="701" t="s">
        <v>1644</v>
      </c>
    </row>
    <row r="48" spans="1:5">
      <c r="A48" s="154" t="s">
        <v>111</v>
      </c>
      <c r="C48" s="390">
        <f>build2_need_cool*cooling_matl_rate_cl*build2_fp</f>
        <v>0</v>
      </c>
      <c r="D48" s="701" t="s">
        <v>1644</v>
      </c>
    </row>
    <row r="49" spans="1:5">
      <c r="A49" s="154" t="s">
        <v>112</v>
      </c>
      <c r="B49" s="3" t="s">
        <v>113</v>
      </c>
      <c r="C49" s="507">
        <f>SUM(C44:C48)</f>
        <v>677.20685670272712</v>
      </c>
      <c r="E49" s="10" t="s">
        <v>114</v>
      </c>
    </row>
    <row r="50" spans="1:5">
      <c r="C50" s="39"/>
      <c r="D50" s="701"/>
    </row>
    <row r="51" spans="1:5">
      <c r="A51" s="2" t="s">
        <v>718</v>
      </c>
      <c r="C51" s="39"/>
      <c r="D51" s="701"/>
    </row>
    <row r="52" spans="1:5">
      <c r="A52" s="753" t="s">
        <v>1385</v>
      </c>
      <c r="C52" s="39"/>
      <c r="D52" s="701"/>
      <c r="E52" s="10"/>
    </row>
    <row r="53" spans="1:5">
      <c r="A53" s="154" t="s">
        <v>1661</v>
      </c>
      <c r="B53" s="3" t="s">
        <v>3605</v>
      </c>
      <c r="C53" s="64">
        <f>IF(booster_pumps=0,0,(average_flow_rate/IF(bp_pct&gt;0,bp_pct,1))*pump_head*0.43351492/booster_pumps/pump_efficiency/14.7*33.9*8.34/550/60)</f>
        <v>0</v>
      </c>
      <c r="D53" s="537" t="s">
        <v>1642</v>
      </c>
    </row>
    <row r="54" spans="1:5">
      <c r="A54" s="154" t="s">
        <v>1765</v>
      </c>
      <c r="C54" s="37">
        <f>pump_hp*0.7457/1000*24*365</f>
        <v>0</v>
      </c>
      <c r="D54" s="537" t="s">
        <v>2524</v>
      </c>
    </row>
    <row r="55" spans="1:5">
      <c r="A55" s="154" t="s">
        <v>1766</v>
      </c>
      <c r="B55" s="3" t="s">
        <v>719</v>
      </c>
      <c r="C55" s="37">
        <f>C54*booster_pumps</f>
        <v>0</v>
      </c>
      <c r="D55" s="537" t="s">
        <v>2524</v>
      </c>
    </row>
    <row r="56" spans="1:5">
      <c r="A56" s="798"/>
      <c r="C56" s="37"/>
    </row>
    <row r="57" spans="1:5">
      <c r="A57" s="154" t="s">
        <v>2611</v>
      </c>
      <c r="B57" s="3" t="s">
        <v>1386</v>
      </c>
      <c r="C57" s="45">
        <f>back_pump_head*0.43351492</f>
        <v>14.305992360000001</v>
      </c>
      <c r="D57" s="537" t="s">
        <v>1387</v>
      </c>
    </row>
    <row r="58" spans="1:5">
      <c r="A58" s="154" t="s">
        <v>1109</v>
      </c>
      <c r="B58" s="3" t="s">
        <v>3606</v>
      </c>
      <c r="C58" s="83">
        <f>water_flush*back_pump_psi/pump_efficiency/14.7*33.9*8.34/550/60</f>
        <v>7.5707396502655335</v>
      </c>
      <c r="D58" s="537" t="s">
        <v>1642</v>
      </c>
    </row>
    <row r="59" spans="1:5">
      <c r="A59" s="154" t="s">
        <v>1110</v>
      </c>
      <c r="B59" s="3" t="s">
        <v>1388</v>
      </c>
      <c r="C59" s="37">
        <f>IF(design_type=1,final_num_tanks,total_num_basins)*backwash_time/60*(365*24/back_interval)</f>
        <v>8.6904761904761898</v>
      </c>
      <c r="D59" s="537" t="s">
        <v>1018</v>
      </c>
    </row>
    <row r="60" spans="1:5">
      <c r="A60" s="155" t="s">
        <v>1111</v>
      </c>
      <c r="B60" s="3" t="s">
        <v>1389</v>
      </c>
      <c r="C60" s="85">
        <f>back_pump_hp*0.7457/1000*back_hrs_yr</f>
        <v>4.9062088175692804E-2</v>
      </c>
      <c r="D60" s="537" t="s">
        <v>2524</v>
      </c>
    </row>
    <row r="61" spans="1:5">
      <c r="A61" s="798"/>
      <c r="C61" s="37"/>
    </row>
    <row r="62" spans="1:5">
      <c r="A62" s="753" t="s">
        <v>1016</v>
      </c>
      <c r="C62"/>
    </row>
    <row r="63" spans="1:5">
      <c r="A63" s="154" t="s">
        <v>718</v>
      </c>
      <c r="B63" s="3" t="s">
        <v>1390</v>
      </c>
      <c r="C63" s="49">
        <f>IF(regen_type=1,9.1217*regen_capacity^1.0475/1000,0)</f>
        <v>0</v>
      </c>
      <c r="D63" s="537" t="s">
        <v>2524</v>
      </c>
      <c r="E63" s="10" t="s">
        <v>1019</v>
      </c>
    </row>
    <row r="64" spans="1:5">
      <c r="A64" s="154" t="s">
        <v>3288</v>
      </c>
      <c r="B64" s="3" t="s">
        <v>3289</v>
      </c>
      <c r="C64" s="45">
        <f>IF(regen_type=1,28.161*regen_capacity,0)</f>
        <v>0</v>
      </c>
      <c r="D64" s="537" t="s">
        <v>3290</v>
      </c>
      <c r="E64" s="10" t="s">
        <v>1019</v>
      </c>
    </row>
    <row r="65" spans="1:4">
      <c r="A65" s="798"/>
      <c r="C65" s="37"/>
    </row>
    <row r="66" spans="1:4">
      <c r="A66" s="753" t="s">
        <v>222</v>
      </c>
      <c r="C66" s="38"/>
    </row>
    <row r="67" spans="1:4">
      <c r="A67" s="794" t="s">
        <v>1986</v>
      </c>
      <c r="B67" s="3" t="s">
        <v>1987</v>
      </c>
      <c r="C67" s="511">
        <f>IF(OR(build1_fp&lt;500,component_level=""),lighting_power_low,CHOOSE(component_level,lighting_power_mid,lighting_power_high))*24*365/1000</f>
        <v>8.76</v>
      </c>
      <c r="D67" s="537" t="s">
        <v>924</v>
      </c>
    </row>
    <row r="68" spans="1:4">
      <c r="A68" s="794" t="s">
        <v>1988</v>
      </c>
      <c r="B68" s="3" t="s">
        <v>1989</v>
      </c>
      <c r="C68" s="511">
        <f>IF(OR(build2_fp&lt;500,component_level=""),lighting_power_low,CHOOSE(component_level,lighting_power_mid,lighting_power_high))*24*365/1000</f>
        <v>8.76</v>
      </c>
      <c r="D68" s="537" t="s">
        <v>924</v>
      </c>
    </row>
    <row r="69" spans="1:4">
      <c r="A69" s="794" t="s">
        <v>271</v>
      </c>
      <c r="B69" s="3" t="s">
        <v>2751</v>
      </c>
      <c r="C69" s="511">
        <f>MIN(1,Operator_LOE/(24*365))*(build1_fp*lighting_energy_1+build2_fp*lighting_energy_2)/1000</f>
        <v>5.9806163705604324E-3</v>
      </c>
      <c r="D69" s="537" t="s">
        <v>2524</v>
      </c>
    </row>
    <row r="70" spans="1:4">
      <c r="A70" s="154"/>
    </row>
    <row r="71" spans="1:4">
      <c r="A71" s="799" t="s">
        <v>1262</v>
      </c>
      <c r="B71" s="7"/>
      <c r="C71"/>
    </row>
    <row r="72" spans="1:4">
      <c r="A72" s="608" t="s">
        <v>1263</v>
      </c>
      <c r="B72" s="7"/>
      <c r="C72"/>
    </row>
    <row r="73" spans="1:4">
      <c r="A73" s="800" t="s">
        <v>1731</v>
      </c>
      <c r="B73" s="7" t="s">
        <v>2898</v>
      </c>
      <c r="C73" s="25">
        <f t="shared" ref="C73:C78" si="0">IF(build1_heat=A73,VLOOKUP(A73,build1_heat_options, 7,FALSE),0)+IF(build2_heat=A73,VLOOKUP(A73,build2_heat_options, 7,FALSE),0)</f>
        <v>0</v>
      </c>
      <c r="D73" s="537" t="s">
        <v>2524</v>
      </c>
    </row>
    <row r="74" spans="1:4">
      <c r="A74" s="800" t="s">
        <v>779</v>
      </c>
      <c r="B74" s="7" t="s">
        <v>339</v>
      </c>
      <c r="C74" s="25">
        <f t="shared" si="0"/>
        <v>0</v>
      </c>
      <c r="D74" s="537" t="s">
        <v>340</v>
      </c>
    </row>
    <row r="75" spans="1:4">
      <c r="A75" s="800" t="s">
        <v>780</v>
      </c>
      <c r="B75" s="7" t="s">
        <v>341</v>
      </c>
      <c r="C75" s="25">
        <f t="shared" si="0"/>
        <v>0</v>
      </c>
      <c r="D75" s="537" t="s">
        <v>340</v>
      </c>
    </row>
    <row r="76" spans="1:4">
      <c r="A76" s="800" t="s">
        <v>1361</v>
      </c>
      <c r="B76" s="7" t="s">
        <v>648</v>
      </c>
      <c r="C76" s="25">
        <f t="shared" si="0"/>
        <v>0</v>
      </c>
      <c r="D76" s="537" t="s">
        <v>651</v>
      </c>
    </row>
    <row r="77" spans="1:4">
      <c r="A77" s="800" t="s">
        <v>1362</v>
      </c>
      <c r="B77" s="7" t="s">
        <v>649</v>
      </c>
      <c r="C77" s="25">
        <f t="shared" si="0"/>
        <v>0</v>
      </c>
      <c r="D77" s="537" t="s">
        <v>651</v>
      </c>
    </row>
    <row r="78" spans="1:4">
      <c r="A78" s="800" t="s">
        <v>654</v>
      </c>
      <c r="B78" s="7" t="s">
        <v>338</v>
      </c>
      <c r="C78" s="25">
        <f t="shared" si="0"/>
        <v>0</v>
      </c>
      <c r="D78" s="537" t="s">
        <v>2524</v>
      </c>
    </row>
    <row r="79" spans="1:4">
      <c r="A79" s="608"/>
      <c r="B79" s="7"/>
      <c r="C79" s="25"/>
    </row>
    <row r="80" spans="1:4">
      <c r="A80" s="608" t="s">
        <v>1264</v>
      </c>
      <c r="B80" s="7"/>
      <c r="C80" s="25"/>
    </row>
    <row r="81" spans="1:4">
      <c r="A81" s="800" t="s">
        <v>1205</v>
      </c>
      <c r="B81" s="7" t="s">
        <v>1901</v>
      </c>
      <c r="C81" s="25">
        <f>IF(build1_cool=A81,VLOOKUP(A81,build1_cool_options, 7,FALSE),0)+IF(build2_cool=A81,VLOOKUP(A81,build2_cool_options, 7,FALSE),0)</f>
        <v>0</v>
      </c>
      <c r="D81" s="537" t="s">
        <v>2524</v>
      </c>
    </row>
    <row r="82" spans="1:4">
      <c r="A82" s="800" t="s">
        <v>654</v>
      </c>
      <c r="B82" s="7" t="s">
        <v>650</v>
      </c>
      <c r="C82" s="25">
        <f>IF(build1_cool=A82,VLOOKUP(A82,build1_cool_options, 7,FALSE),0)+IF(build2_cool=A82,VLOOKUP(A82,build2_cool_options, 7,FALSE),0)</f>
        <v>0</v>
      </c>
      <c r="D82" s="537" t="s">
        <v>2524</v>
      </c>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dimension ref="A1:L133"/>
  <sheetViews>
    <sheetView zoomScaleNormal="75" workbookViewId="0">
      <pane ySplit="3" topLeftCell="A4" activePane="bottomLeft" state="frozen"/>
      <selection pane="bottomLeft"/>
    </sheetView>
  </sheetViews>
  <sheetFormatPr baseColWidth="10" defaultColWidth="9.1640625" defaultRowHeight="13"/>
  <cols>
    <col min="1" max="1" width="35.5" style="801" customWidth="1"/>
    <col min="2" max="2" width="25.6640625" style="600" bestFit="1" customWidth="1"/>
    <col min="3" max="3" width="19.83203125" style="801" customWidth="1"/>
    <col min="4" max="4" width="18.5" style="801" customWidth="1"/>
    <col min="5" max="5" width="13.33203125" style="601" customWidth="1"/>
    <col min="6" max="12" width="13.33203125" style="801" customWidth="1"/>
    <col min="13" max="16384" width="9.1640625" style="801"/>
  </cols>
  <sheetData>
    <row r="1" spans="1:5">
      <c r="A1" s="599" t="s">
        <v>3408</v>
      </c>
    </row>
    <row r="2" spans="1:5">
      <c r="A2" s="599"/>
    </row>
    <row r="3" spans="1:5">
      <c r="A3" s="208" t="s">
        <v>3396</v>
      </c>
      <c r="B3" s="209" t="s">
        <v>1433</v>
      </c>
      <c r="C3" s="210" t="s">
        <v>1434</v>
      </c>
      <c r="D3" s="209" t="s">
        <v>1435</v>
      </c>
      <c r="E3" s="209" t="s">
        <v>1436</v>
      </c>
    </row>
    <row r="4" spans="1:5">
      <c r="A4" s="802" t="s">
        <v>760</v>
      </c>
      <c r="E4" s="801"/>
    </row>
    <row r="5" spans="1:5" s="803" customFormat="1">
      <c r="A5" s="803" t="s">
        <v>1590</v>
      </c>
      <c r="B5" s="602" t="s">
        <v>1591</v>
      </c>
      <c r="C5" s="804">
        <f>IF(design_flow&lt;1,1,IF(design_flow&lt;10,2,3))</f>
        <v>1</v>
      </c>
      <c r="D5" s="803" t="s">
        <v>628</v>
      </c>
      <c r="E5" s="10" t="s">
        <v>1589</v>
      </c>
    </row>
    <row r="6" spans="1:5" s="803" customFormat="1">
      <c r="A6" s="538" t="s">
        <v>1656</v>
      </c>
      <c r="B6" s="7" t="s">
        <v>1654</v>
      </c>
      <c r="C6" s="538">
        <f>IF(design_type=1,IF(tank_geom=1,comm_height_length,comm_diam)+Top_bottom_Vessel_space,Building_height_g)</f>
        <v>14</v>
      </c>
      <c r="D6" s="803" t="s">
        <v>127</v>
      </c>
      <c r="E6" s="603"/>
    </row>
    <row r="7" spans="1:5" s="803" customFormat="1">
      <c r="A7" s="803" t="s">
        <v>23</v>
      </c>
      <c r="B7" s="602" t="s">
        <v>1927</v>
      </c>
      <c r="C7" s="805">
        <f>build1_fp^0.5</f>
        <v>10.954451150103322</v>
      </c>
      <c r="D7" s="803" t="s">
        <v>127</v>
      </c>
      <c r="E7" s="603"/>
    </row>
    <row r="8" spans="1:5" s="803" customFormat="1">
      <c r="A8" s="803" t="s">
        <v>1926</v>
      </c>
      <c r="B8" s="602" t="s">
        <v>1928</v>
      </c>
      <c r="C8" s="805">
        <f>build2_fp^0.5</f>
        <v>0</v>
      </c>
      <c r="D8" s="803" t="s">
        <v>127</v>
      </c>
      <c r="E8" s="603"/>
    </row>
    <row r="9" spans="1:5" s="803" customFormat="1">
      <c r="B9" s="602"/>
      <c r="C9" s="804"/>
      <c r="E9" s="603"/>
    </row>
    <row r="10" spans="1:5" s="803" customFormat="1">
      <c r="A10" s="604" t="s">
        <v>761</v>
      </c>
      <c r="B10" s="602"/>
      <c r="E10" s="603"/>
    </row>
    <row r="11" spans="1:5" s="803" customFormat="1">
      <c r="A11" s="803" t="s">
        <v>1747</v>
      </c>
      <c r="B11" s="602" t="s">
        <v>1749</v>
      </c>
      <c r="C11" s="806">
        <f>IF(build2_fp=0,(Air_changes_contactor*(vessel_fp+back_tank_fp+Onsite_regeneration_fp+htank_fp+hbasin_fp)+Air_changes_pump*pump_fp+Air_changes_chem_storage*(Virgin_GAC_storage_fp+Spent_GAC_storage_fp+Regenerated_GAC_storage_fp+cstore_fp+polymer_fp)+Air_changes_office*office_fp)/build1_fp,Air_changes_contactor)</f>
        <v>2.7749999999999999</v>
      </c>
      <c r="D11" s="807" t="s">
        <v>1655</v>
      </c>
      <c r="E11" s="603"/>
    </row>
    <row r="12" spans="1:5" s="803" customFormat="1">
      <c r="A12" s="803" t="s">
        <v>1748</v>
      </c>
      <c r="B12" s="602" t="s">
        <v>1750</v>
      </c>
      <c r="C12" s="806">
        <f>IF(build2_fp=0,0,(Air_changes_contactor*(back_tank_fp+Onsite_regeneration_fp+htank_fp+hbasin_fp)+Air_changes_pump*pump_fp+Air_changes_chem_storage*(Virgin_GAC_storage_fp+Spent_GAC_storage_fp+Regenerated_GAC_storage_fp+cstore_fp+polymer_fp)+Air_changes_office*office_fp)/build2_fp)</f>
        <v>0</v>
      </c>
      <c r="D12" s="807" t="s">
        <v>1655</v>
      </c>
      <c r="E12" s="603"/>
    </row>
    <row r="13" spans="1:5" s="803" customFormat="1">
      <c r="A13" s="803" t="s">
        <v>2753</v>
      </c>
      <c r="B13" s="602"/>
      <c r="C13" s="805">
        <f>CHOOSE(ss_cat2,fan_days_build1_small,fan_days_build1_medium,fan_days_build1_large)*24*0.746*Fan_pressure_drop*build1_fp*Building_height*air_changes_build1/33000</f>
        <v>56.910305454545451</v>
      </c>
      <c r="D13" s="803" t="s">
        <v>2523</v>
      </c>
      <c r="E13" s="603"/>
    </row>
    <row r="14" spans="1:5" s="803" customFormat="1">
      <c r="A14" s="803" t="s">
        <v>2754</v>
      </c>
      <c r="B14" s="602"/>
      <c r="C14" s="805">
        <f>CHOOSE(ss_cat2,fan_days_build2_small,fan_days_build2_medium,fan_days_build2_large)*24*0.746*Fan_pressure_drop*build2_fp*Building_height*air_changes_build2/33000</f>
        <v>0</v>
      </c>
      <c r="D14" s="803" t="s">
        <v>2523</v>
      </c>
      <c r="E14" s="603"/>
    </row>
    <row r="15" spans="1:5" s="803" customFormat="1">
      <c r="A15" s="803" t="s">
        <v>2755</v>
      </c>
      <c r="B15" s="602" t="s">
        <v>22</v>
      </c>
      <c r="C15" s="808">
        <f>SUM(C13:C14)/1000</f>
        <v>5.6910305454545451E-2</v>
      </c>
      <c r="D15" s="803" t="s">
        <v>2524</v>
      </c>
      <c r="E15" s="603"/>
    </row>
    <row r="16" spans="1:5" s="803" customFormat="1">
      <c r="B16" s="602"/>
      <c r="C16" s="805"/>
      <c r="E16" s="603"/>
    </row>
    <row r="17" spans="1:5" s="803" customFormat="1">
      <c r="A17" s="803" t="s">
        <v>3039</v>
      </c>
      <c r="B17" s="602" t="s">
        <v>3041</v>
      </c>
      <c r="C17" s="809">
        <f>build1_fp*Building_height*air_changes_build1/60</f>
        <v>77.7</v>
      </c>
      <c r="D17" s="803" t="s">
        <v>3040</v>
      </c>
      <c r="E17" s="603"/>
    </row>
    <row r="18" spans="1:5" s="803" customFormat="1">
      <c r="A18" s="803" t="s">
        <v>3042</v>
      </c>
      <c r="B18" s="602" t="s">
        <v>3043</v>
      </c>
      <c r="C18" s="809">
        <f>build2_fp*Building_height*air_changes_build2/60</f>
        <v>0</v>
      </c>
      <c r="D18" s="803" t="s">
        <v>3040</v>
      </c>
      <c r="E18" s="603"/>
    </row>
    <row r="19" spans="1:5" s="803" customFormat="1">
      <c r="B19" s="602"/>
      <c r="C19" s="805"/>
      <c r="E19" s="603"/>
    </row>
    <row r="20" spans="1:5" s="803" customFormat="1">
      <c r="A20" s="604" t="s">
        <v>762</v>
      </c>
      <c r="B20" s="602"/>
      <c r="C20" s="805"/>
      <c r="E20" s="603"/>
    </row>
    <row r="21" spans="1:5" s="803" customFormat="1">
      <c r="A21" s="803" t="s">
        <v>1060</v>
      </c>
      <c r="B21" s="602" t="s">
        <v>1064</v>
      </c>
      <c r="C21" s="810">
        <f>VLOOKUP(IF(component_level_I="","low cost",component_level_I),IF(build1_fp&lt;500,heating_table_shed,heating_table),ss_cat2+2,FALSE)</f>
        <v>0</v>
      </c>
      <c r="D21" s="803" t="s">
        <v>2213</v>
      </c>
      <c r="E21" s="603" t="s">
        <v>763</v>
      </c>
    </row>
    <row r="22" spans="1:5" s="803" customFormat="1">
      <c r="A22" s="803" t="s">
        <v>1061</v>
      </c>
      <c r="B22" s="602" t="s">
        <v>1065</v>
      </c>
      <c r="C22" s="810">
        <f>VLOOKUP(IF(component_level_I="","low cost",component_level_I),IF(build1_fp&lt;500,cooling_table_shed,cooling_table),ss_cat2+2,FALSE)</f>
        <v>0</v>
      </c>
      <c r="D22" s="803" t="s">
        <v>2213</v>
      </c>
      <c r="E22" s="603"/>
    </row>
    <row r="23" spans="1:5" s="803" customFormat="1">
      <c r="A23" s="803" t="s">
        <v>1062</v>
      </c>
      <c r="B23" s="602" t="s">
        <v>1066</v>
      </c>
      <c r="C23" s="810">
        <f>IF(build2_fp=0,0,VLOOKUP(IF(component_level_I="","low cost",component_level_I),IF(build2_fp&lt;500,heating_table_shed,heating_table),ss_cat2+2,FALSE))</f>
        <v>0</v>
      </c>
      <c r="D23" s="803" t="s">
        <v>2213</v>
      </c>
      <c r="E23" s="603"/>
    </row>
    <row r="24" spans="1:5" s="803" customFormat="1">
      <c r="A24" s="803" t="s">
        <v>1063</v>
      </c>
      <c r="B24" s="602" t="s">
        <v>1067</v>
      </c>
      <c r="C24" s="810">
        <f>IF(build2_fp=0,0,VLOOKUP(IF(component_level_I="","low cost",component_level_I),IF(build2_fp&lt;500,cooling_table_shed,cooling_table),ss_cat2+2,FALSE))</f>
        <v>0</v>
      </c>
      <c r="D24" s="803" t="s">
        <v>2213</v>
      </c>
      <c r="E24" s="603"/>
    </row>
    <row r="26" spans="1:5">
      <c r="A26" s="604" t="s">
        <v>764</v>
      </c>
      <c r="B26" s="602"/>
      <c r="C26" s="805"/>
      <c r="D26" s="803"/>
    </row>
    <row r="27" spans="1:5" s="803" customFormat="1" ht="13.5" customHeight="1">
      <c r="A27" s="803" t="s">
        <v>2518</v>
      </c>
      <c r="B27" s="606"/>
      <c r="C27" s="805">
        <f>4*build1_side*Building_height*heat_DD*24/R_wall</f>
        <v>5575404.4221594185</v>
      </c>
      <c r="D27" s="803" t="s">
        <v>2517</v>
      </c>
      <c r="E27" s="603"/>
    </row>
    <row r="28" spans="1:5" s="803" customFormat="1">
      <c r="A28" s="803" t="s">
        <v>3033</v>
      </c>
      <c r="B28" s="607"/>
      <c r="C28" s="805">
        <f>build1_fp*heat_DD*24/R_ceiling</f>
        <v>373111.57894736843</v>
      </c>
      <c r="D28" s="803" t="s">
        <v>2517</v>
      </c>
      <c r="E28" s="603"/>
    </row>
    <row r="29" spans="1:5" s="803" customFormat="1">
      <c r="A29" s="803" t="s">
        <v>2894</v>
      </c>
      <c r="B29" s="602"/>
      <c r="C29" s="809">
        <f>build1_cfm*heat_viload</f>
        <v>13106358.300000001</v>
      </c>
      <c r="D29" s="803" t="s">
        <v>2517</v>
      </c>
      <c r="E29" s="603"/>
    </row>
    <row r="30" spans="1:5" s="803" customFormat="1">
      <c r="A30" s="803" t="s">
        <v>765</v>
      </c>
      <c r="B30" s="602" t="s">
        <v>766</v>
      </c>
      <c r="C30" s="809">
        <f>SUM(C27:C29)</f>
        <v>19054874.301106788</v>
      </c>
      <c r="D30" s="803" t="s">
        <v>2517</v>
      </c>
      <c r="E30" s="603"/>
    </row>
    <row r="31" spans="1:5" s="803" customFormat="1">
      <c r="A31" s="803" t="s">
        <v>2348</v>
      </c>
      <c r="B31" s="602" t="s">
        <v>2349</v>
      </c>
      <c r="C31" s="809">
        <f>build1_heat_loss_yr/365.25/24/1000</f>
        <v>2.1737251084995197</v>
      </c>
      <c r="D31" s="803" t="s">
        <v>2350</v>
      </c>
      <c r="E31" s="603" t="s">
        <v>3439</v>
      </c>
    </row>
    <row r="32" spans="1:5" s="803" customFormat="1">
      <c r="A32" s="803" t="s">
        <v>2351</v>
      </c>
      <c r="B32" s="602" t="s">
        <v>2352</v>
      </c>
      <c r="C32" s="809">
        <f>ROUNDUP(build1_heat_mbh/max_heat_cl,0)</f>
        <v>1</v>
      </c>
      <c r="E32" s="603"/>
    </row>
    <row r="33" spans="1:5" s="803" customFormat="1">
      <c r="B33" s="602"/>
      <c r="C33" s="809"/>
      <c r="E33" s="603"/>
    </row>
    <row r="34" spans="1:5" s="803" customFormat="1">
      <c r="A34" s="803" t="s">
        <v>2897</v>
      </c>
      <c r="B34" s="606"/>
      <c r="C34" s="805">
        <f>4*build2_side*Building_height*heat_DD*24/R_wall</f>
        <v>0</v>
      </c>
      <c r="D34" s="803" t="s">
        <v>2517</v>
      </c>
      <c r="E34" s="603"/>
    </row>
    <row r="35" spans="1:5" s="803" customFormat="1">
      <c r="A35" s="803" t="s">
        <v>2895</v>
      </c>
      <c r="B35" s="607"/>
      <c r="C35" s="805">
        <f>build2_fp*heat_DD*24/R_ceiling</f>
        <v>0</v>
      </c>
      <c r="D35" s="803" t="s">
        <v>2517</v>
      </c>
      <c r="E35" s="603"/>
    </row>
    <row r="36" spans="1:5" s="803" customFormat="1">
      <c r="A36" s="803" t="s">
        <v>2896</v>
      </c>
      <c r="B36" s="602"/>
      <c r="C36" s="809">
        <f>build2_cfm*heat_viload</f>
        <v>0</v>
      </c>
      <c r="D36" s="803" t="s">
        <v>2517</v>
      </c>
      <c r="E36" s="603"/>
    </row>
    <row r="37" spans="1:5" s="803" customFormat="1">
      <c r="A37" s="803" t="s">
        <v>2353</v>
      </c>
      <c r="B37" s="602" t="s">
        <v>2354</v>
      </c>
      <c r="C37" s="809">
        <f>SUM(C34:C36)</f>
        <v>0</v>
      </c>
      <c r="D37" s="803" t="s">
        <v>2517</v>
      </c>
      <c r="E37" s="603"/>
    </row>
    <row r="38" spans="1:5" s="803" customFormat="1">
      <c r="A38" s="803" t="s">
        <v>2355</v>
      </c>
      <c r="B38" s="602" t="s">
        <v>2356</v>
      </c>
      <c r="C38" s="809">
        <f>build2_heat_loss_yr/365.25/24/1000</f>
        <v>0</v>
      </c>
      <c r="D38" s="803" t="s">
        <v>2350</v>
      </c>
      <c r="E38" s="603"/>
    </row>
    <row r="39" spans="1:5" s="803" customFormat="1">
      <c r="A39" s="803" t="s">
        <v>2357</v>
      </c>
      <c r="B39" s="602" t="s">
        <v>2358</v>
      </c>
      <c r="C39" s="809">
        <f>ROUNDUP(build2_heat_mbh/max_heat_cl,0)</f>
        <v>0</v>
      </c>
      <c r="E39" s="603"/>
    </row>
    <row r="40" spans="1:5" s="803" customFormat="1">
      <c r="B40" s="602"/>
      <c r="E40" s="603"/>
    </row>
    <row r="41" spans="1:5" s="803" customFormat="1">
      <c r="A41" s="604" t="s">
        <v>2359</v>
      </c>
      <c r="B41" s="602"/>
      <c r="C41" s="805"/>
      <c r="E41" s="603"/>
    </row>
    <row r="42" spans="1:5" s="803" customFormat="1">
      <c r="A42" s="803" t="s">
        <v>3598</v>
      </c>
      <c r="B42" s="602" t="s">
        <v>3596</v>
      </c>
      <c r="C42" s="813">
        <f>booster_pumps*pump_hp*(1-pump_efficiency)*0.7457</f>
        <v>0</v>
      </c>
      <c r="D42" s="803" t="s">
        <v>1428</v>
      </c>
      <c r="E42" s="603"/>
    </row>
    <row r="43" spans="1:5" s="803" customFormat="1">
      <c r="A43" s="803" t="s">
        <v>3599</v>
      </c>
      <c r="B43" s="602" t="s">
        <v>3597</v>
      </c>
      <c r="C43" s="812">
        <f>eloss_pumps*3415</f>
        <v>0</v>
      </c>
      <c r="D43" s="803" t="s">
        <v>652</v>
      </c>
      <c r="E43" s="603"/>
    </row>
    <row r="44" spans="1:5" s="803" customFormat="1">
      <c r="A44" s="803" t="s">
        <v>3600</v>
      </c>
      <c r="B44" s="602" t="s">
        <v>3601</v>
      </c>
      <c r="C44" s="813">
        <f>back_pump_hp*(1-pump_efficiency)*0.7457</f>
        <v>1.4113751393007521</v>
      </c>
      <c r="D44" s="803" t="s">
        <v>1428</v>
      </c>
      <c r="E44" s="603"/>
    </row>
    <row r="45" spans="1:5" s="803" customFormat="1">
      <c r="A45" s="803" t="s">
        <v>3602</v>
      </c>
      <c r="B45" s="602" t="s">
        <v>3603</v>
      </c>
      <c r="C45" s="812">
        <f>eloss_bw_pumps*3415</f>
        <v>4819.8461007120686</v>
      </c>
      <c r="D45" s="803" t="s">
        <v>652</v>
      </c>
      <c r="E45" s="603"/>
    </row>
    <row r="46" spans="1:5" s="803" customFormat="1">
      <c r="A46" s="604"/>
      <c r="B46" s="602"/>
      <c r="C46" s="805"/>
      <c r="E46" s="603"/>
    </row>
    <row r="47" spans="1:5" s="803" customFormat="1">
      <c r="A47" s="803" t="s">
        <v>1899</v>
      </c>
      <c r="B47" s="606"/>
      <c r="C47" s="811">
        <f>4*build1_side*Building_height*cool_DD*24/R_wall</f>
        <v>1921889.3569783734</v>
      </c>
      <c r="D47" s="803" t="s">
        <v>2517</v>
      </c>
      <c r="E47" s="603"/>
    </row>
    <row r="48" spans="1:5" s="803" customFormat="1">
      <c r="A48" s="803" t="s">
        <v>1900</v>
      </c>
      <c r="B48" s="607"/>
      <c r="C48" s="811">
        <f>build1_fp*cool_DD*24/R_ceiling</f>
        <v>128614.73684210527</v>
      </c>
      <c r="D48" s="803" t="s">
        <v>2517</v>
      </c>
      <c r="E48" s="603"/>
    </row>
    <row r="49" spans="1:12" s="803" customFormat="1">
      <c r="A49" s="803" t="s">
        <v>1599</v>
      </c>
      <c r="B49" s="602"/>
      <c r="C49" s="812">
        <f>build1_cfm*cool_viload</f>
        <v>4022606.7</v>
      </c>
      <c r="D49" s="803" t="s">
        <v>2517</v>
      </c>
      <c r="E49" s="603"/>
    </row>
    <row r="50" spans="1:12" s="803" customFormat="1">
      <c r="A50" s="803" t="s">
        <v>2360</v>
      </c>
      <c r="B50" s="602" t="s">
        <v>2361</v>
      </c>
      <c r="C50" s="812">
        <f>SUM(C47:C49)</f>
        <v>6073110.793820479</v>
      </c>
      <c r="D50" s="803" t="s">
        <v>2517</v>
      </c>
      <c r="E50" s="603"/>
    </row>
    <row r="51" spans="1:12">
      <c r="A51" s="803" t="s">
        <v>2362</v>
      </c>
      <c r="B51" s="602" t="s">
        <v>2363</v>
      </c>
      <c r="C51" s="812">
        <f>build1_cooling_loss_yr/365.25/24</f>
        <v>692.80296530007752</v>
      </c>
      <c r="D51" s="803" t="s">
        <v>652</v>
      </c>
    </row>
    <row r="52" spans="1:12">
      <c r="A52" s="803"/>
      <c r="B52" s="602"/>
      <c r="C52" s="809"/>
      <c r="D52" s="803"/>
    </row>
    <row r="53" spans="1:12" s="601" customFormat="1">
      <c r="A53" s="803" t="s">
        <v>1157</v>
      </c>
      <c r="B53" s="602" t="s">
        <v>1158</v>
      </c>
      <c r="C53" s="812">
        <f>build1_cooling_loss_hr+IF(fp_required&lt;add_2nd_building,waste_heat_pumps+waste_heat_bw_pumps,0)</f>
        <v>5512.6490660121462</v>
      </c>
      <c r="D53" s="803" t="s">
        <v>652</v>
      </c>
      <c r="F53" s="801"/>
      <c r="G53" s="801"/>
      <c r="H53" s="801"/>
      <c r="I53" s="801"/>
      <c r="J53" s="801"/>
      <c r="K53" s="801"/>
      <c r="L53" s="801"/>
    </row>
    <row r="54" spans="1:12" s="601" customFormat="1">
      <c r="A54" s="803" t="s">
        <v>1159</v>
      </c>
      <c r="B54" s="602" t="s">
        <v>1160</v>
      </c>
      <c r="C54" s="812">
        <f>build1_cooling_req*365.25*24+IF(fp_required&lt;add_2nd_building,waste_heat_pumps*365.25*24+waste_heat_bw_pumps*back_hrs_yr,0)</f>
        <v>48365768.470442474</v>
      </c>
      <c r="D54" s="803" t="s">
        <v>2517</v>
      </c>
      <c r="F54" s="801"/>
      <c r="G54" s="801"/>
      <c r="H54" s="801"/>
      <c r="I54" s="801"/>
      <c r="J54" s="801"/>
      <c r="K54" s="801"/>
      <c r="L54" s="801"/>
    </row>
    <row r="55" spans="1:12" s="601" customFormat="1">
      <c r="A55" s="803" t="s">
        <v>1161</v>
      </c>
      <c r="B55" s="602" t="s">
        <v>1162</v>
      </c>
      <c r="C55" s="813">
        <f>build1_cooling_req/12000</f>
        <v>0.45938742216767886</v>
      </c>
      <c r="D55" s="803" t="s">
        <v>3330</v>
      </c>
      <c r="E55" s="601" t="s">
        <v>3438</v>
      </c>
      <c r="F55" s="801"/>
      <c r="G55" s="801"/>
      <c r="H55" s="801"/>
      <c r="I55" s="801"/>
      <c r="J55" s="801"/>
      <c r="K55" s="801"/>
      <c r="L55" s="801"/>
    </row>
    <row r="56" spans="1:12" s="601" customFormat="1">
      <c r="A56" s="803" t="s">
        <v>1163</v>
      </c>
      <c r="B56" s="602" t="s">
        <v>1164</v>
      </c>
      <c r="C56" s="809">
        <f>ROUNDUP(build1_cooling_tons/max_cool_cl,0)</f>
        <v>1</v>
      </c>
      <c r="D56" s="803"/>
      <c r="F56" s="801"/>
      <c r="G56" s="801"/>
      <c r="H56" s="801"/>
      <c r="I56" s="801"/>
      <c r="J56" s="801"/>
      <c r="K56" s="801"/>
      <c r="L56" s="801"/>
    </row>
    <row r="57" spans="1:12" s="601" customFormat="1">
      <c r="A57" s="803"/>
      <c r="B57" s="602"/>
      <c r="C57" s="809"/>
      <c r="D57" s="803"/>
      <c r="F57" s="801"/>
      <c r="G57" s="801"/>
      <c r="H57" s="801"/>
      <c r="I57" s="801"/>
      <c r="J57" s="801"/>
      <c r="K57" s="801"/>
      <c r="L57" s="801"/>
    </row>
    <row r="58" spans="1:12" s="603" customFormat="1">
      <c r="A58" s="803" t="s">
        <v>1600</v>
      </c>
      <c r="B58" s="606"/>
      <c r="C58" s="805">
        <f>4*build2_side*Building_height*cool_DD*24/R_wall</f>
        <v>0</v>
      </c>
      <c r="D58" s="803" t="s">
        <v>2517</v>
      </c>
      <c r="F58" s="803"/>
      <c r="G58" s="803"/>
      <c r="H58" s="803"/>
      <c r="I58" s="803"/>
      <c r="J58" s="803"/>
      <c r="K58" s="803"/>
      <c r="L58" s="803"/>
    </row>
    <row r="59" spans="1:12" s="603" customFormat="1">
      <c r="A59" s="803" t="s">
        <v>1601</v>
      </c>
      <c r="B59" s="607"/>
      <c r="C59" s="805">
        <f>build2_fp*cool_DD*24/R_ceiling</f>
        <v>0</v>
      </c>
      <c r="D59" s="803" t="s">
        <v>2517</v>
      </c>
      <c r="F59" s="803"/>
      <c r="G59" s="803"/>
      <c r="H59" s="803"/>
      <c r="I59" s="803"/>
      <c r="J59" s="803"/>
      <c r="K59" s="803"/>
      <c r="L59" s="803"/>
    </row>
    <row r="60" spans="1:12" s="603" customFormat="1">
      <c r="A60" s="803" t="s">
        <v>1602</v>
      </c>
      <c r="B60" s="602"/>
      <c r="C60" s="809">
        <f>build2_cfm*cool_viload</f>
        <v>0</v>
      </c>
      <c r="D60" s="803" t="s">
        <v>2517</v>
      </c>
      <c r="F60" s="803"/>
      <c r="G60" s="803"/>
      <c r="H60" s="803"/>
      <c r="I60" s="803"/>
      <c r="J60" s="803"/>
      <c r="K60" s="803"/>
      <c r="L60" s="803"/>
    </row>
    <row r="61" spans="1:12" s="603" customFormat="1">
      <c r="A61" s="803" t="s">
        <v>1165</v>
      </c>
      <c r="B61" s="602" t="s">
        <v>1166</v>
      </c>
      <c r="C61" s="809">
        <f>SUM(C58:C60)</f>
        <v>0</v>
      </c>
      <c r="D61" s="803" t="s">
        <v>2517</v>
      </c>
      <c r="F61" s="803"/>
      <c r="G61" s="803"/>
      <c r="H61" s="803"/>
      <c r="I61" s="803"/>
      <c r="J61" s="803"/>
      <c r="K61" s="803"/>
      <c r="L61" s="803"/>
    </row>
    <row r="62" spans="1:12" s="601" customFormat="1">
      <c r="A62" s="803" t="s">
        <v>1167</v>
      </c>
      <c r="B62" s="602" t="s">
        <v>1168</v>
      </c>
      <c r="C62" s="809">
        <f>build2_cooling_loss_yr/365.25/24</f>
        <v>0</v>
      </c>
      <c r="D62" s="803" t="s">
        <v>652</v>
      </c>
      <c r="F62" s="801"/>
      <c r="G62" s="801"/>
      <c r="H62" s="801"/>
      <c r="I62" s="801"/>
      <c r="J62" s="801"/>
      <c r="K62" s="801"/>
      <c r="L62" s="801"/>
    </row>
    <row r="63" spans="1:12" s="601" customFormat="1">
      <c r="A63" s="803"/>
      <c r="B63" s="602"/>
      <c r="C63" s="809"/>
      <c r="D63" s="803"/>
      <c r="F63" s="801"/>
      <c r="G63" s="801"/>
      <c r="H63" s="801"/>
      <c r="I63" s="801"/>
      <c r="J63" s="801"/>
      <c r="K63" s="801"/>
      <c r="L63" s="801"/>
    </row>
    <row r="64" spans="1:12">
      <c r="A64" s="803" t="s">
        <v>1169</v>
      </c>
      <c r="B64" s="602" t="s">
        <v>1170</v>
      </c>
      <c r="C64" s="809">
        <f>build2_cooling_loss_hr+IF(fp_required&lt;add_2nd_building,0,waste_heat_pumps+waste_heat_bw_pumps)</f>
        <v>0</v>
      </c>
      <c r="D64" s="803" t="s">
        <v>652</v>
      </c>
    </row>
    <row r="65" spans="1:12">
      <c r="A65" s="803" t="s">
        <v>1171</v>
      </c>
      <c r="B65" s="602" t="s">
        <v>1172</v>
      </c>
      <c r="C65" s="809">
        <f>build2_cooling_req*365.25*24+IF(fp_required&lt;add_2nd_building,0,waste_heat_pumps*365.25*24+waste_heat_bw_pumps*back_hrs_yr)</f>
        <v>0</v>
      </c>
      <c r="D65" s="803" t="s">
        <v>2517</v>
      </c>
    </row>
    <row r="66" spans="1:12">
      <c r="A66" s="803" t="s">
        <v>1173</v>
      </c>
      <c r="B66" s="602" t="s">
        <v>1174</v>
      </c>
      <c r="C66" s="813">
        <f>build2_cooling_req/12000</f>
        <v>0</v>
      </c>
      <c r="D66" s="803" t="s">
        <v>3330</v>
      </c>
      <c r="E66" s="601" t="s">
        <v>3438</v>
      </c>
    </row>
    <row r="67" spans="1:12">
      <c r="A67" s="803" t="s">
        <v>1175</v>
      </c>
      <c r="B67" s="602" t="s">
        <v>1176</v>
      </c>
      <c r="C67" s="809">
        <f>ROUNDUP(build2_cooling_tons/max_cool_cl,0)</f>
        <v>0</v>
      </c>
      <c r="D67" s="803"/>
    </row>
    <row r="69" spans="1:12">
      <c r="A69" s="604" t="s">
        <v>1177</v>
      </c>
      <c r="B69" s="602"/>
      <c r="C69" s="803"/>
      <c r="D69" s="803"/>
      <c r="E69" s="603"/>
      <c r="F69" s="601"/>
    </row>
    <row r="70" spans="1:12">
      <c r="A70" s="803" t="s">
        <v>1178</v>
      </c>
      <c r="B70" s="602" t="s">
        <v>1179</v>
      </c>
      <c r="C70" s="814">
        <f>MAX(build1_heat_zones, build1_cool_zones)</f>
        <v>1</v>
      </c>
      <c r="D70" s="803"/>
      <c r="E70" s="603"/>
    </row>
    <row r="71" spans="1:12">
      <c r="A71" s="803" t="s">
        <v>1180</v>
      </c>
      <c r="B71" s="602" t="s">
        <v>1181</v>
      </c>
      <c r="C71" s="814">
        <f>MAX(build2_heat_zones, build2_cool_zones)</f>
        <v>0</v>
      </c>
      <c r="D71" s="803"/>
      <c r="E71" s="603"/>
    </row>
    <row r="72" spans="1:12">
      <c r="A72" s="803"/>
      <c r="B72" s="602"/>
      <c r="C72" s="814"/>
      <c r="D72" s="803"/>
      <c r="E72" s="603"/>
    </row>
    <row r="73" spans="1:12">
      <c r="A73" s="803" t="s">
        <v>1182</v>
      </c>
      <c r="B73" s="602" t="s">
        <v>1183</v>
      </c>
      <c r="C73" s="812" t="b">
        <f>AND(build1_heat_mbh&lt;=hp_max_heat_cl,build1_cooling_tons&lt;=hp_max_cool_cl)</f>
        <v>1</v>
      </c>
      <c r="D73" s="803"/>
      <c r="E73" s="603" t="s">
        <v>1184</v>
      </c>
    </row>
    <row r="74" spans="1:12">
      <c r="A74" s="803" t="s">
        <v>1185</v>
      </c>
      <c r="B74" s="602" t="s">
        <v>1186</v>
      </c>
      <c r="C74" s="812" t="b">
        <f>AND(build2_heat_mbh&lt;=hp_max_heat_cl,build2_cooling_tons&lt;=hp_max_cool_cl)</f>
        <v>1</v>
      </c>
      <c r="D74" s="803"/>
      <c r="E74" s="603"/>
    </row>
    <row r="75" spans="1:12">
      <c r="A75" s="803"/>
      <c r="B75" s="602"/>
      <c r="C75" s="812"/>
      <c r="D75" s="803"/>
      <c r="E75" s="603"/>
    </row>
    <row r="76" spans="1:12">
      <c r="A76" s="602" t="s">
        <v>430</v>
      </c>
      <c r="B76" s="602" t="s">
        <v>1187</v>
      </c>
      <c r="C76" s="803"/>
      <c r="D76" s="803"/>
      <c r="E76" s="603"/>
      <c r="F76" s="601"/>
    </row>
    <row r="77" spans="1:12">
      <c r="A77" s="604" t="s">
        <v>1188</v>
      </c>
      <c r="B77" s="604" t="s">
        <v>1189</v>
      </c>
      <c r="C77" s="604" t="s">
        <v>1190</v>
      </c>
      <c r="D77" s="604" t="s">
        <v>1191</v>
      </c>
      <c r="E77" s="604" t="s">
        <v>1192</v>
      </c>
      <c r="F77" s="604" t="s">
        <v>1193</v>
      </c>
      <c r="G77" s="604" t="s">
        <v>1194</v>
      </c>
      <c r="H77" s="604"/>
      <c r="I77" s="604" t="s">
        <v>1195</v>
      </c>
      <c r="J77" s="604"/>
      <c r="K77" s="604" t="s">
        <v>1196</v>
      </c>
      <c r="L77" s="604" t="s">
        <v>1197</v>
      </c>
    </row>
    <row r="78" spans="1:12">
      <c r="A78" s="803" t="s">
        <v>1731</v>
      </c>
      <c r="B78" s="804">
        <f>build1_heat_mbh/build1_zones</f>
        <v>2.1737251084995197</v>
      </c>
      <c r="C78" s="804">
        <f>IF(curve=1,B78,VLOOKUP(B78,hvac_elec_cost_cl,2))</f>
        <v>2.1737251084995197</v>
      </c>
      <c r="D78" s="815">
        <f>IF(curve=1,hvac_elec_eq_1,VLOOKUP(B78,hvac_elec_cost_cl,3))</f>
        <v>2509.3682652176503</v>
      </c>
      <c r="E78" s="804">
        <f>VLOOKUP(B78,hvac_elec_cost_cl,IF(ss_cat="large",4,5))</f>
        <v>20</v>
      </c>
      <c r="F78" s="815">
        <f>IF(D78="contact vendor","n/a",-PMT(Discount_rate,E78,D78)*build1_zones)</f>
        <v>236.86661232117206</v>
      </c>
      <c r="G78" s="816">
        <f>build1_heat_loss_yr/3412000/resist_eff</f>
        <v>5.6986369539401114</v>
      </c>
      <c r="H78" s="803" t="s">
        <v>2524</v>
      </c>
      <c r="I78" s="817">
        <f>energy_cost_cl</f>
        <v>0.10761526717557252</v>
      </c>
      <c r="J78" s="818" t="s">
        <v>722</v>
      </c>
      <c r="K78" s="819">
        <f>I78*G78*1000</f>
        <v>613.26033833485587</v>
      </c>
      <c r="L78" s="820">
        <f t="shared" ref="L78:L83" si="0">IF(OR(F78="n/a",K78="n/a"),"n/a",F78+K78)</f>
        <v>850.12695065602793</v>
      </c>
    </row>
    <row r="79" spans="1:12">
      <c r="A79" s="803" t="s">
        <v>654</v>
      </c>
      <c r="B79" s="1179" t="s">
        <v>1198</v>
      </c>
      <c r="C79" s="1179"/>
      <c r="D79" s="1179"/>
      <c r="E79" s="1179"/>
      <c r="F79" s="821" t="s">
        <v>1199</v>
      </c>
      <c r="G79" s="816">
        <f>IF(hp_ok_1,build1_heat_loss_yr/3412000/COP,"n/a")</f>
        <v>1.7452075671441591</v>
      </c>
      <c r="H79" s="803" t="s">
        <v>2524</v>
      </c>
      <c r="I79" s="817">
        <f>energy_cost_cl</f>
        <v>0.10761526717557252</v>
      </c>
      <c r="J79" s="818" t="s">
        <v>722</v>
      </c>
      <c r="K79" s="819">
        <f>IF(G79="n/a","n/a",I79*G79*1000)</f>
        <v>187.81097861504958</v>
      </c>
      <c r="L79" s="820" t="str">
        <f t="shared" si="0"/>
        <v>n/a</v>
      </c>
    </row>
    <row r="80" spans="1:12">
      <c r="A80" s="803" t="s">
        <v>779</v>
      </c>
      <c r="B80" s="804">
        <f>build1_heat_mbh/build1_zones</f>
        <v>2.1737251084995197</v>
      </c>
      <c r="C80" s="804">
        <f>IF(curve=1,B80,VLOOKUP(B80,hvac_gas_non_cost_cl,2))</f>
        <v>2.1737251084995197</v>
      </c>
      <c r="D80" s="815">
        <f>IF(curve=1,hvac_gas_non_eq_1,VLOOKUP(B80,hvac_gas_non_cost_cl,3))</f>
        <v>1428.535537934358</v>
      </c>
      <c r="E80" s="804">
        <f>VLOOKUP(B80,hvac_gas_non_cost_cl,IF(ss_cat="large",4,5))</f>
        <v>20</v>
      </c>
      <c r="F80" s="815">
        <f>IF(D80="contact vendor","n/a",-PMT(Discount_rate,E80,D80)*build1_zones)</f>
        <v>134.84364895383968</v>
      </c>
      <c r="G80" s="809">
        <f>build1_heat_loss_yr/100000/gas_non_eff</f>
        <v>238.18592876383482</v>
      </c>
      <c r="H80" s="803" t="s">
        <v>340</v>
      </c>
      <c r="I80" s="822">
        <f>gas_cost_cl</f>
        <v>0.64354043868972843</v>
      </c>
      <c r="J80" s="823" t="s">
        <v>2938</v>
      </c>
      <c r="K80" s="819">
        <f>I80*G80</f>
        <v>153.28227708639866</v>
      </c>
      <c r="L80" s="820">
        <f t="shared" si="0"/>
        <v>288.12592604023837</v>
      </c>
    </row>
    <row r="81" spans="1:12">
      <c r="A81" s="803" t="s">
        <v>780</v>
      </c>
      <c r="B81" s="804">
        <f>build1_heat_mbh/build1_zones</f>
        <v>2.1737251084995197</v>
      </c>
      <c r="C81" s="804">
        <f>IF(curve=1,B81,VLOOKUP(B81,hvac_gas_cost_cl,2))</f>
        <v>2.1737251084995197</v>
      </c>
      <c r="D81" s="815">
        <f>IF(curve=1,hvac_gas_eq_1,VLOOKUP(B81,hvac_gas_cost_cl,3))</f>
        <v>1428.535537934358</v>
      </c>
      <c r="E81" s="804">
        <f>VLOOKUP(B81,hvac_gas_cost_cl,IF(ss_cat="large",4,5))</f>
        <v>20</v>
      </c>
      <c r="F81" s="815">
        <f>IF(D81="contact vendor","n/a",-PMT(Discount_rate,E81,D81)*build1_zones)</f>
        <v>134.84364895383968</v>
      </c>
      <c r="G81" s="809">
        <f>build1_heat_loss_yr/100000/gas_eff</f>
        <v>200.57762422217672</v>
      </c>
      <c r="H81" s="803" t="s">
        <v>340</v>
      </c>
      <c r="I81" s="822">
        <f>gas_cost_cl</f>
        <v>0.64354043868972843</v>
      </c>
      <c r="J81" s="823" t="s">
        <v>2938</v>
      </c>
      <c r="K81" s="819">
        <f>I81*G81</f>
        <v>129.0798122832831</v>
      </c>
      <c r="L81" s="820">
        <f t="shared" si="0"/>
        <v>263.92346123712275</v>
      </c>
    </row>
    <row r="82" spans="1:12">
      <c r="A82" s="803" t="s">
        <v>1361</v>
      </c>
      <c r="B82" s="804">
        <f>build1_heat_mbh/build1_zones</f>
        <v>2.1737251084995197</v>
      </c>
      <c r="C82" s="804">
        <f>IF(curve=1,B82,VLOOKUP(B82,hvac_oil_std_cost_cl,2))</f>
        <v>2.1737251084995197</v>
      </c>
      <c r="D82" s="815">
        <f>IF(curve=1,hvac_oil_std_eq_1,VLOOKUP(B82,hvac_oil_std_cost_cl,3))</f>
        <v>1678.6375125463824</v>
      </c>
      <c r="E82" s="804">
        <f>VLOOKUP(B82,hvac_oil_std_cost_cl,IF(ss_cat="large",4,5))</f>
        <v>20</v>
      </c>
      <c r="F82" s="815">
        <f>IF(D82="contact vendor","n/a",-PMT(Discount_rate,E82,D82)*build1_zones)</f>
        <v>158.45150607163413</v>
      </c>
      <c r="G82" s="809">
        <f>build1_heat_loss_yr/diesel_heat_content/diesel_non_eff</f>
        <v>175.7505469572661</v>
      </c>
      <c r="H82" s="803" t="s">
        <v>651</v>
      </c>
      <c r="I82" s="822">
        <f>diesel_cost_cl</f>
        <v>1.9400231874222376</v>
      </c>
      <c r="J82" s="823" t="s">
        <v>2939</v>
      </c>
      <c r="K82" s="819">
        <f>I82*G82</f>
        <v>340.96013629923698</v>
      </c>
      <c r="L82" s="820">
        <f t="shared" si="0"/>
        <v>499.41164237087111</v>
      </c>
    </row>
    <row r="83" spans="1:12">
      <c r="A83" s="803" t="s">
        <v>1362</v>
      </c>
      <c r="B83" s="804">
        <f>build1_heat_mbh/build1_zones</f>
        <v>2.1737251084995197</v>
      </c>
      <c r="C83" s="804">
        <f>IF(curve=1,B83,VLOOKUP(B83,hvac_oil_mid_cost_cl,2))</f>
        <v>2.1737251084995197</v>
      </c>
      <c r="D83" s="815">
        <f>IF(curve=1,hvac_oil_mid_eq_1,VLOOKUP(B83,hvac_oil_mid_cost_cl,3))</f>
        <v>1678.6375125463824</v>
      </c>
      <c r="E83" s="804">
        <f>VLOOKUP(B83,hvac_oil_mid_cost_cl,IF(ss_cat="large",4,5))</f>
        <v>20</v>
      </c>
      <c r="F83" s="815">
        <f>IF(D83="contact vendor","n/a",-PMT(Discount_rate,E83,D83)*build1_zones)</f>
        <v>158.45150607163413</v>
      </c>
      <c r="G83" s="809">
        <f>build1_heat_loss_yr/diesel_heat_content/diesel_eff</f>
        <v>161.27697250196184</v>
      </c>
      <c r="H83" s="803" t="s">
        <v>651</v>
      </c>
      <c r="I83" s="822">
        <f>diesel_cost_cl</f>
        <v>1.9400231874222376</v>
      </c>
      <c r="J83" s="823" t="s">
        <v>2939</v>
      </c>
      <c r="K83" s="819">
        <f>I83*G83</f>
        <v>312.88106625106457</v>
      </c>
      <c r="L83" s="820">
        <f t="shared" si="0"/>
        <v>471.3325723226987</v>
      </c>
    </row>
    <row r="84" spans="1:12">
      <c r="A84" s="803"/>
      <c r="B84" s="602"/>
      <c r="C84" s="803"/>
      <c r="D84" s="803"/>
      <c r="E84" s="603"/>
      <c r="F84" s="603"/>
      <c r="G84" s="803"/>
      <c r="H84" s="803"/>
      <c r="I84" s="803"/>
      <c r="J84" s="803"/>
      <c r="K84" s="803"/>
      <c r="L84" s="803"/>
    </row>
    <row r="85" spans="1:12">
      <c r="A85" s="602" t="s">
        <v>431</v>
      </c>
      <c r="B85" s="602" t="s">
        <v>1200</v>
      </c>
      <c r="C85" s="803"/>
      <c r="D85" s="803"/>
      <c r="E85" s="603"/>
      <c r="F85" s="603"/>
      <c r="G85" s="803"/>
      <c r="H85" s="803"/>
      <c r="I85" s="803"/>
      <c r="J85" s="803"/>
      <c r="K85" s="803"/>
      <c r="L85" s="803"/>
    </row>
    <row r="86" spans="1:12">
      <c r="A86" s="604" t="s">
        <v>1188</v>
      </c>
      <c r="B86" s="604" t="s">
        <v>1189</v>
      </c>
      <c r="C86" s="604" t="s">
        <v>1190</v>
      </c>
      <c r="D86" s="604" t="s">
        <v>1191</v>
      </c>
      <c r="E86" s="604" t="s">
        <v>1192</v>
      </c>
      <c r="F86" s="604" t="s">
        <v>1193</v>
      </c>
      <c r="G86" s="604" t="s">
        <v>1194</v>
      </c>
      <c r="H86" s="604"/>
      <c r="I86" s="604" t="s">
        <v>1195</v>
      </c>
      <c r="J86" s="604"/>
      <c r="K86" s="604" t="s">
        <v>1196</v>
      </c>
      <c r="L86" s="604" t="s">
        <v>1197</v>
      </c>
    </row>
    <row r="87" spans="1:12">
      <c r="A87" s="803" t="s">
        <v>1731</v>
      </c>
      <c r="B87" s="804">
        <f>IF(build2_zones=0,0,build2_heat_mbh/build2_zones)</f>
        <v>0</v>
      </c>
      <c r="C87" s="804">
        <f>IF(curve=1,B87,VLOOKUP(B87,hvac_elec_cost_cl,2))</f>
        <v>0</v>
      </c>
      <c r="D87" s="815">
        <f>IF(curve=1,hvac_elec_eq_2,VLOOKUP(B87,hvac_elec_cost_cl,3))</f>
        <v>0</v>
      </c>
      <c r="E87" s="804">
        <f>VLOOKUP(B87,hvac_elec_cost_cl,IF(ss_cat="large",4,5))</f>
        <v>20</v>
      </c>
      <c r="F87" s="815">
        <f>IF(D87="contact vendor","n/a",-PMT(Discount_rate,E87,D87)*build2_zones)</f>
        <v>0</v>
      </c>
      <c r="G87" s="816">
        <f>build2_heat_loss_yr/3412000/resist_eff</f>
        <v>0</v>
      </c>
      <c r="H87" s="803" t="s">
        <v>2524</v>
      </c>
      <c r="I87" s="817">
        <f>energy_cost_cl</f>
        <v>0.10761526717557252</v>
      </c>
      <c r="J87" s="818" t="s">
        <v>722</v>
      </c>
      <c r="K87" s="819">
        <f>I87*G87*1000</f>
        <v>0</v>
      </c>
      <c r="L87" s="820">
        <f>IF(F87="n/a","n/a",F87+K87)</f>
        <v>0</v>
      </c>
    </row>
    <row r="88" spans="1:12">
      <c r="A88" s="803" t="s">
        <v>654</v>
      </c>
      <c r="B88" s="1179" t="s">
        <v>1198</v>
      </c>
      <c r="C88" s="1179"/>
      <c r="D88" s="1179"/>
      <c r="E88" s="1179"/>
      <c r="F88" s="821" t="s">
        <v>1199</v>
      </c>
      <c r="G88" s="816">
        <f>IF(hp_ok_2,build2_heat_loss_yr/3412000/COP,"n/a")</f>
        <v>0</v>
      </c>
      <c r="H88" s="803" t="s">
        <v>2524</v>
      </c>
      <c r="I88" s="817">
        <f>energy_cost_cl</f>
        <v>0.10761526717557252</v>
      </c>
      <c r="J88" s="818" t="s">
        <v>722</v>
      </c>
      <c r="K88" s="819">
        <f>IF(G88="n/a","n/a",I88*G88*1000)</f>
        <v>0</v>
      </c>
      <c r="L88" s="820" t="str">
        <f>IF(OR(F88="n/a",K88="n/a"),"n/a",F88+K88)</f>
        <v>n/a</v>
      </c>
    </row>
    <row r="89" spans="1:12">
      <c r="A89" s="803" t="s">
        <v>779</v>
      </c>
      <c r="B89" s="804">
        <f>IF(build2_zones=0,0,build2_heat_mbh/build2_zones)</f>
        <v>0</v>
      </c>
      <c r="C89" s="804">
        <f>IF(curve=1,B89,VLOOKUP(B89,hvac_gas_non_cost_cl,2))</f>
        <v>0</v>
      </c>
      <c r="D89" s="815">
        <f>IF(curve=1,hvac_gas_non_eq_2,VLOOKUP(B89,hvac_gas_non_cost_cl,3))</f>
        <v>0</v>
      </c>
      <c r="E89" s="804">
        <f>VLOOKUP(B89,hvac_gas_non_cost_cl,IF(ss_cat="large",4,5))</f>
        <v>20</v>
      </c>
      <c r="F89" s="815">
        <f>IF(D89="contact vendor","n/a",-PMT(Discount_rate,E89,D89)*build2_zones)</f>
        <v>0</v>
      </c>
      <c r="G89" s="809">
        <f>build2_heat_loss_yr/100000/gas_non_eff</f>
        <v>0</v>
      </c>
      <c r="H89" s="803" t="s">
        <v>340</v>
      </c>
      <c r="I89" s="822">
        <f>gas_cost_cl</f>
        <v>0.64354043868972843</v>
      </c>
      <c r="J89" s="823" t="s">
        <v>2938</v>
      </c>
      <c r="K89" s="819">
        <f>I89*G89</f>
        <v>0</v>
      </c>
      <c r="L89" s="820">
        <f>IF(F89="n/a","n/a",F89+K89)</f>
        <v>0</v>
      </c>
    </row>
    <row r="90" spans="1:12">
      <c r="A90" s="803" t="s">
        <v>780</v>
      </c>
      <c r="B90" s="804">
        <f>IF(build2_zones=0,0,build2_heat_mbh/build2_zones)</f>
        <v>0</v>
      </c>
      <c r="C90" s="804">
        <f>IF(curve=1,B90,VLOOKUP(B90,hvac_gas_cost_cl,2))</f>
        <v>0</v>
      </c>
      <c r="D90" s="815">
        <f>IF(curve=1,hvac_gas_eq_2,VLOOKUP(B90,hvac_gas_cost_cl,3))</f>
        <v>0</v>
      </c>
      <c r="E90" s="804">
        <f>VLOOKUP(B90,hvac_gas_cost_cl,IF(ss_cat="large",4,5))</f>
        <v>20</v>
      </c>
      <c r="F90" s="815">
        <f>IF(D90="contact vendor","n/a",-PMT(Discount_rate,E90,D90)*build2_zones)</f>
        <v>0</v>
      </c>
      <c r="G90" s="809">
        <f>build2_heat_loss_yr/100000/gas_eff</f>
        <v>0</v>
      </c>
      <c r="H90" s="803" t="s">
        <v>340</v>
      </c>
      <c r="I90" s="822">
        <f>gas_cost_cl</f>
        <v>0.64354043868972843</v>
      </c>
      <c r="J90" s="823" t="s">
        <v>2938</v>
      </c>
      <c r="K90" s="819">
        <f>I90*G90</f>
        <v>0</v>
      </c>
      <c r="L90" s="820">
        <f>IF(F90="n/a","n/a",F90+K90)</f>
        <v>0</v>
      </c>
    </row>
    <row r="91" spans="1:12">
      <c r="A91" s="803" t="s">
        <v>1361</v>
      </c>
      <c r="B91" s="804">
        <f>IF(build2_zones=0,0,build2_heat_mbh/build2_zones)</f>
        <v>0</v>
      </c>
      <c r="C91" s="804">
        <f>IF(curve=1,B91,VLOOKUP(B91,hvac_oil_std_cost_cl,2))</f>
        <v>0</v>
      </c>
      <c r="D91" s="815">
        <f>IF(curve=1,hvac_oil_std_eq_2,VLOOKUP(B91,hvac_oil_std_cost_cl,3))</f>
        <v>0</v>
      </c>
      <c r="E91" s="804">
        <f>VLOOKUP(B91,hvac_oil_std_cost_cl,IF(ss_cat="large",4,5))</f>
        <v>20</v>
      </c>
      <c r="F91" s="815">
        <f>IF(D91="contact vendor","n/a",-PMT(Discount_rate,E91,D91)*build2_zones)</f>
        <v>0</v>
      </c>
      <c r="G91" s="809">
        <f>build2_heat_loss_yr/diesel_heat_content/diesel_non_eff</f>
        <v>0</v>
      </c>
      <c r="H91" s="803" t="s">
        <v>651</v>
      </c>
      <c r="I91" s="822">
        <f>diesel_cost_cl</f>
        <v>1.9400231874222376</v>
      </c>
      <c r="J91" s="823" t="s">
        <v>2939</v>
      </c>
      <c r="K91" s="819">
        <f>I91*G91</f>
        <v>0</v>
      </c>
      <c r="L91" s="820">
        <f>IF(F91="n/a","n/a",F91+K91)</f>
        <v>0</v>
      </c>
    </row>
    <row r="92" spans="1:12">
      <c r="A92" s="803" t="s">
        <v>1362</v>
      </c>
      <c r="B92" s="804">
        <f>IF(build2_zones=0,0,build2_heat_mbh/build2_zones)</f>
        <v>0</v>
      </c>
      <c r="C92" s="804">
        <f>IF(curve=1,B92,VLOOKUP(B92,hvac_oil_mid_cost_cl,2))</f>
        <v>0</v>
      </c>
      <c r="D92" s="815">
        <f>IF(curve=1,hvac_oil_mid_eq_2,VLOOKUP(B92,hvac_oil_mid_cost_cl,3))</f>
        <v>0</v>
      </c>
      <c r="E92" s="804">
        <f>VLOOKUP(B92,hvac_oil_mid_cost_cl,IF(ss_cat="large",4,5))</f>
        <v>20</v>
      </c>
      <c r="F92" s="815">
        <f>IF(D92="contact vendor","n/a",-PMT(Discount_rate,E92,D92)*build2_zones)</f>
        <v>0</v>
      </c>
      <c r="G92" s="809">
        <f>build2_heat_loss_yr/diesel_heat_content/diesel_eff</f>
        <v>0</v>
      </c>
      <c r="H92" s="803" t="s">
        <v>651</v>
      </c>
      <c r="I92" s="822">
        <f>diesel_cost_cl</f>
        <v>1.9400231874222376</v>
      </c>
      <c r="J92" s="823" t="s">
        <v>2939</v>
      </c>
      <c r="K92" s="819">
        <f>I92*G92</f>
        <v>0</v>
      </c>
      <c r="L92" s="820">
        <f>IF(F92="n/a","n/a",F92+K92)</f>
        <v>0</v>
      </c>
    </row>
    <row r="93" spans="1:12">
      <c r="A93" s="803"/>
      <c r="B93" s="602"/>
      <c r="C93" s="803"/>
      <c r="D93" s="803"/>
      <c r="E93" s="603"/>
      <c r="F93" s="803"/>
      <c r="G93" s="803"/>
      <c r="H93" s="803"/>
      <c r="I93" s="803"/>
      <c r="J93" s="803"/>
      <c r="K93" s="803"/>
      <c r="L93" s="803"/>
    </row>
    <row r="94" spans="1:12">
      <c r="A94" s="604" t="s">
        <v>1201</v>
      </c>
      <c r="B94" s="602"/>
      <c r="C94" s="803"/>
      <c r="D94" s="803"/>
      <c r="E94" s="603"/>
      <c r="F94" s="603"/>
      <c r="G94" s="803"/>
      <c r="H94" s="803"/>
      <c r="I94" s="803"/>
      <c r="J94" s="803"/>
      <c r="K94" s="803"/>
      <c r="L94" s="803"/>
    </row>
    <row r="95" spans="1:12">
      <c r="A95" s="602" t="s">
        <v>430</v>
      </c>
      <c r="B95" s="602" t="s">
        <v>1202</v>
      </c>
      <c r="C95" s="803"/>
      <c r="D95" s="803"/>
      <c r="E95" s="603"/>
      <c r="F95" s="603"/>
      <c r="G95" s="803"/>
      <c r="H95" s="803"/>
      <c r="I95" s="803"/>
      <c r="J95" s="803"/>
      <c r="K95" s="803"/>
      <c r="L95" s="803"/>
    </row>
    <row r="96" spans="1:12">
      <c r="A96" s="604" t="s">
        <v>1188</v>
      </c>
      <c r="B96" s="604" t="s">
        <v>1203</v>
      </c>
      <c r="C96" s="604" t="s">
        <v>1204</v>
      </c>
      <c r="D96" s="604" t="s">
        <v>1191</v>
      </c>
      <c r="E96" s="604" t="s">
        <v>1192</v>
      </c>
      <c r="F96" s="604" t="s">
        <v>1193</v>
      </c>
      <c r="G96" s="604" t="s">
        <v>1194</v>
      </c>
      <c r="H96" s="604"/>
      <c r="I96" s="604" t="s">
        <v>1195</v>
      </c>
      <c r="J96" s="604"/>
      <c r="K96" s="604" t="s">
        <v>1196</v>
      </c>
      <c r="L96" s="604" t="s">
        <v>1197</v>
      </c>
    </row>
    <row r="97" spans="1:12">
      <c r="A97" s="803" t="s">
        <v>1205</v>
      </c>
      <c r="B97" s="824">
        <f>build1_cooling_tons/build1_zones</f>
        <v>0.45938742216767886</v>
      </c>
      <c r="C97" s="824">
        <f>IF(curve=1,B97,VLOOKUP(B97,hvac_ac_cost_cl,2))</f>
        <v>0.45938742216767886</v>
      </c>
      <c r="D97" s="815">
        <f>IF(curve=1,hvac_ac_eq_1,VLOOKUP(B97,hvac_ac_cost_cl,3))</f>
        <v>1014.0056212069034</v>
      </c>
      <c r="E97" s="804">
        <f>VLOOKUP(B97,hvac_ac_cost_cl,IF(ss_cat="large",4,5))</f>
        <v>20</v>
      </c>
      <c r="F97" s="815">
        <f>IF(D97="contact vendor","n/a",-PMT(Discount_rate,E97,D97)*build1_zones)</f>
        <v>95.714957305827085</v>
      </c>
      <c r="G97" s="816">
        <f>build1_cooling_yr/EER/10^6</f>
        <v>4.3968880427674977</v>
      </c>
      <c r="H97" s="803" t="s">
        <v>2524</v>
      </c>
      <c r="I97" s="817">
        <f>energy_cost_cl</f>
        <v>0.10761526717557252</v>
      </c>
      <c r="J97" s="818" t="s">
        <v>722</v>
      </c>
      <c r="K97" s="819">
        <f>I97*G97*1000</f>
        <v>473.17228146350436</v>
      </c>
      <c r="L97" s="820">
        <f>IF(F97="n/a","n/a",F97+K97)</f>
        <v>568.88723876933147</v>
      </c>
    </row>
    <row r="98" spans="1:12">
      <c r="A98" s="803" t="s">
        <v>654</v>
      </c>
      <c r="B98" s="824">
        <f>build1_cooling_tons/build1_zones</f>
        <v>0.45938742216767886</v>
      </c>
      <c r="C98" s="824">
        <f>IF(hp_ok_1,IF(curve=1,B98,VLOOKUP(B98,hvac_hp_cost_cl,2)),"n/a")</f>
        <v>0.45938742216767886</v>
      </c>
      <c r="D98" s="815">
        <f>IF(C98="n/a","n/a",IF(curve=1,hvac_hp_eq_1,VLOOKUP(B98,hvac_hp_cost_cl,3)))</f>
        <v>3388.3623355469313</v>
      </c>
      <c r="E98" s="804">
        <f>IF(C98="n/a","n/a",VLOOKUP(B98,hvac_hp_cost_cl,IF(ss_cat="large",4,5)))</f>
        <v>20</v>
      </c>
      <c r="F98" s="815">
        <f>IF(OR(D98="contact vendor",D98="n/a"),"n/a",-PMT(Discount_rate,E98,D98)*build1_zones)</f>
        <v>319.83743433052592</v>
      </c>
      <c r="G98" s="816">
        <f>IF(C98="n/a","n/a",build1_cooling_yr/hp_EER/10^6)</f>
        <v>4.788689947568562</v>
      </c>
      <c r="H98" s="803" t="s">
        <v>2524</v>
      </c>
      <c r="I98" s="817">
        <f>energy_cost_cl</f>
        <v>0.10761526717557252</v>
      </c>
      <c r="J98" s="818" t="s">
        <v>722</v>
      </c>
      <c r="K98" s="819">
        <f>IF(C98="n/a","n/a",I98*G98*1000)</f>
        <v>515.33614812856911</v>
      </c>
      <c r="L98" s="820">
        <f>IF(F98="n/a","n/a",F98+K98)</f>
        <v>835.17358245909509</v>
      </c>
    </row>
    <row r="99" spans="1:12">
      <c r="A99" s="803"/>
      <c r="B99" s="602"/>
      <c r="C99" s="803"/>
      <c r="D99" s="803"/>
      <c r="E99" s="603"/>
      <c r="F99" s="803"/>
      <c r="G99" s="803"/>
      <c r="H99" s="803"/>
      <c r="I99" s="803"/>
      <c r="J99" s="803"/>
      <c r="K99" s="803"/>
      <c r="L99" s="803"/>
    </row>
    <row r="100" spans="1:12">
      <c r="A100" s="602" t="s">
        <v>431</v>
      </c>
      <c r="B100" s="602" t="s">
        <v>1206</v>
      </c>
      <c r="C100" s="803"/>
      <c r="D100" s="803"/>
      <c r="E100" s="603"/>
      <c r="F100" s="803"/>
      <c r="G100" s="803"/>
      <c r="H100" s="803"/>
      <c r="I100" s="803"/>
      <c r="J100" s="803"/>
      <c r="K100" s="803"/>
      <c r="L100" s="803"/>
    </row>
    <row r="101" spans="1:12">
      <c r="A101" s="604" t="s">
        <v>1188</v>
      </c>
      <c r="B101" s="604" t="s">
        <v>1203</v>
      </c>
      <c r="C101" s="604" t="s">
        <v>1204</v>
      </c>
      <c r="D101" s="604" t="s">
        <v>1191</v>
      </c>
      <c r="E101" s="604" t="s">
        <v>1192</v>
      </c>
      <c r="F101" s="604" t="s">
        <v>1193</v>
      </c>
      <c r="G101" s="604" t="s">
        <v>1194</v>
      </c>
      <c r="H101" s="604"/>
      <c r="I101" s="604" t="s">
        <v>1195</v>
      </c>
      <c r="J101" s="604"/>
      <c r="K101" s="604" t="s">
        <v>1196</v>
      </c>
      <c r="L101" s="604" t="s">
        <v>1197</v>
      </c>
    </row>
    <row r="102" spans="1:12">
      <c r="A102" s="803" t="s">
        <v>1205</v>
      </c>
      <c r="B102" s="824">
        <f>IF(build2_zones=0,0,build2_cooling_tons/build2_zones)</f>
        <v>0</v>
      </c>
      <c r="C102" s="824">
        <f>IF(curve=1,B102,VLOOKUP(B102,hvac_ac_cost_cl,2))</f>
        <v>0</v>
      </c>
      <c r="D102" s="815">
        <f>IF(curve=1,hvac_ac_eq_2,VLOOKUP(B102,hvac_ac_cost_cl,3))</f>
        <v>0</v>
      </c>
      <c r="E102" s="804">
        <f>VLOOKUP(B102,hvac_ac_cost_cl,IF(ss_cat="large",4,5))</f>
        <v>20</v>
      </c>
      <c r="F102" s="815">
        <f>IF(D102="contact vendor","n/a",-PMT(Discount_rate,E102,D102)*build2_zones)</f>
        <v>0</v>
      </c>
      <c r="G102" s="816">
        <f>build2_cooling_yr/EER/10^6</f>
        <v>0</v>
      </c>
      <c r="H102" s="803" t="s">
        <v>2524</v>
      </c>
      <c r="I102" s="817">
        <f>energy_cost_cl</f>
        <v>0.10761526717557252</v>
      </c>
      <c r="J102" s="818" t="s">
        <v>722</v>
      </c>
      <c r="K102" s="819">
        <f>I102*G102*1000</f>
        <v>0</v>
      </c>
      <c r="L102" s="820">
        <f>IF(F102="n/a","n/a",F102+K102)</f>
        <v>0</v>
      </c>
    </row>
    <row r="103" spans="1:12">
      <c r="A103" s="803" t="s">
        <v>654</v>
      </c>
      <c r="B103" s="824">
        <f>IF(build2_zones=0,0,build2_cooling_tons/build2_zones)</f>
        <v>0</v>
      </c>
      <c r="C103" s="824">
        <f>IF(hp_ok_2,IF(curve=1,B103,VLOOKUP(B103,hvac_hp_cost_cl,2)),"n/a")</f>
        <v>0</v>
      </c>
      <c r="D103" s="815">
        <f>IF(C103="n/a","n/a",IF(curve=1,hvac_hp_eq_2,VLOOKUP(B103,hvac_hp_cost_cl,3)))</f>
        <v>0</v>
      </c>
      <c r="E103" s="804">
        <f>IF(C103="n/a","n/a",VLOOKUP(B103,hvac_hp_cost_cl,IF(ss_cat="large",4,5)))</f>
        <v>20</v>
      </c>
      <c r="F103" s="815">
        <f>IF(OR(D103="contact vendor",D103="n/a"),"n/a",-PMT(Discount_rate,E103,D103)*build2_zones)</f>
        <v>0</v>
      </c>
      <c r="G103" s="816">
        <f>IF(C103="n/a","n/a",build2_cooling_yr/hp_EER/10^6)</f>
        <v>0</v>
      </c>
      <c r="H103" s="803" t="s">
        <v>2524</v>
      </c>
      <c r="I103" s="817">
        <f>energy_cost_cl</f>
        <v>0.10761526717557252</v>
      </c>
      <c r="J103" s="818" t="s">
        <v>722</v>
      </c>
      <c r="K103" s="819">
        <f>IF(C103="n/a","n/a",I103*G103*1000)</f>
        <v>0</v>
      </c>
      <c r="L103" s="820">
        <f>IF(F103="n/a","n/a",F103+K103)</f>
        <v>0</v>
      </c>
    </row>
    <row r="104" spans="1:12">
      <c r="A104" s="803"/>
      <c r="B104" s="602"/>
      <c r="C104" s="803"/>
      <c r="D104" s="803"/>
      <c r="E104" s="603"/>
    </row>
    <row r="105" spans="1:12">
      <c r="A105" s="803"/>
      <c r="B105" s="602"/>
      <c r="C105" s="803"/>
      <c r="D105" s="803"/>
      <c r="E105" s="603"/>
    </row>
    <row r="106" spans="1:12">
      <c r="A106" s="604" t="s">
        <v>1207</v>
      </c>
      <c r="B106" s="602"/>
      <c r="C106" s="803"/>
      <c r="D106" s="803"/>
      <c r="E106" s="603" t="s">
        <v>1208</v>
      </c>
    </row>
    <row r="107" spans="1:12">
      <c r="A107" s="803"/>
      <c r="B107" s="602"/>
      <c r="C107" s="803"/>
      <c r="D107" s="803"/>
      <c r="E107" s="603"/>
    </row>
    <row r="108" spans="1:12">
      <c r="A108" s="602" t="s">
        <v>1209</v>
      </c>
      <c r="B108" s="602"/>
      <c r="C108" s="803"/>
      <c r="D108" s="803"/>
      <c r="E108" s="803"/>
    </row>
    <row r="109" spans="1:12">
      <c r="A109" s="604" t="s">
        <v>1210</v>
      </c>
      <c r="B109" s="604" t="s">
        <v>1211</v>
      </c>
      <c r="C109" s="604" t="s">
        <v>1212</v>
      </c>
      <c r="D109" s="604" t="s">
        <v>1211</v>
      </c>
      <c r="E109" s="604" t="s">
        <v>1213</v>
      </c>
    </row>
    <row r="110" spans="1:12">
      <c r="A110" s="803" t="s">
        <v>1731</v>
      </c>
      <c r="B110" s="819">
        <f>IF(build1_need_heat,VLOOKUP(A110,build1_heat_options,12,FALSE),0)</f>
        <v>0</v>
      </c>
      <c r="C110" s="803" t="s">
        <v>1205</v>
      </c>
      <c r="D110" s="819">
        <f>IF(build1_need_cool,VLOOKUP(C110,build1_cool_options,12,FALSE),0)</f>
        <v>0</v>
      </c>
      <c r="E110" s="819">
        <f t="shared" ref="E110:E115" si="1">IF(OR(B110="n/a",D110="n/a"),"n/a",ROUND(B110+D110,0))</f>
        <v>0</v>
      </c>
    </row>
    <row r="111" spans="1:12">
      <c r="A111" s="803" t="s">
        <v>779</v>
      </c>
      <c r="B111" s="819">
        <f>IF(build1_need_heat,VLOOKUP(A111,build1_heat_options,12,FALSE),0)</f>
        <v>0</v>
      </c>
      <c r="C111" s="803" t="s">
        <v>1205</v>
      </c>
      <c r="D111" s="819">
        <f>IF(build1_need_cool,VLOOKUP(C111,build1_cool_options,12,FALSE),0)</f>
        <v>0</v>
      </c>
      <c r="E111" s="819">
        <f t="shared" si="1"/>
        <v>0</v>
      </c>
    </row>
    <row r="112" spans="1:12">
      <c r="A112" s="803" t="s">
        <v>780</v>
      </c>
      <c r="B112" s="819">
        <f>IF(build1_need_heat,VLOOKUP(A112,build1_heat_options,12,FALSE),0)</f>
        <v>0</v>
      </c>
      <c r="C112" s="803" t="s">
        <v>1205</v>
      </c>
      <c r="D112" s="819">
        <f>IF(build1_need_cool,VLOOKUP(C112,build1_cool_options,12,FALSE),0)</f>
        <v>0</v>
      </c>
      <c r="E112" s="819">
        <f t="shared" si="1"/>
        <v>0</v>
      </c>
    </row>
    <row r="113" spans="1:5">
      <c r="A113" s="803" t="s">
        <v>1361</v>
      </c>
      <c r="B113" s="819">
        <f>IF(build1_need_heat,VLOOKUP(A113,build1_heat_options,12,FALSE),0)</f>
        <v>0</v>
      </c>
      <c r="C113" s="803" t="s">
        <v>1205</v>
      </c>
      <c r="D113" s="819">
        <f>IF(build1_need_cool,VLOOKUP(C113,build1_cool_options,12,FALSE),0)</f>
        <v>0</v>
      </c>
      <c r="E113" s="819">
        <f t="shared" si="1"/>
        <v>0</v>
      </c>
    </row>
    <row r="114" spans="1:5">
      <c r="A114" s="803" t="s">
        <v>1362</v>
      </c>
      <c r="B114" s="819">
        <f>IF(build1_need_heat,VLOOKUP(A114,build1_heat_options,12,FALSE),0)</f>
        <v>0</v>
      </c>
      <c r="C114" s="803" t="s">
        <v>1205</v>
      </c>
      <c r="D114" s="819">
        <f>IF(build1_need_cool,VLOOKUP(C114,build1_cool_options,12,FALSE),0)</f>
        <v>0</v>
      </c>
      <c r="E114" s="819">
        <f t="shared" si="1"/>
        <v>0</v>
      </c>
    </row>
    <row r="115" spans="1:5">
      <c r="A115" s="803" t="s">
        <v>654</v>
      </c>
      <c r="B115" s="820" t="str">
        <f>IF(AND(build1_need_heat, build1_need_cool),K79,"n/a")</f>
        <v>n/a</v>
      </c>
      <c r="C115" s="803" t="s">
        <v>654</v>
      </c>
      <c r="D115" s="819">
        <f>IF(AND(build1_need_heat,build1_need_cool),VLOOKUP(C115,build1_cool_options,12,FALSE),0)</f>
        <v>0</v>
      </c>
      <c r="E115" s="819" t="str">
        <f t="shared" si="1"/>
        <v>n/a</v>
      </c>
    </row>
    <row r="116" spans="1:5">
      <c r="A116" s="803"/>
      <c r="B116" s="803"/>
      <c r="C116" s="803"/>
      <c r="D116" s="819"/>
      <c r="E116" s="819"/>
    </row>
    <row r="117" spans="1:5">
      <c r="A117" s="803" t="s">
        <v>1214</v>
      </c>
      <c r="B117" s="602" t="s">
        <v>1215</v>
      </c>
      <c r="C117" s="803">
        <f>MATCH(MIN(E110:E115),E110:E115,0)</f>
        <v>1</v>
      </c>
      <c r="D117" s="819"/>
      <c r="E117" s="819"/>
    </row>
    <row r="118" spans="1:5">
      <c r="A118" s="803" t="s">
        <v>1216</v>
      </c>
      <c r="B118" s="602" t="s">
        <v>1217</v>
      </c>
      <c r="C118" s="803" t="str">
        <f>IF(build1_need_heat,INDEX(A110:A115,build1_row),"n/a")</f>
        <v>n/a</v>
      </c>
      <c r="D118" s="819"/>
      <c r="E118" s="819"/>
    </row>
    <row r="119" spans="1:5">
      <c r="A119" s="803" t="s">
        <v>1218</v>
      </c>
      <c r="B119" s="602" t="s">
        <v>1219</v>
      </c>
      <c r="C119" s="803" t="str">
        <f>IF(build1_need_cool,INDEX(C110:C115,build1_row),"n/a")</f>
        <v>n/a</v>
      </c>
      <c r="D119" s="819"/>
      <c r="E119" s="819"/>
    </row>
    <row r="120" spans="1:5">
      <c r="A120" s="803"/>
      <c r="B120" s="803"/>
      <c r="C120" s="803"/>
      <c r="D120" s="819"/>
      <c r="E120" s="819"/>
    </row>
    <row r="121" spans="1:5">
      <c r="A121" s="803"/>
      <c r="B121" s="602"/>
      <c r="C121" s="803"/>
      <c r="D121" s="803"/>
      <c r="E121" s="603"/>
    </row>
    <row r="122" spans="1:5">
      <c r="A122" s="602" t="s">
        <v>1220</v>
      </c>
      <c r="B122" s="602"/>
      <c r="C122" s="803"/>
      <c r="D122" s="803"/>
      <c r="E122" s="803"/>
    </row>
    <row r="123" spans="1:5">
      <c r="A123" s="604" t="s">
        <v>1210</v>
      </c>
      <c r="B123" s="604" t="s">
        <v>1211</v>
      </c>
      <c r="C123" s="604" t="s">
        <v>1212</v>
      </c>
      <c r="D123" s="604" t="s">
        <v>1211</v>
      </c>
      <c r="E123" s="604" t="s">
        <v>1213</v>
      </c>
    </row>
    <row r="124" spans="1:5">
      <c r="A124" s="803" t="s">
        <v>1731</v>
      </c>
      <c r="B124" s="819">
        <f>IF(build2_need_heat,VLOOKUP(A124,build2_heat_options,12,FALSE),0)</f>
        <v>0</v>
      </c>
      <c r="C124" s="803" t="s">
        <v>1205</v>
      </c>
      <c r="D124" s="819">
        <f>IF(build2_need_cool,VLOOKUP(C124,build2_cool_options,12,FALSE),0)</f>
        <v>0</v>
      </c>
      <c r="E124" s="819">
        <f t="shared" ref="E124:E129" si="2">IF(OR(B124="n/a",D124="n/a"),"n/a",ROUND(B124+D124,0))</f>
        <v>0</v>
      </c>
    </row>
    <row r="125" spans="1:5">
      <c r="A125" s="803" t="s">
        <v>779</v>
      </c>
      <c r="B125" s="819">
        <f>IF(build2_need_heat,VLOOKUP(A125,build2_heat_options,12,FALSE),0)</f>
        <v>0</v>
      </c>
      <c r="C125" s="803" t="s">
        <v>1205</v>
      </c>
      <c r="D125" s="819">
        <f>IF(build2_need_cool,VLOOKUP(C125,build2_cool_options,12,FALSE),0)</f>
        <v>0</v>
      </c>
      <c r="E125" s="819">
        <f t="shared" si="2"/>
        <v>0</v>
      </c>
    </row>
    <row r="126" spans="1:5">
      <c r="A126" s="803" t="s">
        <v>780</v>
      </c>
      <c r="B126" s="819">
        <f>IF(build2_need_heat,VLOOKUP(A126,build2_heat_options,12,FALSE),0)</f>
        <v>0</v>
      </c>
      <c r="C126" s="803" t="s">
        <v>1205</v>
      </c>
      <c r="D126" s="819">
        <f>IF(build2_need_cool,VLOOKUP(C126,build2_cool_options,12,FALSE),0)</f>
        <v>0</v>
      </c>
      <c r="E126" s="819">
        <f t="shared" si="2"/>
        <v>0</v>
      </c>
    </row>
    <row r="127" spans="1:5">
      <c r="A127" s="803" t="s">
        <v>1361</v>
      </c>
      <c r="B127" s="819">
        <f>IF(build2_need_heat,VLOOKUP(A127,build2_heat_options,12,FALSE),0)</f>
        <v>0</v>
      </c>
      <c r="C127" s="803" t="s">
        <v>1205</v>
      </c>
      <c r="D127" s="819">
        <f>IF(build2_need_cool,VLOOKUP(C127,build2_cool_options,12,FALSE),0)</f>
        <v>0</v>
      </c>
      <c r="E127" s="819">
        <f t="shared" si="2"/>
        <v>0</v>
      </c>
    </row>
    <row r="128" spans="1:5">
      <c r="A128" s="803" t="s">
        <v>1362</v>
      </c>
      <c r="B128" s="819">
        <f>IF(build2_need_heat,VLOOKUP(A128,build2_heat_options,12,FALSE),0)</f>
        <v>0</v>
      </c>
      <c r="C128" s="803" t="s">
        <v>1205</v>
      </c>
      <c r="D128" s="819">
        <f>IF(build2_need_cool,VLOOKUP(C128,build2_cool_options,12,FALSE),0)</f>
        <v>0</v>
      </c>
      <c r="E128" s="819">
        <f t="shared" si="2"/>
        <v>0</v>
      </c>
    </row>
    <row r="129" spans="1:5">
      <c r="A129" s="803" t="s">
        <v>654</v>
      </c>
      <c r="B129" s="820" t="str">
        <f>IF(AND(build2_need_heat, build2_need_cool),K88,"n/a")</f>
        <v>n/a</v>
      </c>
      <c r="C129" s="803" t="s">
        <v>654</v>
      </c>
      <c r="D129" s="819">
        <f>IF(AND(build1_need_heat,build2_need_cool),VLOOKUP(C129,build2_cool_options,12,FALSE),0)</f>
        <v>0</v>
      </c>
      <c r="E129" s="819" t="str">
        <f t="shared" si="2"/>
        <v>n/a</v>
      </c>
    </row>
    <row r="130" spans="1:5">
      <c r="A130" s="803"/>
      <c r="B130" s="803"/>
      <c r="C130" s="803"/>
      <c r="D130" s="819"/>
      <c r="E130" s="819"/>
    </row>
    <row r="131" spans="1:5">
      <c r="A131" s="803" t="s">
        <v>1214</v>
      </c>
      <c r="B131" s="602" t="s">
        <v>1221</v>
      </c>
      <c r="C131" s="803">
        <f>MATCH(MIN(E124:E129),E124:E129,0)</f>
        <v>1</v>
      </c>
      <c r="D131" s="819"/>
      <c r="E131" s="819"/>
    </row>
    <row r="132" spans="1:5">
      <c r="A132" s="803" t="s">
        <v>1222</v>
      </c>
      <c r="B132" s="602" t="s">
        <v>1223</v>
      </c>
      <c r="C132" s="803" t="str">
        <f>IF(build2_need_heat,INDEX(A124:A129,build2_row),"n/a")</f>
        <v>n/a</v>
      </c>
      <c r="D132" s="819"/>
      <c r="E132" s="819"/>
    </row>
    <row r="133" spans="1:5">
      <c r="A133" s="803" t="s">
        <v>1224</v>
      </c>
      <c r="B133" s="602" t="s">
        <v>1225</v>
      </c>
      <c r="C133" s="803" t="str">
        <f>IF(build2_need_cool,INDEX(C124:C129,build2_row),"n/a")</f>
        <v>n/a</v>
      </c>
      <c r="D133" s="819"/>
      <c r="E133" s="819"/>
    </row>
  </sheetData>
  <mergeCells count="2">
    <mergeCell ref="B79:E79"/>
    <mergeCell ref="B88:E88"/>
  </mergeCells>
  <phoneticPr fontId="0" type="noConversion"/>
  <pageMargins left="0.7" right="0.7" top="0.75" bottom="0.75" header="0.3" footer="0.3"/>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H88"/>
  <sheetViews>
    <sheetView zoomScaleNormal="100" workbookViewId="0">
      <pane ySplit="3" topLeftCell="A4" activePane="bottomLeft" state="frozen"/>
      <selection pane="bottomLeft"/>
    </sheetView>
  </sheetViews>
  <sheetFormatPr baseColWidth="10" defaultColWidth="8.83203125" defaultRowHeight="13"/>
  <cols>
    <col min="1" max="1" width="44.5" customWidth="1"/>
    <col min="2" max="2" width="22.5" customWidth="1"/>
    <col min="3" max="3" width="13.6640625" customWidth="1"/>
  </cols>
  <sheetData>
    <row r="1" spans="1:5">
      <c r="A1" s="1" t="s">
        <v>3409</v>
      </c>
    </row>
    <row r="3" spans="1:5">
      <c r="A3" s="208" t="s">
        <v>3396</v>
      </c>
      <c r="B3" s="209" t="s">
        <v>1433</v>
      </c>
      <c r="C3" s="210" t="s">
        <v>1434</v>
      </c>
      <c r="D3" s="209" t="s">
        <v>1435</v>
      </c>
      <c r="E3" s="209" t="s">
        <v>1436</v>
      </c>
    </row>
    <row r="4" spans="1:5">
      <c r="A4" s="2" t="s">
        <v>2856</v>
      </c>
      <c r="E4" s="10" t="s">
        <v>3261</v>
      </c>
    </row>
    <row r="5" spans="1:5">
      <c r="A5" s="154" t="s">
        <v>1352</v>
      </c>
      <c r="C5" s="45">
        <f>pump_energy*design_flow/average_flow/365/24*1000</f>
        <v>0</v>
      </c>
      <c r="D5" t="s">
        <v>1428</v>
      </c>
    </row>
    <row r="6" spans="1:5">
      <c r="A6" s="154" t="s">
        <v>271</v>
      </c>
      <c r="C6" s="45">
        <f>(build1_fp*lighting_energy_1+build2_fp*lighting_energy_2)/365/24</f>
        <v>0.12000000000000001</v>
      </c>
      <c r="D6" t="s">
        <v>1428</v>
      </c>
    </row>
    <row r="7" spans="1:5">
      <c r="A7" s="794" t="s">
        <v>2753</v>
      </c>
      <c r="B7" s="3"/>
      <c r="C7" s="55">
        <f>0.746*Fan_pressure_drop*build1_fp*Building_height*air_changes_build1/33000</f>
        <v>2.6347363636363634E-2</v>
      </c>
      <c r="D7" t="s">
        <v>1428</v>
      </c>
    </row>
    <row r="8" spans="1:5">
      <c r="A8" s="794" t="s">
        <v>2754</v>
      </c>
      <c r="B8" s="3"/>
      <c r="C8" s="55">
        <f>0.746*Fan_pressure_drop*build2_fp*Building_height*air_changes_build2/33000</f>
        <v>0</v>
      </c>
      <c r="D8" t="s">
        <v>1428</v>
      </c>
    </row>
    <row r="9" spans="1:5">
      <c r="A9" s="154" t="s">
        <v>2008</v>
      </c>
      <c r="B9" s="3" t="s">
        <v>2009</v>
      </c>
      <c r="C9" s="65">
        <f>SUM(C5:C8)</f>
        <v>0.14634736363636364</v>
      </c>
      <c r="D9" t="s">
        <v>1428</v>
      </c>
    </row>
    <row r="10" spans="1:5">
      <c r="A10" s="154"/>
      <c r="B10" s="3"/>
      <c r="C10" s="65"/>
    </row>
    <row r="11" spans="1:5">
      <c r="A11" s="795" t="s">
        <v>1265</v>
      </c>
      <c r="B11" s="7" t="s">
        <v>1266</v>
      </c>
      <c r="C11" s="609" t="b">
        <f>IF(build1_need_heat=1,VLOOKUP(build1_heat,build1_heat_options,8,FALSE)="MWh/yr",FALSE)</f>
        <v>0</v>
      </c>
      <c r="D11" s="6"/>
    </row>
    <row r="12" spans="1:5">
      <c r="A12" s="795" t="s">
        <v>1267</v>
      </c>
      <c r="B12" s="7" t="s">
        <v>1268</v>
      </c>
      <c r="C12" s="610">
        <f>IF(build1_elec_heat,VLOOKUP(build1_heat,build1_heat_options,7,FALSE),0)*365.25*24/1000</f>
        <v>0</v>
      </c>
      <c r="D12" s="6" t="s">
        <v>1428</v>
      </c>
    </row>
    <row r="13" spans="1:5">
      <c r="A13" s="795" t="s">
        <v>1269</v>
      </c>
      <c r="B13" s="7" t="s">
        <v>1270</v>
      </c>
      <c r="C13" s="609" t="b">
        <f>IF(build2_need_heat,(VLOOKUP(build2_heat,build2_heat_options,8,FALSE)="MWh/yr"),FALSE)</f>
        <v>0</v>
      </c>
      <c r="D13" s="6"/>
    </row>
    <row r="14" spans="1:5">
      <c r="A14" s="795" t="s">
        <v>1271</v>
      </c>
      <c r="B14" s="7" t="s">
        <v>1272</v>
      </c>
      <c r="C14" s="610">
        <f>IF(build2_elec_heat,VLOOKUP(build2_heat,build2_heat_options,7,FALSE),0)*365.25*24/1000</f>
        <v>0</v>
      </c>
      <c r="D14" s="6" t="s">
        <v>1428</v>
      </c>
    </row>
    <row r="15" spans="1:5">
      <c r="A15" s="795" t="s">
        <v>2982</v>
      </c>
      <c r="B15" s="7" t="s">
        <v>2983</v>
      </c>
      <c r="C15" s="610">
        <f>build1_elec_heat_power+build2_elec_heat_power</f>
        <v>0</v>
      </c>
      <c r="D15" s="6" t="s">
        <v>1428</v>
      </c>
    </row>
    <row r="16" spans="1:5">
      <c r="A16" s="795"/>
      <c r="B16" s="6"/>
      <c r="C16" s="6"/>
      <c r="D16" s="6"/>
    </row>
    <row r="17" spans="1:5">
      <c r="A17" s="795" t="s">
        <v>1273</v>
      </c>
      <c r="B17" s="7" t="s">
        <v>1274</v>
      </c>
      <c r="C17" s="609" t="b">
        <f>IF(build1_need_cool,(VLOOKUP(build1_cool,build1_cool_options,8,FALSE)="MWh/yr"),FALSE)</f>
        <v>0</v>
      </c>
      <c r="D17" s="6"/>
    </row>
    <row r="18" spans="1:5">
      <c r="A18" s="795" t="s">
        <v>1275</v>
      </c>
      <c r="B18" s="7" t="s">
        <v>1276</v>
      </c>
      <c r="C18" s="610">
        <f>IF(build1_elec_cool,VLOOKUP(build1_cool,build1_cool_options,7,FALSE),0)*365.25*24/1000</f>
        <v>0</v>
      </c>
      <c r="D18" s="6" t="s">
        <v>1428</v>
      </c>
    </row>
    <row r="19" spans="1:5">
      <c r="A19" s="795" t="s">
        <v>1277</v>
      </c>
      <c r="B19" s="7" t="s">
        <v>1278</v>
      </c>
      <c r="C19" s="609" t="b">
        <f>IF(build2_need_cool,(VLOOKUP(build2_cool,build2_cool_options,8,FALSE)="MWh/yr"),FALSE)</f>
        <v>0</v>
      </c>
      <c r="D19" s="6"/>
    </row>
    <row r="20" spans="1:5">
      <c r="A20" s="795" t="s">
        <v>1279</v>
      </c>
      <c r="B20" s="7" t="s">
        <v>1280</v>
      </c>
      <c r="C20" s="610">
        <f>IF(build2_elec_cool,VLOOKUP(build2_cool,build2_cool_options,7,FALSE),0)*365.25*24/1000</f>
        <v>0</v>
      </c>
      <c r="D20" s="6" t="s">
        <v>1428</v>
      </c>
    </row>
    <row r="21" spans="1:5">
      <c r="A21" s="795" t="s">
        <v>2221</v>
      </c>
      <c r="B21" s="7" t="s">
        <v>2222</v>
      </c>
      <c r="C21" s="610">
        <f>build1_elec_cool_power+build2_elec_cool_power</f>
        <v>0</v>
      </c>
      <c r="D21" s="6" t="s">
        <v>1428</v>
      </c>
    </row>
    <row r="22" spans="1:5">
      <c r="A22" s="795"/>
      <c r="B22" s="7"/>
      <c r="C22" s="610"/>
      <c r="D22" s="6"/>
    </row>
    <row r="23" spans="1:5">
      <c r="A23" s="154" t="s">
        <v>1038</v>
      </c>
      <c r="B23" s="3" t="s">
        <v>1039</v>
      </c>
      <c r="C23" s="83">
        <f>ROUNDUP(2*MAX(min_standby,(IF(AND(need_heat=1,need_cool=1),MAX(std_heat,std_cool),need_heat*std_heat+need_cool*std_cool)+std_base)*(1+std_safety_factor)),0)/2</f>
        <v>1.5</v>
      </c>
      <c r="D23" t="s">
        <v>1428</v>
      </c>
      <c r="E23" s="178"/>
    </row>
    <row r="24" spans="1:5">
      <c r="A24" s="154" t="s">
        <v>1000</v>
      </c>
      <c r="B24" s="3" t="s">
        <v>1001</v>
      </c>
      <c r="C24" s="17">
        <f>VLOOKUP(std_power,std_gen_cost_cl,3)*std_power</f>
        <v>768.9215500945179</v>
      </c>
      <c r="E24" s="17"/>
    </row>
    <row r="26" spans="1:5">
      <c r="A26" s="2" t="s">
        <v>1738</v>
      </c>
      <c r="E26" s="84"/>
    </row>
    <row r="27" spans="1:5">
      <c r="A27" s="154" t="s">
        <v>1966</v>
      </c>
      <c r="B27" s="3" t="s">
        <v>1967</v>
      </c>
      <c r="C27" s="45">
        <f>total_fp+sept_fp+solids_pad_area</f>
        <v>120</v>
      </c>
      <c r="D27" t="s">
        <v>3238</v>
      </c>
    </row>
    <row r="28" spans="1:5">
      <c r="A28" s="154" t="s">
        <v>2989</v>
      </c>
      <c r="B28" s="3" t="s">
        <v>2990</v>
      </c>
      <c r="C28" s="45">
        <f>IF(design_type=1,0,MAX(basin_depth,IF(OUTPUT!L42=1,back_basin_depth,0),IF(res_holding="basins",hbasin_depth,0),IF(regen_type=1,MAX(IF(OUTPUT!L72=1,virgin_basin_depth,0),IF(OUTPUT!L75=1,spent_basin_depth,0),IF(OUTPUT!L78=1,regen_basin_depth,0)),0))+overexcavate)</f>
        <v>0</v>
      </c>
      <c r="D28" t="s">
        <v>2302</v>
      </c>
    </row>
    <row r="29" spans="1:5">
      <c r="A29" s="154" t="s">
        <v>1005</v>
      </c>
      <c r="B29" s="3" t="s">
        <v>3130</v>
      </c>
      <c r="C29" s="45">
        <f>IF(design_type=1,bore_depth_p,IF(max_excav_depth&gt;deep_bore_need,bore_depth_max,bore_depth_min))</f>
        <v>10</v>
      </c>
      <c r="D29" t="s">
        <v>2302</v>
      </c>
    </row>
    <row r="30" spans="1:5">
      <c r="A30" s="154" t="s">
        <v>2957</v>
      </c>
      <c r="B30" s="3" t="s">
        <v>2958</v>
      </c>
      <c r="C30" s="45">
        <f>IF(OR(design_type=2,tech_fp&gt;bore_need),0,ROUNDUP(tech_fp/hole_per_sf,0))</f>
        <v>1</v>
      </c>
    </row>
    <row r="31" spans="1:5">
      <c r="A31" s="154" t="s">
        <v>2959</v>
      </c>
      <c r="B31" s="3" t="s">
        <v>2960</v>
      </c>
      <c r="C31" s="45">
        <f>IF(AND(design_type=1,tech_fp&lt;bore_need),0,IF(ROUNDUP(tech_fp/hole_per_sf,0)&lt;min_holes,min_holes,ROUNDUP(tech_fp/hole_per_sf,0)))</f>
        <v>0</v>
      </c>
    </row>
    <row r="32" spans="1:5">
      <c r="B32" s="3"/>
      <c r="C32" s="45"/>
    </row>
    <row r="33" spans="1:5">
      <c r="A33" s="753" t="s">
        <v>2585</v>
      </c>
      <c r="B33" s="3"/>
      <c r="C33" s="45"/>
    </row>
    <row r="34" spans="1:5">
      <c r="A34" s="154" t="s">
        <v>1968</v>
      </c>
      <c r="C34" s="17">
        <f>IF(num_pits&gt;0,1,ROUNDUP(num_holes/hole_per_job,0))*VLOOKUP(0,stake_out_cost_cl,3)</f>
        <v>1380.637896721483</v>
      </c>
    </row>
    <row r="35" spans="1:5">
      <c r="A35" s="154" t="s">
        <v>2966</v>
      </c>
      <c r="C35" s="17">
        <f>ROUNDUP(num_holes/hole_per_job,0)*VLOOKUP(0,bore_draw_cost_cl,3)</f>
        <v>0</v>
      </c>
    </row>
    <row r="36" spans="1:5">
      <c r="A36" s="154" t="s">
        <v>2967</v>
      </c>
      <c r="C36" s="17">
        <f>IF(num_pits&gt;0,1,ROUNDUP(num_holes/hole_per_job,0))*VLOOKUP(0,bore_report_cost_cl,3)</f>
        <v>1050.3676547606576</v>
      </c>
    </row>
    <row r="37" spans="1:5">
      <c r="A37" s="154" t="s">
        <v>2968</v>
      </c>
      <c r="C37" s="17">
        <f>IF(num_pits&gt;0,0,1)*VLOOKUP(0,bore_mob_cost_cl,3)</f>
        <v>0</v>
      </c>
    </row>
    <row r="38" spans="1:5">
      <c r="A38" s="154" t="s">
        <v>854</v>
      </c>
      <c r="C38" s="17">
        <f>ROUNDUP(bore_depth*num_holes/hole_per_day,0)*VLOOKUP(0,bore_rig_cost_cl,3)</f>
        <v>0</v>
      </c>
    </row>
    <row r="39" spans="1:5">
      <c r="A39" s="154" t="s">
        <v>2581</v>
      </c>
      <c r="C39" s="17">
        <f>num_holes*bore_depth*VLOOKUP(0,bore_cost_cl,3)</f>
        <v>0</v>
      </c>
    </row>
    <row r="40" spans="1:5">
      <c r="A40" s="154" t="s">
        <v>2582</v>
      </c>
      <c r="C40" s="17">
        <f>pit_width*pit_length*pit_depth/27*num_pits*VLOOKUP(0,pit_cost_cl,3)</f>
        <v>1064.5650640689919</v>
      </c>
    </row>
    <row r="41" spans="1:5">
      <c r="A41" s="154" t="s">
        <v>2583</v>
      </c>
      <c r="B41" s="3" t="s">
        <v>2584</v>
      </c>
      <c r="C41" s="17">
        <f>SUM(C34:C40)</f>
        <v>3495.5706155511325</v>
      </c>
    </row>
    <row r="42" spans="1:5">
      <c r="A42" s="154"/>
    </row>
    <row r="43" spans="1:5">
      <c r="A43" s="154" t="s">
        <v>1381</v>
      </c>
      <c r="B43" s="3" t="s">
        <v>1382</v>
      </c>
      <c r="C43" s="17">
        <f>tech_fp*sitework_sf_cl</f>
        <v>1488.7912087912089</v>
      </c>
    </row>
    <row r="45" spans="1:5">
      <c r="A45" s="2" t="s">
        <v>2115</v>
      </c>
    </row>
    <row r="46" spans="1:5">
      <c r="A46" s="154" t="s">
        <v>3150</v>
      </c>
      <c r="B46" s="3" t="s">
        <v>3149</v>
      </c>
      <c r="C46">
        <f>SUMPRODUCT(OUTPUT!G73:G77,OUTPUT!L73:L77)</f>
        <v>6</v>
      </c>
      <c r="D46" t="s">
        <v>2626</v>
      </c>
      <c r="E46" s="10" t="s">
        <v>3279</v>
      </c>
    </row>
    <row r="47" spans="1:5">
      <c r="A47" s="154" t="s">
        <v>1969</v>
      </c>
      <c r="B47" s="3" t="s">
        <v>1970</v>
      </c>
      <c r="C47">
        <f>MAX(frost,min_trench_depth)</f>
        <v>38</v>
      </c>
      <c r="D47" t="s">
        <v>574</v>
      </c>
    </row>
    <row r="48" spans="1:5">
      <c r="A48" s="154" t="s">
        <v>134</v>
      </c>
      <c r="B48" s="3" t="s">
        <v>135</v>
      </c>
      <c r="C48" s="45">
        <f>VLOOKUP(yard_pipe_diam,thrust_block_table_cl,2)*2.2</f>
        <v>6237.043283051893</v>
      </c>
      <c r="D48" t="s">
        <v>2338</v>
      </c>
    </row>
    <row r="49" spans="1:8">
      <c r="A49" s="154" t="s">
        <v>136</v>
      </c>
      <c r="B49" s="3" t="s">
        <v>141</v>
      </c>
      <c r="C49">
        <f>1.5*thrust_force/(soil_dens*(trench_depth/12+yard_pipe_diam/12)*Coeff_Kp*Reduction)</f>
        <v>18.775379196767016</v>
      </c>
      <c r="D49" t="s">
        <v>1664</v>
      </c>
    </row>
    <row r="50" spans="1:8">
      <c r="A50" s="154" t="s">
        <v>137</v>
      </c>
      <c r="B50" s="3"/>
      <c r="C50">
        <f>bearing_area/C51</f>
        <v>6.1278673609612362</v>
      </c>
      <c r="D50" t="s">
        <v>127</v>
      </c>
    </row>
    <row r="51" spans="1:8">
      <c r="A51" s="154" t="s">
        <v>138</v>
      </c>
      <c r="B51" s="3"/>
      <c r="C51">
        <f>(bearing_area/2)^0.5</f>
        <v>3.0639336804806185</v>
      </c>
      <c r="D51" t="s">
        <v>127</v>
      </c>
    </row>
    <row r="52" spans="1:8">
      <c r="A52" s="154" t="s">
        <v>139</v>
      </c>
      <c r="B52" s="3"/>
      <c r="C52">
        <f>MAX(0.5,yard_pipe_diam/12)</f>
        <v>0.5</v>
      </c>
      <c r="D52" t="s">
        <v>127</v>
      </c>
      <c r="E52" s="10" t="s">
        <v>142</v>
      </c>
    </row>
    <row r="53" spans="1:8">
      <c r="A53" s="154" t="s">
        <v>140</v>
      </c>
      <c r="B53" s="3"/>
      <c r="C53">
        <f>C50/2</f>
        <v>3.0639336804806181</v>
      </c>
      <c r="D53" t="s">
        <v>127</v>
      </c>
    </row>
    <row r="54" spans="1:8">
      <c r="A54" s="154" t="s">
        <v>143</v>
      </c>
      <c r="B54" s="3" t="s">
        <v>144</v>
      </c>
      <c r="C54">
        <f>(C53+(yard_pipe_diam/12)/2)*(C50+C52)/2*C51/27</f>
        <v>1.2462444072817258</v>
      </c>
      <c r="D54" t="s">
        <v>1660</v>
      </c>
    </row>
    <row r="55" spans="1:8">
      <c r="A55" s="154" t="s">
        <v>1971</v>
      </c>
      <c r="B55" s="3" t="s">
        <v>1972</v>
      </c>
      <c r="C55" s="69">
        <f>(yard_pipe_diam/12+2)*(bedding_depth/12+yard_pipe_diam/12+trench_depth/12)+(bedding_depth/12+yard_pipe_diam/12+trench_depth/12)^2*TAN(trench_angle)</f>
        <v>27.777777777777768</v>
      </c>
      <c r="D55" t="s">
        <v>1664</v>
      </c>
    </row>
    <row r="56" spans="1:8">
      <c r="A56" s="154" t="s">
        <v>1973</v>
      </c>
      <c r="B56" s="3"/>
      <c r="C56" s="20">
        <f>trench_area*yard_in/27</f>
        <v>0</v>
      </c>
      <c r="D56" t="s">
        <v>1660</v>
      </c>
    </row>
    <row r="57" spans="1:8">
      <c r="A57" s="154" t="s">
        <v>133</v>
      </c>
      <c r="B57" s="3"/>
      <c r="C57" s="69">
        <f>((2*non_fire_buffer)+2*(build1_fp^0.5)/4)*trench_area/27</f>
        <v>26.211137422892648</v>
      </c>
      <c r="D57" t="s">
        <v>1660</v>
      </c>
      <c r="H57" s="67"/>
    </row>
    <row r="58" spans="1:8">
      <c r="A58" s="154" t="s">
        <v>145</v>
      </c>
      <c r="B58" s="3"/>
      <c r="C58" s="69">
        <f>IF(build2_fp=0,0,((2*non_fire_buffer)+2*(build2_fp^0.5)/4)*trench_area/27)</f>
        <v>0</v>
      </c>
      <c r="D58" t="s">
        <v>1660</v>
      </c>
    </row>
    <row r="59" spans="1:8">
      <c r="A59" s="154" t="s">
        <v>146</v>
      </c>
      <c r="C59" s="20">
        <f>trench_area*yard_out/27</f>
        <v>0</v>
      </c>
      <c r="D59" t="s">
        <v>1660</v>
      </c>
    </row>
    <row r="60" spans="1:8">
      <c r="A60" s="154" t="s">
        <v>1397</v>
      </c>
      <c r="B60" s="3" t="s">
        <v>1398</v>
      </c>
      <c r="C60" s="20">
        <f>SUM(C56:C59)+block_vol</f>
        <v>27.457381830174374</v>
      </c>
      <c r="D60" t="s">
        <v>1660</v>
      </c>
    </row>
    <row r="61" spans="1:8">
      <c r="A61" s="154" t="s">
        <v>1399</v>
      </c>
      <c r="B61" s="3" t="s">
        <v>1400</v>
      </c>
      <c r="C61" s="45">
        <f>yard_in+yard_out+2*((2*non_fire_buffer)+2*(build1_fp^0.5)/4+IF(build2_fp=0,0,((2*non_fire_buffer)+2*(build2_fp^0.5)/4))+2*(trench_depth+yard_pipe_diam)/12)</f>
        <v>65.621117816769996</v>
      </c>
      <c r="D61" t="s">
        <v>2625</v>
      </c>
    </row>
    <row r="62" spans="1:8">
      <c r="A62" s="154" t="s">
        <v>1401</v>
      </c>
      <c r="B62" s="3"/>
      <c r="C62" s="70">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1.9147384469184763</v>
      </c>
      <c r="D62" t="s">
        <v>1664</v>
      </c>
    </row>
    <row r="63" spans="1:8">
      <c r="A63" s="154" t="s">
        <v>1409</v>
      </c>
      <c r="B63" s="3" t="s">
        <v>1974</v>
      </c>
      <c r="C63">
        <f>C62*yard_pipe_length/2/27</f>
        <v>2.3268014298803061</v>
      </c>
      <c r="D63" t="s">
        <v>1660</v>
      </c>
    </row>
    <row r="65" spans="1:5">
      <c r="A65" s="753" t="s">
        <v>2585</v>
      </c>
    </row>
    <row r="66" spans="1:5">
      <c r="A66" s="154" t="s">
        <v>1975</v>
      </c>
      <c r="C66" s="71">
        <f>VLOOKUP(0,bedding_cost_cl,3)*bedding_vol</f>
        <v>125.47530789449141</v>
      </c>
    </row>
    <row r="67" spans="1:5">
      <c r="A67" s="154" t="s">
        <v>1976</v>
      </c>
      <c r="C67" s="67">
        <f>trench_vol*VLOOKUP(0,excavate_cost_cl,3)</f>
        <v>826.00907151048807</v>
      </c>
    </row>
    <row r="68" spans="1:5">
      <c r="A68" s="154" t="s">
        <v>2118</v>
      </c>
      <c r="C68" s="67">
        <f>trench_vol*VLOOKUP(0,backfill_cost_cl,3)</f>
        <v>382.94047791295941</v>
      </c>
    </row>
    <row r="69" spans="1:5">
      <c r="A69" s="154" t="s">
        <v>2122</v>
      </c>
      <c r="C69" s="67">
        <f>block_vol*VLOOKUP(0,conc_basin_cost_cl,3)</f>
        <v>725.4210203863737</v>
      </c>
    </row>
    <row r="70" spans="1:5">
      <c r="A70" s="154" t="s">
        <v>2119</v>
      </c>
      <c r="C70" s="67">
        <f>yard_pipe_length*SUMPRODUCT(OUTPUT!I73:I77,OUTPUT!L73:L77)</f>
        <v>479.51816915628842</v>
      </c>
    </row>
    <row r="71" spans="1:5">
      <c r="A71" s="154" t="s">
        <v>2120</v>
      </c>
      <c r="B71" s="3" t="s">
        <v>2121</v>
      </c>
      <c r="C71" s="72">
        <f>SUM(C66:C70)</f>
        <v>2539.3640468606009</v>
      </c>
    </row>
    <row r="73" spans="1:5">
      <c r="A73" s="2" t="s">
        <v>2859</v>
      </c>
    </row>
    <row r="74" spans="1:5">
      <c r="A74" s="154" t="s">
        <v>1366</v>
      </c>
      <c r="C74" s="17">
        <f>SUMPRODUCT(OUTPUT!J257:J269,OUTPUT!L257:L269)</f>
        <v>0</v>
      </c>
      <c r="E74" s="10" t="s">
        <v>1375</v>
      </c>
    </row>
    <row r="75" spans="1:5">
      <c r="A75" s="154" t="s">
        <v>1367</v>
      </c>
      <c r="C75" s="17">
        <f>SUMPRODUCT(OUTPUT!J271:J283,OUTPUT!L271:L283)</f>
        <v>0</v>
      </c>
      <c r="E75" s="10" t="s">
        <v>1375</v>
      </c>
    </row>
    <row r="76" spans="1:5">
      <c r="A76" s="154" t="s">
        <v>1368</v>
      </c>
      <c r="C76" s="17" t="e">
        <f ca="1">BPCost_UBC97(C74)+BPCost_UBC97(C75)</f>
        <v>#NAME?</v>
      </c>
      <c r="E76" s="10" t="s">
        <v>1376</v>
      </c>
    </row>
    <row r="77" spans="1:5">
      <c r="A77" s="154" t="s">
        <v>1369</v>
      </c>
      <c r="C77" s="17">
        <f>IF(res_s2_opt=1,VLOOKUP(res_flow_annual/365,NPDES_permit_cost_cl,2),0)</f>
        <v>0</v>
      </c>
      <c r="E77" s="10" t="s">
        <v>1377</v>
      </c>
    </row>
    <row r="78" spans="1:5">
      <c r="A78" s="154" t="s">
        <v>1370</v>
      </c>
      <c r="C78" s="17">
        <f>VLOOKUP(land_required,SW_permit_cost_cl,2)</f>
        <v>0</v>
      </c>
      <c r="E78" s="10" t="s">
        <v>1378</v>
      </c>
    </row>
    <row r="79" spans="1:5">
      <c r="A79" s="154" t="s">
        <v>1371</v>
      </c>
      <c r="C79" s="67">
        <v>0</v>
      </c>
      <c r="E79" s="10" t="s">
        <v>1379</v>
      </c>
    </row>
    <row r="80" spans="1:5">
      <c r="A80" s="154" t="s">
        <v>1372</v>
      </c>
      <c r="C80" s="17">
        <f>IF(include_NEPA=2,0,IF(OR(component_level=2,include_NEPA=1),VLOOKUP(land_required,NEPA_cost_cl,2),0))</f>
        <v>0</v>
      </c>
      <c r="E80" s="10" t="s">
        <v>1380</v>
      </c>
    </row>
    <row r="81" spans="1:5">
      <c r="A81" s="154" t="s">
        <v>1373</v>
      </c>
      <c r="B81" s="3" t="s">
        <v>1374</v>
      </c>
      <c r="C81" s="18" t="e">
        <f ca="1">SUM(C76:C80)</f>
        <v>#NAME?</v>
      </c>
    </row>
    <row r="83" spans="1:5">
      <c r="A83" s="2" t="s">
        <v>531</v>
      </c>
    </row>
    <row r="84" spans="1:5">
      <c r="A84" s="154" t="s">
        <v>120</v>
      </c>
      <c r="C84" s="509">
        <f>br_ins_pct*direct_cost</f>
        <v>233.91530599979481</v>
      </c>
    </row>
    <row r="85" spans="1:5">
      <c r="A85" s="154" t="s">
        <v>532</v>
      </c>
      <c r="C85" s="509">
        <f>include_bond*(VLOOKUP(direct_cost,performance_bond_table_cl,3)+VLOOKUP(direct_cost,performance_bond_table_cl,4)*(direct_cost-VLOOKUP(direct_cost,performance_bond_table_cl,5)))</f>
        <v>1719.9654852926092</v>
      </c>
      <c r="E85" s="10" t="s">
        <v>533</v>
      </c>
    </row>
    <row r="86" spans="1:5">
      <c r="A86" s="154" t="s">
        <v>534</v>
      </c>
      <c r="C86" s="510">
        <f>VLOOKUP(direct_cost,construction_mgt_table_cl,3)</f>
        <v>0.1</v>
      </c>
      <c r="E86" s="10" t="s">
        <v>535</v>
      </c>
    </row>
    <row r="87" spans="1:5">
      <c r="A87" s="154" t="s">
        <v>536</v>
      </c>
      <c r="C87" s="509">
        <f>IF(AND(design_type=1,ss_cat2=1),include_cm_pre,include_cm)*C86*direct_cost</f>
        <v>0</v>
      </c>
    </row>
    <row r="88" spans="1:5">
      <c r="A88" s="154" t="s">
        <v>537</v>
      </c>
      <c r="B88" s="3" t="s">
        <v>538</v>
      </c>
      <c r="C88" s="18">
        <f>SUM(C84:C85,C87)</f>
        <v>1953.880791292404</v>
      </c>
    </row>
  </sheetData>
  <phoneticPr fontId="0" type="noConversion"/>
  <pageMargins left="0.75" right="0.75" top="1" bottom="1" header="0.5" footer="0.5"/>
  <headerFooter alignWithMargins="0"/>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L72"/>
  <sheetViews>
    <sheetView workbookViewId="0"/>
  </sheetViews>
  <sheetFormatPr baseColWidth="10" defaultColWidth="9.1640625" defaultRowHeight="13"/>
  <cols>
    <col min="1" max="1" width="24.5" style="537" customWidth="1"/>
    <col min="2" max="2" width="52" style="564" customWidth="1"/>
    <col min="3" max="3" width="14" style="537" customWidth="1"/>
    <col min="4" max="4" width="15.6640625" style="537" customWidth="1"/>
    <col min="5" max="5" width="13.5" style="537" customWidth="1"/>
    <col min="6" max="6" width="10.5" style="537" customWidth="1"/>
    <col min="7" max="7" width="13.83203125" style="537" customWidth="1"/>
    <col min="8" max="10" width="15.1640625" style="537" customWidth="1"/>
    <col min="11" max="11" width="14.6640625" style="537" customWidth="1"/>
    <col min="12" max="12" width="15.5" style="537" customWidth="1"/>
    <col min="13" max="16384" width="9.1640625" style="537"/>
  </cols>
  <sheetData>
    <row r="1" spans="1:10">
      <c r="A1" s="1" t="s">
        <v>3505</v>
      </c>
    </row>
    <row r="2" spans="1:10">
      <c r="A2" s="1"/>
    </row>
    <row r="3" spans="1:10">
      <c r="A3" s="2" t="s">
        <v>3506</v>
      </c>
    </row>
    <row r="4" spans="1:10" ht="30">
      <c r="A4" s="1028" t="s">
        <v>293</v>
      </c>
      <c r="B4" s="1030" t="s">
        <v>3548</v>
      </c>
      <c r="C4" s="1028" t="s">
        <v>3523</v>
      </c>
      <c r="D4" s="1028" t="s">
        <v>3521</v>
      </c>
      <c r="E4" s="1028" t="s">
        <v>3517</v>
      </c>
      <c r="F4" s="1028" t="s">
        <v>3518</v>
      </c>
      <c r="G4" s="1028" t="s">
        <v>3519</v>
      </c>
      <c r="H4" s="1028" t="s">
        <v>3520</v>
      </c>
      <c r="I4" s="1028" t="s">
        <v>3524</v>
      </c>
      <c r="J4" s="1028" t="s">
        <v>3522</v>
      </c>
    </row>
    <row r="5" spans="1:10">
      <c r="A5" s="537" t="s">
        <v>1490</v>
      </c>
      <c r="B5" s="564" t="s">
        <v>1334</v>
      </c>
      <c r="C5" s="1024">
        <v>823</v>
      </c>
      <c r="D5" s="772">
        <v>0.37</v>
      </c>
      <c r="E5" s="537">
        <v>167.85</v>
      </c>
      <c r="F5" s="1021">
        <v>1.59</v>
      </c>
      <c r="G5" s="537">
        <v>0.53300000000000003</v>
      </c>
      <c r="H5" s="1024">
        <v>2900</v>
      </c>
      <c r="I5" s="1024">
        <f>1000000*F5*0.808*EXP((F5*-0.075*1.987*298*LN(H5*1000))/E5)</f>
        <v>2455.9030966117425</v>
      </c>
      <c r="J5" s="772">
        <f>0.075*1.987*298*F5/E5</f>
        <v>0.42067932975871314</v>
      </c>
    </row>
    <row r="6" spans="1:10">
      <c r="A6" s="537" t="s">
        <v>1845</v>
      </c>
      <c r="B6" s="564" t="s">
        <v>1846</v>
      </c>
      <c r="C6" s="1024">
        <v>64.599999999999994</v>
      </c>
      <c r="D6" s="537">
        <v>0.71</v>
      </c>
      <c r="E6" s="537">
        <v>98.96</v>
      </c>
      <c r="F6" s="1021">
        <v>1.17</v>
      </c>
      <c r="G6" s="537">
        <v>31.2</v>
      </c>
      <c r="H6" s="1024">
        <v>5500</v>
      </c>
      <c r="I6" s="1024">
        <f>1000000*F6*0.808*EXP((F6*-0.075*1.987*298*LN(H6*1000))/E6)</f>
        <v>273.25140410299252</v>
      </c>
      <c r="J6" s="772">
        <f>0.075*1.987*298*F6/E6</f>
        <v>0.52505109640258685</v>
      </c>
    </row>
    <row r="7" spans="1:10">
      <c r="A7" s="537" t="s">
        <v>3525</v>
      </c>
      <c r="B7" s="564" t="s">
        <v>3082</v>
      </c>
      <c r="C7" s="1024">
        <v>2670</v>
      </c>
      <c r="D7" s="537">
        <v>0.37</v>
      </c>
      <c r="E7" s="537">
        <v>110.97</v>
      </c>
      <c r="F7" s="772">
        <v>1.1863999999999999</v>
      </c>
      <c r="G7" s="1022"/>
      <c r="H7" s="1024"/>
      <c r="I7" s="1024"/>
      <c r="J7" s="772"/>
    </row>
    <row r="8" spans="1:10">
      <c r="A8" s="537" t="s">
        <v>1335</v>
      </c>
      <c r="B8" s="564" t="s">
        <v>1336</v>
      </c>
      <c r="C8" s="674"/>
      <c r="D8" s="674"/>
      <c r="E8" s="537">
        <v>120.19</v>
      </c>
      <c r="F8" s="537">
        <v>0.872</v>
      </c>
      <c r="G8" s="537">
        <v>0.13300000000000001</v>
      </c>
      <c r="H8" s="1024">
        <v>57</v>
      </c>
      <c r="I8" s="1024">
        <f>1000000*F8*0.808*EXP((F8*-0.075*1.987*298*LN(H8*1000))/E8)</f>
        <v>20681.974331041438</v>
      </c>
      <c r="J8" s="772">
        <f>0.075*1.987*298*F8/E8</f>
        <v>0.32219852233962892</v>
      </c>
    </row>
    <row r="9" spans="1:10">
      <c r="A9" s="537" t="s">
        <v>3526</v>
      </c>
      <c r="B9" s="564" t="s">
        <v>3087</v>
      </c>
      <c r="C9" s="1024">
        <v>16</v>
      </c>
      <c r="D9" s="786">
        <v>2</v>
      </c>
      <c r="E9" s="537">
        <v>184.24</v>
      </c>
      <c r="F9" s="772"/>
      <c r="G9" s="1022">
        <v>5.74E-2</v>
      </c>
      <c r="H9" s="1024">
        <v>221</v>
      </c>
      <c r="I9" s="1024"/>
      <c r="J9" s="772"/>
    </row>
    <row r="10" spans="1:10">
      <c r="A10" s="537" t="s">
        <v>3527</v>
      </c>
      <c r="B10" s="564" t="s">
        <v>3083</v>
      </c>
      <c r="C10" s="1024">
        <v>987</v>
      </c>
      <c r="D10" s="772">
        <v>0.5</v>
      </c>
      <c r="E10" s="537">
        <v>112.99</v>
      </c>
      <c r="F10" s="772">
        <v>1.18</v>
      </c>
      <c r="G10" s="1022">
        <v>2.4300000000000002</v>
      </c>
      <c r="H10" s="1024">
        <v>2730</v>
      </c>
      <c r="I10" s="1024">
        <f t="shared" ref="I10:I18" si="0">1000000*F10*0.808*EXP((F10*-0.075*1.987*298*LN(H10*1000))/E10)</f>
        <v>986.94488035474217</v>
      </c>
      <c r="J10" s="772">
        <f t="shared" ref="J10:J18" si="1">0.075*1.987*298*F10/E10</f>
        <v>0.46378574210107087</v>
      </c>
    </row>
    <row r="11" spans="1:10">
      <c r="A11" s="537" t="s">
        <v>437</v>
      </c>
      <c r="B11" s="564" t="s">
        <v>438</v>
      </c>
      <c r="C11" s="674">
        <v>200</v>
      </c>
      <c r="D11" s="674">
        <v>0.69</v>
      </c>
      <c r="E11" s="537">
        <v>110.97</v>
      </c>
      <c r="F11" s="1021">
        <v>1.17</v>
      </c>
      <c r="G11" s="537">
        <v>5.3</v>
      </c>
      <c r="H11" s="1024">
        <v>2700</v>
      </c>
      <c r="I11" s="1024">
        <f t="shared" si="0"/>
        <v>921.01030870696457</v>
      </c>
      <c r="J11" s="772">
        <f t="shared" si="1"/>
        <v>0.46822615571776149</v>
      </c>
    </row>
    <row r="12" spans="1:10">
      <c r="A12" s="537" t="s">
        <v>2254</v>
      </c>
      <c r="B12" s="564" t="s">
        <v>436</v>
      </c>
      <c r="C12" s="674"/>
      <c r="D12" s="674"/>
      <c r="E12" s="537">
        <v>112.99</v>
      </c>
      <c r="F12" s="1021">
        <v>1.1135999999999999</v>
      </c>
      <c r="G12" s="537">
        <v>7</v>
      </c>
      <c r="H12" s="1024">
        <v>2500</v>
      </c>
      <c r="I12" s="1024">
        <f t="shared" si="0"/>
        <v>1425.0799188415399</v>
      </c>
      <c r="J12" s="772">
        <f t="shared" si="1"/>
        <v>0.43768796813877331</v>
      </c>
    </row>
    <row r="13" spans="1:10">
      <c r="A13" s="537" t="s">
        <v>3528</v>
      </c>
      <c r="B13" s="564" t="s">
        <v>2620</v>
      </c>
      <c r="C13" s="1024">
        <v>9780</v>
      </c>
      <c r="D13" s="537">
        <v>0.4</v>
      </c>
      <c r="E13" s="537">
        <v>197.45</v>
      </c>
      <c r="F13" s="772">
        <v>1.38</v>
      </c>
      <c r="G13" s="1022">
        <v>1.6000000000000001E-3</v>
      </c>
      <c r="H13" s="1024">
        <v>800</v>
      </c>
      <c r="I13" s="1024">
        <f t="shared" si="0"/>
        <v>16408.698293906709</v>
      </c>
      <c r="J13" s="772">
        <f t="shared" si="1"/>
        <v>0.31038258293238791</v>
      </c>
    </row>
    <row r="14" spans="1:10">
      <c r="A14" s="537" t="s">
        <v>3529</v>
      </c>
      <c r="B14" s="564" t="s">
        <v>3081</v>
      </c>
      <c r="C14" s="1024">
        <v>55700</v>
      </c>
      <c r="D14" s="537">
        <v>0.15</v>
      </c>
      <c r="E14" s="772">
        <v>163</v>
      </c>
      <c r="F14" s="772">
        <v>1.29</v>
      </c>
      <c r="G14" s="1022">
        <v>0.13</v>
      </c>
      <c r="H14" s="1024">
        <v>4500</v>
      </c>
      <c r="I14" s="1024">
        <f t="shared" si="0"/>
        <v>4782.4937258626151</v>
      </c>
      <c r="J14" s="772">
        <f t="shared" si="1"/>
        <v>0.35146129141104293</v>
      </c>
    </row>
    <row r="15" spans="1:10">
      <c r="A15" s="537" t="s">
        <v>3530</v>
      </c>
      <c r="B15" s="564" t="s">
        <v>3084</v>
      </c>
      <c r="C15" s="1024">
        <v>485</v>
      </c>
      <c r="D15" s="537">
        <v>0.61</v>
      </c>
      <c r="E15" s="537">
        <v>184.11</v>
      </c>
      <c r="F15" s="772">
        <v>1.38</v>
      </c>
      <c r="G15" s="1022">
        <v>1.9999999999999999E-6</v>
      </c>
      <c r="H15" s="1024">
        <v>5600</v>
      </c>
      <c r="I15" s="1024">
        <f t="shared" si="0"/>
        <v>6324.2414507646818</v>
      </c>
      <c r="J15" s="772">
        <f t="shared" si="1"/>
        <v>0.33287187550920638</v>
      </c>
    </row>
    <row r="16" spans="1:10">
      <c r="A16" s="537" t="s">
        <v>3531</v>
      </c>
      <c r="B16" s="564" t="s">
        <v>3085</v>
      </c>
      <c r="C16" s="1024">
        <v>17200</v>
      </c>
      <c r="D16" s="537">
        <v>0.31</v>
      </c>
      <c r="E16" s="537">
        <v>182.14</v>
      </c>
      <c r="F16" s="772">
        <v>1.25</v>
      </c>
      <c r="G16" s="1022">
        <v>1.7000000000000001E-4</v>
      </c>
      <c r="H16" s="1024">
        <v>270</v>
      </c>
      <c r="I16" s="1024">
        <f t="shared" si="0"/>
        <v>22334.420035838815</v>
      </c>
      <c r="J16" s="772">
        <f t="shared" si="1"/>
        <v>0.30477551608652687</v>
      </c>
    </row>
    <row r="17" spans="1:10">
      <c r="A17" s="537" t="s">
        <v>3532</v>
      </c>
      <c r="B17" s="564" t="s">
        <v>3086</v>
      </c>
      <c r="C17" s="1024">
        <v>15900</v>
      </c>
      <c r="D17" s="537">
        <v>0.32</v>
      </c>
      <c r="E17" s="537">
        <v>182.14</v>
      </c>
      <c r="F17" s="772">
        <v>1.25</v>
      </c>
      <c r="G17" s="1022">
        <v>0.8</v>
      </c>
      <c r="H17" s="1024">
        <v>270</v>
      </c>
      <c r="I17" s="1024">
        <f t="shared" si="0"/>
        <v>22334.420035838815</v>
      </c>
      <c r="J17" s="772">
        <f t="shared" si="1"/>
        <v>0.30477551608652687</v>
      </c>
    </row>
    <row r="18" spans="1:10">
      <c r="A18" s="537" t="s">
        <v>3533</v>
      </c>
      <c r="B18" s="564" t="s">
        <v>2914</v>
      </c>
      <c r="C18" s="1024">
        <v>20000</v>
      </c>
      <c r="D18" s="537">
        <v>0.19</v>
      </c>
      <c r="E18" s="537">
        <v>108.13</v>
      </c>
      <c r="F18" s="772">
        <v>1.0409999999999999</v>
      </c>
      <c r="G18" s="1022">
        <v>3.2500000000000001E-2</v>
      </c>
      <c r="H18" s="1024">
        <v>31000</v>
      </c>
      <c r="I18" s="1024">
        <f t="shared" si="0"/>
        <v>527.20794527928149</v>
      </c>
      <c r="J18" s="772">
        <f t="shared" si="1"/>
        <v>0.42754311893091645</v>
      </c>
    </row>
    <row r="19" spans="1:10">
      <c r="A19" s="537" t="s">
        <v>1337</v>
      </c>
      <c r="B19" s="564" t="s">
        <v>1338</v>
      </c>
      <c r="C19" s="1024"/>
      <c r="E19" s="537">
        <v>269.77</v>
      </c>
      <c r="F19" s="772">
        <v>1.1100000000000001</v>
      </c>
      <c r="G19" s="1022"/>
      <c r="H19" s="1023"/>
      <c r="I19" s="1024"/>
      <c r="J19" s="772"/>
    </row>
    <row r="20" spans="1:10">
      <c r="A20" s="537" t="s">
        <v>3507</v>
      </c>
      <c r="B20" s="564" t="s">
        <v>1842</v>
      </c>
      <c r="C20" s="1024">
        <v>1131</v>
      </c>
      <c r="D20" s="537">
        <v>0.92</v>
      </c>
      <c r="E20" s="537">
        <v>364.91</v>
      </c>
      <c r="F20" s="1021">
        <v>1.48</v>
      </c>
      <c r="G20" s="1022">
        <v>3.0699999999999998E-6</v>
      </c>
      <c r="H20" s="1023">
        <v>1.7000000000000001E-2</v>
      </c>
      <c r="I20" s="1024">
        <f>1000000*F20*0.808*EXP((F20*-0.075*1.987*298*LN(H20*1000))/E20)</f>
        <v>717876.97204479342</v>
      </c>
      <c r="J20" s="772">
        <f>0.075*1.987*298*F20/E20</f>
        <v>0.18011560658792575</v>
      </c>
    </row>
    <row r="21" spans="1:10">
      <c r="A21" s="537" t="s">
        <v>1493</v>
      </c>
      <c r="C21" s="1024">
        <v>38700</v>
      </c>
      <c r="D21" s="537">
        <v>0.29099999999999998</v>
      </c>
      <c r="F21" s="1021"/>
      <c r="G21" s="1022"/>
      <c r="H21" s="1023"/>
      <c r="I21" s="1024"/>
      <c r="J21" s="772"/>
    </row>
    <row r="22" spans="1:10">
      <c r="A22" s="537" t="s">
        <v>3508</v>
      </c>
      <c r="B22" s="564" t="s">
        <v>1843</v>
      </c>
      <c r="C22" s="1024">
        <v>17200</v>
      </c>
      <c r="D22" s="537">
        <v>0.36</v>
      </c>
      <c r="E22" s="537">
        <v>157.01</v>
      </c>
      <c r="F22" s="537">
        <v>1.4950000000000001</v>
      </c>
      <c r="G22" s="1021">
        <v>0.44</v>
      </c>
      <c r="H22" s="1024">
        <v>450</v>
      </c>
      <c r="I22" s="1024">
        <f>1000000*F22*0.808*EXP((F22*-0.075*1.987*298*LN(H22*1000))/E22)</f>
        <v>4915.5879003665823</v>
      </c>
      <c r="J22" s="772">
        <f>0.075*1.987*298*F22/E22</f>
        <v>0.42285286128272087</v>
      </c>
    </row>
    <row r="23" spans="1:10">
      <c r="A23" s="537" t="s">
        <v>281</v>
      </c>
      <c r="B23" s="564" t="s">
        <v>1844</v>
      </c>
      <c r="C23" s="1024">
        <v>102000</v>
      </c>
      <c r="D23" s="537">
        <v>0.13</v>
      </c>
      <c r="E23" s="537">
        <v>240.68</v>
      </c>
      <c r="F23" s="1021">
        <v>0.45</v>
      </c>
      <c r="G23" s="1022">
        <v>2.1E-10</v>
      </c>
      <c r="H23" s="1024">
        <v>171</v>
      </c>
      <c r="I23" s="1024">
        <f>1000000*F23*0.808*EXP((F23*-0.075*1.987*298*LN(H23*1000))/E23)</f>
        <v>133695.05176807143</v>
      </c>
      <c r="J23" s="772">
        <f>0.075*1.987*298*F23/E23</f>
        <v>8.3032460113013129E-2</v>
      </c>
    </row>
    <row r="24" spans="1:10">
      <c r="A24" s="537" t="s">
        <v>1339</v>
      </c>
      <c r="B24" s="564" t="s">
        <v>1340</v>
      </c>
      <c r="C24" s="1024">
        <v>18000</v>
      </c>
      <c r="D24" s="537">
        <v>0.37</v>
      </c>
      <c r="E24" s="537">
        <v>318.02999999999997</v>
      </c>
      <c r="F24" s="1021"/>
      <c r="G24" s="1022">
        <v>8.6000000000000002E-7</v>
      </c>
      <c r="H24" s="1023">
        <v>0.04</v>
      </c>
      <c r="I24" s="1024"/>
      <c r="J24" s="772"/>
    </row>
    <row r="25" spans="1:10">
      <c r="A25" s="537" t="s">
        <v>3509</v>
      </c>
      <c r="C25" s="1027">
        <v>33100</v>
      </c>
      <c r="D25" s="674">
        <v>0.22</v>
      </c>
      <c r="E25" s="1025">
        <v>187.5</v>
      </c>
      <c r="F25" s="674"/>
      <c r="G25" s="674"/>
      <c r="H25" s="674"/>
      <c r="I25" s="674"/>
      <c r="J25" s="674"/>
    </row>
    <row r="26" spans="1:10">
      <c r="A26" s="537" t="s">
        <v>1341</v>
      </c>
      <c r="B26" s="564" t="s">
        <v>3080</v>
      </c>
      <c r="C26" s="1024">
        <v>4850</v>
      </c>
      <c r="D26" s="537">
        <v>0.49</v>
      </c>
      <c r="E26" s="537">
        <v>304.36</v>
      </c>
      <c r="F26" s="772">
        <v>1.1160000000000001</v>
      </c>
      <c r="G26" s="1022">
        <v>1.9000000000000001E-5</v>
      </c>
      <c r="H26" s="1024">
        <v>40</v>
      </c>
      <c r="I26" s="1024">
        <f>1000000*F26*0.808*EXP((F26*-0.075*1.987*298*LN(H26*1000))/E26)</f>
        <v>160580.11854845157</v>
      </c>
      <c r="J26" s="772">
        <f>0.075*1.987*298*F26/E26</f>
        <v>0.16283659547903798</v>
      </c>
    </row>
    <row r="27" spans="1:10">
      <c r="A27" s="537" t="s">
        <v>3510</v>
      </c>
      <c r="B27" s="564" t="s">
        <v>439</v>
      </c>
      <c r="C27" s="1024">
        <v>17884</v>
      </c>
      <c r="D27" s="537">
        <v>0.51</v>
      </c>
      <c r="E27" s="537">
        <v>380.93</v>
      </c>
      <c r="F27" s="1021">
        <v>1.5</v>
      </c>
      <c r="G27" s="1022">
        <v>2.4E-8</v>
      </c>
      <c r="H27" s="1023">
        <v>0.186</v>
      </c>
      <c r="I27" s="1024">
        <f>1000000*F27*0.808*EXP((F27*-0.075*1.987*298*LN(H27*1000))/E27)</f>
        <v>485989.91350054042</v>
      </c>
      <c r="J27" s="772">
        <f>0.075*1.987*298*F27/E27</f>
        <v>0.1748724831333841</v>
      </c>
    </row>
    <row r="28" spans="1:10">
      <c r="A28" s="537" t="s">
        <v>3088</v>
      </c>
      <c r="B28" s="564" t="s">
        <v>3089</v>
      </c>
      <c r="C28" s="1024">
        <v>18500</v>
      </c>
      <c r="D28" s="537">
        <v>0.28999999999999998</v>
      </c>
      <c r="E28" s="537">
        <v>274.38</v>
      </c>
      <c r="F28" s="772">
        <v>1.1399999999999999</v>
      </c>
      <c r="G28" s="1022">
        <v>2.4000000000000001E-5</v>
      </c>
      <c r="H28" s="1024">
        <v>25</v>
      </c>
      <c r="I28" s="1024">
        <f>1000000*F28*0.808*EXP((F28*-0.075*1.987*298*LN(H28*1000))/E28)</f>
        <v>142179.69150443247</v>
      </c>
      <c r="J28" s="772">
        <f>0.075*1.987*298*F28/E28</f>
        <v>0.18451335009840364</v>
      </c>
    </row>
    <row r="29" spans="1:10">
      <c r="A29" s="537" t="s">
        <v>2906</v>
      </c>
      <c r="B29" s="564" t="s">
        <v>2907</v>
      </c>
      <c r="C29" s="1024"/>
      <c r="E29" s="772">
        <v>233.1</v>
      </c>
      <c r="F29" s="772"/>
      <c r="G29" s="1022">
        <v>4.0999999999999999E-7</v>
      </c>
      <c r="H29" s="1024">
        <v>42</v>
      </c>
      <c r="I29" s="1024"/>
      <c r="J29" s="772"/>
    </row>
    <row r="30" spans="1:10">
      <c r="A30" s="537" t="s">
        <v>2908</v>
      </c>
      <c r="B30" s="564" t="s">
        <v>2909</v>
      </c>
      <c r="C30" s="1024">
        <v>4860</v>
      </c>
      <c r="D30" s="537">
        <v>0.38</v>
      </c>
      <c r="E30" s="537">
        <v>189.31</v>
      </c>
      <c r="F30" s="772">
        <v>0.96</v>
      </c>
      <c r="G30" s="1022">
        <v>4.7000000000000002E-3</v>
      </c>
      <c r="H30" s="1024">
        <v>365</v>
      </c>
      <c r="I30" s="1024">
        <f>1000000*F30*0.808*EXP((F30*-0.075*1.987*298*LN(H30*1000))/E30)</f>
        <v>43355.153186431948</v>
      </c>
      <c r="J30" s="772">
        <f>0.075*1.987*298*F30/E30</f>
        <v>0.22520242987692143</v>
      </c>
    </row>
    <row r="31" spans="1:10">
      <c r="A31" s="537" t="s">
        <v>2910</v>
      </c>
      <c r="B31" s="564" t="s">
        <v>2911</v>
      </c>
      <c r="C31" s="1024"/>
      <c r="E31" s="537">
        <v>246.32</v>
      </c>
      <c r="F31" s="772">
        <v>1.1599999999999999</v>
      </c>
      <c r="G31" s="1022">
        <v>2.8E-5</v>
      </c>
      <c r="H31" s="1024">
        <v>13</v>
      </c>
      <c r="I31" s="1024">
        <f>1000000*F31*0.808*EXP((F31*-0.075*1.987*298*LN(H31*1000))/E31)</f>
        <v>129266.49245074927</v>
      </c>
      <c r="J31" s="772">
        <f>0.075*1.987*298*F31/E31</f>
        <v>0.20913836472880803</v>
      </c>
    </row>
    <row r="32" spans="1:10">
      <c r="A32" s="537" t="s">
        <v>3512</v>
      </c>
      <c r="B32" s="564" t="s">
        <v>2903</v>
      </c>
      <c r="C32" s="1024">
        <v>11524</v>
      </c>
      <c r="D32" s="537">
        <v>0.45</v>
      </c>
      <c r="E32" s="537">
        <v>260.76</v>
      </c>
      <c r="F32" s="1021">
        <v>1.68</v>
      </c>
      <c r="G32" s="1021">
        <v>0.02</v>
      </c>
      <c r="H32" s="1024">
        <v>2</v>
      </c>
      <c r="I32" s="1024">
        <f>1000000*F32*0.808*EXP((F32*-0.075*1.987*298*LN(H32*1000))/E32)</f>
        <v>154255.17883922992</v>
      </c>
      <c r="J32" s="772">
        <f>0.075*1.987*298*F32/E32</f>
        <v>0.28611702715140358</v>
      </c>
    </row>
    <row r="33" spans="1:10">
      <c r="A33" s="537" t="s">
        <v>2912</v>
      </c>
      <c r="B33" s="564" t="s">
        <v>2913</v>
      </c>
      <c r="C33" s="1024"/>
      <c r="E33" s="537">
        <v>249.11</v>
      </c>
      <c r="F33" s="772"/>
      <c r="G33" s="1022">
        <v>1.9999999999999999E-6</v>
      </c>
      <c r="H33" s="1024">
        <v>81</v>
      </c>
      <c r="I33" s="1024"/>
      <c r="J33" s="772"/>
    </row>
    <row r="34" spans="1:10">
      <c r="A34" s="537" t="s">
        <v>2917</v>
      </c>
      <c r="B34" s="564" t="s">
        <v>2918</v>
      </c>
      <c r="C34" s="1024"/>
      <c r="E34" s="537">
        <v>94.96</v>
      </c>
      <c r="F34" s="772">
        <v>1.66</v>
      </c>
      <c r="G34" s="1022">
        <v>190</v>
      </c>
      <c r="H34" s="1024">
        <v>17500</v>
      </c>
      <c r="I34" s="1024">
        <f t="shared" ref="I34:I45" si="2">1000000*F34*0.808*EXP((F34*-0.075*1.987*298*LN(H34*1000))/E34)</f>
        <v>3.1957899947270727</v>
      </c>
      <c r="J34" s="772">
        <f t="shared" ref="J34:J45" si="3">0.075*1.987*298*F34/E34</f>
        <v>0.77632357834877841</v>
      </c>
    </row>
    <row r="35" spans="1:10">
      <c r="A35" s="537" t="s">
        <v>3513</v>
      </c>
      <c r="B35" s="564" t="s">
        <v>1622</v>
      </c>
      <c r="C35" s="1024">
        <v>218</v>
      </c>
      <c r="D35" s="537">
        <v>0.48</v>
      </c>
      <c r="E35" s="537">
        <v>88.15</v>
      </c>
      <c r="F35" s="537">
        <v>0.73499999999999999</v>
      </c>
      <c r="G35" s="537">
        <v>32.700000000000003</v>
      </c>
      <c r="H35" s="1024">
        <v>48000</v>
      </c>
      <c r="I35" s="1024">
        <f t="shared" si="2"/>
        <v>850.00629611502495</v>
      </c>
      <c r="J35" s="772">
        <f t="shared" si="3"/>
        <v>0.37028866420873507</v>
      </c>
    </row>
    <row r="36" spans="1:10">
      <c r="A36" s="537" t="s">
        <v>3514</v>
      </c>
      <c r="B36" s="564" t="s">
        <v>1487</v>
      </c>
      <c r="C36" s="1024">
        <v>98200</v>
      </c>
      <c r="D36" s="772">
        <v>0.125</v>
      </c>
      <c r="E36" s="537">
        <v>283.81</v>
      </c>
      <c r="F36" s="537">
        <v>1.085</v>
      </c>
      <c r="G36" s="1022">
        <v>1.7E-6</v>
      </c>
      <c r="H36" s="1024">
        <v>530</v>
      </c>
      <c r="I36" s="1024">
        <f t="shared" si="2"/>
        <v>93539.250055687793</v>
      </c>
      <c r="J36" s="772">
        <f t="shared" si="3"/>
        <v>0.1697764463901906</v>
      </c>
    </row>
    <row r="37" spans="1:10">
      <c r="A37" s="537" t="s">
        <v>3515</v>
      </c>
      <c r="B37" s="564" t="s">
        <v>1488</v>
      </c>
      <c r="C37" s="1024">
        <v>48700</v>
      </c>
      <c r="D37" s="537">
        <v>0.19</v>
      </c>
      <c r="E37" s="537">
        <v>214.28</v>
      </c>
      <c r="F37" s="1021">
        <v>1.28</v>
      </c>
      <c r="G37" s="1022">
        <v>9.9999999999999995E-7</v>
      </c>
      <c r="H37" s="1024">
        <v>1200</v>
      </c>
      <c r="I37" s="1024">
        <f t="shared" si="2"/>
        <v>25231.265560273067</v>
      </c>
      <c r="J37" s="772">
        <f t="shared" si="3"/>
        <v>0.26527952212058986</v>
      </c>
    </row>
    <row r="38" spans="1:10">
      <c r="A38" s="537" t="s">
        <v>2915</v>
      </c>
      <c r="B38" s="564" t="s">
        <v>2916</v>
      </c>
      <c r="C38" s="1024"/>
      <c r="E38" s="537">
        <v>187.33</v>
      </c>
      <c r="F38" s="772">
        <v>1.0640000000000001</v>
      </c>
      <c r="G38" s="1022">
        <v>7.5000000000000002E-4</v>
      </c>
      <c r="H38" s="1024">
        <v>880</v>
      </c>
      <c r="I38" s="1024">
        <f t="shared" si="2"/>
        <v>27222.713727284874</v>
      </c>
      <c r="J38" s="772">
        <f t="shared" si="3"/>
        <v>0.2522375209523301</v>
      </c>
    </row>
    <row r="39" spans="1:10">
      <c r="A39" s="537" t="s">
        <v>3516</v>
      </c>
      <c r="B39" s="564" t="s">
        <v>1489</v>
      </c>
      <c r="C39" s="1024">
        <v>14206</v>
      </c>
      <c r="D39" s="537">
        <v>0.43</v>
      </c>
      <c r="E39" s="537">
        <v>128.16999999999999</v>
      </c>
      <c r="F39" s="537">
        <v>0.96299999999999997</v>
      </c>
      <c r="G39" s="1021">
        <v>1.09E-2</v>
      </c>
      <c r="H39" s="1024">
        <v>30</v>
      </c>
      <c r="I39" s="1024">
        <f t="shared" si="2"/>
        <v>24955.312373869197</v>
      </c>
      <c r="J39" s="772">
        <f t="shared" si="3"/>
        <v>0.33366856791760946</v>
      </c>
    </row>
    <row r="40" spans="1:10">
      <c r="A40" s="537" t="s">
        <v>2919</v>
      </c>
      <c r="B40" s="564" t="s">
        <v>2920</v>
      </c>
      <c r="C40" s="1024">
        <v>3490</v>
      </c>
      <c r="D40" s="537">
        <v>0.43</v>
      </c>
      <c r="E40" s="537">
        <v>123.11</v>
      </c>
      <c r="F40" s="772">
        <v>1.2</v>
      </c>
      <c r="G40" s="1022">
        <v>0.02</v>
      </c>
      <c r="H40" s="1024">
        <v>1900</v>
      </c>
      <c r="I40" s="1024">
        <f t="shared" si="2"/>
        <v>1856.4023325961064</v>
      </c>
      <c r="J40" s="772">
        <f t="shared" si="3"/>
        <v>0.43287580212817806</v>
      </c>
    </row>
    <row r="41" spans="1:10">
      <c r="A41" s="537" t="s">
        <v>3511</v>
      </c>
      <c r="B41" s="564" t="s">
        <v>2902</v>
      </c>
      <c r="C41" s="1027">
        <v>54100</v>
      </c>
      <c r="D41" s="674">
        <v>0.22</v>
      </c>
      <c r="E41" s="537">
        <v>134.22</v>
      </c>
      <c r="F41" s="1021">
        <v>0.95169999999999999</v>
      </c>
      <c r="G41" s="537">
        <v>0.13300000000000001</v>
      </c>
      <c r="H41" s="1024">
        <v>340</v>
      </c>
      <c r="I41" s="1024">
        <f t="shared" si="2"/>
        <v>13934.987989380654</v>
      </c>
      <c r="J41" s="772">
        <f t="shared" si="3"/>
        <v>0.31488953632096556</v>
      </c>
    </row>
    <row r="42" spans="1:10">
      <c r="A42" s="537" t="s">
        <v>2921</v>
      </c>
      <c r="B42" s="564" t="s">
        <v>2922</v>
      </c>
      <c r="C42" s="1024">
        <v>20900</v>
      </c>
      <c r="D42" s="537">
        <v>0.27</v>
      </c>
      <c r="E42" s="537">
        <v>225.34</v>
      </c>
      <c r="F42" s="772">
        <v>1.01</v>
      </c>
      <c r="G42" s="1022">
        <v>3.1E-7</v>
      </c>
      <c r="H42" s="1024">
        <v>620</v>
      </c>
      <c r="I42" s="1024">
        <f t="shared" si="2"/>
        <v>57380.853128294752</v>
      </c>
      <c r="J42" s="772">
        <f t="shared" si="3"/>
        <v>0.19904830256501285</v>
      </c>
    </row>
    <row r="43" spans="1:10">
      <c r="A43" s="537" t="s">
        <v>2923</v>
      </c>
      <c r="B43" s="564" t="s">
        <v>2924</v>
      </c>
      <c r="C43" s="1024"/>
      <c r="E43" s="537">
        <v>222.26</v>
      </c>
      <c r="F43" s="772">
        <v>1.8160000000000001</v>
      </c>
      <c r="G43" s="1022"/>
      <c r="H43" s="1024">
        <v>60</v>
      </c>
      <c r="I43" s="1024">
        <f t="shared" si="2"/>
        <v>27087.182916090635</v>
      </c>
      <c r="J43" s="772">
        <f t="shared" si="3"/>
        <v>0.36285234050211462</v>
      </c>
    </row>
    <row r="44" spans="1:10">
      <c r="A44" s="537" t="s">
        <v>2925</v>
      </c>
      <c r="B44" s="564" t="s">
        <v>2926</v>
      </c>
      <c r="C44" s="1024"/>
      <c r="E44" s="537">
        <v>216.65</v>
      </c>
      <c r="F44" s="772">
        <v>1.34</v>
      </c>
      <c r="G44" s="1022">
        <v>6.2999999999999995E-8</v>
      </c>
      <c r="H44" s="1024">
        <v>710</v>
      </c>
      <c r="I44" s="1024">
        <f t="shared" si="2"/>
        <v>26749.336549348438</v>
      </c>
      <c r="J44" s="772">
        <f t="shared" si="3"/>
        <v>0.27467649665358873</v>
      </c>
    </row>
    <row r="45" spans="1:10">
      <c r="A45" s="537" t="s">
        <v>2927</v>
      </c>
      <c r="B45" s="564" t="s">
        <v>2928</v>
      </c>
      <c r="C45" s="1024">
        <v>4420</v>
      </c>
      <c r="D45" s="537">
        <v>0.7</v>
      </c>
      <c r="E45" s="537">
        <v>288.41000000000003</v>
      </c>
      <c r="F45" s="772">
        <v>1.1100000000000001</v>
      </c>
      <c r="G45" s="1022">
        <v>3.4999999999999997E-5</v>
      </c>
      <c r="H45" s="1024">
        <v>4.5</v>
      </c>
      <c r="I45" s="1024">
        <f t="shared" si="2"/>
        <v>212977.73021228565</v>
      </c>
      <c r="J45" s="772">
        <f t="shared" si="3"/>
        <v>0.17091810096737284</v>
      </c>
    </row>
    <row r="47" spans="1:10">
      <c r="A47" s="2" t="s">
        <v>3534</v>
      </c>
    </row>
    <row r="48" spans="1:10">
      <c r="A48" s="3" t="s">
        <v>3541</v>
      </c>
    </row>
    <row r="49" spans="1:10" ht="14.25" customHeight="1">
      <c r="A49" s="1180" t="s">
        <v>293</v>
      </c>
      <c r="C49" s="1182" t="s">
        <v>3540</v>
      </c>
      <c r="D49" s="1182"/>
      <c r="E49" s="1182"/>
      <c r="F49" s="1182"/>
      <c r="G49" s="1182"/>
      <c r="H49" s="1182"/>
      <c r="I49" s="1180" t="s">
        <v>3523</v>
      </c>
      <c r="J49" s="1180" t="s">
        <v>3521</v>
      </c>
    </row>
    <row r="50" spans="1:10" ht="42">
      <c r="A50" s="1181"/>
      <c r="B50" s="1031" t="s">
        <v>1492</v>
      </c>
      <c r="C50" s="1028" t="s">
        <v>2246</v>
      </c>
      <c r="D50" s="1028" t="s">
        <v>3535</v>
      </c>
      <c r="E50" s="1028" t="s">
        <v>3536</v>
      </c>
      <c r="F50" s="1028" t="s">
        <v>3537</v>
      </c>
      <c r="G50" s="1028" t="s">
        <v>3538</v>
      </c>
      <c r="H50" s="1028" t="s">
        <v>3539</v>
      </c>
      <c r="I50" s="1181"/>
      <c r="J50" s="1181"/>
    </row>
    <row r="51" spans="1:10">
      <c r="A51" s="537" t="s">
        <v>1493</v>
      </c>
      <c r="B51" s="564" t="s">
        <v>3098</v>
      </c>
      <c r="C51" s="537">
        <v>7.93</v>
      </c>
      <c r="D51" s="537">
        <v>240</v>
      </c>
      <c r="E51" s="537">
        <v>200</v>
      </c>
      <c r="F51" s="537">
        <v>2E-3</v>
      </c>
      <c r="G51" s="674" t="s">
        <v>276</v>
      </c>
      <c r="H51" s="537">
        <v>100.4</v>
      </c>
      <c r="I51" s="537">
        <v>19880</v>
      </c>
      <c r="J51" s="537">
        <v>0.72</v>
      </c>
    </row>
    <row r="52" spans="1:10">
      <c r="A52" s="537" t="s">
        <v>1493</v>
      </c>
      <c r="B52" s="564" t="s">
        <v>3098</v>
      </c>
      <c r="C52" s="537">
        <v>7.93</v>
      </c>
      <c r="D52" s="537">
        <v>240</v>
      </c>
      <c r="E52" s="537">
        <v>200</v>
      </c>
      <c r="F52" s="537">
        <v>2E-3</v>
      </c>
      <c r="G52" s="674" t="s">
        <v>276</v>
      </c>
      <c r="H52" s="537">
        <v>10.1</v>
      </c>
      <c r="I52" s="537">
        <v>5160</v>
      </c>
      <c r="J52" s="537">
        <v>0.49</v>
      </c>
    </row>
    <row r="53" spans="1:10">
      <c r="A53" s="537" t="s">
        <v>1493</v>
      </c>
      <c r="B53" s="564" t="s">
        <v>277</v>
      </c>
      <c r="C53" s="537">
        <v>8.17</v>
      </c>
      <c r="D53" s="537">
        <v>104</v>
      </c>
      <c r="E53" s="537">
        <v>144</v>
      </c>
      <c r="F53" s="537">
        <v>8.0000000000000002E-3</v>
      </c>
      <c r="G53" s="537">
        <v>0.65</v>
      </c>
      <c r="H53" s="537">
        <v>101.9</v>
      </c>
      <c r="I53" s="537">
        <v>14170</v>
      </c>
      <c r="J53" s="537">
        <v>0.64</v>
      </c>
    </row>
    <row r="54" spans="1:10">
      <c r="A54" s="537" t="s">
        <v>1493</v>
      </c>
      <c r="B54" s="564" t="s">
        <v>277</v>
      </c>
      <c r="C54" s="537">
        <v>8.17</v>
      </c>
      <c r="D54" s="537">
        <v>104</v>
      </c>
      <c r="E54" s="537">
        <v>144</v>
      </c>
      <c r="F54" s="537">
        <v>8.0000000000000002E-3</v>
      </c>
      <c r="G54" s="537">
        <v>0.65</v>
      </c>
      <c r="H54" s="537">
        <v>10</v>
      </c>
      <c r="I54" s="537">
        <v>7210</v>
      </c>
      <c r="J54" s="537">
        <v>0.63</v>
      </c>
    </row>
    <row r="55" spans="1:10">
      <c r="A55" s="537" t="s">
        <v>1493</v>
      </c>
      <c r="B55" s="1026" t="s">
        <v>278</v>
      </c>
      <c r="C55" s="537">
        <v>8.11</v>
      </c>
      <c r="D55" s="537">
        <v>2</v>
      </c>
      <c r="E55" s="537">
        <v>3</v>
      </c>
      <c r="F55" s="537">
        <v>0</v>
      </c>
      <c r="G55" s="674" t="s">
        <v>276</v>
      </c>
      <c r="H55" s="537">
        <v>102.7</v>
      </c>
      <c r="I55" s="537">
        <v>14650</v>
      </c>
      <c r="J55" s="537">
        <v>0.68</v>
      </c>
    </row>
    <row r="56" spans="1:10">
      <c r="A56" s="537" t="s">
        <v>1493</v>
      </c>
      <c r="B56" s="1026" t="s">
        <v>278</v>
      </c>
      <c r="C56" s="537">
        <v>8.11</v>
      </c>
      <c r="D56" s="537">
        <v>2</v>
      </c>
      <c r="E56" s="537">
        <v>3</v>
      </c>
      <c r="F56" s="537">
        <v>0</v>
      </c>
      <c r="G56" s="674" t="s">
        <v>276</v>
      </c>
      <c r="H56" s="537">
        <v>10.1</v>
      </c>
      <c r="I56" s="537">
        <v>6920</v>
      </c>
      <c r="J56" s="537">
        <v>0.62</v>
      </c>
    </row>
    <row r="57" spans="1:10">
      <c r="A57" s="537" t="s">
        <v>1493</v>
      </c>
      <c r="B57" s="564" t="s">
        <v>279</v>
      </c>
      <c r="C57" s="537">
        <v>7.75</v>
      </c>
      <c r="D57" s="537">
        <v>97</v>
      </c>
      <c r="E57" s="537">
        <v>134</v>
      </c>
      <c r="F57" s="537">
        <v>0.13900000000000001</v>
      </c>
      <c r="G57" s="537">
        <v>4.67</v>
      </c>
      <c r="H57" s="537">
        <v>100</v>
      </c>
      <c r="I57" s="537">
        <v>5550</v>
      </c>
      <c r="J57" s="537">
        <v>0.61</v>
      </c>
    </row>
    <row r="58" spans="1:10">
      <c r="A58" s="537" t="s">
        <v>1493</v>
      </c>
      <c r="B58" s="564" t="s">
        <v>279</v>
      </c>
      <c r="C58" s="537">
        <v>7.75</v>
      </c>
      <c r="D58" s="537">
        <v>97</v>
      </c>
      <c r="E58" s="537">
        <v>134</v>
      </c>
      <c r="F58" s="537">
        <v>0.13900000000000001</v>
      </c>
      <c r="G58" s="537">
        <v>4.67</v>
      </c>
      <c r="H58" s="537">
        <v>11.1</v>
      </c>
      <c r="I58" s="537">
        <v>2500</v>
      </c>
      <c r="J58" s="537">
        <v>0.57999999999999996</v>
      </c>
    </row>
    <row r="59" spans="1:10">
      <c r="A59" s="537" t="s">
        <v>1493</v>
      </c>
      <c r="B59" s="564" t="s">
        <v>280</v>
      </c>
      <c r="C59" s="537">
        <v>8.25</v>
      </c>
      <c r="D59" s="537">
        <v>74</v>
      </c>
      <c r="E59" s="537">
        <v>123</v>
      </c>
      <c r="F59" s="537">
        <v>5.6000000000000001E-2</v>
      </c>
      <c r="G59" s="537">
        <v>2.81</v>
      </c>
      <c r="H59" s="537">
        <v>101.2</v>
      </c>
      <c r="I59" s="537">
        <v>8420</v>
      </c>
      <c r="J59" s="537">
        <v>0.5</v>
      </c>
    </row>
    <row r="60" spans="1:10">
      <c r="A60" s="537" t="s">
        <v>1493</v>
      </c>
      <c r="B60" s="564" t="s">
        <v>280</v>
      </c>
      <c r="C60" s="537">
        <v>8.25</v>
      </c>
      <c r="D60" s="537">
        <v>74</v>
      </c>
      <c r="E60" s="537">
        <v>123</v>
      </c>
      <c r="F60" s="537">
        <v>5.6000000000000001E-2</v>
      </c>
      <c r="G60" s="537">
        <v>2.81</v>
      </c>
      <c r="H60" s="537">
        <v>11.1</v>
      </c>
      <c r="I60" s="537">
        <v>2870</v>
      </c>
      <c r="J60" s="537">
        <v>0.71</v>
      </c>
    </row>
    <row r="61" spans="1:10">
      <c r="A61" s="537" t="s">
        <v>281</v>
      </c>
      <c r="B61" s="564" t="s">
        <v>3098</v>
      </c>
      <c r="C61" s="537">
        <v>7.93</v>
      </c>
      <c r="D61" s="537">
        <v>240</v>
      </c>
      <c r="E61" s="537">
        <v>200</v>
      </c>
      <c r="F61" s="537">
        <v>2E-3</v>
      </c>
      <c r="G61" s="674" t="s">
        <v>276</v>
      </c>
      <c r="H61" s="537">
        <v>102.4</v>
      </c>
      <c r="I61" s="537">
        <v>2280</v>
      </c>
      <c r="J61" s="537">
        <v>1.83</v>
      </c>
    </row>
    <row r="62" spans="1:10">
      <c r="A62" s="537" t="s">
        <v>281</v>
      </c>
      <c r="B62" s="564" t="s">
        <v>3098</v>
      </c>
      <c r="C62" s="537">
        <v>7.93</v>
      </c>
      <c r="D62" s="537">
        <v>240</v>
      </c>
      <c r="E62" s="537">
        <v>200</v>
      </c>
      <c r="F62" s="537">
        <v>2E-3</v>
      </c>
      <c r="G62" s="674" t="s">
        <v>276</v>
      </c>
      <c r="H62" s="537">
        <v>10.199999999999999</v>
      </c>
      <c r="I62" s="537">
        <v>5110</v>
      </c>
      <c r="J62" s="537">
        <v>0.83</v>
      </c>
    </row>
    <row r="63" spans="1:10">
      <c r="A63" s="537" t="s">
        <v>281</v>
      </c>
      <c r="B63" s="564" t="s">
        <v>277</v>
      </c>
      <c r="C63" s="537">
        <v>8.17</v>
      </c>
      <c r="D63" s="537">
        <v>104</v>
      </c>
      <c r="E63" s="537">
        <v>144</v>
      </c>
      <c r="F63" s="537">
        <v>8.0000000000000002E-3</v>
      </c>
      <c r="G63" s="537">
        <v>0.65</v>
      </c>
      <c r="H63" s="537">
        <v>99.9</v>
      </c>
      <c r="I63" s="537">
        <v>2480</v>
      </c>
      <c r="J63" s="537">
        <v>1.48</v>
      </c>
    </row>
    <row r="64" spans="1:10">
      <c r="A64" s="537" t="s">
        <v>281</v>
      </c>
      <c r="B64" s="564" t="s">
        <v>277</v>
      </c>
      <c r="C64" s="537">
        <v>8.17</v>
      </c>
      <c r="D64" s="537">
        <v>104</v>
      </c>
      <c r="E64" s="537">
        <v>144</v>
      </c>
      <c r="F64" s="537">
        <v>8.0000000000000002E-3</v>
      </c>
      <c r="G64" s="537">
        <v>0.65</v>
      </c>
      <c r="H64" s="537">
        <v>10</v>
      </c>
      <c r="I64" s="537">
        <v>3840</v>
      </c>
      <c r="J64" s="537">
        <v>0.8</v>
      </c>
    </row>
    <row r="65" spans="1:12">
      <c r="A65" s="537" t="s">
        <v>281</v>
      </c>
      <c r="B65" s="564" t="s">
        <v>278</v>
      </c>
      <c r="C65" s="537">
        <v>8.11</v>
      </c>
      <c r="D65" s="537">
        <v>2</v>
      </c>
      <c r="E65" s="537">
        <v>3</v>
      </c>
      <c r="F65" s="537">
        <v>0</v>
      </c>
      <c r="G65" s="674" t="s">
        <v>276</v>
      </c>
      <c r="H65" s="537">
        <v>101.9</v>
      </c>
      <c r="I65" s="537">
        <v>3980</v>
      </c>
      <c r="J65" s="537">
        <v>1.66</v>
      </c>
    </row>
    <row r="66" spans="1:12">
      <c r="A66" s="537" t="s">
        <v>281</v>
      </c>
      <c r="B66" s="564" t="s">
        <v>278</v>
      </c>
      <c r="C66" s="537">
        <v>8.11</v>
      </c>
      <c r="D66" s="537">
        <v>2</v>
      </c>
      <c r="E66" s="537">
        <v>3</v>
      </c>
      <c r="F66" s="537">
        <v>0</v>
      </c>
      <c r="G66" s="674" t="s">
        <v>276</v>
      </c>
      <c r="H66" s="537">
        <v>9.9</v>
      </c>
      <c r="I66" s="537">
        <v>4450</v>
      </c>
      <c r="J66" s="537">
        <v>0.97</v>
      </c>
    </row>
    <row r="67" spans="1:12">
      <c r="A67" s="537" t="s">
        <v>281</v>
      </c>
      <c r="B67" s="564" t="s">
        <v>279</v>
      </c>
      <c r="C67" s="537">
        <v>7.75</v>
      </c>
      <c r="D67" s="537">
        <v>97</v>
      </c>
      <c r="E67" s="537">
        <v>134</v>
      </c>
      <c r="F67" s="537">
        <v>0.13900000000000001</v>
      </c>
      <c r="G67" s="537">
        <v>4.67</v>
      </c>
      <c r="H67" s="537">
        <v>100.4</v>
      </c>
      <c r="I67" s="537">
        <v>2260</v>
      </c>
      <c r="J67" s="537">
        <v>0.93</v>
      </c>
    </row>
    <row r="68" spans="1:12">
      <c r="A68" s="537" t="s">
        <v>281</v>
      </c>
      <c r="B68" s="564" t="s">
        <v>279</v>
      </c>
      <c r="C68" s="537">
        <v>7.75</v>
      </c>
      <c r="D68" s="537">
        <v>97</v>
      </c>
      <c r="E68" s="537">
        <v>134</v>
      </c>
      <c r="F68" s="537">
        <v>0.13900000000000001</v>
      </c>
      <c r="G68" s="537">
        <v>4.67</v>
      </c>
      <c r="H68" s="537">
        <v>10</v>
      </c>
      <c r="I68" s="537">
        <v>1700</v>
      </c>
      <c r="J68" s="537">
        <v>0.59</v>
      </c>
    </row>
    <row r="69" spans="1:12">
      <c r="A69" s="537" t="s">
        <v>281</v>
      </c>
      <c r="B69" s="564" t="s">
        <v>280</v>
      </c>
      <c r="C69" s="537">
        <v>8.25</v>
      </c>
      <c r="D69" s="537">
        <v>74</v>
      </c>
      <c r="E69" s="537">
        <v>123</v>
      </c>
      <c r="F69" s="537">
        <v>5.6000000000000001E-2</v>
      </c>
      <c r="G69" s="537">
        <v>2.81</v>
      </c>
      <c r="H69" s="537">
        <v>99.5</v>
      </c>
      <c r="I69" s="537">
        <v>3300</v>
      </c>
      <c r="J69" s="537">
        <v>0.8</v>
      </c>
    </row>
    <row r="70" spans="1:12">
      <c r="A70" s="537" t="s">
        <v>281</v>
      </c>
      <c r="B70" s="564" t="s">
        <v>280</v>
      </c>
      <c r="C70" s="537">
        <v>8.25</v>
      </c>
      <c r="D70" s="537">
        <v>74</v>
      </c>
      <c r="E70" s="537">
        <v>123</v>
      </c>
      <c r="F70" s="537">
        <v>5.6000000000000001E-2</v>
      </c>
      <c r="G70" s="537">
        <v>2.81</v>
      </c>
      <c r="H70" s="537">
        <v>10.1</v>
      </c>
      <c r="I70" s="537">
        <v>1860</v>
      </c>
      <c r="J70" s="537">
        <v>0.57999999999999996</v>
      </c>
    </row>
    <row r="71" spans="1:12">
      <c r="A71" s="3" t="s">
        <v>3542</v>
      </c>
    </row>
    <row r="72" spans="1:12">
      <c r="K72" s="1020"/>
      <c r="L72" s="1020"/>
    </row>
  </sheetData>
  <sortState xmlns:xlrd2="http://schemas.microsoft.com/office/spreadsheetml/2017/richdata2" ref="A5:J45">
    <sortCondition ref="A5:A45"/>
  </sortState>
  <mergeCells count="4">
    <mergeCell ref="A49:A50"/>
    <mergeCell ref="C49:H49"/>
    <mergeCell ref="I49:I50"/>
    <mergeCell ref="J49:J50"/>
  </mergeCells>
  <phoneticPr fontId="0" type="noConversion"/>
  <pageMargins left="0.75" right="0.75" top="1" bottom="1" header="0.5" footer="0.5"/>
  <pageSetup orientation="landscape"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pageSetUpPr fitToPage="1"/>
  </sheetPr>
  <dimension ref="A1:AY299"/>
  <sheetViews>
    <sheetView zoomScale="75" zoomScaleNormal="75" workbookViewId="0">
      <pane xSplit="3" ySplit="7" topLeftCell="D20" activePane="bottomRight" state="frozen"/>
      <selection pane="topRight" activeCell="D1" sqref="D1"/>
      <selection pane="bottomLeft" activeCell="A7" sqref="A7"/>
      <selection pane="bottomRight"/>
    </sheetView>
  </sheetViews>
  <sheetFormatPr baseColWidth="10" defaultColWidth="9.1640625" defaultRowHeight="13"/>
  <cols>
    <col min="1" max="2" width="12.5" style="537" customWidth="1"/>
    <col min="3" max="3" width="10.5" style="537" customWidth="1"/>
    <col min="4" max="6" width="9.1640625" style="537"/>
    <col min="7" max="7" width="10.5" style="537" bestFit="1" customWidth="1"/>
    <col min="8" max="8" width="23.1640625" style="537" customWidth="1"/>
    <col min="9" max="9" width="20.33203125" style="537" customWidth="1"/>
    <col min="10" max="10" width="12.6640625" style="537" bestFit="1" customWidth="1"/>
    <col min="11" max="11" width="14.6640625" style="537" bestFit="1" customWidth="1"/>
    <col min="12" max="12" width="14.1640625" style="537" customWidth="1"/>
    <col min="13" max="13" width="13.6640625" style="537" customWidth="1"/>
    <col min="14" max="14" width="9.1640625" style="537"/>
    <col min="15" max="15" width="12.1640625" style="537" bestFit="1" customWidth="1"/>
    <col min="16" max="16" width="13.83203125" style="537" bestFit="1" customWidth="1"/>
    <col min="17" max="17" width="12" style="537" bestFit="1" customWidth="1"/>
    <col min="18" max="18" width="12.1640625" style="537" customWidth="1"/>
    <col min="19" max="19" width="9.1640625" style="537"/>
    <col min="20" max="20" width="10.33203125" style="537" customWidth="1"/>
    <col min="21" max="25" width="9.1640625" style="537"/>
    <col min="26" max="26" width="10.5" style="537" bestFit="1" customWidth="1"/>
    <col min="27" max="28" width="10.33203125" style="537" customWidth="1"/>
    <col min="29" max="29" width="9.1640625" style="537"/>
    <col min="30" max="30" width="15" style="537" customWidth="1"/>
    <col min="31" max="31" width="10.83203125" style="537" customWidth="1"/>
    <col min="32" max="32" width="9.1640625" style="537"/>
    <col min="33" max="33" width="10.6640625" style="537" customWidth="1"/>
    <col min="34" max="34" width="10.33203125" style="537" customWidth="1"/>
    <col min="35" max="35" width="11.33203125" style="537" customWidth="1"/>
    <col min="36" max="36" width="12.6640625" style="537" customWidth="1"/>
    <col min="37" max="41" width="9.1640625" style="537"/>
    <col min="42" max="42" width="15.1640625" style="537" customWidth="1"/>
    <col min="43" max="43" width="14.5" style="537" customWidth="1"/>
    <col min="44" max="44" width="32.6640625" style="676" customWidth="1"/>
    <col min="45" max="16384" width="9.1640625" style="537"/>
  </cols>
  <sheetData>
    <row r="1" spans="1:51">
      <c r="A1" s="1" t="s">
        <v>1962</v>
      </c>
      <c r="B1" s="1"/>
      <c r="S1" s="674"/>
      <c r="U1" s="707"/>
      <c r="V1" s="707"/>
      <c r="W1" s="707"/>
      <c r="X1" s="707"/>
      <c r="Y1" s="707"/>
      <c r="Z1" s="707"/>
      <c r="AA1" s="707"/>
      <c r="AB1" s="707"/>
      <c r="AC1" s="707"/>
      <c r="AD1" s="707"/>
      <c r="AE1" s="707"/>
    </row>
    <row r="2" spans="1:51">
      <c r="A2" s="10" t="s">
        <v>224</v>
      </c>
      <c r="B2" s="1"/>
      <c r="S2" s="674"/>
      <c r="U2" s="707"/>
      <c r="V2" s="707"/>
      <c r="W2" s="707"/>
      <c r="X2" s="707"/>
      <c r="Y2" s="707"/>
      <c r="Z2" s="707"/>
      <c r="AA2" s="707"/>
      <c r="AB2" s="707"/>
      <c r="AC2" s="707"/>
      <c r="AD2" s="707"/>
      <c r="AE2" s="707"/>
    </row>
    <row r="3" spans="1:51">
      <c r="A3" s="1"/>
      <c r="B3" s="1"/>
      <c r="S3" s="674"/>
      <c r="U3" s="707"/>
      <c r="V3" s="707"/>
      <c r="W3" s="707"/>
      <c r="X3" s="707"/>
      <c r="Y3" s="707"/>
      <c r="Z3" s="707"/>
      <c r="AA3" s="707"/>
      <c r="AB3" s="707"/>
      <c r="AC3" s="707"/>
      <c r="AD3" s="707"/>
      <c r="AE3" s="707"/>
    </row>
    <row r="4" spans="1:51">
      <c r="A4" s="1"/>
      <c r="B4" s="1"/>
      <c r="S4" s="674"/>
      <c r="U4" s="707"/>
      <c r="V4" s="707"/>
      <c r="W4" s="707"/>
      <c r="X4" s="707"/>
      <c r="Y4" s="707"/>
      <c r="Z4" s="707"/>
      <c r="AA4" s="707"/>
      <c r="AB4" s="707"/>
      <c r="AC4" s="707"/>
      <c r="AD4" s="707"/>
      <c r="AE4" s="707"/>
    </row>
    <row r="5" spans="1:51">
      <c r="A5" s="1"/>
      <c r="B5" s="1"/>
      <c r="S5" s="674"/>
      <c r="U5" s="707"/>
      <c r="V5" s="707"/>
      <c r="W5" s="707"/>
      <c r="X5" s="707"/>
      <c r="Y5" s="707"/>
      <c r="Z5" s="707"/>
      <c r="AA5" s="707"/>
      <c r="AB5" s="707"/>
      <c r="AC5" s="707"/>
      <c r="AD5" s="707"/>
      <c r="AE5" s="707"/>
    </row>
    <row r="6" spans="1:51">
      <c r="A6" s="1184" t="s">
        <v>3385</v>
      </c>
      <c r="B6" s="1184"/>
      <c r="C6" s="1185"/>
      <c r="D6" s="1189" t="s">
        <v>1963</v>
      </c>
      <c r="E6" s="1184"/>
      <c r="F6" s="1184"/>
      <c r="G6" s="1185"/>
      <c r="H6" s="1189" t="s">
        <v>2134</v>
      </c>
      <c r="I6" s="1184"/>
      <c r="J6" s="1184"/>
      <c r="K6" s="1184"/>
      <c r="L6" s="1184"/>
      <c r="M6" s="1185"/>
      <c r="N6" s="1189" t="s">
        <v>2133</v>
      </c>
      <c r="O6" s="1184"/>
      <c r="P6" s="1184"/>
      <c r="Q6" s="1185"/>
      <c r="R6" s="1189" t="s">
        <v>1937</v>
      </c>
      <c r="S6" s="1184"/>
      <c r="T6" s="1184"/>
      <c r="U6" s="1184"/>
      <c r="V6" s="1185"/>
      <c r="W6" s="1189" t="s">
        <v>2040</v>
      </c>
      <c r="X6" s="1184"/>
      <c r="Y6" s="1185"/>
      <c r="Z6" s="1189" t="s">
        <v>2710</v>
      </c>
      <c r="AA6" s="1184"/>
      <c r="AB6" s="1184"/>
      <c r="AC6" s="1184"/>
      <c r="AD6" s="1185"/>
      <c r="AE6" s="1186" t="s">
        <v>1964</v>
      </c>
      <c r="AF6" s="1187"/>
      <c r="AG6" s="1187"/>
      <c r="AH6" s="1187"/>
      <c r="AI6" s="1187"/>
      <c r="AJ6" s="1187"/>
      <c r="AK6" s="1188"/>
      <c r="AL6" s="1186" t="s">
        <v>3158</v>
      </c>
      <c r="AM6" s="1187"/>
      <c r="AN6" s="1187"/>
      <c r="AO6" s="1187"/>
      <c r="AP6" s="1187"/>
      <c r="AQ6" s="1188"/>
    </row>
    <row r="7" spans="1:51" s="714" customFormat="1" ht="56">
      <c r="A7" s="708" t="s">
        <v>3382</v>
      </c>
      <c r="B7" s="708" t="s">
        <v>3002</v>
      </c>
      <c r="C7" s="709" t="s">
        <v>1665</v>
      </c>
      <c r="D7" s="710" t="s">
        <v>228</v>
      </c>
      <c r="E7" s="708" t="s">
        <v>1037</v>
      </c>
      <c r="F7" s="708" t="s">
        <v>230</v>
      </c>
      <c r="G7" s="711" t="s">
        <v>1494</v>
      </c>
      <c r="H7" s="710" t="s">
        <v>744</v>
      </c>
      <c r="I7" s="708" t="s">
        <v>2759</v>
      </c>
      <c r="J7" s="708" t="s">
        <v>1420</v>
      </c>
      <c r="K7" s="708" t="s">
        <v>1421</v>
      </c>
      <c r="L7" s="708" t="s">
        <v>1422</v>
      </c>
      <c r="M7" s="708" t="s">
        <v>1423</v>
      </c>
      <c r="N7" s="710" t="s">
        <v>1495</v>
      </c>
      <c r="O7" s="708" t="s">
        <v>1424</v>
      </c>
      <c r="P7" s="708" t="s">
        <v>1425</v>
      </c>
      <c r="Q7" s="712" t="s">
        <v>1426</v>
      </c>
      <c r="R7" s="710" t="s">
        <v>3386</v>
      </c>
      <c r="S7" s="708" t="s">
        <v>2760</v>
      </c>
      <c r="T7" s="708" t="s">
        <v>3096</v>
      </c>
      <c r="U7" s="708" t="s">
        <v>331</v>
      </c>
      <c r="V7" s="711" t="s">
        <v>3097</v>
      </c>
      <c r="W7" s="708" t="s">
        <v>996</v>
      </c>
      <c r="X7" s="708" t="s">
        <v>1934</v>
      </c>
      <c r="Y7" s="708" t="s">
        <v>2760</v>
      </c>
      <c r="Z7" s="710" t="s">
        <v>1358</v>
      </c>
      <c r="AA7" s="708" t="s">
        <v>2716</v>
      </c>
      <c r="AB7" s="708" t="s">
        <v>378</v>
      </c>
      <c r="AC7" s="708" t="s">
        <v>2761</v>
      </c>
      <c r="AD7" s="711" t="s">
        <v>3106</v>
      </c>
      <c r="AE7" s="710" t="s">
        <v>3076</v>
      </c>
      <c r="AF7" s="708" t="s">
        <v>3077</v>
      </c>
      <c r="AG7" s="708" t="s">
        <v>902</v>
      </c>
      <c r="AH7" s="708" t="s">
        <v>903</v>
      </c>
      <c r="AI7" s="708" t="s">
        <v>1405</v>
      </c>
      <c r="AJ7" s="708" t="s">
        <v>745</v>
      </c>
      <c r="AK7" s="708" t="s">
        <v>1873</v>
      </c>
      <c r="AL7" s="713" t="s">
        <v>3159</v>
      </c>
      <c r="AM7" s="708" t="s">
        <v>2759</v>
      </c>
      <c r="AN7" s="708" t="s">
        <v>1420</v>
      </c>
      <c r="AO7" s="708" t="s">
        <v>1421</v>
      </c>
      <c r="AP7" s="708" t="s">
        <v>1422</v>
      </c>
      <c r="AQ7" s="711" t="s">
        <v>1423</v>
      </c>
      <c r="AR7" s="747" t="s">
        <v>3383</v>
      </c>
      <c r="AS7" s="1183" t="s">
        <v>3384</v>
      </c>
      <c r="AT7" s="1183"/>
      <c r="AU7" s="1183"/>
      <c r="AV7" s="1183"/>
      <c r="AW7" s="1183"/>
      <c r="AX7" s="940"/>
      <c r="AY7" s="940"/>
    </row>
    <row r="8" spans="1:51" s="726" customFormat="1">
      <c r="C8" s="1041"/>
      <c r="D8" s="930" t="s">
        <v>227</v>
      </c>
      <c r="E8" s="524" t="s">
        <v>1036</v>
      </c>
      <c r="F8" s="524" t="s">
        <v>231</v>
      </c>
      <c r="G8" s="931" t="s">
        <v>229</v>
      </c>
      <c r="H8" s="930" t="s">
        <v>1288</v>
      </c>
      <c r="I8" s="932" t="s">
        <v>3313</v>
      </c>
      <c r="J8" s="932" t="s">
        <v>334</v>
      </c>
      <c r="K8" s="932" t="s">
        <v>335</v>
      </c>
      <c r="L8" s="932" t="s">
        <v>336</v>
      </c>
      <c r="M8" s="933" t="s">
        <v>337</v>
      </c>
      <c r="N8" s="934" t="s">
        <v>2225</v>
      </c>
      <c r="O8" s="932" t="s">
        <v>3062</v>
      </c>
      <c r="P8" s="932" t="s">
        <v>3063</v>
      </c>
      <c r="Q8" s="933" t="s">
        <v>3064</v>
      </c>
      <c r="R8" s="934" t="s">
        <v>2138</v>
      </c>
      <c r="S8" s="524" t="s">
        <v>2306</v>
      </c>
      <c r="T8" s="524" t="s">
        <v>3285</v>
      </c>
      <c r="U8" s="524" t="s">
        <v>3030</v>
      </c>
      <c r="V8" s="931" t="s">
        <v>3031</v>
      </c>
      <c r="W8" s="524" t="s">
        <v>997</v>
      </c>
      <c r="X8" s="524" t="s">
        <v>1935</v>
      </c>
      <c r="Y8" s="524" t="s">
        <v>1936</v>
      </c>
      <c r="Z8" s="930" t="s">
        <v>1357</v>
      </c>
      <c r="AA8" s="524" t="s">
        <v>1847</v>
      </c>
      <c r="AB8" s="524" t="s">
        <v>1848</v>
      </c>
      <c r="AC8" s="524" t="s">
        <v>394</v>
      </c>
      <c r="AD8" s="931" t="s">
        <v>1849</v>
      </c>
      <c r="AE8" s="930" t="s">
        <v>2309</v>
      </c>
      <c r="AF8" s="932" t="s">
        <v>441</v>
      </c>
      <c r="AG8" s="524" t="s">
        <v>2744</v>
      </c>
      <c r="AH8" s="524" t="s">
        <v>904</v>
      </c>
      <c r="AI8" s="524" t="s">
        <v>746</v>
      </c>
      <c r="AJ8" s="524" t="s">
        <v>2743</v>
      </c>
      <c r="AK8" s="524" t="s">
        <v>2256</v>
      </c>
      <c r="AL8" s="935" t="s">
        <v>1080</v>
      </c>
      <c r="AM8" s="932" t="s">
        <v>1086</v>
      </c>
      <c r="AN8" s="932" t="s">
        <v>1087</v>
      </c>
      <c r="AO8" s="932" t="s">
        <v>1088</v>
      </c>
      <c r="AP8" s="932" t="s">
        <v>1089</v>
      </c>
      <c r="AQ8" s="933" t="s">
        <v>1090</v>
      </c>
      <c r="AR8" s="1042"/>
    </row>
    <row r="9" spans="1:51" s="674" customFormat="1">
      <c r="A9" s="674">
        <v>1</v>
      </c>
      <c r="B9" s="674">
        <v>1</v>
      </c>
      <c r="C9" s="674">
        <v>1</v>
      </c>
      <c r="D9" s="715">
        <v>0.03</v>
      </c>
      <c r="E9" s="716" t="s">
        <v>226</v>
      </c>
      <c r="F9" s="684">
        <v>7.0000000000000001E-3</v>
      </c>
      <c r="G9" s="716" t="s">
        <v>226</v>
      </c>
      <c r="H9" s="715"/>
      <c r="I9" s="716"/>
      <c r="J9" s="717"/>
      <c r="K9" s="716"/>
      <c r="L9" s="716"/>
      <c r="M9" s="716"/>
      <c r="N9" s="715"/>
      <c r="O9" s="716"/>
      <c r="P9" s="716"/>
      <c r="Q9" s="716"/>
      <c r="R9" s="715"/>
      <c r="S9" s="718"/>
      <c r="T9" s="716"/>
      <c r="U9" s="718"/>
      <c r="V9" s="719"/>
      <c r="W9" s="718"/>
      <c r="X9" s="718"/>
      <c r="Y9" s="718"/>
      <c r="Z9" s="715"/>
      <c r="AA9" s="684"/>
      <c r="AB9" s="720"/>
      <c r="AC9" s="716"/>
      <c r="AD9" s="721"/>
      <c r="AE9" s="715"/>
      <c r="AF9" s="716"/>
      <c r="AG9" s="720"/>
      <c r="AH9" s="684"/>
      <c r="AI9" s="716"/>
      <c r="AJ9" s="716"/>
      <c r="AK9" s="716"/>
      <c r="AL9" s="715"/>
      <c r="AM9" s="716"/>
      <c r="AN9" s="716"/>
      <c r="AO9" s="716"/>
      <c r="AP9" s="716"/>
      <c r="AQ9" s="721"/>
      <c r="AR9" s="676" t="s">
        <v>3452</v>
      </c>
      <c r="AS9" s="537" t="b">
        <f t="array" ref="AS9">AND(D9:AQ9=inp_used,A9=inp_used_usersel)</f>
        <v>0</v>
      </c>
      <c r="AT9" s="674" t="b">
        <f t="array" ref="AT9">AND(D9:G9=inp_used_minimal,A9=inp_used_usersel)</f>
        <v>0</v>
      </c>
      <c r="AV9" s="674" t="b">
        <f t="shared" ref="AV9:AW16" si="0">CHOOSE(design_type,AS9,AS17)</f>
        <v>0</v>
      </c>
      <c r="AW9" s="674" t="b">
        <f t="shared" si="0"/>
        <v>0</v>
      </c>
    </row>
    <row r="10" spans="1:51" s="674" customFormat="1">
      <c r="A10" s="674">
        <v>1</v>
      </c>
      <c r="B10" s="674">
        <v>1</v>
      </c>
      <c r="C10" s="674">
        <v>2</v>
      </c>
      <c r="D10" s="715">
        <v>0.124</v>
      </c>
      <c r="E10" s="716" t="s">
        <v>226</v>
      </c>
      <c r="F10" s="684">
        <v>3.5000000000000003E-2</v>
      </c>
      <c r="G10" s="716" t="s">
        <v>226</v>
      </c>
      <c r="H10" s="715"/>
      <c r="I10" s="716"/>
      <c r="J10" s="717"/>
      <c r="K10" s="716"/>
      <c r="L10" s="716"/>
      <c r="M10" s="716"/>
      <c r="N10" s="715"/>
      <c r="O10" s="716"/>
      <c r="P10" s="716"/>
      <c r="Q10" s="716"/>
      <c r="R10" s="715"/>
      <c r="S10" s="722"/>
      <c r="T10" s="716"/>
      <c r="U10" s="716"/>
      <c r="V10" s="721"/>
      <c r="W10" s="718"/>
      <c r="X10" s="718"/>
      <c r="Y10" s="718"/>
      <c r="Z10" s="715"/>
      <c r="AA10" s="684"/>
      <c r="AB10" s="720"/>
      <c r="AC10" s="716"/>
      <c r="AD10" s="723"/>
      <c r="AE10" s="715"/>
      <c r="AF10" s="716"/>
      <c r="AG10" s="720"/>
      <c r="AH10" s="684"/>
      <c r="AI10" s="716"/>
      <c r="AJ10" s="716"/>
      <c r="AK10" s="716"/>
      <c r="AL10" s="715"/>
      <c r="AM10" s="716"/>
      <c r="AN10" s="716"/>
      <c r="AO10" s="716"/>
      <c r="AP10" s="716"/>
      <c r="AQ10" s="721"/>
      <c r="AR10" s="676"/>
      <c r="AS10" s="537" t="b">
        <f t="array" ref="AS10">AND(D10:AQ10=inp_used,A10=inp_used_usersel)</f>
        <v>0</v>
      </c>
      <c r="AT10" s="674" t="b">
        <f t="array" ref="AT10">AND(D10:G10=inp_used_minimal,A10=inp_used_usersel)</f>
        <v>0</v>
      </c>
      <c r="AV10" s="674" t="b">
        <f t="shared" si="0"/>
        <v>0</v>
      </c>
      <c r="AW10" s="674" t="b">
        <f t="shared" si="0"/>
        <v>0</v>
      </c>
    </row>
    <row r="11" spans="1:51" s="674" customFormat="1">
      <c r="A11" s="674">
        <v>1</v>
      </c>
      <c r="B11" s="674">
        <v>1</v>
      </c>
      <c r="C11" s="674">
        <v>3</v>
      </c>
      <c r="D11" s="715">
        <v>0.30499999999999999</v>
      </c>
      <c r="E11" s="716" t="s">
        <v>226</v>
      </c>
      <c r="F11" s="684">
        <v>9.4E-2</v>
      </c>
      <c r="G11" s="716" t="s">
        <v>226</v>
      </c>
      <c r="H11" s="715"/>
      <c r="I11" s="716"/>
      <c r="J11" s="717"/>
      <c r="K11" s="716"/>
      <c r="L11" s="716"/>
      <c r="M11" s="716"/>
      <c r="N11" s="715"/>
      <c r="O11" s="716"/>
      <c r="P11" s="716"/>
      <c r="Q11" s="716"/>
      <c r="R11" s="715"/>
      <c r="S11" s="722"/>
      <c r="T11" s="716"/>
      <c r="U11" s="716"/>
      <c r="V11" s="721"/>
      <c r="W11" s="718"/>
      <c r="X11" s="718"/>
      <c r="Y11" s="718"/>
      <c r="Z11" s="715"/>
      <c r="AA11" s="684"/>
      <c r="AB11" s="720"/>
      <c r="AC11" s="716"/>
      <c r="AD11" s="723"/>
      <c r="AE11" s="715"/>
      <c r="AF11" s="716"/>
      <c r="AG11" s="720"/>
      <c r="AH11" s="684"/>
      <c r="AI11" s="716"/>
      <c r="AJ11" s="716"/>
      <c r="AK11" s="716"/>
      <c r="AL11" s="715"/>
      <c r="AM11" s="716"/>
      <c r="AN11" s="716"/>
      <c r="AO11" s="716"/>
      <c r="AP11" s="716"/>
      <c r="AQ11" s="721"/>
      <c r="AR11" s="676"/>
      <c r="AS11" s="537" t="b">
        <f t="array" ref="AS11">AND(D11:AQ11=inp_used,A11=inp_used_usersel)</f>
        <v>0</v>
      </c>
      <c r="AT11" s="674" t="b">
        <f t="array" ref="AT11">AND(D11:G11=inp_used_minimal,A11=inp_used_usersel)</f>
        <v>0</v>
      </c>
      <c r="AV11" s="674" t="b">
        <f t="shared" si="0"/>
        <v>0</v>
      </c>
      <c r="AW11" s="674" t="b">
        <f t="shared" si="0"/>
        <v>0</v>
      </c>
    </row>
    <row r="12" spans="1:51" s="674" customFormat="1">
      <c r="A12" s="674">
        <v>1</v>
      </c>
      <c r="B12" s="674">
        <v>1</v>
      </c>
      <c r="C12" s="674">
        <v>4</v>
      </c>
      <c r="D12" s="715">
        <v>0.74</v>
      </c>
      <c r="E12" s="716" t="s">
        <v>226</v>
      </c>
      <c r="F12" s="684">
        <v>0.251</v>
      </c>
      <c r="G12" s="716" t="s">
        <v>226</v>
      </c>
      <c r="H12" s="715"/>
      <c r="I12" s="716"/>
      <c r="J12" s="717"/>
      <c r="K12" s="716"/>
      <c r="L12" s="716"/>
      <c r="M12" s="716"/>
      <c r="N12" s="715"/>
      <c r="O12" s="716"/>
      <c r="P12" s="716"/>
      <c r="Q12" s="716"/>
      <c r="R12" s="715"/>
      <c r="S12" s="722"/>
      <c r="T12" s="716"/>
      <c r="U12" s="716"/>
      <c r="V12" s="721"/>
      <c r="W12" s="718"/>
      <c r="X12" s="718"/>
      <c r="Y12" s="718"/>
      <c r="Z12" s="715"/>
      <c r="AA12" s="684"/>
      <c r="AB12" s="720"/>
      <c r="AC12" s="716"/>
      <c r="AD12" s="723"/>
      <c r="AE12" s="715"/>
      <c r="AF12" s="716"/>
      <c r="AG12" s="720"/>
      <c r="AH12" s="684"/>
      <c r="AI12" s="716"/>
      <c r="AJ12" s="716"/>
      <c r="AK12" s="716"/>
      <c r="AL12" s="715"/>
      <c r="AM12" s="716"/>
      <c r="AN12" s="716"/>
      <c r="AO12" s="716"/>
      <c r="AP12" s="716"/>
      <c r="AQ12" s="721"/>
      <c r="AR12" s="676"/>
      <c r="AS12" s="537" t="b">
        <f t="array" ref="AS12">AND(D12:AQ12=inp_used,A12=inp_used_usersel)</f>
        <v>0</v>
      </c>
      <c r="AT12" s="674" t="b">
        <f t="array" ref="AT12">AND(D12:G12=inp_used_minimal,A12=inp_used_usersel)</f>
        <v>0</v>
      </c>
      <c r="AV12" s="674" t="b">
        <f t="shared" si="0"/>
        <v>0</v>
      </c>
      <c r="AW12" s="674" t="b">
        <f t="shared" si="0"/>
        <v>0</v>
      </c>
    </row>
    <row r="13" spans="1:51" s="674" customFormat="1">
      <c r="A13" s="674">
        <v>1</v>
      </c>
      <c r="B13" s="674">
        <v>1</v>
      </c>
      <c r="C13" s="674">
        <v>5</v>
      </c>
      <c r="D13" s="682">
        <v>2.1520000000000001</v>
      </c>
      <c r="E13" s="716" t="s">
        <v>226</v>
      </c>
      <c r="F13" s="684">
        <v>0.81899999999999995</v>
      </c>
      <c r="G13" s="716" t="s">
        <v>226</v>
      </c>
      <c r="H13" s="715"/>
      <c r="I13" s="716"/>
      <c r="J13" s="717"/>
      <c r="K13" s="716"/>
      <c r="L13" s="716"/>
      <c r="M13" s="716"/>
      <c r="N13" s="715"/>
      <c r="O13" s="716"/>
      <c r="P13" s="716"/>
      <c r="Q13" s="716"/>
      <c r="R13" s="715"/>
      <c r="S13" s="722"/>
      <c r="T13" s="716"/>
      <c r="U13" s="718"/>
      <c r="V13" s="719"/>
      <c r="W13" s="718"/>
      <c r="X13" s="718"/>
      <c r="Y13" s="718"/>
      <c r="Z13" s="715"/>
      <c r="AA13" s="684"/>
      <c r="AB13" s="720"/>
      <c r="AC13" s="716"/>
      <c r="AD13" s="723"/>
      <c r="AE13" s="715"/>
      <c r="AF13" s="716"/>
      <c r="AG13" s="720"/>
      <c r="AH13" s="684"/>
      <c r="AI13" s="716"/>
      <c r="AJ13" s="716"/>
      <c r="AK13" s="716"/>
      <c r="AL13" s="715"/>
      <c r="AM13" s="716"/>
      <c r="AN13" s="716"/>
      <c r="AO13" s="716"/>
      <c r="AP13" s="716"/>
      <c r="AQ13" s="721"/>
      <c r="AR13" s="676"/>
      <c r="AS13" s="537" t="b">
        <f t="array" ref="AS13">AND(D13:AQ13=inp_used,A13=inp_used_usersel)</f>
        <v>0</v>
      </c>
      <c r="AT13" s="674" t="b">
        <f t="array" ref="AT13">AND(D13:G13=inp_used_minimal,A13=inp_used_usersel)</f>
        <v>0</v>
      </c>
      <c r="AV13" s="674" t="b">
        <f t="shared" si="0"/>
        <v>0</v>
      </c>
      <c r="AW13" s="674" t="b">
        <f t="shared" si="0"/>
        <v>0</v>
      </c>
    </row>
    <row r="14" spans="1:51" s="674" customFormat="1">
      <c r="A14" s="674">
        <v>1</v>
      </c>
      <c r="B14" s="674">
        <v>1</v>
      </c>
      <c r="C14" s="674">
        <v>6</v>
      </c>
      <c r="D14" s="682">
        <v>7.3650000000000002</v>
      </c>
      <c r="E14" s="716" t="s">
        <v>226</v>
      </c>
      <c r="F14" s="684">
        <v>3.2</v>
      </c>
      <c r="G14" s="716" t="s">
        <v>226</v>
      </c>
      <c r="H14" s="715"/>
      <c r="I14" s="716"/>
      <c r="J14" s="717"/>
      <c r="K14" s="716"/>
      <c r="L14" s="716"/>
      <c r="M14" s="716"/>
      <c r="N14" s="715"/>
      <c r="O14" s="716"/>
      <c r="P14" s="716"/>
      <c r="Q14" s="716"/>
      <c r="R14" s="715"/>
      <c r="S14" s="722"/>
      <c r="T14" s="716"/>
      <c r="U14" s="718"/>
      <c r="V14" s="721"/>
      <c r="W14" s="718"/>
      <c r="X14" s="718"/>
      <c r="Y14" s="718"/>
      <c r="Z14" s="715"/>
      <c r="AA14" s="684"/>
      <c r="AB14" s="720"/>
      <c r="AC14" s="716"/>
      <c r="AD14" s="723"/>
      <c r="AE14" s="715"/>
      <c r="AF14" s="716"/>
      <c r="AG14" s="720"/>
      <c r="AH14" s="684"/>
      <c r="AI14" s="716"/>
      <c r="AJ14" s="716"/>
      <c r="AK14" s="716"/>
      <c r="AL14" s="715"/>
      <c r="AM14" s="716"/>
      <c r="AN14" s="716"/>
      <c r="AO14" s="716"/>
      <c r="AP14" s="716"/>
      <c r="AQ14" s="721"/>
      <c r="AR14" s="676"/>
      <c r="AS14" s="537" t="b">
        <f t="array" ref="AS14">AND(D14:AQ14=inp_used,A14=inp_used_usersel)</f>
        <v>0</v>
      </c>
      <c r="AT14" s="674" t="b">
        <f t="array" ref="AT14">AND(D14:G14=inp_used_minimal,A14=inp_used_usersel)</f>
        <v>0</v>
      </c>
      <c r="AV14" s="674" t="b">
        <f t="shared" si="0"/>
        <v>0</v>
      </c>
      <c r="AW14" s="674" t="b">
        <f t="shared" si="0"/>
        <v>0</v>
      </c>
    </row>
    <row r="15" spans="1:51" s="674" customFormat="1">
      <c r="A15" s="674">
        <v>1</v>
      </c>
      <c r="B15" s="674">
        <v>1</v>
      </c>
      <c r="C15" s="674">
        <v>7</v>
      </c>
      <c r="D15" s="682">
        <v>22.614000000000001</v>
      </c>
      <c r="E15" s="716" t="s">
        <v>226</v>
      </c>
      <c r="F15" s="684">
        <v>11.066000000000001</v>
      </c>
      <c r="G15" s="716" t="s">
        <v>226</v>
      </c>
      <c r="H15" s="715"/>
      <c r="I15" s="716"/>
      <c r="J15" s="717"/>
      <c r="K15" s="716"/>
      <c r="L15" s="716"/>
      <c r="M15" s="716"/>
      <c r="N15" s="715"/>
      <c r="O15" s="716"/>
      <c r="P15" s="716"/>
      <c r="Q15" s="716"/>
      <c r="R15" s="715"/>
      <c r="S15" s="722"/>
      <c r="T15" s="716"/>
      <c r="U15" s="716"/>
      <c r="V15" s="721"/>
      <c r="W15" s="718"/>
      <c r="X15" s="718"/>
      <c r="Y15" s="718"/>
      <c r="Z15" s="715"/>
      <c r="AA15" s="684"/>
      <c r="AB15" s="720"/>
      <c r="AC15" s="716"/>
      <c r="AD15" s="723"/>
      <c r="AE15" s="715"/>
      <c r="AF15" s="716"/>
      <c r="AG15" s="720"/>
      <c r="AH15" s="684"/>
      <c r="AI15" s="716"/>
      <c r="AJ15" s="716"/>
      <c r="AK15" s="716"/>
      <c r="AL15" s="715"/>
      <c r="AM15" s="716"/>
      <c r="AN15" s="716"/>
      <c r="AO15" s="716"/>
      <c r="AP15" s="716"/>
      <c r="AQ15" s="721"/>
      <c r="AR15" s="676"/>
      <c r="AS15" s="537" t="b">
        <f t="array" ref="AS15">AND(D15:AQ15=inp_used,A15=inp_used_usersel)</f>
        <v>0</v>
      </c>
      <c r="AT15" s="674" t="b">
        <f t="array" ref="AT15">AND(D15:G15=inp_used_minimal,A15=inp_used_usersel)</f>
        <v>0</v>
      </c>
      <c r="AV15" s="674" t="b">
        <f t="shared" si="0"/>
        <v>0</v>
      </c>
      <c r="AW15" s="674" t="b">
        <f t="shared" si="0"/>
        <v>0</v>
      </c>
    </row>
    <row r="16" spans="1:51" s="674" customFormat="1">
      <c r="A16" s="724">
        <v>1</v>
      </c>
      <c r="B16" s="724">
        <v>1</v>
      </c>
      <c r="C16" s="724">
        <v>8</v>
      </c>
      <c r="D16" s="725">
        <v>75.072000000000003</v>
      </c>
      <c r="E16" s="724" t="s">
        <v>226</v>
      </c>
      <c r="F16" s="726">
        <v>37.536000000000001</v>
      </c>
      <c r="G16" s="724" t="s">
        <v>226</v>
      </c>
      <c r="H16" s="727"/>
      <c r="I16" s="724"/>
      <c r="J16" s="728"/>
      <c r="K16" s="724"/>
      <c r="L16" s="724"/>
      <c r="M16" s="729"/>
      <c r="N16" s="727"/>
      <c r="O16" s="724"/>
      <c r="P16" s="724"/>
      <c r="Q16" s="729"/>
      <c r="R16" s="727"/>
      <c r="S16" s="730"/>
      <c r="T16" s="724"/>
      <c r="U16" s="724"/>
      <c r="V16" s="729"/>
      <c r="W16" s="731"/>
      <c r="X16" s="732"/>
      <c r="Y16" s="733"/>
      <c r="Z16" s="727"/>
      <c r="AA16" s="726"/>
      <c r="AB16" s="734"/>
      <c r="AC16" s="724"/>
      <c r="AD16" s="712"/>
      <c r="AE16" s="727"/>
      <c r="AF16" s="724"/>
      <c r="AG16" s="734"/>
      <c r="AH16" s="726"/>
      <c r="AI16" s="724"/>
      <c r="AJ16" s="724"/>
      <c r="AK16" s="729"/>
      <c r="AL16" s="727"/>
      <c r="AM16" s="724"/>
      <c r="AN16" s="724"/>
      <c r="AO16" s="724"/>
      <c r="AP16" s="724"/>
      <c r="AQ16" s="729"/>
      <c r="AR16" s="676"/>
      <c r="AS16" s="537" t="b">
        <f t="array" ref="AS16">AND(D16:AQ16=inp_used,A16=inp_used_usersel)</f>
        <v>0</v>
      </c>
      <c r="AT16" s="674" t="b">
        <f t="array" ref="AT16">AND(D16:G16=inp_used_minimal,A16=inp_used_usersel)</f>
        <v>0</v>
      </c>
      <c r="AV16" s="674" t="b">
        <f t="shared" si="0"/>
        <v>0</v>
      </c>
      <c r="AW16" s="674" t="b">
        <f t="shared" si="0"/>
        <v>0</v>
      </c>
    </row>
    <row r="17" spans="1:49" s="674" customFormat="1">
      <c r="A17" s="674">
        <v>1</v>
      </c>
      <c r="B17" s="735">
        <v>2</v>
      </c>
      <c r="C17" s="736">
        <v>1</v>
      </c>
      <c r="D17" s="715">
        <v>0.03</v>
      </c>
      <c r="E17" s="716" t="s">
        <v>226</v>
      </c>
      <c r="F17" s="716">
        <v>7.0000000000000001E-3</v>
      </c>
      <c r="G17" s="721" t="s">
        <v>226</v>
      </c>
      <c r="H17" s="715"/>
      <c r="I17" s="716"/>
      <c r="J17" s="717"/>
      <c r="K17" s="716"/>
      <c r="L17" s="716"/>
      <c r="M17" s="716"/>
      <c r="N17" s="715"/>
      <c r="O17" s="716"/>
      <c r="P17" s="716"/>
      <c r="Q17" s="716"/>
      <c r="R17" s="737"/>
      <c r="S17" s="738"/>
      <c r="T17" s="738"/>
      <c r="U17" s="738"/>
      <c r="V17" s="739"/>
      <c r="W17" s="682"/>
      <c r="X17" s="684"/>
      <c r="Y17" s="684"/>
      <c r="Z17" s="715"/>
      <c r="AA17" s="684"/>
      <c r="AB17" s="684"/>
      <c r="AC17" s="716"/>
      <c r="AD17" s="684"/>
      <c r="AE17" s="715"/>
      <c r="AF17" s="716"/>
      <c r="AG17" s="720"/>
      <c r="AH17" s="684"/>
      <c r="AI17" s="716"/>
      <c r="AJ17" s="716"/>
      <c r="AK17" s="716"/>
      <c r="AL17" s="715"/>
      <c r="AM17" s="716"/>
      <c r="AN17" s="716"/>
      <c r="AO17" s="716"/>
      <c r="AP17" s="716"/>
      <c r="AQ17" s="721"/>
      <c r="AR17" s="676" t="s">
        <v>3504</v>
      </c>
      <c r="AS17" s="537" t="b">
        <f t="array" ref="AS17">AND(D17:AQ17=inp_used,A17=inp_used_usersel)</f>
        <v>0</v>
      </c>
      <c r="AT17" s="674" t="b">
        <f t="array" ref="AT17">AND(D17:G17=inp_used_minimal,A17=inp_used_usersel)</f>
        <v>0</v>
      </c>
    </row>
    <row r="18" spans="1:49" s="674" customFormat="1">
      <c r="A18" s="674">
        <v>1</v>
      </c>
      <c r="B18" s="716">
        <v>2</v>
      </c>
      <c r="C18" s="721">
        <v>2</v>
      </c>
      <c r="D18" s="715">
        <v>0.124</v>
      </c>
      <c r="E18" s="716" t="s">
        <v>226</v>
      </c>
      <c r="F18" s="716">
        <v>3.5000000000000003E-2</v>
      </c>
      <c r="G18" s="721" t="s">
        <v>226</v>
      </c>
      <c r="H18" s="715"/>
      <c r="I18" s="716"/>
      <c r="J18" s="717"/>
      <c r="K18" s="716"/>
      <c r="L18" s="716"/>
      <c r="M18" s="716"/>
      <c r="N18" s="715"/>
      <c r="O18" s="716"/>
      <c r="P18" s="716"/>
      <c r="Q18" s="716"/>
      <c r="R18" s="715"/>
      <c r="S18" s="718"/>
      <c r="T18" s="718"/>
      <c r="U18" s="718"/>
      <c r="V18" s="719"/>
      <c r="W18" s="682"/>
      <c r="X18" s="684"/>
      <c r="Y18" s="684"/>
      <c r="Z18" s="715"/>
      <c r="AA18" s="684"/>
      <c r="AB18" s="684"/>
      <c r="AC18" s="716"/>
      <c r="AD18" s="684"/>
      <c r="AE18" s="715"/>
      <c r="AF18" s="716"/>
      <c r="AG18" s="720"/>
      <c r="AH18" s="684"/>
      <c r="AI18" s="716"/>
      <c r="AJ18" s="716"/>
      <c r="AK18" s="716"/>
      <c r="AL18" s="715"/>
      <c r="AM18" s="716"/>
      <c r="AN18" s="716"/>
      <c r="AO18" s="716"/>
      <c r="AP18" s="716"/>
      <c r="AQ18" s="721"/>
      <c r="AR18" s="676"/>
      <c r="AS18" s="537" t="b">
        <f t="array" ref="AS18">AND(D18:AQ18=inp_used,A18=inp_used_usersel)</f>
        <v>0</v>
      </c>
      <c r="AT18" s="674" t="b">
        <f t="array" ref="AT18">AND(D18:G18=inp_used_minimal,A18=inp_used_usersel)</f>
        <v>0</v>
      </c>
    </row>
    <row r="19" spans="1:49" s="674" customFormat="1">
      <c r="A19" s="674">
        <v>1</v>
      </c>
      <c r="B19" s="716">
        <v>2</v>
      </c>
      <c r="C19" s="721">
        <v>3</v>
      </c>
      <c r="D19" s="715">
        <v>0.30499999999999999</v>
      </c>
      <c r="E19" s="716" t="s">
        <v>226</v>
      </c>
      <c r="F19" s="716">
        <v>9.4E-2</v>
      </c>
      <c r="G19" s="721" t="s">
        <v>226</v>
      </c>
      <c r="H19" s="715"/>
      <c r="I19" s="716"/>
      <c r="J19" s="717"/>
      <c r="K19" s="716"/>
      <c r="L19" s="716"/>
      <c r="M19" s="716"/>
      <c r="N19" s="715"/>
      <c r="O19" s="716"/>
      <c r="P19" s="716"/>
      <c r="Q19" s="716"/>
      <c r="R19" s="715"/>
      <c r="S19" s="718"/>
      <c r="T19" s="718"/>
      <c r="U19" s="718"/>
      <c r="V19" s="719"/>
      <c r="W19" s="682"/>
      <c r="X19" s="684"/>
      <c r="Y19" s="684"/>
      <c r="Z19" s="715"/>
      <c r="AA19" s="684"/>
      <c r="AB19" s="684"/>
      <c r="AC19" s="716"/>
      <c r="AD19" s="684"/>
      <c r="AE19" s="715"/>
      <c r="AF19" s="716"/>
      <c r="AG19" s="720"/>
      <c r="AH19" s="684"/>
      <c r="AI19" s="716"/>
      <c r="AJ19" s="716"/>
      <c r="AK19" s="716"/>
      <c r="AL19" s="715"/>
      <c r="AM19" s="716"/>
      <c r="AN19" s="716"/>
      <c r="AO19" s="716"/>
      <c r="AP19" s="716"/>
      <c r="AQ19" s="721"/>
      <c r="AR19" s="676"/>
      <c r="AS19" s="537" t="b">
        <f t="array" ref="AS19">AND(D19:AQ19=inp_used,A19=inp_used_usersel)</f>
        <v>0</v>
      </c>
      <c r="AT19" s="674" t="b">
        <f t="array" ref="AT19">AND(D19:G19=inp_used_minimal,A19=inp_used_usersel)</f>
        <v>0</v>
      </c>
    </row>
    <row r="20" spans="1:49" s="674" customFormat="1">
      <c r="A20" s="674">
        <v>1</v>
      </c>
      <c r="B20" s="716">
        <v>2</v>
      </c>
      <c r="C20" s="721">
        <v>4</v>
      </c>
      <c r="D20" s="715">
        <v>0.74</v>
      </c>
      <c r="E20" s="716" t="s">
        <v>226</v>
      </c>
      <c r="F20" s="716">
        <v>0.251</v>
      </c>
      <c r="G20" s="721" t="s">
        <v>226</v>
      </c>
      <c r="H20" s="715"/>
      <c r="I20" s="716"/>
      <c r="J20" s="717"/>
      <c r="K20" s="716"/>
      <c r="L20" s="716"/>
      <c r="M20" s="716"/>
      <c r="N20" s="715"/>
      <c r="O20" s="716"/>
      <c r="P20" s="716"/>
      <c r="Q20" s="716"/>
      <c r="R20" s="715"/>
      <c r="S20" s="718"/>
      <c r="T20" s="718"/>
      <c r="U20" s="718"/>
      <c r="V20" s="719"/>
      <c r="W20" s="682"/>
      <c r="X20" s="684"/>
      <c r="Y20" s="684"/>
      <c r="Z20" s="715"/>
      <c r="AA20" s="684"/>
      <c r="AB20" s="684"/>
      <c r="AC20" s="716"/>
      <c r="AD20" s="684"/>
      <c r="AE20" s="715"/>
      <c r="AF20" s="716"/>
      <c r="AG20" s="720"/>
      <c r="AH20" s="684"/>
      <c r="AI20" s="716"/>
      <c r="AJ20" s="716"/>
      <c r="AK20" s="716"/>
      <c r="AL20" s="715"/>
      <c r="AM20" s="716"/>
      <c r="AN20" s="716"/>
      <c r="AO20" s="716"/>
      <c r="AP20" s="716"/>
      <c r="AQ20" s="721"/>
      <c r="AR20" s="676"/>
      <c r="AS20" s="537" t="b">
        <f t="array" ref="AS20">AND(D20:AQ20=inp_used,A20=inp_used_usersel)</f>
        <v>0</v>
      </c>
      <c r="AT20" s="674" t="b">
        <f t="array" ref="AT20">AND(D20:G20=inp_used_minimal,A20=inp_used_usersel)</f>
        <v>0</v>
      </c>
    </row>
    <row r="21" spans="1:49" s="674" customFormat="1">
      <c r="A21" s="674">
        <v>1</v>
      </c>
      <c r="B21" s="716">
        <v>2</v>
      </c>
      <c r="C21" s="723">
        <v>5</v>
      </c>
      <c r="D21" s="682">
        <v>2.1520000000000001</v>
      </c>
      <c r="E21" s="716" t="s">
        <v>226</v>
      </c>
      <c r="F21" s="684">
        <v>0.81899999999999995</v>
      </c>
      <c r="G21" s="721" t="s">
        <v>226</v>
      </c>
      <c r="H21" s="715"/>
      <c r="I21" s="716"/>
      <c r="J21" s="717"/>
      <c r="K21" s="716"/>
      <c r="L21" s="716"/>
      <c r="M21" s="716"/>
      <c r="N21" s="715"/>
      <c r="O21" s="684"/>
      <c r="P21" s="716"/>
      <c r="Q21" s="716"/>
      <c r="R21" s="715"/>
      <c r="S21" s="718"/>
      <c r="T21" s="718"/>
      <c r="U21" s="718"/>
      <c r="V21" s="719"/>
      <c r="W21" s="682"/>
      <c r="X21" s="684"/>
      <c r="Y21" s="684"/>
      <c r="Z21" s="715"/>
      <c r="AA21" s="684"/>
      <c r="AB21" s="684"/>
      <c r="AC21" s="716"/>
      <c r="AD21" s="684"/>
      <c r="AE21" s="715"/>
      <c r="AF21" s="716"/>
      <c r="AG21" s="720"/>
      <c r="AH21" s="684"/>
      <c r="AI21" s="716"/>
      <c r="AJ21" s="716"/>
      <c r="AK21" s="716"/>
      <c r="AL21" s="715"/>
      <c r="AM21" s="716"/>
      <c r="AN21" s="716"/>
      <c r="AO21" s="716"/>
      <c r="AP21" s="716"/>
      <c r="AQ21" s="721"/>
      <c r="AR21" s="676"/>
      <c r="AS21" s="537" t="b">
        <f t="array" ref="AS21">AND(D21:AQ21=inp_used,A21=inp_used_usersel)</f>
        <v>0</v>
      </c>
      <c r="AT21" s="674" t="b">
        <f t="array" ref="AT21">AND(D21:G21=inp_used_minimal,A21=inp_used_usersel)</f>
        <v>0</v>
      </c>
    </row>
    <row r="22" spans="1:49" s="674" customFormat="1">
      <c r="A22" s="674">
        <v>1</v>
      </c>
      <c r="B22" s="716">
        <v>2</v>
      </c>
      <c r="C22" s="723">
        <v>6</v>
      </c>
      <c r="D22" s="682">
        <v>7.3650000000000002</v>
      </c>
      <c r="E22" s="716" t="s">
        <v>226</v>
      </c>
      <c r="F22" s="684">
        <v>3.2</v>
      </c>
      <c r="G22" s="721" t="s">
        <v>226</v>
      </c>
      <c r="H22" s="715"/>
      <c r="I22" s="716"/>
      <c r="J22" s="717"/>
      <c r="K22" s="716"/>
      <c r="L22" s="716"/>
      <c r="M22" s="716"/>
      <c r="N22" s="715"/>
      <c r="O22" s="684"/>
      <c r="P22" s="716"/>
      <c r="Q22" s="716"/>
      <c r="R22" s="715"/>
      <c r="S22" s="718"/>
      <c r="T22" s="718"/>
      <c r="U22" s="718"/>
      <c r="V22" s="719"/>
      <c r="W22" s="682"/>
      <c r="X22" s="718"/>
      <c r="Y22" s="684"/>
      <c r="Z22" s="715"/>
      <c r="AA22" s="684"/>
      <c r="AB22" s="684"/>
      <c r="AC22" s="716"/>
      <c r="AD22" s="684"/>
      <c r="AE22" s="715"/>
      <c r="AF22" s="716"/>
      <c r="AG22" s="720"/>
      <c r="AH22" s="684"/>
      <c r="AI22" s="716"/>
      <c r="AJ22" s="716"/>
      <c r="AK22" s="716"/>
      <c r="AL22" s="715"/>
      <c r="AM22" s="716"/>
      <c r="AN22" s="716"/>
      <c r="AO22" s="716"/>
      <c r="AP22" s="716"/>
      <c r="AQ22" s="721"/>
      <c r="AR22" s="676"/>
      <c r="AS22" s="537" t="b">
        <f t="array" ref="AS22">AND(D22:AQ22=inp_used,A22=inp_used_usersel)</f>
        <v>0</v>
      </c>
      <c r="AT22" s="674" t="b">
        <f t="array" ref="AT22">AND(D22:G22=inp_used_minimal,A22=inp_used_usersel)</f>
        <v>0</v>
      </c>
    </row>
    <row r="23" spans="1:49" s="674" customFormat="1">
      <c r="A23" s="674">
        <v>1</v>
      </c>
      <c r="B23" s="716">
        <v>2</v>
      </c>
      <c r="C23" s="723">
        <v>7</v>
      </c>
      <c r="D23" s="682">
        <v>22.614000000000001</v>
      </c>
      <c r="E23" s="716" t="s">
        <v>226</v>
      </c>
      <c r="F23" s="684">
        <v>11.066000000000001</v>
      </c>
      <c r="G23" s="721" t="s">
        <v>226</v>
      </c>
      <c r="H23" s="715"/>
      <c r="I23" s="716"/>
      <c r="J23" s="717"/>
      <c r="K23" s="716"/>
      <c r="L23" s="716"/>
      <c r="M23" s="716"/>
      <c r="N23" s="715"/>
      <c r="O23" s="684"/>
      <c r="P23" s="716"/>
      <c r="Q23" s="716"/>
      <c r="R23" s="715"/>
      <c r="S23" s="718"/>
      <c r="T23" s="718"/>
      <c r="U23" s="718"/>
      <c r="V23" s="719"/>
      <c r="W23" s="682"/>
      <c r="X23" s="684"/>
      <c r="Y23" s="684"/>
      <c r="Z23" s="715"/>
      <c r="AA23" s="684"/>
      <c r="AB23" s="684"/>
      <c r="AC23" s="716"/>
      <c r="AD23" s="684"/>
      <c r="AE23" s="715"/>
      <c r="AF23" s="716"/>
      <c r="AG23" s="720"/>
      <c r="AH23" s="684"/>
      <c r="AI23" s="716"/>
      <c r="AJ23" s="716"/>
      <c r="AK23" s="716"/>
      <c r="AL23" s="715"/>
      <c r="AM23" s="716"/>
      <c r="AN23" s="716"/>
      <c r="AO23" s="716"/>
      <c r="AP23" s="716"/>
      <c r="AQ23" s="721"/>
      <c r="AR23" s="676"/>
      <c r="AS23" s="537" t="b">
        <f t="array" ref="AS23">AND(D23:AQ23=inp_used,A23=inp_used_usersel)</f>
        <v>0</v>
      </c>
      <c r="AT23" s="674" t="b">
        <f t="array" ref="AT23">AND(D23:G23=inp_used_minimal,A23=inp_used_usersel)</f>
        <v>0</v>
      </c>
    </row>
    <row r="24" spans="1:49" s="674" customFormat="1">
      <c r="A24" s="724">
        <v>1</v>
      </c>
      <c r="B24" s="724">
        <v>2</v>
      </c>
      <c r="C24" s="712">
        <v>8</v>
      </c>
      <c r="D24" s="725">
        <v>75.072000000000003</v>
      </c>
      <c r="E24" s="724" t="s">
        <v>226</v>
      </c>
      <c r="F24" s="726">
        <v>37.536000000000001</v>
      </c>
      <c r="G24" s="729" t="s">
        <v>226</v>
      </c>
      <c r="H24" s="727"/>
      <c r="I24" s="724"/>
      <c r="J24" s="728"/>
      <c r="K24" s="724"/>
      <c r="L24" s="724"/>
      <c r="M24" s="729"/>
      <c r="N24" s="727"/>
      <c r="O24" s="726"/>
      <c r="P24" s="724"/>
      <c r="Q24" s="729"/>
      <c r="R24" s="727"/>
      <c r="S24" s="732"/>
      <c r="T24" s="732"/>
      <c r="U24" s="732"/>
      <c r="V24" s="733"/>
      <c r="W24" s="725"/>
      <c r="X24" s="726"/>
      <c r="Y24" s="726"/>
      <c r="Z24" s="727"/>
      <c r="AA24" s="726"/>
      <c r="AB24" s="726"/>
      <c r="AC24" s="724"/>
      <c r="AD24" s="726"/>
      <c r="AE24" s="727"/>
      <c r="AF24" s="724"/>
      <c r="AG24" s="734"/>
      <c r="AH24" s="726"/>
      <c r="AI24" s="724"/>
      <c r="AJ24" s="724"/>
      <c r="AK24" s="729"/>
      <c r="AL24" s="727"/>
      <c r="AM24" s="724"/>
      <c r="AN24" s="724"/>
      <c r="AO24" s="724"/>
      <c r="AP24" s="724"/>
      <c r="AQ24" s="729"/>
      <c r="AR24" s="676"/>
      <c r="AS24" s="537" t="b">
        <f t="array" ref="AS24">AND(D24:AQ24=inp_used,A24=inp_used_usersel)</f>
        <v>0</v>
      </c>
      <c r="AT24" s="674" t="b">
        <f t="array" ref="AT24">AND(D24:G24=inp_used_minimal,A24=inp_used_usersel)</f>
        <v>0</v>
      </c>
    </row>
    <row r="25" spans="1:49">
      <c r="A25" s="674">
        <v>2</v>
      </c>
      <c r="B25" s="674">
        <v>1</v>
      </c>
      <c r="C25" s="674">
        <v>1</v>
      </c>
      <c r="D25" s="715">
        <v>0.03</v>
      </c>
      <c r="E25" s="716" t="s">
        <v>226</v>
      </c>
      <c r="F25" s="684">
        <v>7.0000000000000001E-3</v>
      </c>
      <c r="G25" s="716" t="s">
        <v>226</v>
      </c>
      <c r="H25" s="715" t="s">
        <v>3262</v>
      </c>
      <c r="I25" s="716" t="s">
        <v>440</v>
      </c>
      <c r="J25" s="717">
        <v>12</v>
      </c>
      <c r="K25" s="716"/>
      <c r="L25" s="716"/>
      <c r="M25" s="716"/>
      <c r="N25" s="715" t="s">
        <v>232</v>
      </c>
      <c r="O25" s="716">
        <v>15</v>
      </c>
      <c r="P25" s="716"/>
      <c r="Q25" s="716"/>
      <c r="R25" s="715">
        <v>3</v>
      </c>
      <c r="S25" s="718">
        <v>2.9</v>
      </c>
      <c r="T25" s="716" t="s">
        <v>2139</v>
      </c>
      <c r="U25" s="718">
        <v>5</v>
      </c>
      <c r="V25" s="719">
        <v>2.5</v>
      </c>
      <c r="W25" s="718"/>
      <c r="X25" s="718"/>
      <c r="Y25" s="718"/>
      <c r="Z25" s="715">
        <v>48</v>
      </c>
      <c r="AA25" s="684" t="s">
        <v>2140</v>
      </c>
      <c r="AB25" s="720" t="s">
        <v>539</v>
      </c>
      <c r="AC25" s="716" t="s">
        <v>541</v>
      </c>
      <c r="AD25" s="723"/>
      <c r="AE25" s="715"/>
      <c r="AF25" s="716"/>
      <c r="AG25" s="720"/>
      <c r="AH25" s="684"/>
      <c r="AI25" s="716"/>
      <c r="AJ25" s="716"/>
      <c r="AK25" s="716"/>
      <c r="AL25" s="715"/>
      <c r="AM25" s="716"/>
      <c r="AN25" s="716"/>
      <c r="AO25" s="716"/>
      <c r="AP25" s="716"/>
      <c r="AQ25" s="721"/>
      <c r="AR25" s="676" t="s">
        <v>179</v>
      </c>
      <c r="AS25" s="537" t="b">
        <f t="array" ref="AS25">AND(D25:AQ25=inp_used,A25=inp_used_usersel)</f>
        <v>0</v>
      </c>
      <c r="AT25" s="674" t="b">
        <f t="array" ref="AT25">AND(D25:G25=inp_used_minimal,A25=inp_used_usersel)</f>
        <v>0</v>
      </c>
      <c r="AV25" s="674" t="b">
        <f t="shared" ref="AV25:AW32" si="1">CHOOSE(design_type,AS25,AS33)</f>
        <v>0</v>
      </c>
      <c r="AW25" s="674" t="b">
        <f t="shared" si="1"/>
        <v>0</v>
      </c>
    </row>
    <row r="26" spans="1:49">
      <c r="A26" s="674">
        <v>2</v>
      </c>
      <c r="B26" s="674">
        <v>1</v>
      </c>
      <c r="C26" s="674">
        <v>2</v>
      </c>
      <c r="D26" s="715">
        <v>0.124</v>
      </c>
      <c r="E26" s="716" t="s">
        <v>226</v>
      </c>
      <c r="F26" s="684">
        <v>3.5000000000000003E-2</v>
      </c>
      <c r="G26" s="716" t="s">
        <v>226</v>
      </c>
      <c r="H26" s="715" t="s">
        <v>3263</v>
      </c>
      <c r="I26" s="716" t="s">
        <v>440</v>
      </c>
      <c r="J26" s="716">
        <v>12</v>
      </c>
      <c r="K26" s="716"/>
      <c r="L26" s="716"/>
      <c r="M26" s="716"/>
      <c r="N26" s="715" t="s">
        <v>232</v>
      </c>
      <c r="O26" s="716">
        <v>15</v>
      </c>
      <c r="P26" s="716"/>
      <c r="Q26" s="716"/>
      <c r="R26" s="715">
        <v>3</v>
      </c>
      <c r="S26" s="722">
        <v>6</v>
      </c>
      <c r="T26" s="716" t="s">
        <v>2139</v>
      </c>
      <c r="U26" s="716">
        <v>9.5</v>
      </c>
      <c r="V26" s="721">
        <v>3.5</v>
      </c>
      <c r="W26" s="718"/>
      <c r="X26" s="718"/>
      <c r="Y26" s="718"/>
      <c r="Z26" s="715">
        <v>48</v>
      </c>
      <c r="AA26" s="684" t="s">
        <v>2140</v>
      </c>
      <c r="AB26" s="720" t="s">
        <v>540</v>
      </c>
      <c r="AC26" s="716" t="s">
        <v>541</v>
      </c>
      <c r="AD26" s="723" t="s">
        <v>542</v>
      </c>
      <c r="AE26" s="715"/>
      <c r="AF26" s="716"/>
      <c r="AG26" s="720"/>
      <c r="AH26" s="684"/>
      <c r="AI26" s="716"/>
      <c r="AJ26" s="716"/>
      <c r="AK26" s="716"/>
      <c r="AL26" s="715"/>
      <c r="AM26" s="716"/>
      <c r="AN26" s="716"/>
      <c r="AO26" s="716"/>
      <c r="AP26" s="716"/>
      <c r="AQ26" s="721"/>
      <c r="AS26" s="537" t="b">
        <f t="array" ref="AS26">AND(D26:AQ26=inp_used,A26=inp_used_usersel)</f>
        <v>0</v>
      </c>
      <c r="AT26" s="674" t="b">
        <f t="array" ref="AT26">AND(D26:G26=inp_used_minimal,A26=inp_used_usersel)</f>
        <v>0</v>
      </c>
      <c r="AV26" s="674" t="b">
        <f t="shared" si="1"/>
        <v>0</v>
      </c>
      <c r="AW26" s="674" t="b">
        <f t="shared" si="1"/>
        <v>0</v>
      </c>
    </row>
    <row r="27" spans="1:49">
      <c r="A27" s="674">
        <v>2</v>
      </c>
      <c r="B27" s="674">
        <v>1</v>
      </c>
      <c r="C27" s="674">
        <v>3</v>
      </c>
      <c r="D27" s="715">
        <v>0.30499999999999999</v>
      </c>
      <c r="E27" s="716" t="s">
        <v>226</v>
      </c>
      <c r="F27" s="684">
        <v>9.4E-2</v>
      </c>
      <c r="G27" s="716" t="s">
        <v>226</v>
      </c>
      <c r="H27" s="715" t="s">
        <v>3263</v>
      </c>
      <c r="I27" s="716" t="s">
        <v>440</v>
      </c>
      <c r="J27" s="716">
        <v>12</v>
      </c>
      <c r="K27" s="716"/>
      <c r="L27" s="716"/>
      <c r="M27" s="716"/>
      <c r="N27" s="715" t="s">
        <v>232</v>
      </c>
      <c r="O27" s="716">
        <v>15</v>
      </c>
      <c r="P27" s="716"/>
      <c r="Q27" s="716"/>
      <c r="R27" s="715">
        <v>3</v>
      </c>
      <c r="S27" s="722">
        <v>6</v>
      </c>
      <c r="T27" s="716" t="s">
        <v>2139</v>
      </c>
      <c r="U27" s="716">
        <v>9.5</v>
      </c>
      <c r="V27" s="721">
        <v>5.5</v>
      </c>
      <c r="W27" s="718"/>
      <c r="X27" s="718"/>
      <c r="Y27" s="718"/>
      <c r="Z27" s="715">
        <v>48</v>
      </c>
      <c r="AA27" s="684" t="s">
        <v>2140</v>
      </c>
      <c r="AB27" s="720" t="s">
        <v>540</v>
      </c>
      <c r="AC27" s="716" t="s">
        <v>2725</v>
      </c>
      <c r="AD27" s="723" t="s">
        <v>542</v>
      </c>
      <c r="AE27" s="715"/>
      <c r="AF27" s="716"/>
      <c r="AG27" s="720"/>
      <c r="AH27" s="684"/>
      <c r="AI27" s="716"/>
      <c r="AJ27" s="716"/>
      <c r="AK27" s="716"/>
      <c r="AL27" s="715"/>
      <c r="AM27" s="716"/>
      <c r="AN27" s="716"/>
      <c r="AO27" s="716"/>
      <c r="AP27" s="716"/>
      <c r="AQ27" s="721"/>
      <c r="AS27" s="537" t="b">
        <f t="array" ref="AS27">AND(D27:AQ27=inp_used,A27=inp_used_usersel)</f>
        <v>0</v>
      </c>
      <c r="AT27" s="674" t="b">
        <f t="array" ref="AT27">AND(D27:G27=inp_used_minimal,A27=inp_used_usersel)</f>
        <v>0</v>
      </c>
      <c r="AV27" s="674" t="b">
        <f t="shared" si="1"/>
        <v>0</v>
      </c>
      <c r="AW27" s="674" t="b">
        <f t="shared" si="1"/>
        <v>0</v>
      </c>
    </row>
    <row r="28" spans="1:49">
      <c r="A28" s="674">
        <v>2</v>
      </c>
      <c r="B28" s="674">
        <v>1</v>
      </c>
      <c r="C28" s="674">
        <v>4</v>
      </c>
      <c r="D28" s="715">
        <v>0.74</v>
      </c>
      <c r="E28" s="716" t="s">
        <v>226</v>
      </c>
      <c r="F28" s="684">
        <v>0.251</v>
      </c>
      <c r="G28" s="716" t="s">
        <v>226</v>
      </c>
      <c r="H28" s="715" t="s">
        <v>3263</v>
      </c>
      <c r="I28" s="716" t="s">
        <v>440</v>
      </c>
      <c r="J28" s="716">
        <v>12</v>
      </c>
      <c r="K28" s="716"/>
      <c r="L28" s="716"/>
      <c r="M28" s="716"/>
      <c r="N28" s="715" t="s">
        <v>232</v>
      </c>
      <c r="O28" s="716">
        <v>15</v>
      </c>
      <c r="P28" s="716"/>
      <c r="Q28" s="716"/>
      <c r="R28" s="715">
        <v>3</v>
      </c>
      <c r="S28" s="722">
        <v>6.1</v>
      </c>
      <c r="T28" s="716" t="s">
        <v>2139</v>
      </c>
      <c r="U28" s="716">
        <v>10</v>
      </c>
      <c r="V28" s="721">
        <v>8.5</v>
      </c>
      <c r="W28" s="718"/>
      <c r="X28" s="718"/>
      <c r="Y28" s="718"/>
      <c r="Z28" s="715">
        <v>48</v>
      </c>
      <c r="AA28" s="684" t="s">
        <v>2140</v>
      </c>
      <c r="AB28" s="720" t="s">
        <v>540</v>
      </c>
      <c r="AC28" s="716" t="s">
        <v>2725</v>
      </c>
      <c r="AD28" s="723" t="s">
        <v>542</v>
      </c>
      <c r="AE28" s="715"/>
      <c r="AF28" s="716"/>
      <c r="AG28" s="720"/>
      <c r="AH28" s="684"/>
      <c r="AI28" s="716"/>
      <c r="AJ28" s="716"/>
      <c r="AK28" s="716"/>
      <c r="AL28" s="715"/>
      <c r="AM28" s="716"/>
      <c r="AN28" s="716"/>
      <c r="AO28" s="716"/>
      <c r="AP28" s="716"/>
      <c r="AQ28" s="721"/>
      <c r="AS28" s="537" t="b">
        <f t="array" ref="AS28">AND(D28:AQ28=inp_used,A28=inp_used_usersel)</f>
        <v>0</v>
      </c>
      <c r="AT28" s="674" t="b">
        <f t="array" ref="AT28">AND(D28:G28=inp_used_minimal,A28=inp_used_usersel)</f>
        <v>0</v>
      </c>
      <c r="AV28" s="674" t="b">
        <f t="shared" si="1"/>
        <v>0</v>
      </c>
      <c r="AW28" s="674" t="b">
        <f t="shared" si="1"/>
        <v>0</v>
      </c>
    </row>
    <row r="29" spans="1:49" s="674" customFormat="1">
      <c r="A29" s="674">
        <v>2</v>
      </c>
      <c r="B29" s="674">
        <v>1</v>
      </c>
      <c r="C29" s="537">
        <v>5</v>
      </c>
      <c r="D29" s="682">
        <v>2.1520000000000001</v>
      </c>
      <c r="E29" s="716" t="s">
        <v>226</v>
      </c>
      <c r="F29" s="684">
        <v>0.81899999999999995</v>
      </c>
      <c r="G29" s="716" t="s">
        <v>226</v>
      </c>
      <c r="H29" s="715" t="s">
        <v>3263</v>
      </c>
      <c r="I29" s="716" t="s">
        <v>440</v>
      </c>
      <c r="J29" s="684">
        <v>12</v>
      </c>
      <c r="K29" s="716"/>
      <c r="L29" s="716"/>
      <c r="M29" s="716"/>
      <c r="N29" s="715" t="s">
        <v>232</v>
      </c>
      <c r="O29" s="716">
        <v>15</v>
      </c>
      <c r="P29" s="716"/>
      <c r="Q29" s="716"/>
      <c r="R29" s="715">
        <v>3</v>
      </c>
      <c r="S29" s="722">
        <v>6.5</v>
      </c>
      <c r="T29" s="716" t="s">
        <v>2139</v>
      </c>
      <c r="U29" s="718">
        <v>10.5</v>
      </c>
      <c r="V29" s="719">
        <v>14</v>
      </c>
      <c r="W29" s="718"/>
      <c r="X29" s="718"/>
      <c r="Y29" s="718"/>
      <c r="Z29" s="715">
        <v>48</v>
      </c>
      <c r="AA29" s="684" t="s">
        <v>2140</v>
      </c>
      <c r="AB29" s="720" t="s">
        <v>540</v>
      </c>
      <c r="AC29" s="716" t="s">
        <v>2725</v>
      </c>
      <c r="AD29" s="723" t="s">
        <v>542</v>
      </c>
      <c r="AE29" s="715"/>
      <c r="AF29" s="684"/>
      <c r="AG29" s="716"/>
      <c r="AH29" s="684"/>
      <c r="AI29" s="716"/>
      <c r="AJ29" s="716"/>
      <c r="AK29" s="716"/>
      <c r="AL29" s="715"/>
      <c r="AM29" s="716"/>
      <c r="AN29" s="716"/>
      <c r="AO29" s="716"/>
      <c r="AP29" s="716"/>
      <c r="AQ29" s="721"/>
      <c r="AR29" s="676"/>
      <c r="AS29" s="537" t="b">
        <f t="array" ref="AS29">AND(D29:AQ29=inp_used,A29=inp_used_usersel)</f>
        <v>0</v>
      </c>
      <c r="AT29" s="674" t="b">
        <f t="array" ref="AT29">AND(D29:G29=inp_used_minimal,A29=inp_used_usersel)</f>
        <v>0</v>
      </c>
      <c r="AV29" s="674" t="b">
        <f t="shared" si="1"/>
        <v>0</v>
      </c>
      <c r="AW29" s="674" t="b">
        <f t="shared" si="1"/>
        <v>0</v>
      </c>
    </row>
    <row r="30" spans="1:49" s="674" customFormat="1">
      <c r="A30" s="674">
        <v>2</v>
      </c>
      <c r="B30" s="674">
        <v>1</v>
      </c>
      <c r="C30" s="537">
        <v>6</v>
      </c>
      <c r="D30" s="682">
        <v>7.3650000000000002</v>
      </c>
      <c r="E30" s="716" t="s">
        <v>226</v>
      </c>
      <c r="F30" s="684">
        <v>3.2</v>
      </c>
      <c r="G30" s="716" t="s">
        <v>226</v>
      </c>
      <c r="H30" s="715" t="s">
        <v>3263</v>
      </c>
      <c r="I30" s="716" t="s">
        <v>440</v>
      </c>
      <c r="J30" s="684">
        <v>12</v>
      </c>
      <c r="K30" s="716"/>
      <c r="L30" s="716"/>
      <c r="M30" s="716"/>
      <c r="N30" s="715" t="s">
        <v>232</v>
      </c>
      <c r="O30" s="716">
        <v>15</v>
      </c>
      <c r="P30" s="716"/>
      <c r="Q30" s="716"/>
      <c r="R30" s="715">
        <v>3</v>
      </c>
      <c r="S30" s="722">
        <v>6.5</v>
      </c>
      <c r="T30" s="716" t="s">
        <v>2139</v>
      </c>
      <c r="U30" s="718">
        <v>10.5</v>
      </c>
      <c r="V30" s="721">
        <v>13</v>
      </c>
      <c r="W30" s="718"/>
      <c r="X30" s="718"/>
      <c r="Y30" s="718"/>
      <c r="Z30" s="715">
        <v>48</v>
      </c>
      <c r="AA30" s="684" t="s">
        <v>2140</v>
      </c>
      <c r="AB30" s="720" t="s">
        <v>540</v>
      </c>
      <c r="AC30" s="716" t="s">
        <v>2725</v>
      </c>
      <c r="AD30" s="723" t="s">
        <v>542</v>
      </c>
      <c r="AE30" s="715"/>
      <c r="AF30" s="684"/>
      <c r="AG30" s="716"/>
      <c r="AH30" s="684"/>
      <c r="AI30" s="716"/>
      <c r="AJ30" s="716"/>
      <c r="AK30" s="716"/>
      <c r="AL30" s="715"/>
      <c r="AM30" s="716"/>
      <c r="AN30" s="716"/>
      <c r="AO30" s="716"/>
      <c r="AP30" s="716"/>
      <c r="AQ30" s="721"/>
      <c r="AR30" s="676"/>
      <c r="AS30" s="537" t="b">
        <f t="array" ref="AS30">AND(D30:AQ30=inp_used,A30=inp_used_usersel)</f>
        <v>0</v>
      </c>
      <c r="AT30" s="674" t="b">
        <f t="array" ref="AT30">AND(D30:G30=inp_used_minimal,A30=inp_used_usersel)</f>
        <v>0</v>
      </c>
      <c r="AV30" s="674" t="b">
        <f t="shared" si="1"/>
        <v>0</v>
      </c>
      <c r="AW30" s="674" t="b">
        <f t="shared" si="1"/>
        <v>0</v>
      </c>
    </row>
    <row r="31" spans="1:49" s="674" customFormat="1">
      <c r="A31" s="674">
        <v>2</v>
      </c>
      <c r="B31" s="674">
        <v>1</v>
      </c>
      <c r="C31" s="537">
        <v>7</v>
      </c>
      <c r="D31" s="682">
        <v>22.614000000000001</v>
      </c>
      <c r="E31" s="716" t="s">
        <v>226</v>
      </c>
      <c r="F31" s="684">
        <v>11.066000000000001</v>
      </c>
      <c r="G31" s="716" t="s">
        <v>226</v>
      </c>
      <c r="H31" s="715" t="s">
        <v>3263</v>
      </c>
      <c r="I31" s="716" t="s">
        <v>440</v>
      </c>
      <c r="J31" s="684">
        <v>12</v>
      </c>
      <c r="K31" s="716"/>
      <c r="L31" s="716"/>
      <c r="M31" s="716"/>
      <c r="N31" s="715" t="s">
        <v>232</v>
      </c>
      <c r="O31" s="716">
        <v>15</v>
      </c>
      <c r="P31" s="716"/>
      <c r="Q31" s="716"/>
      <c r="R31" s="715">
        <v>3</v>
      </c>
      <c r="S31" s="722">
        <v>6.7</v>
      </c>
      <c r="T31" s="716" t="s">
        <v>2139</v>
      </c>
      <c r="U31" s="718">
        <v>11</v>
      </c>
      <c r="V31" s="719">
        <v>13.5</v>
      </c>
      <c r="W31" s="718"/>
      <c r="X31" s="718"/>
      <c r="Y31" s="718"/>
      <c r="Z31" s="715">
        <v>48</v>
      </c>
      <c r="AA31" s="684" t="s">
        <v>2140</v>
      </c>
      <c r="AB31" s="720" t="s">
        <v>540</v>
      </c>
      <c r="AC31" s="716" t="s">
        <v>2725</v>
      </c>
      <c r="AD31" s="723" t="s">
        <v>542</v>
      </c>
      <c r="AE31" s="715"/>
      <c r="AF31" s="684"/>
      <c r="AG31" s="716"/>
      <c r="AH31" s="684"/>
      <c r="AI31" s="716"/>
      <c r="AJ31" s="716"/>
      <c r="AK31" s="716"/>
      <c r="AL31" s="715"/>
      <c r="AM31" s="716"/>
      <c r="AN31" s="716"/>
      <c r="AO31" s="716"/>
      <c r="AP31" s="716"/>
      <c r="AQ31" s="721"/>
      <c r="AR31" s="676"/>
      <c r="AS31" s="537" t="b">
        <f t="array" ref="AS31">AND(D31:AQ31=inp_used,A31=inp_used_usersel)</f>
        <v>0</v>
      </c>
      <c r="AT31" s="674" t="b">
        <f t="array" ref="AT31">AND(D31:G31=inp_used_minimal,A31=inp_used_usersel)</f>
        <v>0</v>
      </c>
      <c r="AV31" s="674" t="b">
        <f t="shared" si="1"/>
        <v>0</v>
      </c>
      <c r="AW31" s="674" t="b">
        <f t="shared" si="1"/>
        <v>0</v>
      </c>
    </row>
    <row r="32" spans="1:49" s="674" customFormat="1">
      <c r="A32" s="724">
        <v>2</v>
      </c>
      <c r="B32" s="724">
        <v>1</v>
      </c>
      <c r="C32" s="726">
        <v>8</v>
      </c>
      <c r="D32" s="725">
        <v>75.072000000000003</v>
      </c>
      <c r="E32" s="724" t="s">
        <v>226</v>
      </c>
      <c r="F32" s="726">
        <v>37.536000000000001</v>
      </c>
      <c r="G32" s="724" t="s">
        <v>226</v>
      </c>
      <c r="H32" s="727" t="s">
        <v>3263</v>
      </c>
      <c r="I32" s="724" t="s">
        <v>440</v>
      </c>
      <c r="J32" s="726">
        <v>12</v>
      </c>
      <c r="K32" s="724"/>
      <c r="L32" s="724"/>
      <c r="M32" s="729"/>
      <c r="N32" s="727" t="s">
        <v>232</v>
      </c>
      <c r="O32" s="724">
        <v>15</v>
      </c>
      <c r="P32" s="724"/>
      <c r="Q32" s="729"/>
      <c r="R32" s="727">
        <v>3</v>
      </c>
      <c r="S32" s="730">
        <v>6.6</v>
      </c>
      <c r="T32" s="724" t="s">
        <v>3284</v>
      </c>
      <c r="U32" s="724">
        <v>21</v>
      </c>
      <c r="V32" s="729">
        <v>14</v>
      </c>
      <c r="W32" s="731"/>
      <c r="X32" s="732"/>
      <c r="Y32" s="733"/>
      <c r="Z32" s="727">
        <v>48</v>
      </c>
      <c r="AA32" s="726" t="s">
        <v>2140</v>
      </c>
      <c r="AB32" s="734" t="s">
        <v>540</v>
      </c>
      <c r="AC32" s="724" t="s">
        <v>2725</v>
      </c>
      <c r="AD32" s="712" t="s">
        <v>542</v>
      </c>
      <c r="AE32" s="727"/>
      <c r="AF32" s="726"/>
      <c r="AG32" s="724"/>
      <c r="AH32" s="726"/>
      <c r="AI32" s="724"/>
      <c r="AJ32" s="724"/>
      <c r="AK32" s="729"/>
      <c r="AL32" s="727"/>
      <c r="AM32" s="724"/>
      <c r="AN32" s="724"/>
      <c r="AO32" s="724"/>
      <c r="AP32" s="724"/>
      <c r="AQ32" s="729"/>
      <c r="AR32" s="740"/>
      <c r="AS32" s="684" t="b">
        <f t="array" ref="AS32">AND(D32:AQ32=inp_used,A32=inp_used_usersel)</f>
        <v>0</v>
      </c>
      <c r="AT32" s="716" t="b">
        <f t="array" ref="AT32">AND(D32:G32=inp_used_minimal,A32=inp_used_usersel)</f>
        <v>0</v>
      </c>
      <c r="AV32" s="674" t="b">
        <f t="shared" si="1"/>
        <v>0</v>
      </c>
      <c r="AW32" s="674" t="b">
        <f t="shared" si="1"/>
        <v>0</v>
      </c>
    </row>
    <row r="33" spans="1:49" s="674" customFormat="1">
      <c r="A33" s="674">
        <v>2</v>
      </c>
      <c r="B33" s="735">
        <v>2</v>
      </c>
      <c r="C33" s="674">
        <v>1</v>
      </c>
      <c r="D33" s="715">
        <v>0.03</v>
      </c>
      <c r="E33" s="716" t="s">
        <v>226</v>
      </c>
      <c r="F33" s="684">
        <v>7.0000000000000001E-3</v>
      </c>
      <c r="G33" s="716" t="s">
        <v>226</v>
      </c>
      <c r="H33" s="715" t="s">
        <v>3262</v>
      </c>
      <c r="I33" s="716" t="s">
        <v>440</v>
      </c>
      <c r="J33" s="717">
        <v>12</v>
      </c>
      <c r="K33" s="716"/>
      <c r="L33" s="716"/>
      <c r="M33" s="716"/>
      <c r="N33" s="715" t="s">
        <v>232</v>
      </c>
      <c r="O33" s="716">
        <v>15</v>
      </c>
      <c r="P33" s="716"/>
      <c r="Q33" s="716"/>
      <c r="R33" s="737"/>
      <c r="S33" s="738"/>
      <c r="T33" s="738"/>
      <c r="U33" s="738"/>
      <c r="V33" s="739"/>
      <c r="W33" s="682">
        <v>6</v>
      </c>
      <c r="X33" s="684">
        <v>6</v>
      </c>
      <c r="Y33" s="684">
        <v>3</v>
      </c>
      <c r="Z33" s="715">
        <v>48</v>
      </c>
      <c r="AA33" s="684" t="s">
        <v>2140</v>
      </c>
      <c r="AB33" s="684" t="s">
        <v>2996</v>
      </c>
      <c r="AC33" s="716" t="s">
        <v>541</v>
      </c>
      <c r="AD33" s="684" t="s">
        <v>542</v>
      </c>
      <c r="AE33" s="715"/>
      <c r="AF33" s="716"/>
      <c r="AG33" s="720"/>
      <c r="AH33" s="684"/>
      <c r="AI33" s="716"/>
      <c r="AJ33" s="716"/>
      <c r="AK33" s="716"/>
      <c r="AL33" s="715"/>
      <c r="AM33" s="716"/>
      <c r="AN33" s="716"/>
      <c r="AO33" s="716"/>
      <c r="AP33" s="716"/>
      <c r="AQ33" s="721"/>
      <c r="AR33" s="740" t="s">
        <v>180</v>
      </c>
      <c r="AS33" s="537" t="b">
        <f t="array" ref="AS33">AND(D33:AQ33=inp_used,A33=inp_used_usersel)</f>
        <v>0</v>
      </c>
      <c r="AT33" s="674" t="b">
        <f t="array" ref="AT33">AND(D33:G33=inp_used_minimal,A33=inp_used_usersel)</f>
        <v>0</v>
      </c>
    </row>
    <row r="34" spans="1:49" s="674" customFormat="1">
      <c r="A34" s="674">
        <v>2</v>
      </c>
      <c r="B34" s="716">
        <v>2</v>
      </c>
      <c r="C34" s="674">
        <v>2</v>
      </c>
      <c r="D34" s="715">
        <v>0.124</v>
      </c>
      <c r="E34" s="716" t="s">
        <v>226</v>
      </c>
      <c r="F34" s="684">
        <v>3.5000000000000003E-2</v>
      </c>
      <c r="G34" s="716" t="s">
        <v>226</v>
      </c>
      <c r="H34" s="715" t="s">
        <v>3263</v>
      </c>
      <c r="I34" s="716" t="s">
        <v>440</v>
      </c>
      <c r="J34" s="716">
        <v>12</v>
      </c>
      <c r="K34" s="716"/>
      <c r="L34" s="716"/>
      <c r="M34" s="716"/>
      <c r="N34" s="715" t="s">
        <v>232</v>
      </c>
      <c r="O34" s="716">
        <v>15</v>
      </c>
      <c r="P34" s="716"/>
      <c r="Q34" s="716"/>
      <c r="R34" s="715"/>
      <c r="S34" s="718"/>
      <c r="T34" s="718"/>
      <c r="U34" s="718"/>
      <c r="V34" s="719"/>
      <c r="W34" s="682">
        <v>6</v>
      </c>
      <c r="X34" s="684">
        <v>6</v>
      </c>
      <c r="Y34" s="684">
        <v>4.8</v>
      </c>
      <c r="Z34" s="715">
        <v>48</v>
      </c>
      <c r="AA34" s="684" t="s">
        <v>2140</v>
      </c>
      <c r="AB34" s="684" t="s">
        <v>2996</v>
      </c>
      <c r="AC34" s="716" t="s">
        <v>541</v>
      </c>
      <c r="AD34" s="684" t="s">
        <v>542</v>
      </c>
      <c r="AE34" s="715"/>
      <c r="AF34" s="716"/>
      <c r="AG34" s="720"/>
      <c r="AH34" s="684"/>
      <c r="AI34" s="716"/>
      <c r="AJ34" s="716"/>
      <c r="AK34" s="716"/>
      <c r="AL34" s="715"/>
      <c r="AM34" s="716"/>
      <c r="AN34" s="716"/>
      <c r="AO34" s="716"/>
      <c r="AP34" s="716"/>
      <c r="AQ34" s="721"/>
      <c r="AR34" s="740"/>
      <c r="AS34" s="537" t="b">
        <f t="array" ref="AS34">AND(D34:AQ34=inp_used,A34=inp_used_usersel)</f>
        <v>0</v>
      </c>
      <c r="AT34" s="674" t="b">
        <f t="array" ref="AT34">AND(D34:G34=inp_used_minimal,A34=inp_used_usersel)</f>
        <v>0</v>
      </c>
    </row>
    <row r="35" spans="1:49" s="674" customFormat="1">
      <c r="A35" s="674">
        <v>2</v>
      </c>
      <c r="B35" s="716">
        <v>2</v>
      </c>
      <c r="C35" s="674">
        <v>3</v>
      </c>
      <c r="D35" s="715">
        <v>0.30499999999999999</v>
      </c>
      <c r="E35" s="716" t="s">
        <v>226</v>
      </c>
      <c r="F35" s="684">
        <v>9.4E-2</v>
      </c>
      <c r="G35" s="716" t="s">
        <v>226</v>
      </c>
      <c r="H35" s="715" t="s">
        <v>3263</v>
      </c>
      <c r="I35" s="716" t="s">
        <v>440</v>
      </c>
      <c r="J35" s="716">
        <v>12</v>
      </c>
      <c r="K35" s="716"/>
      <c r="L35" s="716"/>
      <c r="M35" s="716"/>
      <c r="N35" s="715" t="s">
        <v>232</v>
      </c>
      <c r="O35" s="716">
        <v>15</v>
      </c>
      <c r="P35" s="716"/>
      <c r="Q35" s="716"/>
      <c r="R35" s="715"/>
      <c r="S35" s="718"/>
      <c r="T35" s="718"/>
      <c r="U35" s="718"/>
      <c r="V35" s="719"/>
      <c r="W35" s="682">
        <v>6</v>
      </c>
      <c r="X35" s="684">
        <v>6</v>
      </c>
      <c r="Y35" s="684">
        <v>5.9</v>
      </c>
      <c r="Z35" s="715">
        <v>48</v>
      </c>
      <c r="AA35" s="684" t="s">
        <v>2140</v>
      </c>
      <c r="AB35" s="684" t="s">
        <v>2996</v>
      </c>
      <c r="AC35" s="716" t="s">
        <v>2725</v>
      </c>
      <c r="AD35" s="684" t="s">
        <v>542</v>
      </c>
      <c r="AE35" s="715"/>
      <c r="AF35" s="716"/>
      <c r="AG35" s="720"/>
      <c r="AH35" s="684"/>
      <c r="AI35" s="716"/>
      <c r="AJ35" s="716"/>
      <c r="AK35" s="716"/>
      <c r="AL35" s="715"/>
      <c r="AM35" s="716"/>
      <c r="AN35" s="716"/>
      <c r="AO35" s="716"/>
      <c r="AP35" s="716"/>
      <c r="AQ35" s="721"/>
      <c r="AR35" s="740"/>
      <c r="AS35" s="537" t="b">
        <f t="array" ref="AS35">AND(D35:AQ35=inp_used,A35=inp_used_usersel)</f>
        <v>0</v>
      </c>
      <c r="AT35" s="674" t="b">
        <f t="array" ref="AT35">AND(D35:G35=inp_used_minimal,A35=inp_used_usersel)</f>
        <v>0</v>
      </c>
    </row>
    <row r="36" spans="1:49" s="674" customFormat="1">
      <c r="A36" s="674">
        <v>2</v>
      </c>
      <c r="B36" s="716">
        <v>2</v>
      </c>
      <c r="C36" s="674">
        <v>4</v>
      </c>
      <c r="D36" s="715">
        <v>0.74</v>
      </c>
      <c r="E36" s="716" t="s">
        <v>226</v>
      </c>
      <c r="F36" s="684">
        <v>0.251</v>
      </c>
      <c r="G36" s="716" t="s">
        <v>226</v>
      </c>
      <c r="H36" s="715" t="s">
        <v>3263</v>
      </c>
      <c r="I36" s="716" t="s">
        <v>440</v>
      </c>
      <c r="J36" s="716">
        <v>12</v>
      </c>
      <c r="K36" s="716"/>
      <c r="L36" s="716"/>
      <c r="M36" s="716"/>
      <c r="N36" s="715" t="s">
        <v>232</v>
      </c>
      <c r="O36" s="716">
        <v>15</v>
      </c>
      <c r="P36" s="716"/>
      <c r="Q36" s="716"/>
      <c r="R36" s="715"/>
      <c r="S36" s="718"/>
      <c r="T36" s="718"/>
      <c r="U36" s="718"/>
      <c r="V36" s="719"/>
      <c r="W36" s="682">
        <v>9.5</v>
      </c>
      <c r="X36" s="684">
        <v>9.5</v>
      </c>
      <c r="Y36" s="684">
        <v>5.8</v>
      </c>
      <c r="Z36" s="715">
        <v>48</v>
      </c>
      <c r="AA36" s="684" t="s">
        <v>2140</v>
      </c>
      <c r="AB36" s="684" t="s">
        <v>2996</v>
      </c>
      <c r="AC36" s="716" t="s">
        <v>2725</v>
      </c>
      <c r="AD36" s="684" t="s">
        <v>542</v>
      </c>
      <c r="AE36" s="715"/>
      <c r="AF36" s="716"/>
      <c r="AG36" s="720"/>
      <c r="AH36" s="684"/>
      <c r="AI36" s="716"/>
      <c r="AJ36" s="716"/>
      <c r="AK36" s="716"/>
      <c r="AL36" s="715"/>
      <c r="AM36" s="716"/>
      <c r="AN36" s="716"/>
      <c r="AO36" s="716"/>
      <c r="AP36" s="716"/>
      <c r="AQ36" s="721"/>
      <c r="AR36" s="740"/>
      <c r="AS36" s="537" t="b">
        <f t="array" ref="AS36">AND(D36:AQ36=inp_used,A36=inp_used_usersel)</f>
        <v>0</v>
      </c>
      <c r="AT36" s="674" t="b">
        <f t="array" ref="AT36">AND(D36:G36=inp_used_minimal,A36=inp_used_usersel)</f>
        <v>0</v>
      </c>
    </row>
    <row r="37" spans="1:49" s="674" customFormat="1">
      <c r="A37" s="674">
        <v>2</v>
      </c>
      <c r="B37" s="716">
        <v>2</v>
      </c>
      <c r="C37" s="537">
        <v>5</v>
      </c>
      <c r="D37" s="682">
        <v>2.1520000000000001</v>
      </c>
      <c r="E37" s="716" t="s">
        <v>226</v>
      </c>
      <c r="F37" s="684">
        <v>0.81899999999999995</v>
      </c>
      <c r="G37" s="716" t="s">
        <v>226</v>
      </c>
      <c r="H37" s="715" t="s">
        <v>3263</v>
      </c>
      <c r="I37" s="716" t="s">
        <v>440</v>
      </c>
      <c r="J37" s="684">
        <v>12</v>
      </c>
      <c r="K37" s="716"/>
      <c r="L37" s="716"/>
      <c r="M37" s="716"/>
      <c r="N37" s="715" t="s">
        <v>232</v>
      </c>
      <c r="O37" s="716">
        <v>15</v>
      </c>
      <c r="P37" s="716"/>
      <c r="Q37" s="716"/>
      <c r="R37" s="715"/>
      <c r="S37" s="718"/>
      <c r="T37" s="718"/>
      <c r="U37" s="718"/>
      <c r="V37" s="719"/>
      <c r="W37" s="682">
        <v>11.5</v>
      </c>
      <c r="X37" s="684">
        <v>11.5</v>
      </c>
      <c r="Y37" s="684">
        <v>7.6</v>
      </c>
      <c r="Z37" s="715">
        <v>48</v>
      </c>
      <c r="AA37" s="684" t="s">
        <v>2140</v>
      </c>
      <c r="AB37" s="684" t="s">
        <v>2996</v>
      </c>
      <c r="AC37" s="716" t="s">
        <v>2725</v>
      </c>
      <c r="AD37" s="723" t="s">
        <v>542</v>
      </c>
      <c r="AE37" s="715"/>
      <c r="AF37" s="684"/>
      <c r="AG37" s="716"/>
      <c r="AH37" s="684"/>
      <c r="AI37" s="716"/>
      <c r="AJ37" s="716"/>
      <c r="AK37" s="716"/>
      <c r="AL37" s="715"/>
      <c r="AM37" s="716"/>
      <c r="AN37" s="716"/>
      <c r="AO37" s="716"/>
      <c r="AP37" s="716"/>
      <c r="AQ37" s="721"/>
      <c r="AR37" s="740"/>
      <c r="AS37" s="537" t="b">
        <f t="array" ref="AS37">AND(D37:AQ37=inp_used,A37=inp_used_usersel)</f>
        <v>0</v>
      </c>
      <c r="AT37" s="674" t="b">
        <f t="array" ref="AT37">AND(D37:G37=inp_used_minimal,A37=inp_used_usersel)</f>
        <v>0</v>
      </c>
    </row>
    <row r="38" spans="1:49" s="674" customFormat="1">
      <c r="A38" s="674">
        <v>2</v>
      </c>
      <c r="B38" s="716">
        <v>2</v>
      </c>
      <c r="C38" s="537">
        <v>6</v>
      </c>
      <c r="D38" s="682">
        <v>7.3650000000000002</v>
      </c>
      <c r="E38" s="716" t="s">
        <v>226</v>
      </c>
      <c r="F38" s="684">
        <v>3.2</v>
      </c>
      <c r="G38" s="716" t="s">
        <v>226</v>
      </c>
      <c r="H38" s="715" t="s">
        <v>3263</v>
      </c>
      <c r="I38" s="716" t="s">
        <v>440</v>
      </c>
      <c r="J38" s="684">
        <v>12</v>
      </c>
      <c r="K38" s="716"/>
      <c r="L38" s="716"/>
      <c r="M38" s="716"/>
      <c r="N38" s="715" t="s">
        <v>232</v>
      </c>
      <c r="O38" s="716">
        <v>15</v>
      </c>
      <c r="P38" s="716"/>
      <c r="Q38" s="716"/>
      <c r="R38" s="715"/>
      <c r="S38" s="718"/>
      <c r="T38" s="718"/>
      <c r="U38" s="718"/>
      <c r="V38" s="719"/>
      <c r="W38" s="682">
        <v>18</v>
      </c>
      <c r="X38" s="684">
        <v>18</v>
      </c>
      <c r="Y38" s="684">
        <v>8</v>
      </c>
      <c r="Z38" s="715">
        <v>48</v>
      </c>
      <c r="AA38" s="684" t="s">
        <v>2140</v>
      </c>
      <c r="AB38" s="684" t="s">
        <v>2996</v>
      </c>
      <c r="AC38" s="716" t="s">
        <v>2725</v>
      </c>
      <c r="AD38" s="723" t="s">
        <v>542</v>
      </c>
      <c r="AE38" s="715"/>
      <c r="AF38" s="684"/>
      <c r="AG38" s="716"/>
      <c r="AH38" s="684"/>
      <c r="AI38" s="716"/>
      <c r="AJ38" s="716"/>
      <c r="AK38" s="716"/>
      <c r="AL38" s="715"/>
      <c r="AM38" s="716"/>
      <c r="AN38" s="716"/>
      <c r="AO38" s="716"/>
      <c r="AP38" s="716"/>
      <c r="AQ38" s="721"/>
      <c r="AR38" s="740"/>
      <c r="AS38" s="537" t="b">
        <f t="array" ref="AS38">AND(D38:AQ38=inp_used,A38=inp_used_usersel)</f>
        <v>0</v>
      </c>
      <c r="AT38" s="674" t="b">
        <f t="array" ref="AT38">AND(D38:G38=inp_used_minimal,A38=inp_used_usersel)</f>
        <v>0</v>
      </c>
    </row>
    <row r="39" spans="1:49" s="674" customFormat="1">
      <c r="A39" s="674">
        <v>2</v>
      </c>
      <c r="B39" s="716">
        <v>2</v>
      </c>
      <c r="C39" s="537">
        <v>7</v>
      </c>
      <c r="D39" s="682">
        <v>22.614000000000001</v>
      </c>
      <c r="E39" s="716" t="s">
        <v>226</v>
      </c>
      <c r="F39" s="684">
        <v>11.066000000000001</v>
      </c>
      <c r="G39" s="716" t="s">
        <v>226</v>
      </c>
      <c r="H39" s="715" t="s">
        <v>3263</v>
      </c>
      <c r="I39" s="716" t="s">
        <v>440</v>
      </c>
      <c r="J39" s="684">
        <v>12</v>
      </c>
      <c r="K39" s="716"/>
      <c r="L39" s="716"/>
      <c r="M39" s="716"/>
      <c r="N39" s="715" t="s">
        <v>232</v>
      </c>
      <c r="O39" s="716">
        <v>15</v>
      </c>
      <c r="P39" s="716"/>
      <c r="Q39" s="716"/>
      <c r="R39" s="715"/>
      <c r="S39" s="718"/>
      <c r="T39" s="718"/>
      <c r="U39" s="718"/>
      <c r="V39" s="719"/>
      <c r="W39" s="682">
        <v>20</v>
      </c>
      <c r="X39" s="684">
        <v>20</v>
      </c>
      <c r="Y39" s="684">
        <v>7.9</v>
      </c>
      <c r="Z39" s="715">
        <v>48</v>
      </c>
      <c r="AA39" s="684" t="s">
        <v>2140</v>
      </c>
      <c r="AB39" s="684" t="s">
        <v>2996</v>
      </c>
      <c r="AC39" s="716" t="s">
        <v>2725</v>
      </c>
      <c r="AD39" s="723" t="s">
        <v>542</v>
      </c>
      <c r="AE39" s="715"/>
      <c r="AF39" s="684"/>
      <c r="AG39" s="716"/>
      <c r="AH39" s="684"/>
      <c r="AI39" s="716"/>
      <c r="AJ39" s="716"/>
      <c r="AK39" s="716"/>
      <c r="AL39" s="715"/>
      <c r="AM39" s="716"/>
      <c r="AN39" s="716"/>
      <c r="AO39" s="716"/>
      <c r="AP39" s="716"/>
      <c r="AQ39" s="721"/>
      <c r="AR39" s="740"/>
      <c r="AS39" s="537" t="b">
        <f t="array" ref="AS39">AND(D39:AQ39=inp_used,A39=inp_used_usersel)</f>
        <v>0</v>
      </c>
      <c r="AT39" s="674" t="b">
        <f t="array" ref="AT39">AND(D39:G39=inp_used_minimal,A39=inp_used_usersel)</f>
        <v>0</v>
      </c>
    </row>
    <row r="40" spans="1:49" s="674" customFormat="1">
      <c r="A40" s="724">
        <v>2</v>
      </c>
      <c r="B40" s="724">
        <v>2</v>
      </c>
      <c r="C40" s="726">
        <v>8</v>
      </c>
      <c r="D40" s="725">
        <v>75.072000000000003</v>
      </c>
      <c r="E40" s="724" t="s">
        <v>226</v>
      </c>
      <c r="F40" s="726">
        <v>37.536000000000001</v>
      </c>
      <c r="G40" s="724" t="s">
        <v>226</v>
      </c>
      <c r="H40" s="727" t="s">
        <v>3263</v>
      </c>
      <c r="I40" s="724" t="s">
        <v>440</v>
      </c>
      <c r="J40" s="726">
        <v>12</v>
      </c>
      <c r="K40" s="724"/>
      <c r="L40" s="724"/>
      <c r="M40" s="729"/>
      <c r="N40" s="727" t="s">
        <v>232</v>
      </c>
      <c r="O40" s="724">
        <v>15</v>
      </c>
      <c r="P40" s="724"/>
      <c r="Q40" s="729"/>
      <c r="R40" s="727"/>
      <c r="S40" s="732"/>
      <c r="T40" s="732"/>
      <c r="U40" s="732"/>
      <c r="V40" s="733"/>
      <c r="W40" s="725">
        <v>30</v>
      </c>
      <c r="X40" s="726">
        <v>30</v>
      </c>
      <c r="Y40" s="712">
        <v>9.6999999999999993</v>
      </c>
      <c r="Z40" s="727">
        <v>48</v>
      </c>
      <c r="AA40" s="726" t="s">
        <v>2140</v>
      </c>
      <c r="AB40" s="726" t="s">
        <v>2996</v>
      </c>
      <c r="AC40" s="724" t="s">
        <v>2725</v>
      </c>
      <c r="AD40" s="712" t="s">
        <v>542</v>
      </c>
      <c r="AE40" s="727"/>
      <c r="AF40" s="726"/>
      <c r="AG40" s="724"/>
      <c r="AH40" s="726"/>
      <c r="AI40" s="724"/>
      <c r="AJ40" s="724"/>
      <c r="AK40" s="729"/>
      <c r="AL40" s="727"/>
      <c r="AM40" s="724"/>
      <c r="AN40" s="724"/>
      <c r="AO40" s="724"/>
      <c r="AP40" s="724"/>
      <c r="AQ40" s="729"/>
      <c r="AR40" s="740"/>
      <c r="AS40" s="537" t="b">
        <f t="array" ref="AS40">AND(D40:AQ40=inp_used,A40=inp_used_usersel)</f>
        <v>0</v>
      </c>
      <c r="AT40" s="674" t="b">
        <f t="array" ref="AT40">AND(D40:G40=inp_used_minimal,A40=inp_used_usersel)</f>
        <v>0</v>
      </c>
    </row>
    <row r="41" spans="1:49" s="674" customFormat="1">
      <c r="A41" s="674">
        <v>3</v>
      </c>
      <c r="B41" s="674">
        <v>1</v>
      </c>
      <c r="C41" s="674">
        <v>1</v>
      </c>
      <c r="D41" s="715">
        <v>0.03</v>
      </c>
      <c r="E41" s="716" t="s">
        <v>226</v>
      </c>
      <c r="F41" s="684">
        <v>7.0000000000000001E-3</v>
      </c>
      <c r="G41" s="716" t="s">
        <v>226</v>
      </c>
      <c r="H41" s="737" t="s">
        <v>3450</v>
      </c>
      <c r="I41" s="716" t="s">
        <v>440</v>
      </c>
      <c r="J41" s="741">
        <v>24</v>
      </c>
      <c r="K41" s="716"/>
      <c r="L41" s="716"/>
      <c r="M41" s="716"/>
      <c r="N41" s="715" t="s">
        <v>232</v>
      </c>
      <c r="O41" s="741">
        <v>30</v>
      </c>
      <c r="P41" s="716"/>
      <c r="Q41" s="716"/>
      <c r="R41" s="715">
        <v>3</v>
      </c>
      <c r="S41" s="718">
        <v>4</v>
      </c>
      <c r="T41" s="716" t="s">
        <v>2139</v>
      </c>
      <c r="U41" s="718">
        <v>6.5</v>
      </c>
      <c r="V41" s="719">
        <v>3</v>
      </c>
      <c r="W41" s="718"/>
      <c r="X41" s="718"/>
      <c r="Y41" s="718"/>
      <c r="Z41" s="715">
        <v>168</v>
      </c>
      <c r="AA41" s="684" t="s">
        <v>2140</v>
      </c>
      <c r="AB41" s="720" t="s">
        <v>539</v>
      </c>
      <c r="AC41" s="716" t="s">
        <v>541</v>
      </c>
      <c r="AD41" s="721"/>
      <c r="AE41" s="715"/>
      <c r="AF41" s="1043">
        <v>0</v>
      </c>
      <c r="AG41" s="720"/>
      <c r="AH41" s="684"/>
      <c r="AI41" s="716"/>
      <c r="AJ41" s="716"/>
      <c r="AK41" s="716"/>
      <c r="AL41" s="715"/>
      <c r="AM41" s="716"/>
      <c r="AN41" s="716"/>
      <c r="AO41" s="716"/>
      <c r="AP41" s="716"/>
      <c r="AQ41" s="721"/>
      <c r="AR41" s="676" t="s">
        <v>181</v>
      </c>
      <c r="AS41" s="684" t="b">
        <f t="array" ref="AS41">AND(D41:AQ41=inp_used,A41=inp_used_usersel)</f>
        <v>0</v>
      </c>
      <c r="AT41" s="716" t="b">
        <f t="array" ref="AT41">AND(D41:G41=inp_used_minimal,A41=inp_used_usersel)</f>
        <v>0</v>
      </c>
      <c r="AV41" s="674" t="b">
        <f t="shared" ref="AV41:AW48" si="2">CHOOSE(design_type,AS41,AS49)</f>
        <v>0</v>
      </c>
      <c r="AW41" s="674" t="b">
        <f t="shared" si="2"/>
        <v>0</v>
      </c>
    </row>
    <row r="42" spans="1:49" s="674" customFormat="1">
      <c r="A42" s="674">
        <v>3</v>
      </c>
      <c r="B42" s="674">
        <v>1</v>
      </c>
      <c r="C42" s="674">
        <v>2</v>
      </c>
      <c r="D42" s="715">
        <v>0.124</v>
      </c>
      <c r="E42" s="716" t="s">
        <v>226</v>
      </c>
      <c r="F42" s="684">
        <v>3.5000000000000003E-2</v>
      </c>
      <c r="G42" s="716" t="s">
        <v>226</v>
      </c>
      <c r="H42" s="715" t="s">
        <v>3450</v>
      </c>
      <c r="I42" s="716" t="s">
        <v>440</v>
      </c>
      <c r="J42" s="741">
        <v>24</v>
      </c>
      <c r="K42" s="716"/>
      <c r="L42" s="716"/>
      <c r="M42" s="716"/>
      <c r="N42" s="715" t="s">
        <v>232</v>
      </c>
      <c r="O42" s="741">
        <v>30</v>
      </c>
      <c r="P42" s="716"/>
      <c r="Q42" s="716"/>
      <c r="R42" s="715">
        <v>3</v>
      </c>
      <c r="S42" s="722">
        <v>5.9</v>
      </c>
      <c r="T42" s="716" t="s">
        <v>2139</v>
      </c>
      <c r="U42" s="716">
        <v>9.5</v>
      </c>
      <c r="V42" s="721">
        <v>5</v>
      </c>
      <c r="W42" s="718"/>
      <c r="X42" s="718"/>
      <c r="Y42" s="718"/>
      <c r="Z42" s="715">
        <v>168</v>
      </c>
      <c r="AA42" s="684" t="s">
        <v>2140</v>
      </c>
      <c r="AB42" s="720" t="s">
        <v>540</v>
      </c>
      <c r="AC42" s="716" t="s">
        <v>541</v>
      </c>
      <c r="AD42" s="723" t="s">
        <v>542</v>
      </c>
      <c r="AE42" s="715"/>
      <c r="AF42" s="716">
        <v>0</v>
      </c>
      <c r="AG42" s="720"/>
      <c r="AH42" s="684"/>
      <c r="AI42" s="716"/>
      <c r="AJ42" s="716"/>
      <c r="AK42" s="716"/>
      <c r="AL42" s="715"/>
      <c r="AM42" s="716"/>
      <c r="AN42" s="716"/>
      <c r="AO42" s="716"/>
      <c r="AP42" s="716"/>
      <c r="AQ42" s="721"/>
      <c r="AR42" s="676"/>
      <c r="AS42" s="684" t="b">
        <f t="array" ref="AS42">AND(D42:AQ42=inp_used,A42=inp_used_usersel)</f>
        <v>0</v>
      </c>
      <c r="AT42" s="716" t="b">
        <f t="array" ref="AT42">AND(D42:G42=inp_used_minimal,A42=inp_used_usersel)</f>
        <v>0</v>
      </c>
      <c r="AV42" s="674" t="b">
        <f t="shared" si="2"/>
        <v>0</v>
      </c>
      <c r="AW42" s="674" t="b">
        <f t="shared" si="2"/>
        <v>0</v>
      </c>
    </row>
    <row r="43" spans="1:49" s="674" customFormat="1">
      <c r="A43" s="674">
        <v>3</v>
      </c>
      <c r="B43" s="674">
        <v>1</v>
      </c>
      <c r="C43" s="674">
        <v>3</v>
      </c>
      <c r="D43" s="715">
        <v>0.30499999999999999</v>
      </c>
      <c r="E43" s="716" t="s">
        <v>226</v>
      </c>
      <c r="F43" s="684">
        <v>9.4E-2</v>
      </c>
      <c r="G43" s="716" t="s">
        <v>226</v>
      </c>
      <c r="H43" s="715" t="s">
        <v>3450</v>
      </c>
      <c r="I43" s="716" t="s">
        <v>440</v>
      </c>
      <c r="J43" s="741">
        <v>24</v>
      </c>
      <c r="K43" s="716"/>
      <c r="L43" s="716"/>
      <c r="M43" s="716"/>
      <c r="N43" s="715" t="s">
        <v>232</v>
      </c>
      <c r="O43" s="741">
        <v>30</v>
      </c>
      <c r="P43" s="716"/>
      <c r="Q43" s="716"/>
      <c r="R43" s="715">
        <v>3</v>
      </c>
      <c r="S43" s="722">
        <v>6.5</v>
      </c>
      <c r="T43" s="716" t="s">
        <v>2139</v>
      </c>
      <c r="U43" s="716">
        <v>10.5</v>
      </c>
      <c r="V43" s="721">
        <v>7.5</v>
      </c>
      <c r="W43" s="718"/>
      <c r="X43" s="718"/>
      <c r="Y43" s="718"/>
      <c r="Z43" s="715">
        <v>168</v>
      </c>
      <c r="AA43" s="684" t="s">
        <v>2140</v>
      </c>
      <c r="AB43" s="720" t="s">
        <v>540</v>
      </c>
      <c r="AC43" s="716" t="s">
        <v>2725</v>
      </c>
      <c r="AD43" s="723" t="s">
        <v>542</v>
      </c>
      <c r="AE43" s="715"/>
      <c r="AF43" s="716">
        <v>0</v>
      </c>
      <c r="AG43" s="720"/>
      <c r="AH43" s="684"/>
      <c r="AI43" s="716"/>
      <c r="AJ43" s="716"/>
      <c r="AK43" s="716"/>
      <c r="AL43" s="715"/>
      <c r="AM43" s="716"/>
      <c r="AN43" s="716"/>
      <c r="AO43" s="716"/>
      <c r="AP43" s="716"/>
      <c r="AQ43" s="721"/>
      <c r="AR43" s="676"/>
      <c r="AS43" s="684" t="b">
        <f t="array" ref="AS43">AND(D43:AQ43=inp_used,A43=inp_used_usersel)</f>
        <v>0</v>
      </c>
      <c r="AT43" s="716" t="b">
        <f t="array" ref="AT43">AND(D43:G43=inp_used_minimal,A43=inp_used_usersel)</f>
        <v>0</v>
      </c>
      <c r="AV43" s="674" t="b">
        <f t="shared" si="2"/>
        <v>0</v>
      </c>
      <c r="AW43" s="674" t="b">
        <f t="shared" si="2"/>
        <v>0</v>
      </c>
    </row>
    <row r="44" spans="1:49" s="674" customFormat="1">
      <c r="A44" s="674">
        <v>3</v>
      </c>
      <c r="B44" s="674">
        <v>1</v>
      </c>
      <c r="C44" s="674">
        <v>4</v>
      </c>
      <c r="D44" s="715">
        <v>0.74</v>
      </c>
      <c r="E44" s="716" t="s">
        <v>226</v>
      </c>
      <c r="F44" s="684">
        <v>0.251</v>
      </c>
      <c r="G44" s="716" t="s">
        <v>226</v>
      </c>
      <c r="H44" s="715" t="s">
        <v>3450</v>
      </c>
      <c r="I44" s="716" t="s">
        <v>440</v>
      </c>
      <c r="J44" s="741">
        <v>24</v>
      </c>
      <c r="K44" s="716"/>
      <c r="L44" s="716"/>
      <c r="M44" s="716"/>
      <c r="N44" s="715" t="s">
        <v>232</v>
      </c>
      <c r="O44" s="741">
        <v>30</v>
      </c>
      <c r="P44" s="716"/>
      <c r="Q44" s="716"/>
      <c r="R44" s="715">
        <v>3</v>
      </c>
      <c r="S44" s="722">
        <v>6.7</v>
      </c>
      <c r="T44" s="716" t="s">
        <v>2139</v>
      </c>
      <c r="U44" s="716">
        <v>11</v>
      </c>
      <c r="V44" s="721">
        <v>11.5</v>
      </c>
      <c r="W44" s="718"/>
      <c r="X44" s="718"/>
      <c r="Y44" s="718"/>
      <c r="Z44" s="715">
        <v>168</v>
      </c>
      <c r="AA44" s="684" t="s">
        <v>2140</v>
      </c>
      <c r="AB44" s="720" t="s">
        <v>540</v>
      </c>
      <c r="AC44" s="716" t="s">
        <v>2725</v>
      </c>
      <c r="AD44" s="723" t="s">
        <v>542</v>
      </c>
      <c r="AE44" s="715"/>
      <c r="AF44" s="716">
        <v>0</v>
      </c>
      <c r="AG44" s="720"/>
      <c r="AH44" s="684"/>
      <c r="AI44" s="716"/>
      <c r="AJ44" s="716"/>
      <c r="AK44" s="716"/>
      <c r="AL44" s="715"/>
      <c r="AM44" s="716"/>
      <c r="AN44" s="716"/>
      <c r="AO44" s="716"/>
      <c r="AP44" s="716"/>
      <c r="AQ44" s="721"/>
      <c r="AR44" s="676"/>
      <c r="AS44" s="684" t="b">
        <f t="array" ref="AS44">AND(D44:AQ44=inp_used,A44=inp_used_usersel)</f>
        <v>0</v>
      </c>
      <c r="AT44" s="716" t="b">
        <f t="array" ref="AT44">AND(D44:G44=inp_used_minimal,A44=inp_used_usersel)</f>
        <v>0</v>
      </c>
      <c r="AV44" s="674" t="b">
        <f t="shared" si="2"/>
        <v>0</v>
      </c>
      <c r="AW44" s="674" t="b">
        <f t="shared" si="2"/>
        <v>0</v>
      </c>
    </row>
    <row r="45" spans="1:49" s="674" customFormat="1">
      <c r="A45" s="674">
        <v>3</v>
      </c>
      <c r="B45" s="674">
        <v>1</v>
      </c>
      <c r="C45" s="537">
        <v>5</v>
      </c>
      <c r="D45" s="682">
        <v>2.1520000000000001</v>
      </c>
      <c r="E45" s="716" t="s">
        <v>226</v>
      </c>
      <c r="F45" s="684">
        <v>0.81899999999999995</v>
      </c>
      <c r="G45" s="716" t="s">
        <v>226</v>
      </c>
      <c r="H45" s="715" t="s">
        <v>3450</v>
      </c>
      <c r="I45" s="716" t="s">
        <v>440</v>
      </c>
      <c r="J45" s="741">
        <v>24</v>
      </c>
      <c r="K45" s="716"/>
      <c r="L45" s="716"/>
      <c r="M45" s="716"/>
      <c r="N45" s="715" t="s">
        <v>232</v>
      </c>
      <c r="O45" s="741">
        <v>30</v>
      </c>
      <c r="P45" s="716"/>
      <c r="Q45" s="716"/>
      <c r="R45" s="715">
        <v>3</v>
      </c>
      <c r="S45" s="722">
        <v>7</v>
      </c>
      <c r="T45" s="716" t="s">
        <v>2139</v>
      </c>
      <c r="U45" s="718">
        <v>11</v>
      </c>
      <c r="V45" s="719">
        <v>13.5</v>
      </c>
      <c r="W45" s="718"/>
      <c r="X45" s="718"/>
      <c r="Y45" s="718"/>
      <c r="Z45" s="715">
        <v>168</v>
      </c>
      <c r="AA45" s="684" t="s">
        <v>2140</v>
      </c>
      <c r="AB45" s="720" t="s">
        <v>540</v>
      </c>
      <c r="AC45" s="716" t="s">
        <v>2725</v>
      </c>
      <c r="AD45" s="723" t="s">
        <v>542</v>
      </c>
      <c r="AE45" s="715"/>
      <c r="AF45" s="716">
        <v>0</v>
      </c>
      <c r="AG45" s="720"/>
      <c r="AH45" s="684"/>
      <c r="AI45" s="716"/>
      <c r="AJ45" s="716"/>
      <c r="AK45" s="716"/>
      <c r="AL45" s="715"/>
      <c r="AM45" s="716"/>
      <c r="AN45" s="716"/>
      <c r="AO45" s="716"/>
      <c r="AP45" s="716"/>
      <c r="AQ45" s="721"/>
      <c r="AR45" s="676"/>
      <c r="AS45" s="684" t="b">
        <f t="array" ref="AS45">AND(D45:AQ45=inp_used,A45=inp_used_usersel)</f>
        <v>0</v>
      </c>
      <c r="AT45" s="716" t="b">
        <f t="array" ref="AT45">AND(D45:G45=inp_used_minimal,A45=inp_used_usersel)</f>
        <v>0</v>
      </c>
      <c r="AV45" s="674" t="b">
        <f t="shared" si="2"/>
        <v>0</v>
      </c>
      <c r="AW45" s="674" t="b">
        <f t="shared" si="2"/>
        <v>0</v>
      </c>
    </row>
    <row r="46" spans="1:49" s="674" customFormat="1">
      <c r="A46" s="674">
        <v>3</v>
      </c>
      <c r="B46" s="674">
        <v>1</v>
      </c>
      <c r="C46" s="537">
        <v>6</v>
      </c>
      <c r="D46" s="682">
        <v>7.3650000000000002</v>
      </c>
      <c r="E46" s="716" t="s">
        <v>226</v>
      </c>
      <c r="F46" s="684">
        <v>3.2</v>
      </c>
      <c r="G46" s="716" t="s">
        <v>226</v>
      </c>
      <c r="H46" s="715" t="s">
        <v>3450</v>
      </c>
      <c r="I46" s="716" t="s">
        <v>440</v>
      </c>
      <c r="J46" s="741">
        <v>24</v>
      </c>
      <c r="K46" s="716"/>
      <c r="L46" s="716"/>
      <c r="M46" s="716"/>
      <c r="N46" s="715" t="s">
        <v>232</v>
      </c>
      <c r="O46" s="741">
        <v>30</v>
      </c>
      <c r="P46" s="716"/>
      <c r="Q46" s="716"/>
      <c r="R46" s="715">
        <v>3</v>
      </c>
      <c r="S46" s="722">
        <v>7</v>
      </c>
      <c r="T46" s="716" t="s">
        <v>2139</v>
      </c>
      <c r="U46" s="718">
        <v>11</v>
      </c>
      <c r="V46" s="719">
        <v>12.5</v>
      </c>
      <c r="W46" s="718"/>
      <c r="X46" s="718"/>
      <c r="Y46" s="718"/>
      <c r="Z46" s="715">
        <v>168</v>
      </c>
      <c r="AA46" s="684" t="s">
        <v>2140</v>
      </c>
      <c r="AB46" s="720" t="s">
        <v>540</v>
      </c>
      <c r="AC46" s="716" t="s">
        <v>2725</v>
      </c>
      <c r="AD46" s="723" t="s">
        <v>542</v>
      </c>
      <c r="AE46" s="715"/>
      <c r="AF46" s="716">
        <v>0</v>
      </c>
      <c r="AG46" s="720"/>
      <c r="AH46" s="684"/>
      <c r="AI46" s="716"/>
      <c r="AJ46" s="716"/>
      <c r="AK46" s="716"/>
      <c r="AL46" s="715"/>
      <c r="AM46" s="716"/>
      <c r="AN46" s="716"/>
      <c r="AO46" s="716"/>
      <c r="AP46" s="716"/>
      <c r="AQ46" s="721"/>
      <c r="AR46" s="676"/>
      <c r="AS46" s="684" t="b">
        <f t="array" ref="AS46">AND(D46:AQ46=inp_used,A46=inp_used_usersel)</f>
        <v>0</v>
      </c>
      <c r="AT46" s="716" t="b">
        <f t="array" ref="AT46">AND(D46:G46=inp_used_minimal,A46=inp_used_usersel)</f>
        <v>0</v>
      </c>
      <c r="AV46" s="674" t="b">
        <f t="shared" si="2"/>
        <v>0</v>
      </c>
      <c r="AW46" s="674" t="b">
        <f t="shared" si="2"/>
        <v>0</v>
      </c>
    </row>
    <row r="47" spans="1:49" s="674" customFormat="1">
      <c r="A47" s="674">
        <v>3</v>
      </c>
      <c r="B47" s="674">
        <v>1</v>
      </c>
      <c r="C47" s="537">
        <v>7</v>
      </c>
      <c r="D47" s="682">
        <v>22.614000000000001</v>
      </c>
      <c r="E47" s="716" t="s">
        <v>226</v>
      </c>
      <c r="F47" s="684">
        <v>11.066000000000001</v>
      </c>
      <c r="G47" s="716" t="s">
        <v>226</v>
      </c>
      <c r="H47" s="715" t="s">
        <v>3450</v>
      </c>
      <c r="I47" s="716" t="s">
        <v>440</v>
      </c>
      <c r="J47" s="741">
        <v>24</v>
      </c>
      <c r="K47" s="716"/>
      <c r="L47" s="716"/>
      <c r="M47" s="716"/>
      <c r="N47" s="715" t="s">
        <v>232</v>
      </c>
      <c r="O47" s="741">
        <v>30</v>
      </c>
      <c r="P47" s="716"/>
      <c r="Q47" s="716"/>
      <c r="R47" s="715">
        <v>3</v>
      </c>
      <c r="S47" s="722">
        <v>6.9</v>
      </c>
      <c r="T47" s="716" t="s">
        <v>3284</v>
      </c>
      <c r="U47" s="716">
        <v>20</v>
      </c>
      <c r="V47" s="721">
        <v>14</v>
      </c>
      <c r="W47" s="718"/>
      <c r="X47" s="718"/>
      <c r="Y47" s="718"/>
      <c r="Z47" s="715">
        <v>168</v>
      </c>
      <c r="AA47" s="684" t="s">
        <v>2140</v>
      </c>
      <c r="AB47" s="720" t="s">
        <v>540</v>
      </c>
      <c r="AC47" s="716" t="s">
        <v>2725</v>
      </c>
      <c r="AD47" s="723" t="s">
        <v>542</v>
      </c>
      <c r="AE47" s="715"/>
      <c r="AF47" s="716">
        <v>0</v>
      </c>
      <c r="AG47" s="720"/>
      <c r="AH47" s="684"/>
      <c r="AI47" s="716"/>
      <c r="AJ47" s="716"/>
      <c r="AK47" s="716"/>
      <c r="AL47" s="715"/>
      <c r="AM47" s="716"/>
      <c r="AN47" s="716"/>
      <c r="AO47" s="716"/>
      <c r="AP47" s="716"/>
      <c r="AQ47" s="721"/>
      <c r="AR47" s="676"/>
      <c r="AS47" s="684" t="b">
        <f t="array" ref="AS47">AND(D47:AQ47=inp_used,A47=inp_used_usersel)</f>
        <v>0</v>
      </c>
      <c r="AT47" s="716" t="b">
        <f t="array" ref="AT47">AND(D47:G47=inp_used_minimal,A47=inp_used_usersel)</f>
        <v>0</v>
      </c>
      <c r="AV47" s="674" t="b">
        <f t="shared" si="2"/>
        <v>0</v>
      </c>
      <c r="AW47" s="674" t="b">
        <f t="shared" si="2"/>
        <v>0</v>
      </c>
    </row>
    <row r="48" spans="1:49" s="674" customFormat="1">
      <c r="A48" s="724">
        <v>3</v>
      </c>
      <c r="B48" s="724">
        <v>1</v>
      </c>
      <c r="C48" s="726">
        <v>8</v>
      </c>
      <c r="D48" s="725">
        <v>75.072000000000003</v>
      </c>
      <c r="E48" s="724" t="s">
        <v>226</v>
      </c>
      <c r="F48" s="726">
        <v>37.536000000000001</v>
      </c>
      <c r="G48" s="724" t="s">
        <v>226</v>
      </c>
      <c r="H48" s="727" t="s">
        <v>3450</v>
      </c>
      <c r="I48" s="724" t="s">
        <v>440</v>
      </c>
      <c r="J48" s="742">
        <v>24</v>
      </c>
      <c r="K48" s="724"/>
      <c r="L48" s="724"/>
      <c r="M48" s="729"/>
      <c r="N48" s="727" t="s">
        <v>232</v>
      </c>
      <c r="O48" s="742">
        <v>30</v>
      </c>
      <c r="P48" s="724"/>
      <c r="Q48" s="729"/>
      <c r="R48" s="727">
        <v>3</v>
      </c>
      <c r="S48" s="730">
        <v>7.4</v>
      </c>
      <c r="T48" s="724" t="s">
        <v>3284</v>
      </c>
      <c r="U48" s="724">
        <v>20</v>
      </c>
      <c r="V48" s="729">
        <v>14</v>
      </c>
      <c r="W48" s="731"/>
      <c r="X48" s="732"/>
      <c r="Y48" s="733"/>
      <c r="Z48" s="727">
        <v>168</v>
      </c>
      <c r="AA48" s="726" t="s">
        <v>2140</v>
      </c>
      <c r="AB48" s="734" t="s">
        <v>540</v>
      </c>
      <c r="AC48" s="724" t="s">
        <v>2725</v>
      </c>
      <c r="AD48" s="712" t="s">
        <v>542</v>
      </c>
      <c r="AE48" s="727"/>
      <c r="AF48" s="724">
        <v>0</v>
      </c>
      <c r="AG48" s="734"/>
      <c r="AH48" s="726"/>
      <c r="AI48" s="724"/>
      <c r="AJ48" s="724"/>
      <c r="AK48" s="729"/>
      <c r="AL48" s="727"/>
      <c r="AM48" s="724"/>
      <c r="AN48" s="724"/>
      <c r="AO48" s="724"/>
      <c r="AP48" s="724"/>
      <c r="AQ48" s="729"/>
      <c r="AR48" s="676"/>
      <c r="AS48" s="684" t="b">
        <f t="array" ref="AS48">AND(D48:AQ48=inp_used,A48=inp_used_usersel)</f>
        <v>0</v>
      </c>
      <c r="AT48" s="716" t="b">
        <f t="array" ref="AT48">AND(D48:G48=inp_used_minimal,A48=inp_used_usersel)</f>
        <v>0</v>
      </c>
      <c r="AV48" s="674" t="b">
        <f t="shared" si="2"/>
        <v>0</v>
      </c>
      <c r="AW48" s="674" t="b">
        <f t="shared" si="2"/>
        <v>0</v>
      </c>
    </row>
    <row r="49" spans="1:49" s="674" customFormat="1">
      <c r="A49" s="674">
        <v>3</v>
      </c>
      <c r="B49" s="735">
        <v>2</v>
      </c>
      <c r="C49" s="674">
        <v>1</v>
      </c>
      <c r="D49" s="715">
        <v>0.03</v>
      </c>
      <c r="E49" s="716" t="s">
        <v>226</v>
      </c>
      <c r="F49" s="684">
        <v>7.0000000000000001E-3</v>
      </c>
      <c r="G49" s="716" t="s">
        <v>226</v>
      </c>
      <c r="H49" s="737" t="s">
        <v>3450</v>
      </c>
      <c r="I49" s="716" t="s">
        <v>440</v>
      </c>
      <c r="J49" s="741">
        <v>24</v>
      </c>
      <c r="K49" s="716"/>
      <c r="L49" s="716"/>
      <c r="M49" s="716"/>
      <c r="N49" s="715" t="s">
        <v>232</v>
      </c>
      <c r="O49" s="741">
        <v>30</v>
      </c>
      <c r="P49" s="716"/>
      <c r="Q49" s="716"/>
      <c r="R49" s="737"/>
      <c r="S49" s="738"/>
      <c r="T49" s="738"/>
      <c r="U49" s="738"/>
      <c r="V49" s="739"/>
      <c r="W49" s="682">
        <v>6</v>
      </c>
      <c r="X49" s="684">
        <v>6</v>
      </c>
      <c r="Y49" s="684">
        <v>3</v>
      </c>
      <c r="Z49" s="715">
        <v>168</v>
      </c>
      <c r="AA49" s="684" t="s">
        <v>2140</v>
      </c>
      <c r="AB49" s="684" t="s">
        <v>2996</v>
      </c>
      <c r="AC49" s="716" t="s">
        <v>541</v>
      </c>
      <c r="AD49" s="684" t="s">
        <v>542</v>
      </c>
      <c r="AE49" s="715"/>
      <c r="AF49" s="716"/>
      <c r="AG49" s="720"/>
      <c r="AH49" s="684"/>
      <c r="AI49" s="716"/>
      <c r="AJ49" s="716"/>
      <c r="AK49" s="716"/>
      <c r="AL49" s="715"/>
      <c r="AM49" s="716"/>
      <c r="AN49" s="716"/>
      <c r="AO49" s="716"/>
      <c r="AP49" s="716"/>
      <c r="AQ49" s="721"/>
      <c r="AR49" s="676" t="s">
        <v>182</v>
      </c>
      <c r="AS49" s="537" t="b">
        <f t="array" ref="AS49">AND(D49:AQ49=inp_used,A49=inp_used_usersel)</f>
        <v>0</v>
      </c>
      <c r="AT49" s="674" t="b">
        <f t="array" ref="AT49">AND(D49:G49=inp_used_minimal,A49=inp_used_usersel)</f>
        <v>0</v>
      </c>
    </row>
    <row r="50" spans="1:49" s="674" customFormat="1">
      <c r="A50" s="674">
        <v>3</v>
      </c>
      <c r="B50" s="716">
        <v>2</v>
      </c>
      <c r="C50" s="674">
        <v>2</v>
      </c>
      <c r="D50" s="715">
        <v>0.124</v>
      </c>
      <c r="E50" s="716" t="s">
        <v>226</v>
      </c>
      <c r="F50" s="684">
        <v>3.5000000000000003E-2</v>
      </c>
      <c r="G50" s="716" t="s">
        <v>226</v>
      </c>
      <c r="H50" s="715" t="s">
        <v>3450</v>
      </c>
      <c r="I50" s="716" t="s">
        <v>440</v>
      </c>
      <c r="J50" s="741">
        <v>24</v>
      </c>
      <c r="K50" s="716"/>
      <c r="L50" s="716"/>
      <c r="M50" s="716"/>
      <c r="N50" s="715" t="s">
        <v>232</v>
      </c>
      <c r="O50" s="741">
        <v>30</v>
      </c>
      <c r="P50" s="716"/>
      <c r="Q50" s="716"/>
      <c r="R50" s="715"/>
      <c r="S50" s="718"/>
      <c r="T50" s="718"/>
      <c r="U50" s="718"/>
      <c r="V50" s="719"/>
      <c r="W50" s="682">
        <v>6</v>
      </c>
      <c r="X50" s="684">
        <v>6</v>
      </c>
      <c r="Y50" s="684">
        <v>4.8</v>
      </c>
      <c r="Z50" s="715">
        <v>168</v>
      </c>
      <c r="AA50" s="684" t="s">
        <v>2140</v>
      </c>
      <c r="AB50" s="684" t="s">
        <v>2996</v>
      </c>
      <c r="AC50" s="716" t="s">
        <v>541</v>
      </c>
      <c r="AD50" s="684" t="s">
        <v>542</v>
      </c>
      <c r="AE50" s="715"/>
      <c r="AF50" s="716"/>
      <c r="AG50" s="720"/>
      <c r="AH50" s="684"/>
      <c r="AI50" s="716"/>
      <c r="AJ50" s="716"/>
      <c r="AK50" s="716"/>
      <c r="AL50" s="715"/>
      <c r="AM50" s="716"/>
      <c r="AN50" s="716"/>
      <c r="AO50" s="716"/>
      <c r="AP50" s="716"/>
      <c r="AQ50" s="721"/>
      <c r="AR50" s="676"/>
      <c r="AS50" s="537" t="b">
        <f t="array" ref="AS50">AND(D50:AQ50=inp_used,A50=inp_used_usersel)</f>
        <v>0</v>
      </c>
      <c r="AT50" s="674" t="b">
        <f t="array" ref="AT50">AND(D50:G50=inp_used_minimal,A50=inp_used_usersel)</f>
        <v>0</v>
      </c>
    </row>
    <row r="51" spans="1:49" s="674" customFormat="1">
      <c r="A51" s="674">
        <v>3</v>
      </c>
      <c r="B51" s="716">
        <v>2</v>
      </c>
      <c r="C51" s="674">
        <v>3</v>
      </c>
      <c r="D51" s="715">
        <v>0.30499999999999999</v>
      </c>
      <c r="E51" s="716" t="s">
        <v>226</v>
      </c>
      <c r="F51" s="684">
        <v>9.4E-2</v>
      </c>
      <c r="G51" s="716" t="s">
        <v>226</v>
      </c>
      <c r="H51" s="715" t="s">
        <v>3450</v>
      </c>
      <c r="I51" s="716" t="s">
        <v>440</v>
      </c>
      <c r="J51" s="741">
        <v>24</v>
      </c>
      <c r="K51" s="716"/>
      <c r="L51" s="716"/>
      <c r="M51" s="716"/>
      <c r="N51" s="715" t="s">
        <v>232</v>
      </c>
      <c r="O51" s="741">
        <v>30</v>
      </c>
      <c r="P51" s="716"/>
      <c r="Q51" s="716"/>
      <c r="R51" s="715"/>
      <c r="S51" s="718"/>
      <c r="T51" s="718"/>
      <c r="U51" s="718"/>
      <c r="V51" s="719"/>
      <c r="W51" s="682">
        <v>8.5</v>
      </c>
      <c r="X51" s="684">
        <v>8.5</v>
      </c>
      <c r="Y51" s="684">
        <v>5.9</v>
      </c>
      <c r="Z51" s="715">
        <v>168</v>
      </c>
      <c r="AA51" s="684" t="s">
        <v>2140</v>
      </c>
      <c r="AB51" s="684" t="s">
        <v>2996</v>
      </c>
      <c r="AC51" s="716" t="s">
        <v>2725</v>
      </c>
      <c r="AD51" s="684" t="s">
        <v>542</v>
      </c>
      <c r="AE51" s="715"/>
      <c r="AF51" s="716"/>
      <c r="AG51" s="720"/>
      <c r="AH51" s="684"/>
      <c r="AI51" s="716"/>
      <c r="AJ51" s="716"/>
      <c r="AK51" s="716"/>
      <c r="AL51" s="715"/>
      <c r="AM51" s="716"/>
      <c r="AN51" s="716"/>
      <c r="AO51" s="716"/>
      <c r="AP51" s="716"/>
      <c r="AQ51" s="721"/>
      <c r="AR51" s="676"/>
      <c r="AS51" s="537" t="b">
        <f t="array" ref="AS51">AND(D51:AQ51=inp_used,A51=inp_used_usersel)</f>
        <v>0</v>
      </c>
      <c r="AT51" s="674" t="b">
        <f t="array" ref="AT51">AND(D51:G51=inp_used_minimal,A51=inp_used_usersel)</f>
        <v>0</v>
      </c>
    </row>
    <row r="52" spans="1:49" s="674" customFormat="1">
      <c r="A52" s="674">
        <v>3</v>
      </c>
      <c r="B52" s="716">
        <v>2</v>
      </c>
      <c r="C52" s="674">
        <v>4</v>
      </c>
      <c r="D52" s="715">
        <v>0.74</v>
      </c>
      <c r="E52" s="716" t="s">
        <v>226</v>
      </c>
      <c r="F52" s="684">
        <v>0.251</v>
      </c>
      <c r="G52" s="716" t="s">
        <v>226</v>
      </c>
      <c r="H52" s="715" t="s">
        <v>3450</v>
      </c>
      <c r="I52" s="716" t="s">
        <v>440</v>
      </c>
      <c r="J52" s="741">
        <v>24</v>
      </c>
      <c r="K52" s="716"/>
      <c r="L52" s="716"/>
      <c r="M52" s="716"/>
      <c r="N52" s="715" t="s">
        <v>232</v>
      </c>
      <c r="O52" s="741">
        <v>30</v>
      </c>
      <c r="P52" s="716"/>
      <c r="Q52" s="716"/>
      <c r="R52" s="715"/>
      <c r="S52" s="718"/>
      <c r="T52" s="718"/>
      <c r="U52" s="718"/>
      <c r="V52" s="719"/>
      <c r="W52" s="682">
        <v>13.5</v>
      </c>
      <c r="X52" s="684">
        <v>13.5</v>
      </c>
      <c r="Y52" s="684">
        <v>5.7</v>
      </c>
      <c r="Z52" s="715">
        <v>168</v>
      </c>
      <c r="AA52" s="684" t="s">
        <v>2140</v>
      </c>
      <c r="AB52" s="684" t="s">
        <v>2996</v>
      </c>
      <c r="AC52" s="716" t="s">
        <v>2725</v>
      </c>
      <c r="AD52" s="684" t="s">
        <v>542</v>
      </c>
      <c r="AE52" s="715"/>
      <c r="AF52" s="716"/>
      <c r="AG52" s="720"/>
      <c r="AH52" s="684"/>
      <c r="AI52" s="716"/>
      <c r="AJ52" s="716"/>
      <c r="AK52" s="716"/>
      <c r="AL52" s="715"/>
      <c r="AM52" s="716"/>
      <c r="AN52" s="716"/>
      <c r="AO52" s="716"/>
      <c r="AP52" s="716"/>
      <c r="AQ52" s="721"/>
      <c r="AR52" s="676"/>
      <c r="AS52" s="537" t="b">
        <f t="array" ref="AS52">AND(D52:AQ52=inp_used,A52=inp_used_usersel)</f>
        <v>0</v>
      </c>
      <c r="AT52" s="674" t="b">
        <f t="array" ref="AT52">AND(D52:G52=inp_used_minimal,A52=inp_used_usersel)</f>
        <v>0</v>
      </c>
    </row>
    <row r="53" spans="1:49" s="674" customFormat="1">
      <c r="A53" s="674">
        <v>3</v>
      </c>
      <c r="B53" s="716">
        <v>2</v>
      </c>
      <c r="C53" s="537">
        <v>5</v>
      </c>
      <c r="D53" s="682">
        <v>2.1520000000000001</v>
      </c>
      <c r="E53" s="716" t="s">
        <v>226</v>
      </c>
      <c r="F53" s="684">
        <v>0.81899999999999995</v>
      </c>
      <c r="G53" s="716" t="s">
        <v>226</v>
      </c>
      <c r="H53" s="715" t="s">
        <v>3450</v>
      </c>
      <c r="I53" s="716" t="s">
        <v>440</v>
      </c>
      <c r="J53" s="741">
        <v>24</v>
      </c>
      <c r="K53" s="716"/>
      <c r="L53" s="716"/>
      <c r="M53" s="716"/>
      <c r="N53" s="715" t="s">
        <v>232</v>
      </c>
      <c r="O53" s="741">
        <v>30</v>
      </c>
      <c r="P53" s="716"/>
      <c r="Q53" s="716"/>
      <c r="R53" s="715"/>
      <c r="S53" s="718"/>
      <c r="T53" s="718"/>
      <c r="U53" s="718"/>
      <c r="V53" s="719"/>
      <c r="W53" s="682">
        <v>10.5</v>
      </c>
      <c r="X53" s="684">
        <v>10.5</v>
      </c>
      <c r="Y53" s="684">
        <v>7.8</v>
      </c>
      <c r="Z53" s="715">
        <v>168</v>
      </c>
      <c r="AA53" s="684" t="s">
        <v>2140</v>
      </c>
      <c r="AB53" s="684" t="s">
        <v>2996</v>
      </c>
      <c r="AC53" s="716" t="s">
        <v>2725</v>
      </c>
      <c r="AD53" s="684" t="s">
        <v>542</v>
      </c>
      <c r="AE53" s="715"/>
      <c r="AF53" s="716"/>
      <c r="AG53" s="720"/>
      <c r="AH53" s="684"/>
      <c r="AI53" s="716"/>
      <c r="AJ53" s="716"/>
      <c r="AK53" s="716"/>
      <c r="AL53" s="715"/>
      <c r="AM53" s="716"/>
      <c r="AN53" s="716"/>
      <c r="AO53" s="716"/>
      <c r="AP53" s="716"/>
      <c r="AQ53" s="721"/>
      <c r="AR53" s="676"/>
      <c r="AS53" s="537" t="b">
        <f t="array" ref="AS53">AND(D53:AQ53=inp_used,A53=inp_used_usersel)</f>
        <v>0</v>
      </c>
      <c r="AT53" s="674" t="b">
        <f t="array" ref="AT53">AND(D53:G53=inp_used_minimal,A53=inp_used_usersel)</f>
        <v>0</v>
      </c>
    </row>
    <row r="54" spans="1:49" s="674" customFormat="1">
      <c r="A54" s="674">
        <v>3</v>
      </c>
      <c r="B54" s="716">
        <v>2</v>
      </c>
      <c r="C54" s="537">
        <v>6</v>
      </c>
      <c r="D54" s="682">
        <v>7.3650000000000002</v>
      </c>
      <c r="E54" s="716" t="s">
        <v>226</v>
      </c>
      <c r="F54" s="684">
        <v>3.2</v>
      </c>
      <c r="G54" s="716" t="s">
        <v>226</v>
      </c>
      <c r="H54" s="715" t="s">
        <v>3450</v>
      </c>
      <c r="I54" s="716" t="s">
        <v>440</v>
      </c>
      <c r="J54" s="741">
        <v>24</v>
      </c>
      <c r="K54" s="716"/>
      <c r="L54" s="716"/>
      <c r="M54" s="716"/>
      <c r="N54" s="715" t="s">
        <v>232</v>
      </c>
      <c r="O54" s="741">
        <v>30</v>
      </c>
      <c r="P54" s="716"/>
      <c r="Q54" s="716"/>
      <c r="R54" s="715"/>
      <c r="S54" s="718"/>
      <c r="T54" s="718"/>
      <c r="U54" s="718"/>
      <c r="V54" s="719"/>
      <c r="W54" s="682">
        <v>15</v>
      </c>
      <c r="X54" s="684">
        <v>15</v>
      </c>
      <c r="Y54" s="684">
        <v>7.6</v>
      </c>
      <c r="Z54" s="715">
        <v>168</v>
      </c>
      <c r="AA54" s="684" t="s">
        <v>2140</v>
      </c>
      <c r="AB54" s="684" t="s">
        <v>2996</v>
      </c>
      <c r="AC54" s="716" t="s">
        <v>2725</v>
      </c>
      <c r="AD54" s="684" t="s">
        <v>542</v>
      </c>
      <c r="AE54" s="715"/>
      <c r="AF54" s="716"/>
      <c r="AG54" s="720"/>
      <c r="AH54" s="684"/>
      <c r="AI54" s="716"/>
      <c r="AJ54" s="716"/>
      <c r="AK54" s="716"/>
      <c r="AL54" s="715"/>
      <c r="AM54" s="716"/>
      <c r="AN54" s="716"/>
      <c r="AO54" s="716"/>
      <c r="AP54" s="716"/>
      <c r="AQ54" s="721"/>
      <c r="AR54" s="676"/>
      <c r="AS54" s="537" t="b">
        <f t="array" ref="AS54">AND(D54:AQ54=inp_used,A54=inp_used_usersel)</f>
        <v>0</v>
      </c>
      <c r="AT54" s="674" t="b">
        <f t="array" ref="AT54">AND(D54:G54=inp_used_minimal,A54=inp_used_usersel)</f>
        <v>0</v>
      </c>
    </row>
    <row r="55" spans="1:49" s="674" customFormat="1">
      <c r="A55" s="674">
        <v>3</v>
      </c>
      <c r="B55" s="716">
        <v>2</v>
      </c>
      <c r="C55" s="537">
        <v>7</v>
      </c>
      <c r="D55" s="682">
        <v>22.614000000000001</v>
      </c>
      <c r="E55" s="716" t="s">
        <v>226</v>
      </c>
      <c r="F55" s="684">
        <v>11.066000000000001</v>
      </c>
      <c r="G55" s="716" t="s">
        <v>226</v>
      </c>
      <c r="H55" s="715" t="s">
        <v>3450</v>
      </c>
      <c r="I55" s="716" t="s">
        <v>440</v>
      </c>
      <c r="J55" s="741">
        <v>24</v>
      </c>
      <c r="K55" s="716"/>
      <c r="L55" s="716"/>
      <c r="M55" s="716"/>
      <c r="N55" s="715" t="s">
        <v>232</v>
      </c>
      <c r="O55" s="741">
        <v>30</v>
      </c>
      <c r="P55" s="716"/>
      <c r="Q55" s="716"/>
      <c r="R55" s="715"/>
      <c r="S55" s="718"/>
      <c r="T55" s="718"/>
      <c r="U55" s="718"/>
      <c r="V55" s="719"/>
      <c r="W55" s="682">
        <v>15</v>
      </c>
      <c r="X55" s="684">
        <v>15</v>
      </c>
      <c r="Y55" s="684">
        <v>8</v>
      </c>
      <c r="Z55" s="715">
        <v>168</v>
      </c>
      <c r="AA55" s="684" t="s">
        <v>2140</v>
      </c>
      <c r="AB55" s="684" t="s">
        <v>2996</v>
      </c>
      <c r="AC55" s="716" t="s">
        <v>2725</v>
      </c>
      <c r="AD55" s="684" t="s">
        <v>542</v>
      </c>
      <c r="AE55" s="715"/>
      <c r="AF55" s="716"/>
      <c r="AG55" s="720"/>
      <c r="AH55" s="684"/>
      <c r="AI55" s="716"/>
      <c r="AJ55" s="716"/>
      <c r="AK55" s="716"/>
      <c r="AL55" s="715"/>
      <c r="AM55" s="716"/>
      <c r="AN55" s="716"/>
      <c r="AO55" s="716"/>
      <c r="AP55" s="716"/>
      <c r="AQ55" s="721"/>
      <c r="AR55" s="676"/>
      <c r="AS55" s="537" t="b">
        <f t="array" ref="AS55">AND(D55:AQ55=inp_used,A55=inp_used_usersel)</f>
        <v>0</v>
      </c>
      <c r="AT55" s="674" t="b">
        <f t="array" ref="AT55">AND(D55:G55=inp_used_minimal,A55=inp_used_usersel)</f>
        <v>0</v>
      </c>
    </row>
    <row r="56" spans="1:49" s="674" customFormat="1">
      <c r="A56" s="724">
        <v>3</v>
      </c>
      <c r="B56" s="724">
        <v>2</v>
      </c>
      <c r="C56" s="726">
        <v>8</v>
      </c>
      <c r="D56" s="725">
        <v>75.072000000000003</v>
      </c>
      <c r="E56" s="724" t="s">
        <v>226</v>
      </c>
      <c r="F56" s="726">
        <v>37.536000000000001</v>
      </c>
      <c r="G56" s="724" t="s">
        <v>226</v>
      </c>
      <c r="H56" s="727" t="s">
        <v>3450</v>
      </c>
      <c r="I56" s="724" t="s">
        <v>440</v>
      </c>
      <c r="J56" s="742">
        <v>24</v>
      </c>
      <c r="K56" s="724"/>
      <c r="L56" s="724"/>
      <c r="M56" s="729"/>
      <c r="N56" s="727" t="s">
        <v>232</v>
      </c>
      <c r="O56" s="742">
        <v>30</v>
      </c>
      <c r="P56" s="724"/>
      <c r="Q56" s="729"/>
      <c r="R56" s="727"/>
      <c r="S56" s="732"/>
      <c r="T56" s="732"/>
      <c r="U56" s="732"/>
      <c r="V56" s="733"/>
      <c r="W56" s="725">
        <v>27.5</v>
      </c>
      <c r="X56" s="726">
        <v>27.5</v>
      </c>
      <c r="Y56" s="712">
        <v>7.9</v>
      </c>
      <c r="Z56" s="727">
        <v>168</v>
      </c>
      <c r="AA56" s="726" t="s">
        <v>2140</v>
      </c>
      <c r="AB56" s="726" t="s">
        <v>2996</v>
      </c>
      <c r="AC56" s="724" t="s">
        <v>2725</v>
      </c>
      <c r="AD56" s="726" t="s">
        <v>542</v>
      </c>
      <c r="AE56" s="727"/>
      <c r="AF56" s="724"/>
      <c r="AG56" s="734"/>
      <c r="AH56" s="726"/>
      <c r="AI56" s="724"/>
      <c r="AJ56" s="724"/>
      <c r="AK56" s="729"/>
      <c r="AL56" s="727"/>
      <c r="AM56" s="724"/>
      <c r="AN56" s="724"/>
      <c r="AO56" s="724"/>
      <c r="AP56" s="724"/>
      <c r="AQ56" s="729"/>
      <c r="AR56" s="676"/>
      <c r="AS56" s="537" t="b">
        <f t="array" ref="AS56">AND(D56:AQ56=inp_used,A56=inp_used_usersel)</f>
        <v>0</v>
      </c>
      <c r="AT56" s="674" t="b">
        <f t="array" ref="AT56">AND(D56:G56=inp_used_minimal,A56=inp_used_usersel)</f>
        <v>0</v>
      </c>
    </row>
    <row r="57" spans="1:49" s="674" customFormat="1">
      <c r="A57" s="674">
        <v>4</v>
      </c>
      <c r="B57" s="674">
        <v>1</v>
      </c>
      <c r="C57" s="674">
        <v>1</v>
      </c>
      <c r="D57" s="715">
        <v>0.03</v>
      </c>
      <c r="E57" s="716" t="s">
        <v>226</v>
      </c>
      <c r="F57" s="684">
        <v>7.0000000000000001E-3</v>
      </c>
      <c r="G57" s="716" t="s">
        <v>226</v>
      </c>
      <c r="H57" s="715" t="s">
        <v>3263</v>
      </c>
      <c r="I57" s="716" t="s">
        <v>992</v>
      </c>
      <c r="J57" s="741">
        <v>66600</v>
      </c>
      <c r="K57" s="716"/>
      <c r="L57" s="716"/>
      <c r="M57" s="721"/>
      <c r="N57" s="715" t="s">
        <v>232</v>
      </c>
      <c r="O57" s="716">
        <v>7.5</v>
      </c>
      <c r="P57" s="716"/>
      <c r="Q57" s="721"/>
      <c r="R57" s="715">
        <v>1</v>
      </c>
      <c r="S57" s="718">
        <v>3.4</v>
      </c>
      <c r="T57" s="716" t="s">
        <v>2139</v>
      </c>
      <c r="U57" s="718">
        <v>6</v>
      </c>
      <c r="V57" s="719">
        <v>2</v>
      </c>
      <c r="W57" s="718"/>
      <c r="X57" s="718"/>
      <c r="Y57" s="718"/>
      <c r="Z57" s="715">
        <v>168</v>
      </c>
      <c r="AA57" s="684" t="s">
        <v>2140</v>
      </c>
      <c r="AB57" s="720" t="s">
        <v>539</v>
      </c>
      <c r="AC57" s="716" t="s">
        <v>541</v>
      </c>
      <c r="AD57" s="721"/>
      <c r="AE57" s="715"/>
      <c r="AF57" s="1043">
        <v>0</v>
      </c>
      <c r="AG57" s="720"/>
      <c r="AH57" s="684"/>
      <c r="AI57" s="716" t="s">
        <v>2004</v>
      </c>
      <c r="AJ57" s="716"/>
      <c r="AK57" s="716"/>
      <c r="AL57" s="715"/>
      <c r="AM57" s="716"/>
      <c r="AN57" s="716"/>
      <c r="AO57" s="716"/>
      <c r="AP57" s="716"/>
      <c r="AQ57" s="721"/>
      <c r="AR57" s="676" t="s">
        <v>183</v>
      </c>
      <c r="AS57" s="537" t="b">
        <f t="array" ref="AS57">AND(D57:AQ57=inp_used,A57=inp_used_usersel)</f>
        <v>0</v>
      </c>
      <c r="AT57" s="674" t="b">
        <f t="array" ref="AT57">AND(D57:G57=inp_used_minimal,A57=inp_used_usersel)</f>
        <v>0</v>
      </c>
      <c r="AV57" s="674" t="b">
        <f t="shared" ref="AV57:AW64" si="3">CHOOSE(design_type,AS57,AS65)</f>
        <v>0</v>
      </c>
      <c r="AW57" s="674" t="b">
        <f t="shared" si="3"/>
        <v>0</v>
      </c>
    </row>
    <row r="58" spans="1:49" s="674" customFormat="1">
      <c r="A58" s="674">
        <v>4</v>
      </c>
      <c r="B58" s="674">
        <v>1</v>
      </c>
      <c r="C58" s="674">
        <v>2</v>
      </c>
      <c r="D58" s="715">
        <v>0.124</v>
      </c>
      <c r="E58" s="716" t="s">
        <v>226</v>
      </c>
      <c r="F58" s="684">
        <v>3.5000000000000003E-2</v>
      </c>
      <c r="G58" s="716" t="s">
        <v>226</v>
      </c>
      <c r="H58" s="715" t="s">
        <v>3263</v>
      </c>
      <c r="I58" s="716" t="s">
        <v>992</v>
      </c>
      <c r="J58" s="741">
        <v>66600</v>
      </c>
      <c r="K58" s="716"/>
      <c r="L58" s="716"/>
      <c r="M58" s="721"/>
      <c r="N58" s="715" t="s">
        <v>232</v>
      </c>
      <c r="O58" s="716">
        <v>7.5</v>
      </c>
      <c r="P58" s="716"/>
      <c r="Q58" s="721"/>
      <c r="R58" s="715">
        <v>1</v>
      </c>
      <c r="S58" s="718">
        <v>6.9</v>
      </c>
      <c r="T58" s="716" t="s">
        <v>2139</v>
      </c>
      <c r="U58" s="718">
        <v>11</v>
      </c>
      <c r="V58" s="719">
        <v>4</v>
      </c>
      <c r="W58" s="718"/>
      <c r="X58" s="718"/>
      <c r="Y58" s="718"/>
      <c r="Z58" s="715">
        <v>168</v>
      </c>
      <c r="AA58" s="684" t="s">
        <v>2140</v>
      </c>
      <c r="AB58" s="720" t="s">
        <v>540</v>
      </c>
      <c r="AC58" s="716" t="s">
        <v>541</v>
      </c>
      <c r="AD58" s="723" t="s">
        <v>542</v>
      </c>
      <c r="AE58" s="715"/>
      <c r="AF58" s="716">
        <v>0</v>
      </c>
      <c r="AG58" s="720"/>
      <c r="AH58" s="684"/>
      <c r="AI58" s="716" t="s">
        <v>2004</v>
      </c>
      <c r="AJ58" s="716"/>
      <c r="AK58" s="716"/>
      <c r="AL58" s="715"/>
      <c r="AM58" s="716"/>
      <c r="AN58" s="716"/>
      <c r="AO58" s="716"/>
      <c r="AP58" s="716"/>
      <c r="AQ58" s="721"/>
      <c r="AR58" s="676"/>
      <c r="AS58" s="537" t="b">
        <f t="array" ref="AS58">AND(D58:AQ58=inp_used,A58=inp_used_usersel)</f>
        <v>0</v>
      </c>
      <c r="AT58" s="674" t="b">
        <f t="array" ref="AT58">AND(D58:G58=inp_used_minimal,A58=inp_used_usersel)</f>
        <v>0</v>
      </c>
      <c r="AV58" s="674" t="b">
        <f t="shared" si="3"/>
        <v>0</v>
      </c>
      <c r="AW58" s="674" t="b">
        <f t="shared" si="3"/>
        <v>0</v>
      </c>
    </row>
    <row r="59" spans="1:49" s="674" customFormat="1">
      <c r="A59" s="674">
        <v>4</v>
      </c>
      <c r="B59" s="674">
        <v>1</v>
      </c>
      <c r="C59" s="674">
        <v>3</v>
      </c>
      <c r="D59" s="715">
        <v>0.30499999999999999</v>
      </c>
      <c r="E59" s="716" t="s">
        <v>226</v>
      </c>
      <c r="F59" s="684">
        <v>9.4E-2</v>
      </c>
      <c r="G59" s="716" t="s">
        <v>226</v>
      </c>
      <c r="H59" s="715" t="s">
        <v>3263</v>
      </c>
      <c r="I59" s="716" t="s">
        <v>992</v>
      </c>
      <c r="J59" s="741">
        <v>66600</v>
      </c>
      <c r="K59" s="716"/>
      <c r="L59" s="716"/>
      <c r="M59" s="721"/>
      <c r="N59" s="715" t="s">
        <v>232</v>
      </c>
      <c r="O59" s="716">
        <v>7.5</v>
      </c>
      <c r="P59" s="716"/>
      <c r="Q59" s="721"/>
      <c r="R59" s="715">
        <v>1</v>
      </c>
      <c r="S59" s="718">
        <v>6.7</v>
      </c>
      <c r="T59" s="716" t="s">
        <v>2139</v>
      </c>
      <c r="U59" s="718">
        <v>11</v>
      </c>
      <c r="V59" s="719">
        <v>4.5</v>
      </c>
      <c r="W59" s="718"/>
      <c r="X59" s="718"/>
      <c r="Y59" s="718"/>
      <c r="Z59" s="715">
        <v>168</v>
      </c>
      <c r="AA59" s="684" t="s">
        <v>2140</v>
      </c>
      <c r="AB59" s="720" t="s">
        <v>540</v>
      </c>
      <c r="AC59" s="716" t="s">
        <v>541</v>
      </c>
      <c r="AD59" s="723" t="s">
        <v>542</v>
      </c>
      <c r="AE59" s="715"/>
      <c r="AF59" s="716">
        <v>0</v>
      </c>
      <c r="AG59" s="720"/>
      <c r="AH59" s="684"/>
      <c r="AI59" s="716" t="s">
        <v>2004</v>
      </c>
      <c r="AJ59" s="716"/>
      <c r="AK59" s="716"/>
      <c r="AL59" s="715"/>
      <c r="AM59" s="716"/>
      <c r="AN59" s="716"/>
      <c r="AO59" s="716"/>
      <c r="AP59" s="716"/>
      <c r="AQ59" s="721"/>
      <c r="AR59" s="676"/>
      <c r="AS59" s="537" t="b">
        <f t="array" ref="AS59">AND(D59:AQ59=inp_used,A59=inp_used_usersel)</f>
        <v>0</v>
      </c>
      <c r="AT59" s="674" t="b">
        <f t="array" ref="AT59">AND(D59:G59=inp_used_minimal,A59=inp_used_usersel)</f>
        <v>0</v>
      </c>
      <c r="AV59" s="674" t="b">
        <f t="shared" si="3"/>
        <v>0</v>
      </c>
      <c r="AW59" s="674" t="b">
        <f t="shared" si="3"/>
        <v>0</v>
      </c>
    </row>
    <row r="60" spans="1:49" s="674" customFormat="1">
      <c r="A60" s="674">
        <v>4</v>
      </c>
      <c r="B60" s="674">
        <v>1</v>
      </c>
      <c r="C60" s="674">
        <v>4</v>
      </c>
      <c r="D60" s="715">
        <v>0.74</v>
      </c>
      <c r="E60" s="716" t="s">
        <v>226</v>
      </c>
      <c r="F60" s="684">
        <v>0.251</v>
      </c>
      <c r="G60" s="716" t="s">
        <v>226</v>
      </c>
      <c r="H60" s="715" t="s">
        <v>3263</v>
      </c>
      <c r="I60" s="716" t="s">
        <v>992</v>
      </c>
      <c r="J60" s="741">
        <v>66600</v>
      </c>
      <c r="K60" s="716"/>
      <c r="L60" s="716"/>
      <c r="M60" s="721"/>
      <c r="N60" s="715" t="s">
        <v>232</v>
      </c>
      <c r="O60" s="716">
        <v>7.5</v>
      </c>
      <c r="P60" s="716"/>
      <c r="Q60" s="721"/>
      <c r="R60" s="715">
        <v>1</v>
      </c>
      <c r="S60" s="718">
        <v>6.7</v>
      </c>
      <c r="T60" s="716" t="s">
        <v>2139</v>
      </c>
      <c r="U60" s="718">
        <v>11</v>
      </c>
      <c r="V60" s="719">
        <v>7</v>
      </c>
      <c r="W60" s="718"/>
      <c r="X60" s="718"/>
      <c r="Y60" s="718"/>
      <c r="Z60" s="715">
        <v>168</v>
      </c>
      <c r="AA60" s="684" t="s">
        <v>2140</v>
      </c>
      <c r="AB60" s="720" t="s">
        <v>540</v>
      </c>
      <c r="AC60" s="716" t="s">
        <v>541</v>
      </c>
      <c r="AD60" s="723" t="s">
        <v>542</v>
      </c>
      <c r="AE60" s="715"/>
      <c r="AF60" s="716">
        <v>0</v>
      </c>
      <c r="AG60" s="720"/>
      <c r="AH60" s="684"/>
      <c r="AI60" s="716" t="s">
        <v>2004</v>
      </c>
      <c r="AJ60" s="716"/>
      <c r="AK60" s="716"/>
      <c r="AL60" s="715"/>
      <c r="AM60" s="716"/>
      <c r="AN60" s="716"/>
      <c r="AO60" s="716"/>
      <c r="AP60" s="716"/>
      <c r="AQ60" s="721"/>
      <c r="AR60" s="676"/>
      <c r="AS60" s="537" t="b">
        <f t="array" ref="AS60">AND(D60:AQ60=inp_used,A60=inp_used_usersel)</f>
        <v>0</v>
      </c>
      <c r="AT60" s="674" t="b">
        <f t="array" ref="AT60">AND(D60:G60=inp_used_minimal,A60=inp_used_usersel)</f>
        <v>0</v>
      </c>
      <c r="AV60" s="674" t="b">
        <f t="shared" si="3"/>
        <v>0</v>
      </c>
      <c r="AW60" s="674" t="b">
        <f t="shared" si="3"/>
        <v>0</v>
      </c>
    </row>
    <row r="61" spans="1:49" s="674" customFormat="1">
      <c r="A61" s="674">
        <v>4</v>
      </c>
      <c r="B61" s="674">
        <v>1</v>
      </c>
      <c r="C61" s="537">
        <v>5</v>
      </c>
      <c r="D61" s="682">
        <v>2.1520000000000001</v>
      </c>
      <c r="E61" s="716" t="s">
        <v>226</v>
      </c>
      <c r="F61" s="684">
        <v>0.81899999999999995</v>
      </c>
      <c r="G61" s="716" t="s">
        <v>226</v>
      </c>
      <c r="H61" s="715" t="s">
        <v>3263</v>
      </c>
      <c r="I61" s="716" t="s">
        <v>992</v>
      </c>
      <c r="J61" s="741">
        <v>66600</v>
      </c>
      <c r="K61" s="716"/>
      <c r="L61" s="716"/>
      <c r="M61" s="721"/>
      <c r="N61" s="715" t="s">
        <v>232</v>
      </c>
      <c r="O61" s="716">
        <v>7.5</v>
      </c>
      <c r="P61" s="716"/>
      <c r="Q61" s="721"/>
      <c r="R61" s="715">
        <v>1</v>
      </c>
      <c r="S61" s="718">
        <v>6.7</v>
      </c>
      <c r="T61" s="716" t="s">
        <v>2139</v>
      </c>
      <c r="U61" s="718">
        <v>11</v>
      </c>
      <c r="V61" s="719">
        <v>8.5</v>
      </c>
      <c r="W61" s="718"/>
      <c r="X61" s="718"/>
      <c r="Y61" s="718"/>
      <c r="Z61" s="715">
        <v>168</v>
      </c>
      <c r="AA61" s="684" t="s">
        <v>2140</v>
      </c>
      <c r="AB61" s="720" t="s">
        <v>540</v>
      </c>
      <c r="AC61" s="716" t="s">
        <v>541</v>
      </c>
      <c r="AD61" s="723" t="s">
        <v>542</v>
      </c>
      <c r="AE61" s="715"/>
      <c r="AF61" s="716">
        <v>0</v>
      </c>
      <c r="AG61" s="716"/>
      <c r="AH61" s="684"/>
      <c r="AI61" s="716" t="s">
        <v>2004</v>
      </c>
      <c r="AJ61" s="716"/>
      <c r="AK61" s="716"/>
      <c r="AL61" s="715"/>
      <c r="AM61" s="716"/>
      <c r="AN61" s="716"/>
      <c r="AO61" s="716"/>
      <c r="AP61" s="716"/>
      <c r="AQ61" s="721"/>
      <c r="AR61" s="676"/>
      <c r="AS61" s="537" t="b">
        <f t="array" ref="AS61">AND(D61:AQ61=inp_used,A61=inp_used_usersel)</f>
        <v>0</v>
      </c>
      <c r="AT61" s="674" t="b">
        <f t="array" ref="AT61">AND(D61:G61=inp_used_minimal,A61=inp_used_usersel)</f>
        <v>0</v>
      </c>
      <c r="AV61" s="674" t="b">
        <f t="shared" si="3"/>
        <v>0</v>
      </c>
      <c r="AW61" s="674" t="b">
        <f t="shared" si="3"/>
        <v>0</v>
      </c>
    </row>
    <row r="62" spans="1:49" s="674" customFormat="1">
      <c r="A62" s="674">
        <v>4</v>
      </c>
      <c r="B62" s="674">
        <v>1</v>
      </c>
      <c r="C62" s="537">
        <v>6</v>
      </c>
      <c r="D62" s="682">
        <v>7.3650000000000002</v>
      </c>
      <c r="E62" s="716" t="s">
        <v>226</v>
      </c>
      <c r="F62" s="684">
        <v>3.2</v>
      </c>
      <c r="G62" s="716" t="s">
        <v>226</v>
      </c>
      <c r="H62" s="715" t="s">
        <v>3263</v>
      </c>
      <c r="I62" s="716" t="s">
        <v>992</v>
      </c>
      <c r="J62" s="741">
        <v>66600</v>
      </c>
      <c r="K62" s="716"/>
      <c r="L62" s="716"/>
      <c r="M62" s="721"/>
      <c r="N62" s="715" t="s">
        <v>232</v>
      </c>
      <c r="O62" s="716">
        <v>7.5</v>
      </c>
      <c r="P62" s="716"/>
      <c r="Q62" s="721"/>
      <c r="R62" s="715">
        <v>1</v>
      </c>
      <c r="S62" s="718">
        <v>6.8</v>
      </c>
      <c r="T62" s="716" t="s">
        <v>2139</v>
      </c>
      <c r="U62" s="718">
        <v>11</v>
      </c>
      <c r="V62" s="719">
        <v>11</v>
      </c>
      <c r="W62" s="718"/>
      <c r="X62" s="718"/>
      <c r="Y62" s="718"/>
      <c r="Z62" s="715">
        <v>168</v>
      </c>
      <c r="AA62" s="684" t="s">
        <v>2140</v>
      </c>
      <c r="AB62" s="720" t="s">
        <v>540</v>
      </c>
      <c r="AC62" s="716" t="s">
        <v>2725</v>
      </c>
      <c r="AD62" s="723" t="s">
        <v>542</v>
      </c>
      <c r="AE62" s="715"/>
      <c r="AF62" s="716">
        <v>0</v>
      </c>
      <c r="AG62" s="716"/>
      <c r="AH62" s="684"/>
      <c r="AI62" s="716" t="s">
        <v>2004</v>
      </c>
      <c r="AJ62" s="716"/>
      <c r="AK62" s="716"/>
      <c r="AL62" s="715"/>
      <c r="AM62" s="716"/>
      <c r="AN62" s="716"/>
      <c r="AO62" s="716"/>
      <c r="AP62" s="716"/>
      <c r="AQ62" s="721"/>
      <c r="AR62" s="676"/>
      <c r="AS62" s="537" t="b">
        <f t="array" ref="AS62">AND(D62:AQ62=inp_used,A62=inp_used_usersel)</f>
        <v>0</v>
      </c>
      <c r="AT62" s="674" t="b">
        <f t="array" ref="AT62">AND(D62:G62=inp_used_minimal,A62=inp_used_usersel)</f>
        <v>0</v>
      </c>
      <c r="AV62" s="674" t="b">
        <f t="shared" si="3"/>
        <v>0</v>
      </c>
      <c r="AW62" s="674" t="b">
        <f t="shared" si="3"/>
        <v>0</v>
      </c>
    </row>
    <row r="63" spans="1:49" s="674" customFormat="1">
      <c r="A63" s="674">
        <v>4</v>
      </c>
      <c r="B63" s="674">
        <v>1</v>
      </c>
      <c r="C63" s="537">
        <v>7</v>
      </c>
      <c r="D63" s="682">
        <v>22.614000000000001</v>
      </c>
      <c r="E63" s="716" t="s">
        <v>226</v>
      </c>
      <c r="F63" s="684">
        <v>11.066000000000001</v>
      </c>
      <c r="G63" s="716" t="s">
        <v>226</v>
      </c>
      <c r="H63" s="715" t="s">
        <v>3263</v>
      </c>
      <c r="I63" s="716" t="s">
        <v>992</v>
      </c>
      <c r="J63" s="741">
        <v>66600</v>
      </c>
      <c r="K63" s="716"/>
      <c r="L63" s="716"/>
      <c r="M63" s="721"/>
      <c r="N63" s="715" t="s">
        <v>232</v>
      </c>
      <c r="O63" s="716">
        <v>7.5</v>
      </c>
      <c r="P63" s="716"/>
      <c r="Q63" s="721"/>
      <c r="R63" s="715">
        <v>1</v>
      </c>
      <c r="S63" s="718">
        <v>7.1</v>
      </c>
      <c r="T63" s="716" t="s">
        <v>3284</v>
      </c>
      <c r="U63" s="718">
        <v>20</v>
      </c>
      <c r="V63" s="719">
        <v>14</v>
      </c>
      <c r="W63" s="718"/>
      <c r="X63" s="718"/>
      <c r="Y63" s="718"/>
      <c r="Z63" s="715">
        <v>168</v>
      </c>
      <c r="AA63" s="684" t="s">
        <v>2140</v>
      </c>
      <c r="AB63" s="720" t="s">
        <v>540</v>
      </c>
      <c r="AC63" s="716" t="s">
        <v>2725</v>
      </c>
      <c r="AD63" s="723" t="s">
        <v>542</v>
      </c>
      <c r="AE63" s="715"/>
      <c r="AF63" s="716">
        <v>0</v>
      </c>
      <c r="AG63" s="716"/>
      <c r="AH63" s="684"/>
      <c r="AI63" s="716" t="s">
        <v>2004</v>
      </c>
      <c r="AJ63" s="716"/>
      <c r="AK63" s="716"/>
      <c r="AL63" s="715"/>
      <c r="AM63" s="716"/>
      <c r="AN63" s="716"/>
      <c r="AO63" s="716"/>
      <c r="AP63" s="716"/>
      <c r="AQ63" s="721"/>
      <c r="AR63" s="676"/>
      <c r="AS63" s="537" t="b">
        <f t="array" ref="AS63">AND(D63:AQ63=inp_used,A63=inp_used_usersel)</f>
        <v>0</v>
      </c>
      <c r="AT63" s="674" t="b">
        <f t="array" ref="AT63">AND(D63:G63=inp_used_minimal,A63=inp_used_usersel)</f>
        <v>0</v>
      </c>
      <c r="AV63" s="674" t="b">
        <f t="shared" si="3"/>
        <v>0</v>
      </c>
      <c r="AW63" s="674" t="b">
        <f t="shared" si="3"/>
        <v>0</v>
      </c>
    </row>
    <row r="64" spans="1:49" s="674" customFormat="1">
      <c r="A64" s="724">
        <v>4</v>
      </c>
      <c r="B64" s="724">
        <v>1</v>
      </c>
      <c r="C64" s="726">
        <v>8</v>
      </c>
      <c r="D64" s="725">
        <v>75.072000000000003</v>
      </c>
      <c r="E64" s="724" t="s">
        <v>226</v>
      </c>
      <c r="F64" s="726">
        <v>37.536000000000001</v>
      </c>
      <c r="G64" s="724" t="s">
        <v>226</v>
      </c>
      <c r="H64" s="727" t="s">
        <v>3263</v>
      </c>
      <c r="I64" s="724" t="s">
        <v>992</v>
      </c>
      <c r="J64" s="742">
        <v>66600</v>
      </c>
      <c r="K64" s="724"/>
      <c r="L64" s="724"/>
      <c r="M64" s="729"/>
      <c r="N64" s="727" t="s">
        <v>232</v>
      </c>
      <c r="O64" s="724">
        <v>7.5</v>
      </c>
      <c r="P64" s="724"/>
      <c r="Q64" s="729"/>
      <c r="R64" s="715">
        <v>1</v>
      </c>
      <c r="S64" s="732">
        <v>7.2</v>
      </c>
      <c r="T64" s="724" t="s">
        <v>3284</v>
      </c>
      <c r="U64" s="732">
        <v>20</v>
      </c>
      <c r="V64" s="733">
        <v>14</v>
      </c>
      <c r="W64" s="731"/>
      <c r="X64" s="732"/>
      <c r="Y64" s="733"/>
      <c r="Z64" s="727">
        <v>168</v>
      </c>
      <c r="AA64" s="726" t="s">
        <v>2140</v>
      </c>
      <c r="AB64" s="734" t="s">
        <v>540</v>
      </c>
      <c r="AC64" s="724" t="s">
        <v>2725</v>
      </c>
      <c r="AD64" s="712" t="s">
        <v>542</v>
      </c>
      <c r="AE64" s="727"/>
      <c r="AF64" s="724">
        <v>0</v>
      </c>
      <c r="AG64" s="724"/>
      <c r="AH64" s="726"/>
      <c r="AI64" s="724" t="s">
        <v>2004</v>
      </c>
      <c r="AJ64" s="724"/>
      <c r="AK64" s="729"/>
      <c r="AL64" s="727"/>
      <c r="AM64" s="724"/>
      <c r="AN64" s="724"/>
      <c r="AO64" s="724"/>
      <c r="AP64" s="724"/>
      <c r="AQ64" s="729"/>
      <c r="AR64" s="676"/>
      <c r="AS64" s="537" t="b">
        <f t="array" ref="AS64">AND(D64:AQ64=inp_used,A64=inp_used_usersel)</f>
        <v>0</v>
      </c>
      <c r="AT64" s="674" t="b">
        <f t="array" ref="AT64">AND(D64:G64=inp_used_minimal,A64=inp_used_usersel)</f>
        <v>0</v>
      </c>
      <c r="AV64" s="674" t="b">
        <f t="shared" si="3"/>
        <v>0</v>
      </c>
      <c r="AW64" s="674" t="b">
        <f t="shared" si="3"/>
        <v>0</v>
      </c>
    </row>
    <row r="65" spans="1:49" s="674" customFormat="1">
      <c r="A65" s="674">
        <v>4</v>
      </c>
      <c r="B65" s="735">
        <v>2</v>
      </c>
      <c r="C65" s="674">
        <v>1</v>
      </c>
      <c r="D65" s="715">
        <v>0.03</v>
      </c>
      <c r="E65" s="716" t="s">
        <v>226</v>
      </c>
      <c r="F65" s="684">
        <v>7.0000000000000001E-3</v>
      </c>
      <c r="G65" s="716" t="s">
        <v>226</v>
      </c>
      <c r="H65" s="715" t="s">
        <v>3263</v>
      </c>
      <c r="I65" s="716" t="s">
        <v>992</v>
      </c>
      <c r="J65" s="741">
        <v>66600</v>
      </c>
      <c r="K65" s="716"/>
      <c r="L65" s="716"/>
      <c r="M65" s="721"/>
      <c r="N65" s="715" t="s">
        <v>232</v>
      </c>
      <c r="O65" s="716">
        <v>7.5</v>
      </c>
      <c r="P65" s="716"/>
      <c r="Q65" s="721"/>
      <c r="R65" s="737"/>
      <c r="S65" s="718"/>
      <c r="T65" s="718"/>
      <c r="U65" s="718"/>
      <c r="V65" s="719"/>
      <c r="W65" s="682">
        <v>6</v>
      </c>
      <c r="X65" s="684">
        <v>6</v>
      </c>
      <c r="Y65" s="684">
        <v>3</v>
      </c>
      <c r="Z65" s="715">
        <v>168</v>
      </c>
      <c r="AA65" s="684" t="s">
        <v>2140</v>
      </c>
      <c r="AB65" s="684" t="s">
        <v>2996</v>
      </c>
      <c r="AC65" s="716" t="s">
        <v>541</v>
      </c>
      <c r="AD65" s="684" t="s">
        <v>542</v>
      </c>
      <c r="AE65" s="715"/>
      <c r="AF65" s="716"/>
      <c r="AG65" s="720"/>
      <c r="AH65" s="684"/>
      <c r="AI65" s="716" t="s">
        <v>2004</v>
      </c>
      <c r="AJ65" s="716"/>
      <c r="AK65" s="716"/>
      <c r="AL65" s="715"/>
      <c r="AM65" s="716"/>
      <c r="AN65" s="716"/>
      <c r="AO65" s="716"/>
      <c r="AP65" s="716"/>
      <c r="AQ65" s="721"/>
      <c r="AR65" s="676" t="s">
        <v>184</v>
      </c>
      <c r="AS65" s="537" t="b">
        <f t="array" ref="AS65">AND(D65:AQ65=inp_used,A65=inp_used_usersel)</f>
        <v>0</v>
      </c>
      <c r="AT65" s="674" t="b">
        <f t="array" ref="AT65">AND(D65:G65=inp_used_minimal,A65=inp_used_usersel)</f>
        <v>0</v>
      </c>
    </row>
    <row r="66" spans="1:49" s="674" customFormat="1">
      <c r="A66" s="674">
        <v>4</v>
      </c>
      <c r="B66" s="716">
        <v>2</v>
      </c>
      <c r="C66" s="674">
        <v>2</v>
      </c>
      <c r="D66" s="715">
        <v>0.124</v>
      </c>
      <c r="E66" s="716" t="s">
        <v>226</v>
      </c>
      <c r="F66" s="684">
        <v>3.5000000000000003E-2</v>
      </c>
      <c r="G66" s="716" t="s">
        <v>226</v>
      </c>
      <c r="H66" s="715" t="s">
        <v>3263</v>
      </c>
      <c r="I66" s="716" t="s">
        <v>992</v>
      </c>
      <c r="J66" s="741">
        <v>66600</v>
      </c>
      <c r="K66" s="716"/>
      <c r="L66" s="716"/>
      <c r="M66" s="721"/>
      <c r="N66" s="715" t="s">
        <v>232</v>
      </c>
      <c r="O66" s="716">
        <v>7.5</v>
      </c>
      <c r="P66" s="716"/>
      <c r="Q66" s="721"/>
      <c r="R66" s="715"/>
      <c r="S66" s="718"/>
      <c r="T66" s="718"/>
      <c r="U66" s="718"/>
      <c r="V66" s="719"/>
      <c r="W66" s="682">
        <v>6</v>
      </c>
      <c r="X66" s="684">
        <v>6</v>
      </c>
      <c r="Y66" s="684">
        <v>3</v>
      </c>
      <c r="Z66" s="715">
        <v>168</v>
      </c>
      <c r="AA66" s="684" t="s">
        <v>2140</v>
      </c>
      <c r="AB66" s="684" t="s">
        <v>2996</v>
      </c>
      <c r="AC66" s="716" t="s">
        <v>541</v>
      </c>
      <c r="AD66" s="684" t="s">
        <v>542</v>
      </c>
      <c r="AE66" s="715"/>
      <c r="AF66" s="716"/>
      <c r="AG66" s="720"/>
      <c r="AH66" s="684"/>
      <c r="AI66" s="716" t="s">
        <v>2004</v>
      </c>
      <c r="AJ66" s="716"/>
      <c r="AK66" s="716"/>
      <c r="AL66" s="715"/>
      <c r="AM66" s="716"/>
      <c r="AN66" s="716"/>
      <c r="AO66" s="716"/>
      <c r="AP66" s="716"/>
      <c r="AQ66" s="721"/>
      <c r="AR66" s="676"/>
      <c r="AS66" s="537" t="b">
        <f t="array" ref="AS66">AND(D66:AQ66=inp_used,A66=inp_used_usersel)</f>
        <v>0</v>
      </c>
      <c r="AT66" s="674" t="b">
        <f t="array" ref="AT66">AND(D66:G66=inp_used_minimal,A66=inp_used_usersel)</f>
        <v>0</v>
      </c>
    </row>
    <row r="67" spans="1:49" s="674" customFormat="1">
      <c r="A67" s="674">
        <v>4</v>
      </c>
      <c r="B67" s="716">
        <v>2</v>
      </c>
      <c r="C67" s="674">
        <v>3</v>
      </c>
      <c r="D67" s="715">
        <v>0.30499999999999999</v>
      </c>
      <c r="E67" s="716" t="s">
        <v>226</v>
      </c>
      <c r="F67" s="684">
        <v>9.4E-2</v>
      </c>
      <c r="G67" s="716" t="s">
        <v>226</v>
      </c>
      <c r="H67" s="715" t="s">
        <v>3263</v>
      </c>
      <c r="I67" s="716" t="s">
        <v>992</v>
      </c>
      <c r="J67" s="741">
        <v>66600</v>
      </c>
      <c r="K67" s="716"/>
      <c r="L67" s="716"/>
      <c r="M67" s="721"/>
      <c r="N67" s="715" t="s">
        <v>232</v>
      </c>
      <c r="O67" s="716">
        <v>7.5</v>
      </c>
      <c r="P67" s="716"/>
      <c r="Q67" s="721"/>
      <c r="R67" s="715"/>
      <c r="S67" s="718"/>
      <c r="T67" s="718"/>
      <c r="U67" s="718"/>
      <c r="V67" s="719"/>
      <c r="W67" s="682">
        <v>6</v>
      </c>
      <c r="X67" s="684">
        <v>6</v>
      </c>
      <c r="Y67" s="684">
        <v>3</v>
      </c>
      <c r="Z67" s="715">
        <v>168</v>
      </c>
      <c r="AA67" s="684" t="s">
        <v>2140</v>
      </c>
      <c r="AB67" s="684" t="s">
        <v>2996</v>
      </c>
      <c r="AC67" s="716" t="s">
        <v>541</v>
      </c>
      <c r="AD67" s="684" t="s">
        <v>542</v>
      </c>
      <c r="AE67" s="715"/>
      <c r="AF67" s="716"/>
      <c r="AG67" s="720"/>
      <c r="AH67" s="684"/>
      <c r="AI67" s="716" t="s">
        <v>2004</v>
      </c>
      <c r="AJ67" s="716"/>
      <c r="AK67" s="716"/>
      <c r="AL67" s="715"/>
      <c r="AM67" s="716"/>
      <c r="AN67" s="716"/>
      <c r="AO67" s="716"/>
      <c r="AP67" s="716"/>
      <c r="AQ67" s="721"/>
      <c r="AR67" s="676"/>
      <c r="AS67" s="537" t="b">
        <f t="array" ref="AS67">AND(D67:AQ67=inp_used,A67=inp_used_usersel)</f>
        <v>0</v>
      </c>
      <c r="AT67" s="674" t="b">
        <f t="array" ref="AT67">AND(D67:G67=inp_used_minimal,A67=inp_used_usersel)</f>
        <v>0</v>
      </c>
    </row>
    <row r="68" spans="1:49" s="674" customFormat="1">
      <c r="A68" s="674">
        <v>4</v>
      </c>
      <c r="B68" s="716">
        <v>2</v>
      </c>
      <c r="C68" s="674">
        <v>4</v>
      </c>
      <c r="D68" s="715">
        <v>0.74</v>
      </c>
      <c r="E68" s="716" t="s">
        <v>226</v>
      </c>
      <c r="F68" s="684">
        <v>0.251</v>
      </c>
      <c r="G68" s="716" t="s">
        <v>226</v>
      </c>
      <c r="H68" s="715" t="s">
        <v>3263</v>
      </c>
      <c r="I68" s="716" t="s">
        <v>992</v>
      </c>
      <c r="J68" s="741">
        <v>66600</v>
      </c>
      <c r="K68" s="716"/>
      <c r="L68" s="716"/>
      <c r="M68" s="721"/>
      <c r="N68" s="715" t="s">
        <v>232</v>
      </c>
      <c r="O68" s="716">
        <v>7.5</v>
      </c>
      <c r="P68" s="716"/>
      <c r="Q68" s="721"/>
      <c r="R68" s="715"/>
      <c r="S68" s="718"/>
      <c r="T68" s="718"/>
      <c r="U68" s="718"/>
      <c r="V68" s="719"/>
      <c r="W68" s="682">
        <v>7</v>
      </c>
      <c r="X68" s="684">
        <v>7</v>
      </c>
      <c r="Y68" s="684">
        <v>5.3</v>
      </c>
      <c r="Z68" s="715">
        <v>168</v>
      </c>
      <c r="AA68" s="684" t="s">
        <v>2140</v>
      </c>
      <c r="AB68" s="684" t="s">
        <v>2996</v>
      </c>
      <c r="AC68" s="716" t="s">
        <v>541</v>
      </c>
      <c r="AD68" s="684" t="s">
        <v>542</v>
      </c>
      <c r="AE68" s="715"/>
      <c r="AF68" s="716"/>
      <c r="AG68" s="720"/>
      <c r="AH68" s="684"/>
      <c r="AI68" s="716" t="s">
        <v>2004</v>
      </c>
      <c r="AJ68" s="716"/>
      <c r="AK68" s="716"/>
      <c r="AL68" s="715"/>
      <c r="AM68" s="716"/>
      <c r="AN68" s="716"/>
      <c r="AO68" s="716"/>
      <c r="AP68" s="716"/>
      <c r="AQ68" s="721"/>
      <c r="AR68" s="676"/>
      <c r="AS68" s="537" t="b">
        <f t="array" ref="AS68">AND(D68:AQ68=inp_used,A68=inp_used_usersel)</f>
        <v>0</v>
      </c>
      <c r="AT68" s="674" t="b">
        <f t="array" ref="AT68">AND(D68:G68=inp_used_minimal,A68=inp_used_usersel)</f>
        <v>0</v>
      </c>
    </row>
    <row r="69" spans="1:49" s="674" customFormat="1">
      <c r="A69" s="674">
        <v>4</v>
      </c>
      <c r="B69" s="716">
        <v>2</v>
      </c>
      <c r="C69" s="537">
        <v>5</v>
      </c>
      <c r="D69" s="682">
        <v>2.1520000000000001</v>
      </c>
      <c r="E69" s="716" t="s">
        <v>226</v>
      </c>
      <c r="F69" s="684">
        <v>0.81899999999999995</v>
      </c>
      <c r="G69" s="716" t="s">
        <v>226</v>
      </c>
      <c r="H69" s="715" t="s">
        <v>3263</v>
      </c>
      <c r="I69" s="716" t="s">
        <v>992</v>
      </c>
      <c r="J69" s="741">
        <v>66600</v>
      </c>
      <c r="K69" s="716"/>
      <c r="L69" s="716"/>
      <c r="M69" s="721"/>
      <c r="N69" s="715" t="s">
        <v>232</v>
      </c>
      <c r="O69" s="716">
        <v>7.5</v>
      </c>
      <c r="P69" s="716"/>
      <c r="Q69" s="721"/>
      <c r="R69" s="715"/>
      <c r="S69" s="718"/>
      <c r="T69" s="718"/>
      <c r="U69" s="718"/>
      <c r="V69" s="719"/>
      <c r="W69" s="682">
        <v>8</v>
      </c>
      <c r="X69" s="684">
        <v>8</v>
      </c>
      <c r="Y69" s="684">
        <v>7.9</v>
      </c>
      <c r="Z69" s="715">
        <v>168</v>
      </c>
      <c r="AA69" s="684" t="s">
        <v>2140</v>
      </c>
      <c r="AB69" s="684" t="s">
        <v>2996</v>
      </c>
      <c r="AC69" s="716" t="s">
        <v>541</v>
      </c>
      <c r="AD69" s="684" t="s">
        <v>542</v>
      </c>
      <c r="AE69" s="715"/>
      <c r="AF69" s="716"/>
      <c r="AG69" s="716"/>
      <c r="AH69" s="684"/>
      <c r="AI69" s="716" t="s">
        <v>2004</v>
      </c>
      <c r="AJ69" s="716"/>
      <c r="AK69" s="716"/>
      <c r="AL69" s="715"/>
      <c r="AM69" s="716"/>
      <c r="AN69" s="716"/>
      <c r="AO69" s="716"/>
      <c r="AP69" s="716"/>
      <c r="AQ69" s="721"/>
      <c r="AR69" s="676"/>
      <c r="AS69" s="537" t="b">
        <f t="array" ref="AS69">AND(D69:AQ69=inp_used,A69=inp_used_usersel)</f>
        <v>0</v>
      </c>
      <c r="AT69" s="674" t="b">
        <f t="array" ref="AT69">AND(D69:G69=inp_used_minimal,A69=inp_used_usersel)</f>
        <v>0</v>
      </c>
    </row>
    <row r="70" spans="1:49" s="674" customFormat="1">
      <c r="A70" s="674">
        <v>4</v>
      </c>
      <c r="B70" s="716">
        <v>2</v>
      </c>
      <c r="C70" s="537">
        <v>6</v>
      </c>
      <c r="D70" s="682">
        <v>7.3650000000000002</v>
      </c>
      <c r="E70" s="716" t="s">
        <v>226</v>
      </c>
      <c r="F70" s="684">
        <v>3.2</v>
      </c>
      <c r="G70" s="716" t="s">
        <v>226</v>
      </c>
      <c r="H70" s="715" t="s">
        <v>3263</v>
      </c>
      <c r="I70" s="716" t="s">
        <v>992</v>
      </c>
      <c r="J70" s="741">
        <v>66600</v>
      </c>
      <c r="K70" s="716"/>
      <c r="L70" s="716"/>
      <c r="M70" s="721"/>
      <c r="N70" s="715" t="s">
        <v>232</v>
      </c>
      <c r="O70" s="716">
        <v>7.5</v>
      </c>
      <c r="P70" s="716"/>
      <c r="Q70" s="721"/>
      <c r="R70" s="715"/>
      <c r="S70" s="718"/>
      <c r="T70" s="718"/>
      <c r="U70" s="718"/>
      <c r="V70" s="719"/>
      <c r="W70" s="682">
        <v>11.5</v>
      </c>
      <c r="X70" s="684">
        <v>11.5</v>
      </c>
      <c r="Y70" s="684">
        <v>7.8</v>
      </c>
      <c r="Z70" s="715">
        <v>168</v>
      </c>
      <c r="AA70" s="684" t="s">
        <v>2140</v>
      </c>
      <c r="AB70" s="684" t="s">
        <v>2996</v>
      </c>
      <c r="AC70" s="716" t="s">
        <v>2725</v>
      </c>
      <c r="AD70" s="684" t="s">
        <v>542</v>
      </c>
      <c r="AE70" s="715"/>
      <c r="AF70" s="716"/>
      <c r="AG70" s="716"/>
      <c r="AH70" s="684"/>
      <c r="AI70" s="716" t="s">
        <v>2004</v>
      </c>
      <c r="AJ70" s="716"/>
      <c r="AK70" s="716"/>
      <c r="AL70" s="715"/>
      <c r="AM70" s="716"/>
      <c r="AN70" s="716"/>
      <c r="AO70" s="716"/>
      <c r="AP70" s="716"/>
      <c r="AQ70" s="721"/>
      <c r="AR70" s="676"/>
      <c r="AS70" s="537" t="b">
        <f t="array" ref="AS70">AND(D70:AQ70=inp_used,A70=inp_used_usersel)</f>
        <v>0</v>
      </c>
      <c r="AT70" s="674" t="b">
        <f t="array" ref="AT70">AND(D70:G70=inp_used_minimal,A70=inp_used_usersel)</f>
        <v>0</v>
      </c>
    </row>
    <row r="71" spans="1:49" s="674" customFormat="1">
      <c r="A71" s="674">
        <v>4</v>
      </c>
      <c r="B71" s="716">
        <v>2</v>
      </c>
      <c r="C71" s="537">
        <v>7</v>
      </c>
      <c r="D71" s="682">
        <v>22.614000000000001</v>
      </c>
      <c r="E71" s="716" t="s">
        <v>226</v>
      </c>
      <c r="F71" s="684">
        <v>11.066000000000001</v>
      </c>
      <c r="G71" s="716" t="s">
        <v>226</v>
      </c>
      <c r="H71" s="715" t="s">
        <v>3263</v>
      </c>
      <c r="I71" s="716" t="s">
        <v>992</v>
      </c>
      <c r="J71" s="741">
        <v>66600</v>
      </c>
      <c r="K71" s="716"/>
      <c r="L71" s="716"/>
      <c r="M71" s="721"/>
      <c r="N71" s="715" t="s">
        <v>232</v>
      </c>
      <c r="O71" s="716">
        <v>7.5</v>
      </c>
      <c r="P71" s="716"/>
      <c r="Q71" s="721"/>
      <c r="R71" s="715"/>
      <c r="S71" s="718"/>
      <c r="T71" s="718"/>
      <c r="U71" s="718"/>
      <c r="V71" s="719"/>
      <c r="W71" s="682">
        <v>15</v>
      </c>
      <c r="X71" s="684">
        <v>15</v>
      </c>
      <c r="Y71" s="684">
        <v>7.8</v>
      </c>
      <c r="Z71" s="715">
        <v>168</v>
      </c>
      <c r="AA71" s="684" t="s">
        <v>2140</v>
      </c>
      <c r="AB71" s="684" t="s">
        <v>2996</v>
      </c>
      <c r="AC71" s="716" t="s">
        <v>2725</v>
      </c>
      <c r="AD71" s="684" t="s">
        <v>542</v>
      </c>
      <c r="AE71" s="715"/>
      <c r="AF71" s="716"/>
      <c r="AG71" s="716"/>
      <c r="AH71" s="684"/>
      <c r="AI71" s="716" t="s">
        <v>2004</v>
      </c>
      <c r="AJ71" s="716"/>
      <c r="AK71" s="716"/>
      <c r="AL71" s="715"/>
      <c r="AM71" s="716"/>
      <c r="AN71" s="716"/>
      <c r="AO71" s="716"/>
      <c r="AP71" s="716"/>
      <c r="AQ71" s="721"/>
      <c r="AR71" s="676"/>
      <c r="AS71" s="537" t="b">
        <f t="array" ref="AS71">AND(D71:AQ71=inp_used,A71=inp_used_usersel)</f>
        <v>0</v>
      </c>
      <c r="AT71" s="674" t="b">
        <f t="array" ref="AT71">AND(D71:G71=inp_used_minimal,A71=inp_used_usersel)</f>
        <v>0</v>
      </c>
    </row>
    <row r="72" spans="1:49" s="674" customFormat="1">
      <c r="A72" s="724">
        <v>4</v>
      </c>
      <c r="B72" s="724">
        <v>2</v>
      </c>
      <c r="C72" s="726">
        <v>8</v>
      </c>
      <c r="D72" s="725">
        <v>75.072000000000003</v>
      </c>
      <c r="E72" s="724" t="s">
        <v>226</v>
      </c>
      <c r="F72" s="726">
        <v>37.536000000000001</v>
      </c>
      <c r="G72" s="724" t="s">
        <v>226</v>
      </c>
      <c r="H72" s="727" t="s">
        <v>3263</v>
      </c>
      <c r="I72" s="724" t="s">
        <v>992</v>
      </c>
      <c r="J72" s="742">
        <v>66600</v>
      </c>
      <c r="K72" s="724"/>
      <c r="L72" s="724"/>
      <c r="M72" s="729"/>
      <c r="N72" s="727" t="s">
        <v>232</v>
      </c>
      <c r="O72" s="724">
        <v>7.5</v>
      </c>
      <c r="P72" s="724"/>
      <c r="Q72" s="729"/>
      <c r="R72" s="727"/>
      <c r="S72" s="732"/>
      <c r="T72" s="732"/>
      <c r="U72" s="732"/>
      <c r="V72" s="733"/>
      <c r="W72" s="725">
        <v>21</v>
      </c>
      <c r="X72" s="726">
        <v>21</v>
      </c>
      <c r="Y72" s="712">
        <v>8</v>
      </c>
      <c r="Z72" s="727">
        <v>168</v>
      </c>
      <c r="AA72" s="726" t="s">
        <v>2140</v>
      </c>
      <c r="AB72" s="726" t="s">
        <v>2996</v>
      </c>
      <c r="AC72" s="724" t="s">
        <v>2725</v>
      </c>
      <c r="AD72" s="726" t="s">
        <v>542</v>
      </c>
      <c r="AE72" s="727"/>
      <c r="AF72" s="724"/>
      <c r="AG72" s="724"/>
      <c r="AH72" s="726"/>
      <c r="AI72" s="724" t="s">
        <v>2004</v>
      </c>
      <c r="AJ72" s="724"/>
      <c r="AK72" s="729"/>
      <c r="AL72" s="727"/>
      <c r="AM72" s="724"/>
      <c r="AN72" s="724"/>
      <c r="AO72" s="724"/>
      <c r="AP72" s="724"/>
      <c r="AQ72" s="729"/>
      <c r="AR72" s="676"/>
      <c r="AS72" s="537" t="b">
        <f t="array" ref="AS72">AND(D72:AQ72=inp_used,A72=inp_used_usersel)</f>
        <v>0</v>
      </c>
      <c r="AT72" s="674" t="b">
        <f t="array" ref="AT72">AND(D72:G72=inp_used_minimal,A72=inp_used_usersel)</f>
        <v>0</v>
      </c>
    </row>
    <row r="73" spans="1:49" s="674" customFormat="1">
      <c r="A73" s="674">
        <v>5</v>
      </c>
      <c r="B73" s="674">
        <v>1</v>
      </c>
      <c r="C73" s="674">
        <v>1</v>
      </c>
      <c r="D73" s="715">
        <v>0.03</v>
      </c>
      <c r="E73" s="716" t="s">
        <v>226</v>
      </c>
      <c r="F73" s="684">
        <v>7.0000000000000001E-3</v>
      </c>
      <c r="G73" s="716" t="s">
        <v>226</v>
      </c>
      <c r="H73" s="715" t="s">
        <v>3263</v>
      </c>
      <c r="I73" s="716" t="s">
        <v>992</v>
      </c>
      <c r="J73" s="741">
        <v>95700</v>
      </c>
      <c r="K73" s="716"/>
      <c r="L73" s="716"/>
      <c r="M73" s="721"/>
      <c r="N73" s="715" t="s">
        <v>232</v>
      </c>
      <c r="O73" s="716">
        <v>7.5</v>
      </c>
      <c r="P73" s="716"/>
      <c r="Q73" s="721"/>
      <c r="R73" s="715">
        <v>1</v>
      </c>
      <c r="S73" s="718">
        <v>3.4</v>
      </c>
      <c r="T73" s="716" t="s">
        <v>2139</v>
      </c>
      <c r="U73" s="718">
        <v>6</v>
      </c>
      <c r="V73" s="719">
        <v>2</v>
      </c>
      <c r="W73" s="718"/>
      <c r="X73" s="718"/>
      <c r="Y73" s="718"/>
      <c r="Z73" s="715">
        <v>168</v>
      </c>
      <c r="AA73" s="684" t="s">
        <v>2140</v>
      </c>
      <c r="AB73" s="720" t="s">
        <v>539</v>
      </c>
      <c r="AC73" s="716" t="s">
        <v>541</v>
      </c>
      <c r="AD73" s="721"/>
      <c r="AE73" s="715"/>
      <c r="AF73" s="1043">
        <v>0</v>
      </c>
      <c r="AG73" s="720"/>
      <c r="AH73" s="684"/>
      <c r="AI73" s="716" t="s">
        <v>2004</v>
      </c>
      <c r="AJ73" s="716"/>
      <c r="AK73" s="716"/>
      <c r="AL73" s="715"/>
      <c r="AM73" s="716"/>
      <c r="AN73" s="716"/>
      <c r="AO73" s="716"/>
      <c r="AP73" s="716"/>
      <c r="AQ73" s="721"/>
      <c r="AR73" s="676" t="s">
        <v>185</v>
      </c>
      <c r="AS73" s="537" t="b">
        <f t="array" ref="AS73">AND(D73:AQ73=inp_used,A73=inp_used_usersel)</f>
        <v>0</v>
      </c>
      <c r="AT73" s="674" t="b">
        <f t="array" ref="AT73">AND(D73:G73=inp_used_minimal,A73=inp_used_usersel)</f>
        <v>0</v>
      </c>
      <c r="AV73" s="674" t="b">
        <f t="shared" ref="AV73:AW80" si="4">CHOOSE(design_type,AS73,AS81)</f>
        <v>0</v>
      </c>
      <c r="AW73" s="674" t="b">
        <f t="shared" si="4"/>
        <v>0</v>
      </c>
    </row>
    <row r="74" spans="1:49" s="674" customFormat="1">
      <c r="A74" s="674">
        <v>5</v>
      </c>
      <c r="B74" s="674">
        <v>1</v>
      </c>
      <c r="C74" s="674">
        <v>2</v>
      </c>
      <c r="D74" s="715">
        <v>0.124</v>
      </c>
      <c r="E74" s="716" t="s">
        <v>226</v>
      </c>
      <c r="F74" s="684">
        <v>3.5000000000000003E-2</v>
      </c>
      <c r="G74" s="716" t="s">
        <v>226</v>
      </c>
      <c r="H74" s="715" t="s">
        <v>3263</v>
      </c>
      <c r="I74" s="716" t="s">
        <v>992</v>
      </c>
      <c r="J74" s="741">
        <v>95700</v>
      </c>
      <c r="K74" s="716"/>
      <c r="L74" s="716"/>
      <c r="M74" s="721"/>
      <c r="N74" s="715" t="s">
        <v>232</v>
      </c>
      <c r="O74" s="716">
        <v>7.5</v>
      </c>
      <c r="P74" s="716"/>
      <c r="Q74" s="721"/>
      <c r="R74" s="715">
        <v>1</v>
      </c>
      <c r="S74" s="718">
        <v>6.9</v>
      </c>
      <c r="T74" s="716" t="s">
        <v>2139</v>
      </c>
      <c r="U74" s="718">
        <v>11</v>
      </c>
      <c r="V74" s="719">
        <v>4</v>
      </c>
      <c r="W74" s="718"/>
      <c r="X74" s="718"/>
      <c r="Y74" s="718"/>
      <c r="Z74" s="715">
        <v>168</v>
      </c>
      <c r="AA74" s="684" t="s">
        <v>2140</v>
      </c>
      <c r="AB74" s="720" t="s">
        <v>540</v>
      </c>
      <c r="AC74" s="716" t="s">
        <v>541</v>
      </c>
      <c r="AD74" s="723" t="s">
        <v>542</v>
      </c>
      <c r="AE74" s="715"/>
      <c r="AF74" s="716">
        <v>0</v>
      </c>
      <c r="AG74" s="720"/>
      <c r="AH74" s="684"/>
      <c r="AI74" s="716" t="s">
        <v>2004</v>
      </c>
      <c r="AJ74" s="716"/>
      <c r="AK74" s="716"/>
      <c r="AL74" s="715"/>
      <c r="AM74" s="716"/>
      <c r="AN74" s="716"/>
      <c r="AO74" s="716"/>
      <c r="AP74" s="716"/>
      <c r="AQ74" s="721"/>
      <c r="AR74" s="676"/>
      <c r="AS74" s="537" t="b">
        <f t="array" ref="AS74">AND(D74:AQ74=inp_used,A74=inp_used_usersel)</f>
        <v>0</v>
      </c>
      <c r="AT74" s="674" t="b">
        <f t="array" ref="AT74">AND(D74:G74=inp_used_minimal,A74=inp_used_usersel)</f>
        <v>0</v>
      </c>
      <c r="AV74" s="674" t="b">
        <f t="shared" si="4"/>
        <v>0</v>
      </c>
      <c r="AW74" s="674" t="b">
        <f t="shared" si="4"/>
        <v>0</v>
      </c>
    </row>
    <row r="75" spans="1:49" s="674" customFormat="1">
      <c r="A75" s="674">
        <v>5</v>
      </c>
      <c r="B75" s="674">
        <v>1</v>
      </c>
      <c r="C75" s="674">
        <v>3</v>
      </c>
      <c r="D75" s="715">
        <v>0.30499999999999999</v>
      </c>
      <c r="E75" s="716" t="s">
        <v>226</v>
      </c>
      <c r="F75" s="684">
        <v>9.4E-2</v>
      </c>
      <c r="G75" s="716" t="s">
        <v>226</v>
      </c>
      <c r="H75" s="715" t="s">
        <v>3263</v>
      </c>
      <c r="I75" s="716" t="s">
        <v>992</v>
      </c>
      <c r="J75" s="741">
        <v>95700</v>
      </c>
      <c r="K75" s="716"/>
      <c r="L75" s="716"/>
      <c r="M75" s="721"/>
      <c r="N75" s="715" t="s">
        <v>232</v>
      </c>
      <c r="O75" s="716">
        <v>7.5</v>
      </c>
      <c r="P75" s="716"/>
      <c r="Q75" s="721"/>
      <c r="R75" s="715">
        <v>1</v>
      </c>
      <c r="S75" s="718">
        <v>6.7</v>
      </c>
      <c r="T75" s="716" t="s">
        <v>2139</v>
      </c>
      <c r="U75" s="718">
        <v>11</v>
      </c>
      <c r="V75" s="719">
        <v>4.5</v>
      </c>
      <c r="W75" s="718"/>
      <c r="X75" s="718"/>
      <c r="Y75" s="718"/>
      <c r="Z75" s="715">
        <v>168</v>
      </c>
      <c r="AA75" s="684" t="s">
        <v>2140</v>
      </c>
      <c r="AB75" s="720" t="s">
        <v>540</v>
      </c>
      <c r="AC75" s="716" t="s">
        <v>541</v>
      </c>
      <c r="AD75" s="723" t="s">
        <v>542</v>
      </c>
      <c r="AE75" s="715"/>
      <c r="AF75" s="716">
        <v>0</v>
      </c>
      <c r="AG75" s="720"/>
      <c r="AH75" s="684"/>
      <c r="AI75" s="716" t="s">
        <v>2004</v>
      </c>
      <c r="AJ75" s="716"/>
      <c r="AK75" s="716"/>
      <c r="AL75" s="715"/>
      <c r="AM75" s="716"/>
      <c r="AN75" s="716"/>
      <c r="AO75" s="716"/>
      <c r="AP75" s="716"/>
      <c r="AQ75" s="721"/>
      <c r="AR75" s="676"/>
      <c r="AS75" s="537" t="b">
        <f t="array" ref="AS75">AND(D75:AQ75=inp_used,A75=inp_used_usersel)</f>
        <v>0</v>
      </c>
      <c r="AT75" s="674" t="b">
        <f t="array" ref="AT75">AND(D75:G75=inp_used_minimal,A75=inp_used_usersel)</f>
        <v>0</v>
      </c>
      <c r="AV75" s="674" t="b">
        <f t="shared" si="4"/>
        <v>0</v>
      </c>
      <c r="AW75" s="674" t="b">
        <f t="shared" si="4"/>
        <v>0</v>
      </c>
    </row>
    <row r="76" spans="1:49" s="674" customFormat="1">
      <c r="A76" s="674">
        <v>5</v>
      </c>
      <c r="B76" s="674">
        <v>1</v>
      </c>
      <c r="C76" s="674">
        <v>4</v>
      </c>
      <c r="D76" s="715">
        <v>0.74</v>
      </c>
      <c r="E76" s="716" t="s">
        <v>226</v>
      </c>
      <c r="F76" s="684">
        <v>0.251</v>
      </c>
      <c r="G76" s="716" t="s">
        <v>226</v>
      </c>
      <c r="H76" s="715" t="s">
        <v>3263</v>
      </c>
      <c r="I76" s="716" t="s">
        <v>992</v>
      </c>
      <c r="J76" s="741">
        <v>95700</v>
      </c>
      <c r="K76" s="716"/>
      <c r="L76" s="716"/>
      <c r="M76" s="721"/>
      <c r="N76" s="715" t="s">
        <v>232</v>
      </c>
      <c r="O76" s="716">
        <v>7.5</v>
      </c>
      <c r="P76" s="716"/>
      <c r="Q76" s="721"/>
      <c r="R76" s="715">
        <v>1</v>
      </c>
      <c r="S76" s="718">
        <v>6.7</v>
      </c>
      <c r="T76" s="716" t="s">
        <v>2139</v>
      </c>
      <c r="U76" s="718">
        <v>11</v>
      </c>
      <c r="V76" s="719">
        <v>7</v>
      </c>
      <c r="W76" s="718"/>
      <c r="X76" s="718"/>
      <c r="Y76" s="718"/>
      <c r="Z76" s="715">
        <v>168</v>
      </c>
      <c r="AA76" s="684" t="s">
        <v>2140</v>
      </c>
      <c r="AB76" s="720" t="s">
        <v>540</v>
      </c>
      <c r="AC76" s="716" t="s">
        <v>541</v>
      </c>
      <c r="AD76" s="723" t="s">
        <v>542</v>
      </c>
      <c r="AE76" s="715"/>
      <c r="AF76" s="716">
        <v>0</v>
      </c>
      <c r="AG76" s="720"/>
      <c r="AH76" s="684"/>
      <c r="AI76" s="716" t="s">
        <v>2004</v>
      </c>
      <c r="AJ76" s="716"/>
      <c r="AK76" s="716"/>
      <c r="AL76" s="715"/>
      <c r="AM76" s="716"/>
      <c r="AN76" s="716"/>
      <c r="AO76" s="716"/>
      <c r="AP76" s="716"/>
      <c r="AQ76" s="721"/>
      <c r="AR76" s="676"/>
      <c r="AS76" s="537" t="b">
        <f t="array" ref="AS76">AND(D76:AQ76=inp_used,A76=inp_used_usersel)</f>
        <v>0</v>
      </c>
      <c r="AT76" s="674" t="b">
        <f t="array" ref="AT76">AND(D76:G76=inp_used_minimal,A76=inp_used_usersel)</f>
        <v>0</v>
      </c>
      <c r="AV76" s="674" t="b">
        <f t="shared" si="4"/>
        <v>0</v>
      </c>
      <c r="AW76" s="674" t="b">
        <f t="shared" si="4"/>
        <v>0</v>
      </c>
    </row>
    <row r="77" spans="1:49" s="674" customFormat="1">
      <c r="A77" s="674">
        <v>5</v>
      </c>
      <c r="B77" s="674">
        <v>1</v>
      </c>
      <c r="C77" s="537">
        <v>5</v>
      </c>
      <c r="D77" s="682">
        <v>2.1520000000000001</v>
      </c>
      <c r="E77" s="716" t="s">
        <v>226</v>
      </c>
      <c r="F77" s="684">
        <v>0.81899999999999995</v>
      </c>
      <c r="G77" s="716" t="s">
        <v>226</v>
      </c>
      <c r="H77" s="715" t="s">
        <v>3263</v>
      </c>
      <c r="I77" s="716" t="s">
        <v>992</v>
      </c>
      <c r="J77" s="741">
        <v>95700</v>
      </c>
      <c r="K77" s="716"/>
      <c r="L77" s="716"/>
      <c r="M77" s="721"/>
      <c r="N77" s="715" t="s">
        <v>232</v>
      </c>
      <c r="O77" s="716">
        <v>7.5</v>
      </c>
      <c r="P77" s="716"/>
      <c r="Q77" s="721"/>
      <c r="R77" s="715">
        <v>1</v>
      </c>
      <c r="S77" s="718">
        <v>6.7</v>
      </c>
      <c r="T77" s="716" t="s">
        <v>2139</v>
      </c>
      <c r="U77" s="718">
        <v>11</v>
      </c>
      <c r="V77" s="719">
        <v>8.5</v>
      </c>
      <c r="W77" s="718"/>
      <c r="X77" s="718"/>
      <c r="Y77" s="718"/>
      <c r="Z77" s="715">
        <v>168</v>
      </c>
      <c r="AA77" s="684" t="s">
        <v>2140</v>
      </c>
      <c r="AB77" s="720" t="s">
        <v>540</v>
      </c>
      <c r="AC77" s="716" t="s">
        <v>541</v>
      </c>
      <c r="AD77" s="723" t="s">
        <v>542</v>
      </c>
      <c r="AE77" s="715"/>
      <c r="AF77" s="716">
        <v>0</v>
      </c>
      <c r="AG77" s="716"/>
      <c r="AH77" s="684"/>
      <c r="AI77" s="716" t="s">
        <v>2004</v>
      </c>
      <c r="AJ77" s="716"/>
      <c r="AK77" s="716"/>
      <c r="AL77" s="715"/>
      <c r="AM77" s="716"/>
      <c r="AN77" s="716"/>
      <c r="AO77" s="716"/>
      <c r="AP77" s="716"/>
      <c r="AQ77" s="721"/>
      <c r="AR77" s="676"/>
      <c r="AS77" s="537" t="b">
        <f t="array" ref="AS77">AND(D77:AQ77=inp_used,A77=inp_used_usersel)</f>
        <v>0</v>
      </c>
      <c r="AT77" s="674" t="b">
        <f t="array" ref="AT77">AND(D77:G77=inp_used_minimal,A77=inp_used_usersel)</f>
        <v>0</v>
      </c>
      <c r="AV77" s="674" t="b">
        <f t="shared" si="4"/>
        <v>0</v>
      </c>
      <c r="AW77" s="674" t="b">
        <f t="shared" si="4"/>
        <v>0</v>
      </c>
    </row>
    <row r="78" spans="1:49" s="674" customFormat="1">
      <c r="A78" s="674">
        <v>5</v>
      </c>
      <c r="B78" s="674">
        <v>1</v>
      </c>
      <c r="C78" s="537">
        <v>6</v>
      </c>
      <c r="D78" s="682">
        <v>7.3650000000000002</v>
      </c>
      <c r="E78" s="716" t="s">
        <v>226</v>
      </c>
      <c r="F78" s="684">
        <v>3.2</v>
      </c>
      <c r="G78" s="716" t="s">
        <v>226</v>
      </c>
      <c r="H78" s="715" t="s">
        <v>3263</v>
      </c>
      <c r="I78" s="716" t="s">
        <v>992</v>
      </c>
      <c r="J78" s="741">
        <v>95700</v>
      </c>
      <c r="K78" s="716"/>
      <c r="L78" s="716"/>
      <c r="M78" s="721"/>
      <c r="N78" s="715" t="s">
        <v>232</v>
      </c>
      <c r="O78" s="716">
        <v>7.5</v>
      </c>
      <c r="P78" s="716"/>
      <c r="Q78" s="721"/>
      <c r="R78" s="715">
        <v>1</v>
      </c>
      <c r="S78" s="718">
        <v>6.8</v>
      </c>
      <c r="T78" s="716" t="s">
        <v>2139</v>
      </c>
      <c r="U78" s="718">
        <v>11</v>
      </c>
      <c r="V78" s="719">
        <v>11</v>
      </c>
      <c r="W78" s="718"/>
      <c r="X78" s="718"/>
      <c r="Y78" s="718"/>
      <c r="Z78" s="715">
        <v>168</v>
      </c>
      <c r="AA78" s="684" t="s">
        <v>2140</v>
      </c>
      <c r="AB78" s="720" t="s">
        <v>540</v>
      </c>
      <c r="AC78" s="716" t="s">
        <v>541</v>
      </c>
      <c r="AD78" s="723" t="s">
        <v>542</v>
      </c>
      <c r="AE78" s="715"/>
      <c r="AF78" s="716">
        <v>0</v>
      </c>
      <c r="AG78" s="716"/>
      <c r="AH78" s="684"/>
      <c r="AI78" s="716" t="s">
        <v>2004</v>
      </c>
      <c r="AJ78" s="716"/>
      <c r="AK78" s="716"/>
      <c r="AL78" s="715"/>
      <c r="AM78" s="716"/>
      <c r="AN78" s="716"/>
      <c r="AO78" s="716"/>
      <c r="AP78" s="716"/>
      <c r="AQ78" s="721"/>
      <c r="AR78" s="676"/>
      <c r="AS78" s="537" t="b">
        <f t="array" ref="AS78">AND(D78:AQ78=inp_used,A78=inp_used_usersel)</f>
        <v>0</v>
      </c>
      <c r="AT78" s="674" t="b">
        <f t="array" ref="AT78">AND(D78:G78=inp_used_minimal,A78=inp_used_usersel)</f>
        <v>0</v>
      </c>
      <c r="AV78" s="674" t="b">
        <f t="shared" si="4"/>
        <v>0</v>
      </c>
      <c r="AW78" s="674" t="b">
        <f t="shared" si="4"/>
        <v>0</v>
      </c>
    </row>
    <row r="79" spans="1:49" s="674" customFormat="1">
      <c r="A79" s="674">
        <v>5</v>
      </c>
      <c r="B79" s="674">
        <v>1</v>
      </c>
      <c r="C79" s="537">
        <v>7</v>
      </c>
      <c r="D79" s="682">
        <v>22.614000000000001</v>
      </c>
      <c r="E79" s="716" t="s">
        <v>226</v>
      </c>
      <c r="F79" s="684">
        <v>11.066000000000001</v>
      </c>
      <c r="G79" s="716" t="s">
        <v>226</v>
      </c>
      <c r="H79" s="715" t="s">
        <v>3263</v>
      </c>
      <c r="I79" s="716" t="s">
        <v>992</v>
      </c>
      <c r="J79" s="741">
        <v>95700</v>
      </c>
      <c r="K79" s="716"/>
      <c r="L79" s="716"/>
      <c r="M79" s="721"/>
      <c r="N79" s="715" t="s">
        <v>232</v>
      </c>
      <c r="O79" s="716">
        <v>7.5</v>
      </c>
      <c r="P79" s="716"/>
      <c r="Q79" s="721"/>
      <c r="R79" s="715">
        <v>1</v>
      </c>
      <c r="S79" s="718">
        <v>7.1</v>
      </c>
      <c r="T79" s="716" t="s">
        <v>3284</v>
      </c>
      <c r="U79" s="718">
        <v>20</v>
      </c>
      <c r="V79" s="719">
        <v>14</v>
      </c>
      <c r="W79" s="718"/>
      <c r="X79" s="718"/>
      <c r="Y79" s="718"/>
      <c r="Z79" s="715">
        <v>168</v>
      </c>
      <c r="AA79" s="684" t="s">
        <v>2140</v>
      </c>
      <c r="AB79" s="720" t="s">
        <v>540</v>
      </c>
      <c r="AC79" s="716" t="s">
        <v>2725</v>
      </c>
      <c r="AD79" s="723" t="s">
        <v>542</v>
      </c>
      <c r="AE79" s="715"/>
      <c r="AF79" s="716">
        <v>0</v>
      </c>
      <c r="AG79" s="716"/>
      <c r="AH79" s="684"/>
      <c r="AI79" s="716" t="s">
        <v>2004</v>
      </c>
      <c r="AJ79" s="716"/>
      <c r="AK79" s="716"/>
      <c r="AL79" s="715"/>
      <c r="AM79" s="716"/>
      <c r="AN79" s="716"/>
      <c r="AO79" s="716"/>
      <c r="AP79" s="716"/>
      <c r="AQ79" s="721"/>
      <c r="AR79" s="676"/>
      <c r="AS79" s="537" t="b">
        <f t="array" ref="AS79">AND(D79:AQ79=inp_used,A79=inp_used_usersel)</f>
        <v>0</v>
      </c>
      <c r="AT79" s="674" t="b">
        <f t="array" ref="AT79">AND(D79:G79=inp_used_minimal,A79=inp_used_usersel)</f>
        <v>0</v>
      </c>
      <c r="AV79" s="674" t="b">
        <f t="shared" si="4"/>
        <v>0</v>
      </c>
      <c r="AW79" s="674" t="b">
        <f t="shared" si="4"/>
        <v>0</v>
      </c>
    </row>
    <row r="80" spans="1:49" s="674" customFormat="1">
      <c r="A80" s="724">
        <v>5</v>
      </c>
      <c r="B80" s="724">
        <v>1</v>
      </c>
      <c r="C80" s="726">
        <v>8</v>
      </c>
      <c r="D80" s="725">
        <v>75.072000000000003</v>
      </c>
      <c r="E80" s="724" t="s">
        <v>226</v>
      </c>
      <c r="F80" s="726">
        <v>37.536000000000001</v>
      </c>
      <c r="G80" s="724" t="s">
        <v>226</v>
      </c>
      <c r="H80" s="727" t="s">
        <v>3263</v>
      </c>
      <c r="I80" s="724" t="s">
        <v>992</v>
      </c>
      <c r="J80" s="742">
        <v>95700</v>
      </c>
      <c r="K80" s="724"/>
      <c r="L80" s="724"/>
      <c r="M80" s="729"/>
      <c r="N80" s="727" t="s">
        <v>232</v>
      </c>
      <c r="O80" s="724">
        <v>7.5</v>
      </c>
      <c r="P80" s="724"/>
      <c r="Q80" s="729"/>
      <c r="R80" s="715">
        <v>1</v>
      </c>
      <c r="S80" s="732">
        <v>7.2</v>
      </c>
      <c r="T80" s="724" t="s">
        <v>3284</v>
      </c>
      <c r="U80" s="732">
        <v>20</v>
      </c>
      <c r="V80" s="733">
        <v>14</v>
      </c>
      <c r="W80" s="731"/>
      <c r="X80" s="732"/>
      <c r="Y80" s="733"/>
      <c r="Z80" s="727">
        <v>168</v>
      </c>
      <c r="AA80" s="726" t="s">
        <v>2140</v>
      </c>
      <c r="AB80" s="734" t="s">
        <v>540</v>
      </c>
      <c r="AC80" s="724" t="s">
        <v>2725</v>
      </c>
      <c r="AD80" s="712" t="s">
        <v>542</v>
      </c>
      <c r="AE80" s="727"/>
      <c r="AF80" s="724">
        <v>0</v>
      </c>
      <c r="AG80" s="724"/>
      <c r="AH80" s="726"/>
      <c r="AI80" s="724" t="s">
        <v>2004</v>
      </c>
      <c r="AJ80" s="724"/>
      <c r="AK80" s="729"/>
      <c r="AL80" s="727"/>
      <c r="AM80" s="724"/>
      <c r="AN80" s="724"/>
      <c r="AO80" s="724"/>
      <c r="AP80" s="724"/>
      <c r="AQ80" s="729"/>
      <c r="AR80" s="676"/>
      <c r="AS80" s="537" t="b">
        <f t="array" ref="AS80">AND(D80:AQ80=inp_used,A80=inp_used_usersel)</f>
        <v>0</v>
      </c>
      <c r="AT80" s="674" t="b">
        <f t="array" ref="AT80">AND(D80:G80=inp_used_minimal,A80=inp_used_usersel)</f>
        <v>0</v>
      </c>
      <c r="AV80" s="674" t="b">
        <f t="shared" si="4"/>
        <v>0</v>
      </c>
      <c r="AW80" s="674" t="b">
        <f t="shared" si="4"/>
        <v>0</v>
      </c>
    </row>
    <row r="81" spans="1:49" s="674" customFormat="1">
      <c r="A81" s="674">
        <v>5</v>
      </c>
      <c r="B81" s="735">
        <v>2</v>
      </c>
      <c r="C81" s="674">
        <v>1</v>
      </c>
      <c r="D81" s="715">
        <v>0.03</v>
      </c>
      <c r="E81" s="716" t="s">
        <v>226</v>
      </c>
      <c r="F81" s="684">
        <v>7.0000000000000001E-3</v>
      </c>
      <c r="G81" s="716" t="s">
        <v>226</v>
      </c>
      <c r="H81" s="715" t="s">
        <v>3263</v>
      </c>
      <c r="I81" s="716" t="s">
        <v>992</v>
      </c>
      <c r="J81" s="741">
        <v>95700</v>
      </c>
      <c r="K81" s="716"/>
      <c r="L81" s="716"/>
      <c r="M81" s="721"/>
      <c r="N81" s="715" t="s">
        <v>232</v>
      </c>
      <c r="O81" s="716">
        <v>7.5</v>
      </c>
      <c r="P81" s="716"/>
      <c r="Q81" s="721"/>
      <c r="R81" s="737"/>
      <c r="S81" s="718"/>
      <c r="T81" s="718"/>
      <c r="U81" s="718"/>
      <c r="V81" s="719"/>
      <c r="W81" s="682">
        <v>6</v>
      </c>
      <c r="X81" s="684">
        <v>6</v>
      </c>
      <c r="Y81" s="684">
        <v>3</v>
      </c>
      <c r="Z81" s="715">
        <v>168</v>
      </c>
      <c r="AA81" s="684" t="s">
        <v>2140</v>
      </c>
      <c r="AB81" s="684" t="s">
        <v>2996</v>
      </c>
      <c r="AC81" s="716" t="s">
        <v>541</v>
      </c>
      <c r="AD81" s="684" t="s">
        <v>542</v>
      </c>
      <c r="AE81" s="715"/>
      <c r="AF81" s="716"/>
      <c r="AG81" s="720"/>
      <c r="AH81" s="684"/>
      <c r="AI81" s="716" t="s">
        <v>2004</v>
      </c>
      <c r="AJ81" s="716"/>
      <c r="AK81" s="716"/>
      <c r="AL81" s="715"/>
      <c r="AM81" s="716"/>
      <c r="AN81" s="716"/>
      <c r="AO81" s="716"/>
      <c r="AP81" s="716"/>
      <c r="AQ81" s="721"/>
      <c r="AR81" s="676" t="s">
        <v>186</v>
      </c>
      <c r="AS81" s="537" t="b">
        <f t="array" ref="AS81">AND(D81:AQ81=inp_used,A81=inp_used_usersel)</f>
        <v>0</v>
      </c>
      <c r="AT81" s="674" t="b">
        <f t="array" ref="AT81">AND(D81:G81=inp_used_minimal,A81=inp_used_usersel)</f>
        <v>0</v>
      </c>
    </row>
    <row r="82" spans="1:49" s="674" customFormat="1">
      <c r="A82" s="674">
        <v>5</v>
      </c>
      <c r="B82" s="716">
        <v>2</v>
      </c>
      <c r="C82" s="674">
        <v>2</v>
      </c>
      <c r="D82" s="715">
        <v>0.124</v>
      </c>
      <c r="E82" s="716" t="s">
        <v>226</v>
      </c>
      <c r="F82" s="684">
        <v>3.5000000000000003E-2</v>
      </c>
      <c r="G82" s="716" t="s">
        <v>226</v>
      </c>
      <c r="H82" s="715" t="s">
        <v>3263</v>
      </c>
      <c r="I82" s="716" t="s">
        <v>992</v>
      </c>
      <c r="J82" s="741">
        <v>95700</v>
      </c>
      <c r="K82" s="716"/>
      <c r="L82" s="716"/>
      <c r="M82" s="721"/>
      <c r="N82" s="715" t="s">
        <v>232</v>
      </c>
      <c r="O82" s="716">
        <v>7.5</v>
      </c>
      <c r="P82" s="716"/>
      <c r="Q82" s="721"/>
      <c r="R82" s="715"/>
      <c r="S82" s="718"/>
      <c r="T82" s="718"/>
      <c r="U82" s="718"/>
      <c r="V82" s="719"/>
      <c r="W82" s="682">
        <v>6</v>
      </c>
      <c r="X82" s="684">
        <v>6</v>
      </c>
      <c r="Y82" s="684">
        <v>3</v>
      </c>
      <c r="Z82" s="715">
        <v>168</v>
      </c>
      <c r="AA82" s="684" t="s">
        <v>2140</v>
      </c>
      <c r="AB82" s="684" t="s">
        <v>2996</v>
      </c>
      <c r="AC82" s="716" t="s">
        <v>541</v>
      </c>
      <c r="AD82" s="684" t="s">
        <v>542</v>
      </c>
      <c r="AE82" s="715"/>
      <c r="AF82" s="716"/>
      <c r="AG82" s="720"/>
      <c r="AH82" s="684"/>
      <c r="AI82" s="716" t="s">
        <v>2004</v>
      </c>
      <c r="AJ82" s="716"/>
      <c r="AK82" s="716"/>
      <c r="AL82" s="715"/>
      <c r="AM82" s="716"/>
      <c r="AN82" s="716"/>
      <c r="AO82" s="716"/>
      <c r="AP82" s="716"/>
      <c r="AQ82" s="721"/>
      <c r="AR82" s="676"/>
      <c r="AS82" s="537" t="b">
        <f t="array" ref="AS82">AND(D82:AQ82=inp_used,A82=inp_used_usersel)</f>
        <v>0</v>
      </c>
      <c r="AT82" s="674" t="b">
        <f t="array" ref="AT82">AND(D82:G82=inp_used_minimal,A82=inp_used_usersel)</f>
        <v>0</v>
      </c>
    </row>
    <row r="83" spans="1:49" s="674" customFormat="1">
      <c r="A83" s="674">
        <v>5</v>
      </c>
      <c r="B83" s="716">
        <v>2</v>
      </c>
      <c r="C83" s="674">
        <v>3</v>
      </c>
      <c r="D83" s="715">
        <v>0.30499999999999999</v>
      </c>
      <c r="E83" s="716" t="s">
        <v>226</v>
      </c>
      <c r="F83" s="684">
        <v>9.4E-2</v>
      </c>
      <c r="G83" s="716" t="s">
        <v>226</v>
      </c>
      <c r="H83" s="715" t="s">
        <v>3263</v>
      </c>
      <c r="I83" s="716" t="s">
        <v>992</v>
      </c>
      <c r="J83" s="741">
        <v>95700</v>
      </c>
      <c r="K83" s="716"/>
      <c r="L83" s="716"/>
      <c r="M83" s="721"/>
      <c r="N83" s="715" t="s">
        <v>232</v>
      </c>
      <c r="O83" s="716">
        <v>7.5</v>
      </c>
      <c r="P83" s="716"/>
      <c r="Q83" s="721"/>
      <c r="R83" s="715"/>
      <c r="S83" s="718"/>
      <c r="T83" s="718"/>
      <c r="U83" s="718"/>
      <c r="V83" s="719"/>
      <c r="W83" s="682">
        <v>6</v>
      </c>
      <c r="X83" s="684">
        <v>6</v>
      </c>
      <c r="Y83" s="684">
        <v>3</v>
      </c>
      <c r="Z83" s="715">
        <v>168</v>
      </c>
      <c r="AA83" s="684" t="s">
        <v>2140</v>
      </c>
      <c r="AB83" s="684" t="s">
        <v>2996</v>
      </c>
      <c r="AC83" s="716" t="s">
        <v>541</v>
      </c>
      <c r="AD83" s="684" t="s">
        <v>542</v>
      </c>
      <c r="AE83" s="715"/>
      <c r="AF83" s="716"/>
      <c r="AG83" s="720"/>
      <c r="AH83" s="684"/>
      <c r="AI83" s="716" t="s">
        <v>2004</v>
      </c>
      <c r="AJ83" s="716"/>
      <c r="AK83" s="716"/>
      <c r="AL83" s="715"/>
      <c r="AM83" s="716"/>
      <c r="AN83" s="716"/>
      <c r="AO83" s="716"/>
      <c r="AP83" s="716"/>
      <c r="AQ83" s="721"/>
      <c r="AR83" s="676"/>
      <c r="AS83" s="537" t="b">
        <f t="array" ref="AS83">AND(D83:AQ83=inp_used,A83=inp_used_usersel)</f>
        <v>0</v>
      </c>
      <c r="AT83" s="674" t="b">
        <f t="array" ref="AT83">AND(D83:G83=inp_used_minimal,A83=inp_used_usersel)</f>
        <v>0</v>
      </c>
    </row>
    <row r="84" spans="1:49" s="674" customFormat="1">
      <c r="A84" s="674">
        <v>5</v>
      </c>
      <c r="B84" s="716">
        <v>2</v>
      </c>
      <c r="C84" s="674">
        <v>4</v>
      </c>
      <c r="D84" s="715">
        <v>0.74</v>
      </c>
      <c r="E84" s="716" t="s">
        <v>226</v>
      </c>
      <c r="F84" s="684">
        <v>0.251</v>
      </c>
      <c r="G84" s="716" t="s">
        <v>226</v>
      </c>
      <c r="H84" s="715" t="s">
        <v>3263</v>
      </c>
      <c r="I84" s="716" t="s">
        <v>992</v>
      </c>
      <c r="J84" s="741">
        <v>95700</v>
      </c>
      <c r="K84" s="716"/>
      <c r="L84" s="716"/>
      <c r="M84" s="721"/>
      <c r="N84" s="715" t="s">
        <v>232</v>
      </c>
      <c r="O84" s="716">
        <v>7.5</v>
      </c>
      <c r="P84" s="716"/>
      <c r="Q84" s="721"/>
      <c r="R84" s="715"/>
      <c r="S84" s="718"/>
      <c r="T84" s="718"/>
      <c r="U84" s="718"/>
      <c r="V84" s="719"/>
      <c r="W84" s="682">
        <v>7</v>
      </c>
      <c r="X84" s="684">
        <v>7</v>
      </c>
      <c r="Y84" s="684">
        <v>5.3</v>
      </c>
      <c r="Z84" s="715">
        <v>168</v>
      </c>
      <c r="AA84" s="684" t="s">
        <v>2140</v>
      </c>
      <c r="AB84" s="684" t="s">
        <v>2996</v>
      </c>
      <c r="AC84" s="716" t="s">
        <v>541</v>
      </c>
      <c r="AD84" s="684" t="s">
        <v>542</v>
      </c>
      <c r="AE84" s="715"/>
      <c r="AF84" s="716"/>
      <c r="AG84" s="720"/>
      <c r="AH84" s="684"/>
      <c r="AI84" s="716" t="s">
        <v>2004</v>
      </c>
      <c r="AJ84" s="716"/>
      <c r="AK84" s="716"/>
      <c r="AL84" s="715"/>
      <c r="AM84" s="716"/>
      <c r="AN84" s="716"/>
      <c r="AO84" s="716"/>
      <c r="AP84" s="716"/>
      <c r="AQ84" s="721"/>
      <c r="AR84" s="676"/>
      <c r="AS84" s="537" t="b">
        <f t="array" ref="AS84">AND(D84:AQ84=inp_used,A84=inp_used_usersel)</f>
        <v>0</v>
      </c>
      <c r="AT84" s="674" t="b">
        <f t="array" ref="AT84">AND(D84:G84=inp_used_minimal,A84=inp_used_usersel)</f>
        <v>0</v>
      </c>
    </row>
    <row r="85" spans="1:49" s="674" customFormat="1">
      <c r="A85" s="674">
        <v>5</v>
      </c>
      <c r="B85" s="716">
        <v>2</v>
      </c>
      <c r="C85" s="537">
        <v>5</v>
      </c>
      <c r="D85" s="682">
        <v>2.1520000000000001</v>
      </c>
      <c r="E85" s="716" t="s">
        <v>226</v>
      </c>
      <c r="F85" s="684">
        <v>0.81899999999999995</v>
      </c>
      <c r="G85" s="716" t="s">
        <v>226</v>
      </c>
      <c r="H85" s="715" t="s">
        <v>3263</v>
      </c>
      <c r="I85" s="716" t="s">
        <v>992</v>
      </c>
      <c r="J85" s="741">
        <v>95700</v>
      </c>
      <c r="K85" s="716"/>
      <c r="L85" s="716"/>
      <c r="M85" s="721"/>
      <c r="N85" s="715" t="s">
        <v>232</v>
      </c>
      <c r="O85" s="716">
        <v>7.5</v>
      </c>
      <c r="P85" s="716"/>
      <c r="Q85" s="721"/>
      <c r="R85" s="715"/>
      <c r="S85" s="718"/>
      <c r="T85" s="718"/>
      <c r="U85" s="718"/>
      <c r="V85" s="719"/>
      <c r="W85" s="682">
        <v>8</v>
      </c>
      <c r="X85" s="684">
        <v>8</v>
      </c>
      <c r="Y85" s="684">
        <v>7.9</v>
      </c>
      <c r="Z85" s="715">
        <v>168</v>
      </c>
      <c r="AA85" s="684" t="s">
        <v>2140</v>
      </c>
      <c r="AB85" s="684" t="s">
        <v>2996</v>
      </c>
      <c r="AC85" s="716" t="s">
        <v>541</v>
      </c>
      <c r="AD85" s="684" t="s">
        <v>542</v>
      </c>
      <c r="AE85" s="715"/>
      <c r="AF85" s="716"/>
      <c r="AG85" s="716"/>
      <c r="AH85" s="684"/>
      <c r="AI85" s="716" t="s">
        <v>2004</v>
      </c>
      <c r="AJ85" s="716"/>
      <c r="AK85" s="716"/>
      <c r="AL85" s="715"/>
      <c r="AM85" s="716"/>
      <c r="AN85" s="716"/>
      <c r="AO85" s="716"/>
      <c r="AP85" s="716"/>
      <c r="AQ85" s="721"/>
      <c r="AR85" s="676"/>
      <c r="AS85" s="537" t="b">
        <f t="array" ref="AS85">AND(D85:AQ85=inp_used,A85=inp_used_usersel)</f>
        <v>0</v>
      </c>
      <c r="AT85" s="674" t="b">
        <f t="array" ref="AT85">AND(D85:G85=inp_used_minimal,A85=inp_used_usersel)</f>
        <v>0</v>
      </c>
    </row>
    <row r="86" spans="1:49" s="674" customFormat="1">
      <c r="A86" s="674">
        <v>5</v>
      </c>
      <c r="B86" s="716">
        <v>2</v>
      </c>
      <c r="C86" s="537">
        <v>6</v>
      </c>
      <c r="D86" s="682">
        <v>7.3650000000000002</v>
      </c>
      <c r="E86" s="716" t="s">
        <v>226</v>
      </c>
      <c r="F86" s="684">
        <v>3.2</v>
      </c>
      <c r="G86" s="716" t="s">
        <v>226</v>
      </c>
      <c r="H86" s="715" t="s">
        <v>3263</v>
      </c>
      <c r="I86" s="716" t="s">
        <v>992</v>
      </c>
      <c r="J86" s="741">
        <v>95700</v>
      </c>
      <c r="K86" s="716"/>
      <c r="L86" s="716"/>
      <c r="M86" s="721"/>
      <c r="N86" s="715" t="s">
        <v>232</v>
      </c>
      <c r="O86" s="716">
        <v>7.5</v>
      </c>
      <c r="P86" s="716"/>
      <c r="Q86" s="721"/>
      <c r="R86" s="715"/>
      <c r="S86" s="718"/>
      <c r="T86" s="718"/>
      <c r="U86" s="718"/>
      <c r="V86" s="719"/>
      <c r="W86" s="682">
        <v>11.5</v>
      </c>
      <c r="X86" s="684">
        <v>11.5</v>
      </c>
      <c r="Y86" s="684">
        <v>7.8</v>
      </c>
      <c r="Z86" s="715">
        <v>168</v>
      </c>
      <c r="AA86" s="684" t="s">
        <v>2140</v>
      </c>
      <c r="AB86" s="684" t="s">
        <v>2996</v>
      </c>
      <c r="AC86" s="716" t="s">
        <v>541</v>
      </c>
      <c r="AD86" s="684" t="s">
        <v>542</v>
      </c>
      <c r="AE86" s="715"/>
      <c r="AF86" s="716"/>
      <c r="AG86" s="716"/>
      <c r="AH86" s="684"/>
      <c r="AI86" s="716" t="s">
        <v>2004</v>
      </c>
      <c r="AJ86" s="716"/>
      <c r="AK86" s="716"/>
      <c r="AL86" s="715"/>
      <c r="AM86" s="716"/>
      <c r="AN86" s="716"/>
      <c r="AO86" s="716"/>
      <c r="AP86" s="716"/>
      <c r="AQ86" s="721"/>
      <c r="AR86" s="676"/>
      <c r="AS86" s="537" t="b">
        <f t="array" ref="AS86">AND(D86:AQ86=inp_used,A86=inp_used_usersel)</f>
        <v>0</v>
      </c>
      <c r="AT86" s="674" t="b">
        <f t="array" ref="AT86">AND(D86:G86=inp_used_minimal,A86=inp_used_usersel)</f>
        <v>0</v>
      </c>
    </row>
    <row r="87" spans="1:49" s="674" customFormat="1">
      <c r="A87" s="674">
        <v>5</v>
      </c>
      <c r="B87" s="716">
        <v>2</v>
      </c>
      <c r="C87" s="537">
        <v>7</v>
      </c>
      <c r="D87" s="682">
        <v>22.614000000000001</v>
      </c>
      <c r="E87" s="716" t="s">
        <v>226</v>
      </c>
      <c r="F87" s="684">
        <v>11.066000000000001</v>
      </c>
      <c r="G87" s="716" t="s">
        <v>226</v>
      </c>
      <c r="H87" s="715" t="s">
        <v>3263</v>
      </c>
      <c r="I87" s="716" t="s">
        <v>992</v>
      </c>
      <c r="J87" s="741">
        <v>95700</v>
      </c>
      <c r="K87" s="716"/>
      <c r="L87" s="716"/>
      <c r="M87" s="721"/>
      <c r="N87" s="715" t="s">
        <v>232</v>
      </c>
      <c r="O87" s="716">
        <v>7.5</v>
      </c>
      <c r="P87" s="716"/>
      <c r="Q87" s="721"/>
      <c r="R87" s="715"/>
      <c r="S87" s="718"/>
      <c r="T87" s="718"/>
      <c r="U87" s="718"/>
      <c r="V87" s="719"/>
      <c r="W87" s="682">
        <v>15</v>
      </c>
      <c r="X87" s="684">
        <v>15</v>
      </c>
      <c r="Y87" s="684">
        <v>7.8</v>
      </c>
      <c r="Z87" s="715">
        <v>168</v>
      </c>
      <c r="AA87" s="684" t="s">
        <v>2140</v>
      </c>
      <c r="AB87" s="684" t="s">
        <v>2996</v>
      </c>
      <c r="AC87" s="716" t="s">
        <v>2725</v>
      </c>
      <c r="AD87" s="684" t="s">
        <v>542</v>
      </c>
      <c r="AE87" s="715"/>
      <c r="AF87" s="716"/>
      <c r="AG87" s="716"/>
      <c r="AH87" s="684"/>
      <c r="AI87" s="716" t="s">
        <v>2004</v>
      </c>
      <c r="AJ87" s="716"/>
      <c r="AK87" s="716"/>
      <c r="AL87" s="715"/>
      <c r="AM87" s="716"/>
      <c r="AN87" s="716"/>
      <c r="AO87" s="716"/>
      <c r="AP87" s="716"/>
      <c r="AQ87" s="721"/>
      <c r="AR87" s="676"/>
      <c r="AS87" s="537" t="b">
        <f t="array" ref="AS87">AND(D87:AQ87=inp_used,A87=inp_used_usersel)</f>
        <v>0</v>
      </c>
      <c r="AT87" s="674" t="b">
        <f t="array" ref="AT87">AND(D87:G87=inp_used_minimal,A87=inp_used_usersel)</f>
        <v>0</v>
      </c>
    </row>
    <row r="88" spans="1:49" s="674" customFormat="1">
      <c r="A88" s="724">
        <v>5</v>
      </c>
      <c r="B88" s="724">
        <v>2</v>
      </c>
      <c r="C88" s="726">
        <v>8</v>
      </c>
      <c r="D88" s="725">
        <v>75.072000000000003</v>
      </c>
      <c r="E88" s="724" t="s">
        <v>226</v>
      </c>
      <c r="F88" s="726">
        <v>37.536000000000001</v>
      </c>
      <c r="G88" s="724" t="s">
        <v>226</v>
      </c>
      <c r="H88" s="727" t="s">
        <v>3263</v>
      </c>
      <c r="I88" s="724" t="s">
        <v>992</v>
      </c>
      <c r="J88" s="742">
        <v>95700</v>
      </c>
      <c r="K88" s="724"/>
      <c r="L88" s="724"/>
      <c r="M88" s="729"/>
      <c r="N88" s="727" t="s">
        <v>232</v>
      </c>
      <c r="O88" s="724">
        <v>7.5</v>
      </c>
      <c r="P88" s="724"/>
      <c r="Q88" s="729"/>
      <c r="R88" s="727"/>
      <c r="S88" s="732"/>
      <c r="T88" s="732"/>
      <c r="U88" s="732"/>
      <c r="V88" s="733"/>
      <c r="W88" s="725">
        <v>21</v>
      </c>
      <c r="X88" s="726">
        <v>21</v>
      </c>
      <c r="Y88" s="712">
        <v>8</v>
      </c>
      <c r="Z88" s="727">
        <v>168</v>
      </c>
      <c r="AA88" s="726" t="s">
        <v>2140</v>
      </c>
      <c r="AB88" s="726" t="s">
        <v>2996</v>
      </c>
      <c r="AC88" s="724" t="s">
        <v>2725</v>
      </c>
      <c r="AD88" s="726" t="s">
        <v>542</v>
      </c>
      <c r="AE88" s="727"/>
      <c r="AF88" s="724"/>
      <c r="AG88" s="724"/>
      <c r="AH88" s="726"/>
      <c r="AI88" s="724" t="s">
        <v>2004</v>
      </c>
      <c r="AJ88" s="724"/>
      <c r="AK88" s="729"/>
      <c r="AL88" s="727"/>
      <c r="AM88" s="724"/>
      <c r="AN88" s="724"/>
      <c r="AO88" s="724"/>
      <c r="AP88" s="724"/>
      <c r="AQ88" s="729"/>
      <c r="AR88" s="676"/>
      <c r="AS88" s="537" t="b">
        <f t="array" ref="AS88">AND(D88:AQ88=inp_used,A88=inp_used_usersel)</f>
        <v>0</v>
      </c>
      <c r="AT88" s="674" t="b">
        <f t="array" ref="AT88">AND(D88:G88=inp_used_minimal,A88=inp_used_usersel)</f>
        <v>0</v>
      </c>
    </row>
    <row r="89" spans="1:49" s="674" customFormat="1">
      <c r="A89" s="674">
        <v>6</v>
      </c>
      <c r="B89" s="674">
        <v>1</v>
      </c>
      <c r="C89" s="674">
        <v>1</v>
      </c>
      <c r="D89" s="715">
        <v>0.03</v>
      </c>
      <c r="E89" s="716" t="s">
        <v>226</v>
      </c>
      <c r="F89" s="684">
        <v>7.0000000000000001E-3</v>
      </c>
      <c r="G89" s="716" t="s">
        <v>226</v>
      </c>
      <c r="H89" s="715"/>
      <c r="I89" s="716"/>
      <c r="J89" s="741"/>
      <c r="K89" s="716"/>
      <c r="L89" s="716"/>
      <c r="M89" s="721"/>
      <c r="N89" s="715"/>
      <c r="O89" s="716"/>
      <c r="P89" s="716"/>
      <c r="Q89" s="721"/>
      <c r="R89" s="715"/>
      <c r="S89" s="718"/>
      <c r="T89" s="716"/>
      <c r="U89" s="718"/>
      <c r="V89" s="719"/>
      <c r="W89" s="718"/>
      <c r="X89" s="718"/>
      <c r="Y89" s="718"/>
      <c r="Z89" s="715"/>
      <c r="AA89" s="684"/>
      <c r="AB89" s="720"/>
      <c r="AC89" s="716"/>
      <c r="AD89" s="684"/>
      <c r="AE89" s="737"/>
      <c r="AF89" s="735"/>
      <c r="AG89" s="743"/>
      <c r="AH89" s="744"/>
      <c r="AI89" s="716"/>
      <c r="AJ89" s="716"/>
      <c r="AK89" s="716"/>
      <c r="AL89" s="715"/>
      <c r="AM89" s="716"/>
      <c r="AN89" s="716"/>
      <c r="AO89" s="716"/>
      <c r="AP89" s="716"/>
      <c r="AQ89" s="721"/>
      <c r="AR89" s="676" t="s">
        <v>3452</v>
      </c>
      <c r="AS89" s="537" t="b">
        <f t="array" ref="AS89">AND(D89:AQ89=inp_used,A89=inp_used_usersel)</f>
        <v>0</v>
      </c>
      <c r="AT89" s="674" t="b">
        <f t="array" ref="AT89">AND(D89:G89=inp_used_minimal,A89=inp_used_usersel)</f>
        <v>0</v>
      </c>
      <c r="AV89" s="674" t="b">
        <f t="shared" ref="AV89:AW96" si="5">CHOOSE(design_type,AS89,AS97)</f>
        <v>0</v>
      </c>
      <c r="AW89" s="674" t="b">
        <f t="shared" si="5"/>
        <v>0</v>
      </c>
    </row>
    <row r="90" spans="1:49" s="674" customFormat="1">
      <c r="A90" s="674">
        <v>6</v>
      </c>
      <c r="B90" s="674">
        <v>1</v>
      </c>
      <c r="C90" s="674">
        <v>2</v>
      </c>
      <c r="D90" s="715">
        <v>0.124</v>
      </c>
      <c r="E90" s="716" t="s">
        <v>226</v>
      </c>
      <c r="F90" s="684">
        <v>3.5000000000000003E-2</v>
      </c>
      <c r="G90" s="716" t="s">
        <v>226</v>
      </c>
      <c r="H90" s="715"/>
      <c r="I90" s="716"/>
      <c r="J90" s="741"/>
      <c r="K90" s="716"/>
      <c r="L90" s="716"/>
      <c r="M90" s="721"/>
      <c r="N90" s="715"/>
      <c r="O90" s="716"/>
      <c r="P90" s="716"/>
      <c r="Q90" s="721"/>
      <c r="R90" s="715"/>
      <c r="S90" s="718"/>
      <c r="T90" s="716"/>
      <c r="U90" s="718"/>
      <c r="V90" s="719"/>
      <c r="W90" s="718"/>
      <c r="X90" s="718"/>
      <c r="Y90" s="718"/>
      <c r="Z90" s="715"/>
      <c r="AA90" s="684"/>
      <c r="AB90" s="720"/>
      <c r="AC90" s="716"/>
      <c r="AD90" s="723"/>
      <c r="AE90" s="715"/>
      <c r="AF90" s="716"/>
      <c r="AG90" s="720"/>
      <c r="AH90" s="684"/>
      <c r="AI90" s="716"/>
      <c r="AJ90" s="716"/>
      <c r="AK90" s="716"/>
      <c r="AL90" s="715"/>
      <c r="AM90" s="716"/>
      <c r="AN90" s="716"/>
      <c r="AO90" s="716"/>
      <c r="AP90" s="716"/>
      <c r="AQ90" s="721"/>
      <c r="AR90" s="676"/>
      <c r="AS90" s="537" t="b">
        <f t="array" ref="AS90">AND(D90:AQ90=inp_used,A90=inp_used_usersel)</f>
        <v>0</v>
      </c>
      <c r="AT90" s="674" t="b">
        <f t="array" ref="AT90">AND(D90:G90=inp_used_minimal,A90=inp_used_usersel)</f>
        <v>0</v>
      </c>
      <c r="AV90" s="674" t="b">
        <f t="shared" si="5"/>
        <v>0</v>
      </c>
      <c r="AW90" s="674" t="b">
        <f t="shared" si="5"/>
        <v>0</v>
      </c>
    </row>
    <row r="91" spans="1:49" s="674" customFormat="1">
      <c r="A91" s="674">
        <v>6</v>
      </c>
      <c r="B91" s="674">
        <v>1</v>
      </c>
      <c r="C91" s="674">
        <v>3</v>
      </c>
      <c r="D91" s="715">
        <v>0.30499999999999999</v>
      </c>
      <c r="E91" s="716" t="s">
        <v>226</v>
      </c>
      <c r="F91" s="684">
        <v>9.4E-2</v>
      </c>
      <c r="G91" s="716" t="s">
        <v>226</v>
      </c>
      <c r="H91" s="715"/>
      <c r="I91" s="716"/>
      <c r="J91" s="741"/>
      <c r="K91" s="716"/>
      <c r="L91" s="716"/>
      <c r="M91" s="721"/>
      <c r="N91" s="715"/>
      <c r="O91" s="716"/>
      <c r="P91" s="716"/>
      <c r="Q91" s="721"/>
      <c r="R91" s="715"/>
      <c r="S91" s="718"/>
      <c r="T91" s="716"/>
      <c r="U91" s="718"/>
      <c r="V91" s="719"/>
      <c r="W91" s="718"/>
      <c r="X91" s="718"/>
      <c r="Y91" s="718"/>
      <c r="Z91" s="715"/>
      <c r="AA91" s="684"/>
      <c r="AB91" s="720"/>
      <c r="AC91" s="716"/>
      <c r="AD91" s="723"/>
      <c r="AE91" s="715"/>
      <c r="AF91" s="716"/>
      <c r="AG91" s="720"/>
      <c r="AH91" s="684"/>
      <c r="AI91" s="716"/>
      <c r="AJ91" s="716"/>
      <c r="AK91" s="716"/>
      <c r="AL91" s="715"/>
      <c r="AM91" s="716"/>
      <c r="AN91" s="716"/>
      <c r="AO91" s="716"/>
      <c r="AP91" s="716"/>
      <c r="AQ91" s="721"/>
      <c r="AR91" s="676"/>
      <c r="AS91" s="537" t="b">
        <f t="array" ref="AS91">AND(D91:AQ91=inp_used,A91=inp_used_usersel)</f>
        <v>0</v>
      </c>
      <c r="AT91" s="674" t="b">
        <f t="array" ref="AT91">AND(D91:G91=inp_used_minimal,A91=inp_used_usersel)</f>
        <v>0</v>
      </c>
      <c r="AV91" s="674" t="b">
        <f t="shared" si="5"/>
        <v>0</v>
      </c>
      <c r="AW91" s="674" t="b">
        <f t="shared" si="5"/>
        <v>0</v>
      </c>
    </row>
    <row r="92" spans="1:49" s="674" customFormat="1">
      <c r="A92" s="674">
        <v>6</v>
      </c>
      <c r="B92" s="674">
        <v>1</v>
      </c>
      <c r="C92" s="674">
        <v>4</v>
      </c>
      <c r="D92" s="715">
        <v>0.74</v>
      </c>
      <c r="E92" s="716" t="s">
        <v>226</v>
      </c>
      <c r="F92" s="684">
        <v>0.251</v>
      </c>
      <c r="G92" s="716" t="s">
        <v>226</v>
      </c>
      <c r="H92" s="715"/>
      <c r="I92" s="716"/>
      <c r="J92" s="741"/>
      <c r="K92" s="716"/>
      <c r="L92" s="716"/>
      <c r="M92" s="721"/>
      <c r="N92" s="715"/>
      <c r="O92" s="716"/>
      <c r="P92" s="716"/>
      <c r="Q92" s="721"/>
      <c r="R92" s="715"/>
      <c r="S92" s="718"/>
      <c r="T92" s="716"/>
      <c r="U92" s="718"/>
      <c r="V92" s="719"/>
      <c r="W92" s="718"/>
      <c r="X92" s="718"/>
      <c r="Y92" s="718"/>
      <c r="Z92" s="715"/>
      <c r="AA92" s="684"/>
      <c r="AB92" s="720"/>
      <c r="AC92" s="716"/>
      <c r="AD92" s="723"/>
      <c r="AE92" s="715"/>
      <c r="AF92" s="716"/>
      <c r="AG92" s="720"/>
      <c r="AH92" s="684"/>
      <c r="AI92" s="716"/>
      <c r="AJ92" s="716"/>
      <c r="AK92" s="716"/>
      <c r="AL92" s="715"/>
      <c r="AM92" s="716"/>
      <c r="AN92" s="716"/>
      <c r="AO92" s="716"/>
      <c r="AP92" s="716"/>
      <c r="AQ92" s="721"/>
      <c r="AR92" s="676"/>
      <c r="AS92" s="537" t="b">
        <f t="array" ref="AS92">AND(D92:AQ92=inp_used,A92=inp_used_usersel)</f>
        <v>0</v>
      </c>
      <c r="AT92" s="674" t="b">
        <f t="array" ref="AT92">AND(D92:G92=inp_used_minimal,A92=inp_used_usersel)</f>
        <v>0</v>
      </c>
      <c r="AV92" s="674" t="b">
        <f t="shared" si="5"/>
        <v>0</v>
      </c>
      <c r="AW92" s="674" t="b">
        <f t="shared" si="5"/>
        <v>0</v>
      </c>
    </row>
    <row r="93" spans="1:49" s="674" customFormat="1">
      <c r="A93" s="674">
        <v>6</v>
      </c>
      <c r="B93" s="674">
        <v>1</v>
      </c>
      <c r="C93" s="537">
        <v>5</v>
      </c>
      <c r="D93" s="682">
        <v>2.1520000000000001</v>
      </c>
      <c r="E93" s="716" t="s">
        <v>226</v>
      </c>
      <c r="F93" s="684">
        <v>0.81899999999999995</v>
      </c>
      <c r="G93" s="716" t="s">
        <v>226</v>
      </c>
      <c r="H93" s="715"/>
      <c r="I93" s="716"/>
      <c r="J93" s="741"/>
      <c r="K93" s="716"/>
      <c r="L93" s="716"/>
      <c r="M93" s="721"/>
      <c r="N93" s="715"/>
      <c r="O93" s="716"/>
      <c r="P93" s="716"/>
      <c r="Q93" s="721"/>
      <c r="R93" s="715"/>
      <c r="S93" s="718"/>
      <c r="T93" s="716"/>
      <c r="U93" s="718"/>
      <c r="V93" s="719"/>
      <c r="W93" s="718"/>
      <c r="X93" s="718"/>
      <c r="Y93" s="718"/>
      <c r="Z93" s="715"/>
      <c r="AA93" s="684"/>
      <c r="AB93" s="720"/>
      <c r="AC93" s="716"/>
      <c r="AD93" s="723"/>
      <c r="AE93" s="715"/>
      <c r="AF93" s="716"/>
      <c r="AG93" s="720"/>
      <c r="AH93" s="684"/>
      <c r="AI93" s="716"/>
      <c r="AJ93" s="716"/>
      <c r="AK93" s="716"/>
      <c r="AL93" s="715"/>
      <c r="AM93" s="716"/>
      <c r="AN93" s="716"/>
      <c r="AO93" s="716"/>
      <c r="AP93" s="716"/>
      <c r="AQ93" s="721"/>
      <c r="AR93" s="676"/>
      <c r="AS93" s="537" t="b">
        <f t="array" ref="AS93">AND(D93:AQ93=inp_used,A93=inp_used_usersel)</f>
        <v>0</v>
      </c>
      <c r="AT93" s="674" t="b">
        <f t="array" ref="AT93">AND(D93:G93=inp_used_minimal,A93=inp_used_usersel)</f>
        <v>0</v>
      </c>
      <c r="AV93" s="674" t="b">
        <f t="shared" si="5"/>
        <v>0</v>
      </c>
      <c r="AW93" s="674" t="b">
        <f t="shared" si="5"/>
        <v>0</v>
      </c>
    </row>
    <row r="94" spans="1:49" s="674" customFormat="1">
      <c r="A94" s="674">
        <v>6</v>
      </c>
      <c r="B94" s="674">
        <v>1</v>
      </c>
      <c r="C94" s="537">
        <v>6</v>
      </c>
      <c r="D94" s="682">
        <v>7.3650000000000002</v>
      </c>
      <c r="E94" s="716" t="s">
        <v>226</v>
      </c>
      <c r="F94" s="684">
        <v>3.2</v>
      </c>
      <c r="G94" s="716" t="s">
        <v>226</v>
      </c>
      <c r="H94" s="715"/>
      <c r="I94" s="716"/>
      <c r="J94" s="741"/>
      <c r="K94" s="716"/>
      <c r="L94" s="716"/>
      <c r="M94" s="721"/>
      <c r="N94" s="715"/>
      <c r="O94" s="716"/>
      <c r="P94" s="716"/>
      <c r="Q94" s="721"/>
      <c r="R94" s="715"/>
      <c r="S94" s="718"/>
      <c r="T94" s="716"/>
      <c r="U94" s="718"/>
      <c r="V94" s="719"/>
      <c r="W94" s="718"/>
      <c r="X94" s="718"/>
      <c r="Y94" s="718"/>
      <c r="Z94" s="715"/>
      <c r="AA94" s="684"/>
      <c r="AB94" s="720"/>
      <c r="AC94" s="716"/>
      <c r="AD94" s="723"/>
      <c r="AE94" s="715"/>
      <c r="AF94" s="716"/>
      <c r="AG94" s="720"/>
      <c r="AH94" s="684"/>
      <c r="AI94" s="716"/>
      <c r="AJ94" s="716"/>
      <c r="AK94" s="716"/>
      <c r="AL94" s="715"/>
      <c r="AM94" s="716"/>
      <c r="AN94" s="716"/>
      <c r="AO94" s="716"/>
      <c r="AP94" s="716"/>
      <c r="AQ94" s="721"/>
      <c r="AR94" s="676"/>
      <c r="AS94" s="537" t="b">
        <f t="array" ref="AS94">AND(D94:AQ94=inp_used,A94=inp_used_usersel)</f>
        <v>0</v>
      </c>
      <c r="AT94" s="674" t="b">
        <f t="array" ref="AT94">AND(D94:G94=inp_used_minimal,A94=inp_used_usersel)</f>
        <v>0</v>
      </c>
      <c r="AV94" s="674" t="b">
        <f t="shared" si="5"/>
        <v>0</v>
      </c>
      <c r="AW94" s="674" t="b">
        <f t="shared" si="5"/>
        <v>0</v>
      </c>
    </row>
    <row r="95" spans="1:49" s="674" customFormat="1">
      <c r="A95" s="674">
        <v>6</v>
      </c>
      <c r="B95" s="674">
        <v>1</v>
      </c>
      <c r="C95" s="537">
        <v>7</v>
      </c>
      <c r="D95" s="682">
        <v>22.614000000000001</v>
      </c>
      <c r="E95" s="716" t="s">
        <v>226</v>
      </c>
      <c r="F95" s="684">
        <v>11.066000000000001</v>
      </c>
      <c r="G95" s="716" t="s">
        <v>226</v>
      </c>
      <c r="H95" s="715"/>
      <c r="I95" s="716"/>
      <c r="J95" s="741"/>
      <c r="K95" s="716"/>
      <c r="L95" s="716"/>
      <c r="M95" s="721"/>
      <c r="N95" s="715"/>
      <c r="O95" s="716"/>
      <c r="P95" s="716"/>
      <c r="Q95" s="721"/>
      <c r="R95" s="715"/>
      <c r="S95" s="718"/>
      <c r="T95" s="716"/>
      <c r="U95" s="718"/>
      <c r="V95" s="719"/>
      <c r="W95" s="718"/>
      <c r="X95" s="718"/>
      <c r="Y95" s="718"/>
      <c r="Z95" s="715"/>
      <c r="AA95" s="684"/>
      <c r="AB95" s="720"/>
      <c r="AC95" s="716"/>
      <c r="AD95" s="723"/>
      <c r="AE95" s="715"/>
      <c r="AF95" s="716"/>
      <c r="AG95" s="720"/>
      <c r="AH95" s="684"/>
      <c r="AI95" s="716"/>
      <c r="AJ95" s="716"/>
      <c r="AK95" s="716"/>
      <c r="AL95" s="715"/>
      <c r="AM95" s="716"/>
      <c r="AN95" s="716"/>
      <c r="AO95" s="716"/>
      <c r="AP95" s="716"/>
      <c r="AQ95" s="721"/>
      <c r="AR95" s="676"/>
      <c r="AS95" s="537" t="b">
        <f t="array" ref="AS95">AND(D95:AQ95=inp_used,A95=inp_used_usersel)</f>
        <v>0</v>
      </c>
      <c r="AT95" s="674" t="b">
        <f t="array" ref="AT95">AND(D95:G95=inp_used_minimal,A95=inp_used_usersel)</f>
        <v>0</v>
      </c>
      <c r="AV95" s="674" t="b">
        <f t="shared" si="5"/>
        <v>0</v>
      </c>
      <c r="AW95" s="674" t="b">
        <f t="shared" si="5"/>
        <v>0</v>
      </c>
    </row>
    <row r="96" spans="1:49" s="674" customFormat="1">
      <c r="A96" s="724">
        <v>6</v>
      </c>
      <c r="B96" s="724">
        <v>1</v>
      </c>
      <c r="C96" s="726">
        <v>8</v>
      </c>
      <c r="D96" s="725">
        <v>75.072000000000003</v>
      </c>
      <c r="E96" s="724" t="s">
        <v>226</v>
      </c>
      <c r="F96" s="726">
        <v>37.536000000000001</v>
      </c>
      <c r="G96" s="724" t="s">
        <v>226</v>
      </c>
      <c r="H96" s="727"/>
      <c r="I96" s="724"/>
      <c r="J96" s="742"/>
      <c r="K96" s="724"/>
      <c r="L96" s="724"/>
      <c r="M96" s="729"/>
      <c r="N96" s="727"/>
      <c r="O96" s="724"/>
      <c r="P96" s="724"/>
      <c r="Q96" s="729"/>
      <c r="R96" s="715"/>
      <c r="S96" s="732"/>
      <c r="T96" s="724"/>
      <c r="U96" s="732"/>
      <c r="V96" s="733"/>
      <c r="W96" s="731"/>
      <c r="X96" s="732"/>
      <c r="Y96" s="733"/>
      <c r="Z96" s="727"/>
      <c r="AA96" s="726"/>
      <c r="AB96" s="734"/>
      <c r="AC96" s="724"/>
      <c r="AD96" s="712"/>
      <c r="AE96" s="727"/>
      <c r="AF96" s="724"/>
      <c r="AG96" s="734"/>
      <c r="AH96" s="726"/>
      <c r="AI96" s="724"/>
      <c r="AJ96" s="724"/>
      <c r="AK96" s="729"/>
      <c r="AL96" s="727"/>
      <c r="AM96" s="724"/>
      <c r="AN96" s="724"/>
      <c r="AO96" s="724"/>
      <c r="AP96" s="724"/>
      <c r="AQ96" s="729"/>
      <c r="AR96" s="676"/>
      <c r="AS96" s="537" t="b">
        <f t="array" ref="AS96">AND(D96:AQ96=inp_used,A96=inp_used_usersel)</f>
        <v>0</v>
      </c>
      <c r="AT96" s="674" t="b">
        <f t="array" ref="AT96">AND(D96:G96=inp_used_minimal,A96=inp_used_usersel)</f>
        <v>0</v>
      </c>
      <c r="AV96" s="674" t="b">
        <f t="shared" si="5"/>
        <v>0</v>
      </c>
      <c r="AW96" s="674" t="b">
        <f t="shared" si="5"/>
        <v>0</v>
      </c>
    </row>
    <row r="97" spans="1:49" s="674" customFormat="1">
      <c r="A97" s="674">
        <v>6</v>
      </c>
      <c r="B97" s="735">
        <v>2</v>
      </c>
      <c r="C97" s="674">
        <v>1</v>
      </c>
      <c r="D97" s="715">
        <v>0.03</v>
      </c>
      <c r="E97" s="716" t="s">
        <v>226</v>
      </c>
      <c r="F97" s="684">
        <v>7.0000000000000001E-3</v>
      </c>
      <c r="G97" s="716" t="s">
        <v>226</v>
      </c>
      <c r="H97" s="715"/>
      <c r="I97" s="716"/>
      <c r="J97" s="741"/>
      <c r="K97" s="716"/>
      <c r="L97" s="716"/>
      <c r="M97" s="721"/>
      <c r="N97" s="715"/>
      <c r="O97" s="716"/>
      <c r="P97" s="716"/>
      <c r="Q97" s="721"/>
      <c r="R97" s="737"/>
      <c r="S97" s="718"/>
      <c r="T97" s="718"/>
      <c r="U97" s="718"/>
      <c r="V97" s="719"/>
      <c r="W97" s="682"/>
      <c r="X97" s="684"/>
      <c r="Y97" s="684"/>
      <c r="Z97" s="715"/>
      <c r="AA97" s="684"/>
      <c r="AB97" s="684"/>
      <c r="AC97" s="716"/>
      <c r="AD97" s="684"/>
      <c r="AE97" s="715"/>
      <c r="AF97" s="716"/>
      <c r="AG97" s="720"/>
      <c r="AH97" s="684"/>
      <c r="AI97" s="716"/>
      <c r="AJ97" s="716"/>
      <c r="AK97" s="716"/>
      <c r="AL97" s="715"/>
      <c r="AM97" s="716"/>
      <c r="AN97" s="716"/>
      <c r="AO97" s="716"/>
      <c r="AP97" s="716"/>
      <c r="AQ97" s="721"/>
      <c r="AR97" s="676" t="s">
        <v>3504</v>
      </c>
      <c r="AS97" s="537" t="b">
        <f t="array" ref="AS97">AND(D97:AQ97=inp_used,A97=inp_used_usersel)</f>
        <v>0</v>
      </c>
      <c r="AT97" s="674" t="b">
        <f t="array" ref="AT97">AND(D97:G97=inp_used_minimal,A97=inp_used_usersel)</f>
        <v>0</v>
      </c>
    </row>
    <row r="98" spans="1:49" s="674" customFormat="1">
      <c r="A98" s="674">
        <v>6</v>
      </c>
      <c r="B98" s="716">
        <v>2</v>
      </c>
      <c r="C98" s="674">
        <v>2</v>
      </c>
      <c r="D98" s="715">
        <v>0.124</v>
      </c>
      <c r="E98" s="716" t="s">
        <v>226</v>
      </c>
      <c r="F98" s="684">
        <v>3.5000000000000003E-2</v>
      </c>
      <c r="G98" s="716" t="s">
        <v>226</v>
      </c>
      <c r="H98" s="715"/>
      <c r="I98" s="716"/>
      <c r="J98" s="741"/>
      <c r="K98" s="716"/>
      <c r="L98" s="716"/>
      <c r="M98" s="721"/>
      <c r="N98" s="715"/>
      <c r="O98" s="716"/>
      <c r="P98" s="716"/>
      <c r="Q98" s="721"/>
      <c r="R98" s="715"/>
      <c r="S98" s="718"/>
      <c r="T98" s="718"/>
      <c r="U98" s="718"/>
      <c r="V98" s="719"/>
      <c r="W98" s="684"/>
      <c r="X98" s="684"/>
      <c r="Y98" s="684"/>
      <c r="Z98" s="715"/>
      <c r="AA98" s="684"/>
      <c r="AB98" s="684"/>
      <c r="AC98" s="716"/>
      <c r="AD98" s="684"/>
      <c r="AE98" s="715"/>
      <c r="AF98" s="716"/>
      <c r="AG98" s="720"/>
      <c r="AH98" s="684"/>
      <c r="AI98" s="716"/>
      <c r="AJ98" s="716"/>
      <c r="AK98" s="716"/>
      <c r="AL98" s="715"/>
      <c r="AM98" s="716"/>
      <c r="AN98" s="716"/>
      <c r="AO98" s="716"/>
      <c r="AP98" s="716"/>
      <c r="AQ98" s="721"/>
      <c r="AR98" s="676"/>
      <c r="AS98" s="537" t="b">
        <f t="array" ref="AS98">AND(D98:AQ98=inp_used,A98=inp_used_usersel)</f>
        <v>0</v>
      </c>
      <c r="AT98" s="674" t="b">
        <f t="array" ref="AT98">AND(D98:G98=inp_used_minimal,A98=inp_used_usersel)</f>
        <v>0</v>
      </c>
    </row>
    <row r="99" spans="1:49" s="674" customFormat="1">
      <c r="A99" s="674">
        <v>6</v>
      </c>
      <c r="B99" s="716">
        <v>2</v>
      </c>
      <c r="C99" s="674">
        <v>3</v>
      </c>
      <c r="D99" s="715">
        <v>0.30499999999999999</v>
      </c>
      <c r="E99" s="716" t="s">
        <v>226</v>
      </c>
      <c r="F99" s="684">
        <v>9.4E-2</v>
      </c>
      <c r="G99" s="716" t="s">
        <v>226</v>
      </c>
      <c r="H99" s="715"/>
      <c r="I99" s="716"/>
      <c r="J99" s="741"/>
      <c r="K99" s="716"/>
      <c r="L99" s="716"/>
      <c r="M99" s="721"/>
      <c r="N99" s="715"/>
      <c r="O99" s="716"/>
      <c r="P99" s="716"/>
      <c r="Q99" s="721"/>
      <c r="R99" s="715"/>
      <c r="S99" s="718"/>
      <c r="T99" s="718"/>
      <c r="U99" s="718"/>
      <c r="V99" s="719"/>
      <c r="W99" s="684"/>
      <c r="X99" s="684"/>
      <c r="Y99" s="684"/>
      <c r="Z99" s="715"/>
      <c r="AA99" s="684"/>
      <c r="AB99" s="684"/>
      <c r="AC99" s="716"/>
      <c r="AD99" s="684"/>
      <c r="AE99" s="715"/>
      <c r="AF99" s="716"/>
      <c r="AG99" s="720"/>
      <c r="AH99" s="684"/>
      <c r="AI99" s="716"/>
      <c r="AJ99" s="716"/>
      <c r="AK99" s="716"/>
      <c r="AL99" s="715"/>
      <c r="AM99" s="716"/>
      <c r="AN99" s="716"/>
      <c r="AO99" s="716"/>
      <c r="AP99" s="716"/>
      <c r="AQ99" s="721"/>
      <c r="AR99" s="676"/>
      <c r="AS99" s="537" t="b">
        <f t="array" ref="AS99">AND(D99:AQ99=inp_used,A99=inp_used_usersel)</f>
        <v>0</v>
      </c>
      <c r="AT99" s="674" t="b">
        <f t="array" ref="AT99">AND(D99:G99=inp_used_minimal,A99=inp_used_usersel)</f>
        <v>0</v>
      </c>
    </row>
    <row r="100" spans="1:49" s="674" customFormat="1">
      <c r="A100" s="674">
        <v>6</v>
      </c>
      <c r="B100" s="716">
        <v>2</v>
      </c>
      <c r="C100" s="674">
        <v>4</v>
      </c>
      <c r="D100" s="715">
        <v>0.74</v>
      </c>
      <c r="E100" s="716" t="s">
        <v>226</v>
      </c>
      <c r="F100" s="684">
        <v>0.251</v>
      </c>
      <c r="G100" s="716" t="s">
        <v>226</v>
      </c>
      <c r="H100" s="715"/>
      <c r="I100" s="716"/>
      <c r="J100" s="741"/>
      <c r="K100" s="716"/>
      <c r="L100" s="716"/>
      <c r="M100" s="721"/>
      <c r="N100" s="715"/>
      <c r="O100" s="716"/>
      <c r="P100" s="716"/>
      <c r="Q100" s="721"/>
      <c r="R100" s="715"/>
      <c r="S100" s="718"/>
      <c r="T100" s="718"/>
      <c r="U100" s="718"/>
      <c r="V100" s="719"/>
      <c r="W100" s="684"/>
      <c r="X100" s="684"/>
      <c r="Y100" s="684"/>
      <c r="Z100" s="715"/>
      <c r="AA100" s="684"/>
      <c r="AB100" s="684"/>
      <c r="AC100" s="716"/>
      <c r="AD100" s="684"/>
      <c r="AE100" s="715"/>
      <c r="AF100" s="716"/>
      <c r="AG100" s="720"/>
      <c r="AH100" s="684"/>
      <c r="AI100" s="716"/>
      <c r="AJ100" s="716"/>
      <c r="AK100" s="716"/>
      <c r="AL100" s="715"/>
      <c r="AM100" s="716"/>
      <c r="AN100" s="716"/>
      <c r="AO100" s="716"/>
      <c r="AP100" s="716"/>
      <c r="AQ100" s="721"/>
      <c r="AR100" s="676"/>
      <c r="AS100" s="537" t="b">
        <f t="array" ref="AS100">AND(D100:AQ100=inp_used,A100=inp_used_usersel)</f>
        <v>0</v>
      </c>
      <c r="AT100" s="674" t="b">
        <f t="array" ref="AT100">AND(D100:G100=inp_used_minimal,A100=inp_used_usersel)</f>
        <v>0</v>
      </c>
    </row>
    <row r="101" spans="1:49" s="674" customFormat="1">
      <c r="A101" s="674">
        <v>6</v>
      </c>
      <c r="B101" s="716">
        <v>2</v>
      </c>
      <c r="C101" s="537">
        <v>5</v>
      </c>
      <c r="D101" s="682">
        <v>2.1520000000000001</v>
      </c>
      <c r="E101" s="716" t="s">
        <v>226</v>
      </c>
      <c r="F101" s="684">
        <v>0.81899999999999995</v>
      </c>
      <c r="G101" s="716" t="s">
        <v>226</v>
      </c>
      <c r="H101" s="715"/>
      <c r="I101" s="716"/>
      <c r="J101" s="741"/>
      <c r="K101" s="716"/>
      <c r="L101" s="716"/>
      <c r="M101" s="721"/>
      <c r="N101" s="715"/>
      <c r="O101" s="716"/>
      <c r="P101" s="716"/>
      <c r="Q101" s="721"/>
      <c r="R101" s="715"/>
      <c r="S101" s="718"/>
      <c r="T101" s="718"/>
      <c r="U101" s="718"/>
      <c r="V101" s="719"/>
      <c r="W101" s="741"/>
      <c r="X101" s="741"/>
      <c r="Y101" s="741"/>
      <c r="Z101" s="715"/>
      <c r="AA101" s="684"/>
      <c r="AB101" s="684"/>
      <c r="AC101" s="716"/>
      <c r="AD101" s="684"/>
      <c r="AE101" s="715"/>
      <c r="AF101" s="716"/>
      <c r="AG101" s="720"/>
      <c r="AH101" s="684"/>
      <c r="AI101" s="716"/>
      <c r="AJ101" s="716"/>
      <c r="AK101" s="716"/>
      <c r="AL101" s="715"/>
      <c r="AM101" s="716"/>
      <c r="AN101" s="716"/>
      <c r="AO101" s="716"/>
      <c r="AP101" s="716"/>
      <c r="AQ101" s="721"/>
      <c r="AR101" s="676"/>
      <c r="AS101" s="537" t="b">
        <f t="array" ref="AS101">AND(D101:AQ101=inp_used,A101=inp_used_usersel)</f>
        <v>0</v>
      </c>
      <c r="AT101" s="674" t="b">
        <f t="array" ref="AT101">AND(D101:G101=inp_used_minimal,A101=inp_used_usersel)</f>
        <v>0</v>
      </c>
    </row>
    <row r="102" spans="1:49" s="674" customFormat="1">
      <c r="A102" s="674">
        <v>6</v>
      </c>
      <c r="B102" s="716">
        <v>2</v>
      </c>
      <c r="C102" s="537">
        <v>6</v>
      </c>
      <c r="D102" s="682">
        <v>7.3650000000000002</v>
      </c>
      <c r="E102" s="716" t="s">
        <v>226</v>
      </c>
      <c r="F102" s="684">
        <v>3.2</v>
      </c>
      <c r="G102" s="716" t="s">
        <v>226</v>
      </c>
      <c r="H102" s="715"/>
      <c r="I102" s="716"/>
      <c r="J102" s="741"/>
      <c r="K102" s="716"/>
      <c r="L102" s="716"/>
      <c r="M102" s="721"/>
      <c r="N102" s="715"/>
      <c r="O102" s="716"/>
      <c r="P102" s="716"/>
      <c r="Q102" s="721"/>
      <c r="R102" s="715"/>
      <c r="S102" s="718"/>
      <c r="T102" s="718"/>
      <c r="U102" s="718"/>
      <c r="V102" s="719"/>
      <c r="W102" s="741"/>
      <c r="X102" s="741"/>
      <c r="Y102" s="741"/>
      <c r="Z102" s="715"/>
      <c r="AA102" s="684"/>
      <c r="AB102" s="684"/>
      <c r="AC102" s="716"/>
      <c r="AD102" s="684"/>
      <c r="AE102" s="715"/>
      <c r="AF102" s="716"/>
      <c r="AG102" s="720"/>
      <c r="AH102" s="684"/>
      <c r="AI102" s="716"/>
      <c r="AJ102" s="716"/>
      <c r="AK102" s="716"/>
      <c r="AL102" s="715"/>
      <c r="AM102" s="716"/>
      <c r="AN102" s="716"/>
      <c r="AO102" s="716"/>
      <c r="AP102" s="716"/>
      <c r="AQ102" s="721"/>
      <c r="AR102" s="676"/>
      <c r="AS102" s="537" t="b">
        <f t="array" ref="AS102">AND(D102:AQ102=inp_used,A102=inp_used_usersel)</f>
        <v>0</v>
      </c>
      <c r="AT102" s="674" t="b">
        <f t="array" ref="AT102">AND(D102:G102=inp_used_minimal,A102=inp_used_usersel)</f>
        <v>0</v>
      </c>
    </row>
    <row r="103" spans="1:49" s="674" customFormat="1">
      <c r="A103" s="674">
        <v>6</v>
      </c>
      <c r="B103" s="716">
        <v>2</v>
      </c>
      <c r="C103" s="537">
        <v>7</v>
      </c>
      <c r="D103" s="682">
        <v>22.614000000000001</v>
      </c>
      <c r="E103" s="716" t="s">
        <v>226</v>
      </c>
      <c r="F103" s="684">
        <v>11.066000000000001</v>
      </c>
      <c r="G103" s="716" t="s">
        <v>226</v>
      </c>
      <c r="H103" s="715"/>
      <c r="I103" s="716"/>
      <c r="J103" s="741"/>
      <c r="K103" s="716"/>
      <c r="L103" s="716"/>
      <c r="M103" s="721"/>
      <c r="N103" s="715"/>
      <c r="O103" s="716"/>
      <c r="P103" s="716"/>
      <c r="Q103" s="721"/>
      <c r="R103" s="715"/>
      <c r="S103" s="718"/>
      <c r="T103" s="718"/>
      <c r="U103" s="718"/>
      <c r="V103" s="719"/>
      <c r="W103" s="741"/>
      <c r="X103" s="741"/>
      <c r="Y103" s="741"/>
      <c r="Z103" s="715"/>
      <c r="AA103" s="684"/>
      <c r="AB103" s="684"/>
      <c r="AC103" s="716"/>
      <c r="AD103" s="684"/>
      <c r="AE103" s="715"/>
      <c r="AF103" s="716"/>
      <c r="AG103" s="720"/>
      <c r="AH103" s="684"/>
      <c r="AI103" s="716"/>
      <c r="AJ103" s="716"/>
      <c r="AK103" s="716"/>
      <c r="AL103" s="715"/>
      <c r="AM103" s="716"/>
      <c r="AN103" s="716"/>
      <c r="AO103" s="716"/>
      <c r="AP103" s="716"/>
      <c r="AQ103" s="721"/>
      <c r="AR103" s="676"/>
      <c r="AS103" s="537" t="b">
        <f t="array" ref="AS103">AND(D103:AQ103=inp_used,A103=inp_used_usersel)</f>
        <v>0</v>
      </c>
      <c r="AT103" s="674" t="b">
        <f t="array" ref="AT103">AND(D103:G103=inp_used_minimal,A103=inp_used_usersel)</f>
        <v>0</v>
      </c>
    </row>
    <row r="104" spans="1:49" s="674" customFormat="1">
      <c r="A104" s="724">
        <v>6</v>
      </c>
      <c r="B104" s="724">
        <v>2</v>
      </c>
      <c r="C104" s="726">
        <v>8</v>
      </c>
      <c r="D104" s="725">
        <v>75.072000000000003</v>
      </c>
      <c r="E104" s="724" t="s">
        <v>226</v>
      </c>
      <c r="F104" s="726">
        <v>37.536000000000001</v>
      </c>
      <c r="G104" s="724" t="s">
        <v>226</v>
      </c>
      <c r="H104" s="727"/>
      <c r="I104" s="724"/>
      <c r="J104" s="742"/>
      <c r="K104" s="724"/>
      <c r="L104" s="724"/>
      <c r="M104" s="729"/>
      <c r="N104" s="727"/>
      <c r="O104" s="724"/>
      <c r="P104" s="724"/>
      <c r="Q104" s="729"/>
      <c r="R104" s="727"/>
      <c r="S104" s="732"/>
      <c r="T104" s="732"/>
      <c r="U104" s="732"/>
      <c r="V104" s="733"/>
      <c r="W104" s="725"/>
      <c r="X104" s="726"/>
      <c r="Y104" s="712"/>
      <c r="Z104" s="727"/>
      <c r="AA104" s="726"/>
      <c r="AB104" s="726"/>
      <c r="AC104" s="724"/>
      <c r="AD104" s="726"/>
      <c r="AE104" s="727"/>
      <c r="AF104" s="724"/>
      <c r="AG104" s="734"/>
      <c r="AH104" s="726"/>
      <c r="AI104" s="724"/>
      <c r="AJ104" s="724"/>
      <c r="AK104" s="729"/>
      <c r="AL104" s="727"/>
      <c r="AM104" s="724"/>
      <c r="AN104" s="724"/>
      <c r="AO104" s="724"/>
      <c r="AP104" s="724"/>
      <c r="AQ104" s="729"/>
      <c r="AR104" s="676"/>
      <c r="AS104" s="537" t="b">
        <f t="array" ref="AS104">AND(D104:AQ104=inp_used,A104=inp_used_usersel)</f>
        <v>0</v>
      </c>
      <c r="AT104" s="674" t="b">
        <f t="array" ref="AT104">AND(D104:G104=inp_used_minimal,A104=inp_used_usersel)</f>
        <v>0</v>
      </c>
    </row>
    <row r="105" spans="1:49" s="674" customFormat="1">
      <c r="A105" s="674">
        <v>7</v>
      </c>
      <c r="B105" s="674">
        <v>1</v>
      </c>
      <c r="C105" s="674">
        <v>1</v>
      </c>
      <c r="D105" s="715">
        <v>0.03</v>
      </c>
      <c r="E105" s="716" t="s">
        <v>226</v>
      </c>
      <c r="F105" s="684">
        <v>7.0000000000000001E-3</v>
      </c>
      <c r="G105" s="716" t="s">
        <v>226</v>
      </c>
      <c r="H105" s="715" t="s">
        <v>3263</v>
      </c>
      <c r="I105" s="716" t="s">
        <v>992</v>
      </c>
      <c r="J105" s="741">
        <v>29200</v>
      </c>
      <c r="K105" s="716"/>
      <c r="L105" s="716"/>
      <c r="M105" s="721"/>
      <c r="N105" s="715" t="s">
        <v>232</v>
      </c>
      <c r="O105" s="716">
        <v>7.5</v>
      </c>
      <c r="P105" s="716"/>
      <c r="Q105" s="721"/>
      <c r="R105" s="715">
        <v>1</v>
      </c>
      <c r="S105" s="718">
        <v>3.4</v>
      </c>
      <c r="T105" s="716" t="s">
        <v>2139</v>
      </c>
      <c r="U105" s="718">
        <v>6</v>
      </c>
      <c r="V105" s="719">
        <v>2</v>
      </c>
      <c r="W105" s="718"/>
      <c r="X105" s="718"/>
      <c r="Y105" s="718"/>
      <c r="Z105" s="715">
        <v>168</v>
      </c>
      <c r="AA105" s="684" t="s">
        <v>2140</v>
      </c>
      <c r="AB105" s="720" t="s">
        <v>539</v>
      </c>
      <c r="AC105" s="716" t="s">
        <v>541</v>
      </c>
      <c r="AD105" s="721"/>
      <c r="AE105" s="737"/>
      <c r="AF105" s="1043">
        <v>0</v>
      </c>
      <c r="AG105" s="743"/>
      <c r="AH105" s="744"/>
      <c r="AI105" s="716" t="s">
        <v>2004</v>
      </c>
      <c r="AJ105" s="716"/>
      <c r="AK105" s="716"/>
      <c r="AL105" s="715"/>
      <c r="AM105" s="716"/>
      <c r="AN105" s="716"/>
      <c r="AO105" s="716"/>
      <c r="AP105" s="716"/>
      <c r="AQ105" s="721"/>
      <c r="AR105" s="676" t="s">
        <v>187</v>
      </c>
      <c r="AS105" s="537" t="b">
        <f t="array" ref="AS105">AND(D105:AQ105=inp_used,A105=inp_used_usersel)</f>
        <v>0</v>
      </c>
      <c r="AT105" s="674" t="b">
        <f t="array" ref="AT105">AND(D105:G105=inp_used_minimal,A105=inp_used_usersel)</f>
        <v>0</v>
      </c>
      <c r="AV105" s="674" t="b">
        <f t="shared" ref="AV105:AW112" si="6">CHOOSE(design_type,AS105,AS113)</f>
        <v>0</v>
      </c>
      <c r="AW105" s="674" t="b">
        <f t="shared" si="6"/>
        <v>0</v>
      </c>
    </row>
    <row r="106" spans="1:49" s="674" customFormat="1">
      <c r="A106" s="674">
        <v>7</v>
      </c>
      <c r="B106" s="674">
        <v>1</v>
      </c>
      <c r="C106" s="674">
        <v>2</v>
      </c>
      <c r="D106" s="715">
        <v>0.124</v>
      </c>
      <c r="E106" s="716" t="s">
        <v>226</v>
      </c>
      <c r="F106" s="684">
        <v>3.5000000000000003E-2</v>
      </c>
      <c r="G106" s="716" t="s">
        <v>226</v>
      </c>
      <c r="H106" s="715" t="s">
        <v>3263</v>
      </c>
      <c r="I106" s="716" t="s">
        <v>992</v>
      </c>
      <c r="J106" s="741">
        <v>29200</v>
      </c>
      <c r="K106" s="716"/>
      <c r="L106" s="716"/>
      <c r="M106" s="721"/>
      <c r="N106" s="715" t="s">
        <v>232</v>
      </c>
      <c r="O106" s="716">
        <v>7.5</v>
      </c>
      <c r="P106" s="716"/>
      <c r="Q106" s="721"/>
      <c r="R106" s="715">
        <v>1</v>
      </c>
      <c r="S106" s="718">
        <v>6.9</v>
      </c>
      <c r="T106" s="716" t="s">
        <v>2139</v>
      </c>
      <c r="U106" s="718">
        <v>11</v>
      </c>
      <c r="V106" s="719">
        <v>4</v>
      </c>
      <c r="W106" s="718"/>
      <c r="X106" s="718"/>
      <c r="Y106" s="718"/>
      <c r="Z106" s="715">
        <v>168</v>
      </c>
      <c r="AA106" s="684" t="s">
        <v>2140</v>
      </c>
      <c r="AB106" s="720" t="s">
        <v>540</v>
      </c>
      <c r="AC106" s="716" t="s">
        <v>541</v>
      </c>
      <c r="AD106" s="723" t="s">
        <v>542</v>
      </c>
      <c r="AE106" s="715"/>
      <c r="AF106" s="716">
        <v>0</v>
      </c>
      <c r="AG106" s="720"/>
      <c r="AH106" s="684"/>
      <c r="AI106" s="716" t="s">
        <v>2004</v>
      </c>
      <c r="AJ106" s="716"/>
      <c r="AK106" s="716"/>
      <c r="AL106" s="715"/>
      <c r="AM106" s="716"/>
      <c r="AN106" s="716"/>
      <c r="AO106" s="716"/>
      <c r="AP106" s="716"/>
      <c r="AQ106" s="721"/>
      <c r="AR106" s="676"/>
      <c r="AS106" s="537" t="b">
        <f t="array" ref="AS106">AND(D106:AQ106=inp_used,A106=inp_used_usersel)</f>
        <v>0</v>
      </c>
      <c r="AT106" s="674" t="b">
        <f t="array" ref="AT106">AND(D106:G106=inp_used_minimal,A106=inp_used_usersel)</f>
        <v>0</v>
      </c>
      <c r="AV106" s="674" t="b">
        <f t="shared" si="6"/>
        <v>0</v>
      </c>
      <c r="AW106" s="674" t="b">
        <f t="shared" si="6"/>
        <v>0</v>
      </c>
    </row>
    <row r="107" spans="1:49" s="674" customFormat="1">
      <c r="A107" s="674">
        <v>7</v>
      </c>
      <c r="B107" s="674">
        <v>1</v>
      </c>
      <c r="C107" s="674">
        <v>3</v>
      </c>
      <c r="D107" s="715">
        <v>0.30499999999999999</v>
      </c>
      <c r="E107" s="716" t="s">
        <v>226</v>
      </c>
      <c r="F107" s="684">
        <v>9.4E-2</v>
      </c>
      <c r="G107" s="716" t="s">
        <v>226</v>
      </c>
      <c r="H107" s="715" t="s">
        <v>3263</v>
      </c>
      <c r="I107" s="716" t="s">
        <v>992</v>
      </c>
      <c r="J107" s="741">
        <v>29200</v>
      </c>
      <c r="K107" s="716"/>
      <c r="L107" s="716"/>
      <c r="M107" s="721"/>
      <c r="N107" s="715" t="s">
        <v>232</v>
      </c>
      <c r="O107" s="716">
        <v>7.5</v>
      </c>
      <c r="P107" s="716"/>
      <c r="Q107" s="721"/>
      <c r="R107" s="715">
        <v>1</v>
      </c>
      <c r="S107" s="718">
        <v>6.7</v>
      </c>
      <c r="T107" s="716" t="s">
        <v>2139</v>
      </c>
      <c r="U107" s="718">
        <v>11</v>
      </c>
      <c r="V107" s="719">
        <v>4.5</v>
      </c>
      <c r="W107" s="718"/>
      <c r="X107" s="718"/>
      <c r="Y107" s="718"/>
      <c r="Z107" s="715">
        <v>168</v>
      </c>
      <c r="AA107" s="684" t="s">
        <v>2140</v>
      </c>
      <c r="AB107" s="720" t="s">
        <v>540</v>
      </c>
      <c r="AC107" s="716" t="s">
        <v>541</v>
      </c>
      <c r="AD107" s="723" t="s">
        <v>542</v>
      </c>
      <c r="AE107" s="715"/>
      <c r="AF107" s="716">
        <v>0</v>
      </c>
      <c r="AG107" s="720"/>
      <c r="AH107" s="684"/>
      <c r="AI107" s="716" t="s">
        <v>2004</v>
      </c>
      <c r="AJ107" s="716"/>
      <c r="AK107" s="716"/>
      <c r="AL107" s="715"/>
      <c r="AM107" s="716"/>
      <c r="AN107" s="716"/>
      <c r="AO107" s="716"/>
      <c r="AP107" s="716"/>
      <c r="AQ107" s="721"/>
      <c r="AR107" s="676"/>
      <c r="AS107" s="537" t="b">
        <f t="array" ref="AS107">AND(D107:AQ107=inp_used,A107=inp_used_usersel)</f>
        <v>0</v>
      </c>
      <c r="AT107" s="674" t="b">
        <f t="array" ref="AT107">AND(D107:G107=inp_used_minimal,A107=inp_used_usersel)</f>
        <v>0</v>
      </c>
      <c r="AV107" s="674" t="b">
        <f t="shared" si="6"/>
        <v>0</v>
      </c>
      <c r="AW107" s="674" t="b">
        <f t="shared" si="6"/>
        <v>0</v>
      </c>
    </row>
    <row r="108" spans="1:49" s="674" customFormat="1">
      <c r="A108" s="674">
        <v>7</v>
      </c>
      <c r="B108" s="674">
        <v>1</v>
      </c>
      <c r="C108" s="674">
        <v>4</v>
      </c>
      <c r="D108" s="715">
        <v>0.74</v>
      </c>
      <c r="E108" s="716" t="s">
        <v>226</v>
      </c>
      <c r="F108" s="684">
        <v>0.251</v>
      </c>
      <c r="G108" s="716" t="s">
        <v>226</v>
      </c>
      <c r="H108" s="715" t="s">
        <v>3263</v>
      </c>
      <c r="I108" s="716" t="s">
        <v>992</v>
      </c>
      <c r="J108" s="741">
        <v>29200</v>
      </c>
      <c r="K108" s="716"/>
      <c r="L108" s="716"/>
      <c r="M108" s="721"/>
      <c r="N108" s="715" t="s">
        <v>232</v>
      </c>
      <c r="O108" s="716">
        <v>7.5</v>
      </c>
      <c r="P108" s="716"/>
      <c r="Q108" s="721"/>
      <c r="R108" s="715">
        <v>1</v>
      </c>
      <c r="S108" s="718">
        <v>6.7</v>
      </c>
      <c r="T108" s="716" t="s">
        <v>2139</v>
      </c>
      <c r="U108" s="718">
        <v>11</v>
      </c>
      <c r="V108" s="719">
        <v>7</v>
      </c>
      <c r="W108" s="718"/>
      <c r="X108" s="718"/>
      <c r="Y108" s="718"/>
      <c r="Z108" s="715">
        <v>168</v>
      </c>
      <c r="AA108" s="684" t="s">
        <v>2140</v>
      </c>
      <c r="AB108" s="720" t="s">
        <v>540</v>
      </c>
      <c r="AC108" s="716" t="s">
        <v>541</v>
      </c>
      <c r="AD108" s="723" t="s">
        <v>542</v>
      </c>
      <c r="AE108" s="715"/>
      <c r="AF108" s="716">
        <v>0</v>
      </c>
      <c r="AG108" s="720"/>
      <c r="AH108" s="684"/>
      <c r="AI108" s="716" t="s">
        <v>2004</v>
      </c>
      <c r="AJ108" s="716"/>
      <c r="AK108" s="716"/>
      <c r="AL108" s="715"/>
      <c r="AM108" s="716"/>
      <c r="AN108" s="716"/>
      <c r="AO108" s="716"/>
      <c r="AP108" s="716"/>
      <c r="AQ108" s="721"/>
      <c r="AR108" s="676"/>
      <c r="AS108" s="537" t="b">
        <f t="array" ref="AS108">AND(D108:AQ108=inp_used,A108=inp_used_usersel)</f>
        <v>0</v>
      </c>
      <c r="AT108" s="674" t="b">
        <f t="array" ref="AT108">AND(D108:G108=inp_used_minimal,A108=inp_used_usersel)</f>
        <v>0</v>
      </c>
      <c r="AV108" s="674" t="b">
        <f t="shared" si="6"/>
        <v>0</v>
      </c>
      <c r="AW108" s="674" t="b">
        <f t="shared" si="6"/>
        <v>0</v>
      </c>
    </row>
    <row r="109" spans="1:49" s="674" customFormat="1">
      <c r="A109" s="674">
        <v>7</v>
      </c>
      <c r="B109" s="674">
        <v>1</v>
      </c>
      <c r="C109" s="537">
        <v>5</v>
      </c>
      <c r="D109" s="682">
        <v>2.1520000000000001</v>
      </c>
      <c r="E109" s="716" t="s">
        <v>226</v>
      </c>
      <c r="F109" s="684">
        <v>0.81899999999999995</v>
      </c>
      <c r="G109" s="716" t="s">
        <v>226</v>
      </c>
      <c r="H109" s="715" t="s">
        <v>3263</v>
      </c>
      <c r="I109" s="716" t="s">
        <v>992</v>
      </c>
      <c r="J109" s="741">
        <v>29200</v>
      </c>
      <c r="K109" s="716"/>
      <c r="L109" s="716"/>
      <c r="M109" s="721"/>
      <c r="N109" s="715" t="s">
        <v>232</v>
      </c>
      <c r="O109" s="716">
        <v>7.5</v>
      </c>
      <c r="P109" s="716"/>
      <c r="Q109" s="721"/>
      <c r="R109" s="715">
        <v>1</v>
      </c>
      <c r="S109" s="718">
        <v>6.7</v>
      </c>
      <c r="T109" s="716" t="s">
        <v>2139</v>
      </c>
      <c r="U109" s="718">
        <v>11</v>
      </c>
      <c r="V109" s="719">
        <v>8.5</v>
      </c>
      <c r="W109" s="718"/>
      <c r="X109" s="718"/>
      <c r="Y109" s="718"/>
      <c r="Z109" s="715">
        <v>168</v>
      </c>
      <c r="AA109" s="684" t="s">
        <v>2140</v>
      </c>
      <c r="AB109" s="720" t="s">
        <v>540</v>
      </c>
      <c r="AC109" s="716" t="s">
        <v>541</v>
      </c>
      <c r="AD109" s="723" t="s">
        <v>542</v>
      </c>
      <c r="AE109" s="715"/>
      <c r="AF109" s="716">
        <v>0</v>
      </c>
      <c r="AG109" s="720"/>
      <c r="AH109" s="684"/>
      <c r="AI109" s="716" t="s">
        <v>2004</v>
      </c>
      <c r="AJ109" s="716"/>
      <c r="AK109" s="716"/>
      <c r="AL109" s="715"/>
      <c r="AM109" s="716"/>
      <c r="AN109" s="716"/>
      <c r="AO109" s="716"/>
      <c r="AP109" s="716"/>
      <c r="AQ109" s="721"/>
      <c r="AR109" s="676"/>
      <c r="AS109" s="537" t="b">
        <f t="array" ref="AS109">AND(D109:AQ109=inp_used,A109=inp_used_usersel)</f>
        <v>0</v>
      </c>
      <c r="AT109" s="674" t="b">
        <f t="array" ref="AT109">AND(D109:G109=inp_used_minimal,A109=inp_used_usersel)</f>
        <v>0</v>
      </c>
      <c r="AV109" s="674" t="b">
        <f t="shared" si="6"/>
        <v>0</v>
      </c>
      <c r="AW109" s="674" t="b">
        <f t="shared" si="6"/>
        <v>0</v>
      </c>
    </row>
    <row r="110" spans="1:49" s="674" customFormat="1">
      <c r="A110" s="674">
        <v>7</v>
      </c>
      <c r="B110" s="674">
        <v>1</v>
      </c>
      <c r="C110" s="537">
        <v>6</v>
      </c>
      <c r="D110" s="682">
        <v>7.3650000000000002</v>
      </c>
      <c r="E110" s="716" t="s">
        <v>226</v>
      </c>
      <c r="F110" s="684">
        <v>3.2</v>
      </c>
      <c r="G110" s="716" t="s">
        <v>226</v>
      </c>
      <c r="H110" s="715" t="s">
        <v>3263</v>
      </c>
      <c r="I110" s="716" t="s">
        <v>992</v>
      </c>
      <c r="J110" s="741">
        <v>29200</v>
      </c>
      <c r="K110" s="716"/>
      <c r="L110" s="716"/>
      <c r="M110" s="721"/>
      <c r="N110" s="715" t="s">
        <v>232</v>
      </c>
      <c r="O110" s="716">
        <v>7.5</v>
      </c>
      <c r="P110" s="716"/>
      <c r="Q110" s="721"/>
      <c r="R110" s="715">
        <v>1</v>
      </c>
      <c r="S110" s="718">
        <v>6.8</v>
      </c>
      <c r="T110" s="716" t="s">
        <v>2139</v>
      </c>
      <c r="U110" s="718">
        <v>11</v>
      </c>
      <c r="V110" s="719">
        <v>11</v>
      </c>
      <c r="W110" s="718"/>
      <c r="X110" s="718"/>
      <c r="Y110" s="718"/>
      <c r="Z110" s="715">
        <v>168</v>
      </c>
      <c r="AA110" s="684" t="s">
        <v>2140</v>
      </c>
      <c r="AB110" s="720" t="s">
        <v>540</v>
      </c>
      <c r="AC110" s="716" t="s">
        <v>2725</v>
      </c>
      <c r="AD110" s="723" t="s">
        <v>542</v>
      </c>
      <c r="AE110" s="715"/>
      <c r="AF110" s="716">
        <v>0</v>
      </c>
      <c r="AG110" s="720"/>
      <c r="AH110" s="684"/>
      <c r="AI110" s="716" t="s">
        <v>2004</v>
      </c>
      <c r="AJ110" s="716"/>
      <c r="AK110" s="716"/>
      <c r="AL110" s="715"/>
      <c r="AM110" s="716"/>
      <c r="AN110" s="716"/>
      <c r="AO110" s="716"/>
      <c r="AP110" s="716"/>
      <c r="AQ110" s="721"/>
      <c r="AR110" s="676"/>
      <c r="AS110" s="537" t="b">
        <f t="array" ref="AS110">AND(D110:AQ110=inp_used,A110=inp_used_usersel)</f>
        <v>0</v>
      </c>
      <c r="AT110" s="674" t="b">
        <f t="array" ref="AT110">AND(D110:G110=inp_used_minimal,A110=inp_used_usersel)</f>
        <v>0</v>
      </c>
      <c r="AV110" s="674" t="b">
        <f t="shared" si="6"/>
        <v>0</v>
      </c>
      <c r="AW110" s="674" t="b">
        <f t="shared" si="6"/>
        <v>0</v>
      </c>
    </row>
    <row r="111" spans="1:49" s="674" customFormat="1">
      <c r="A111" s="674">
        <v>7</v>
      </c>
      <c r="B111" s="674">
        <v>1</v>
      </c>
      <c r="C111" s="537">
        <v>7</v>
      </c>
      <c r="D111" s="682">
        <v>22.614000000000001</v>
      </c>
      <c r="E111" s="716" t="s">
        <v>226</v>
      </c>
      <c r="F111" s="684">
        <v>11.066000000000001</v>
      </c>
      <c r="G111" s="716" t="s">
        <v>226</v>
      </c>
      <c r="H111" s="715" t="s">
        <v>3263</v>
      </c>
      <c r="I111" s="716" t="s">
        <v>992</v>
      </c>
      <c r="J111" s="741">
        <v>29200</v>
      </c>
      <c r="K111" s="716"/>
      <c r="L111" s="716"/>
      <c r="M111" s="721"/>
      <c r="N111" s="715" t="s">
        <v>232</v>
      </c>
      <c r="O111" s="716">
        <v>7.5</v>
      </c>
      <c r="P111" s="716"/>
      <c r="Q111" s="721"/>
      <c r="R111" s="715">
        <v>1</v>
      </c>
      <c r="S111" s="718">
        <v>7.1</v>
      </c>
      <c r="T111" s="716" t="s">
        <v>3284</v>
      </c>
      <c r="U111" s="718">
        <v>20</v>
      </c>
      <c r="V111" s="719">
        <v>14</v>
      </c>
      <c r="W111" s="718"/>
      <c r="X111" s="718"/>
      <c r="Y111" s="718"/>
      <c r="Z111" s="715">
        <v>168</v>
      </c>
      <c r="AA111" s="684" t="s">
        <v>2140</v>
      </c>
      <c r="AB111" s="720" t="s">
        <v>540</v>
      </c>
      <c r="AC111" s="716" t="s">
        <v>2725</v>
      </c>
      <c r="AD111" s="723" t="s">
        <v>542</v>
      </c>
      <c r="AE111" s="715"/>
      <c r="AF111" s="716">
        <v>0</v>
      </c>
      <c r="AG111" s="720"/>
      <c r="AH111" s="684"/>
      <c r="AI111" s="716" t="s">
        <v>2004</v>
      </c>
      <c r="AJ111" s="716"/>
      <c r="AK111" s="716"/>
      <c r="AL111" s="715"/>
      <c r="AM111" s="716"/>
      <c r="AN111" s="716"/>
      <c r="AO111" s="716"/>
      <c r="AP111" s="716"/>
      <c r="AQ111" s="721"/>
      <c r="AR111" s="676"/>
      <c r="AS111" s="537" t="b">
        <f t="array" ref="AS111">AND(D111:AQ111=inp_used,A111=inp_used_usersel)</f>
        <v>0</v>
      </c>
      <c r="AT111" s="674" t="b">
        <f t="array" ref="AT111">AND(D111:G111=inp_used_minimal,A111=inp_used_usersel)</f>
        <v>0</v>
      </c>
      <c r="AV111" s="674" t="b">
        <f t="shared" si="6"/>
        <v>0</v>
      </c>
      <c r="AW111" s="674" t="b">
        <f t="shared" si="6"/>
        <v>0</v>
      </c>
    </row>
    <row r="112" spans="1:49" s="674" customFormat="1">
      <c r="A112" s="724">
        <v>7</v>
      </c>
      <c r="B112" s="724">
        <v>1</v>
      </c>
      <c r="C112" s="726">
        <v>8</v>
      </c>
      <c r="D112" s="725">
        <v>75.072000000000003</v>
      </c>
      <c r="E112" s="724" t="s">
        <v>226</v>
      </c>
      <c r="F112" s="726">
        <v>37.536000000000001</v>
      </c>
      <c r="G112" s="724" t="s">
        <v>226</v>
      </c>
      <c r="H112" s="727" t="s">
        <v>3263</v>
      </c>
      <c r="I112" s="724" t="s">
        <v>992</v>
      </c>
      <c r="J112" s="742">
        <v>29200</v>
      </c>
      <c r="K112" s="724"/>
      <c r="L112" s="724"/>
      <c r="M112" s="729"/>
      <c r="N112" s="727" t="s">
        <v>232</v>
      </c>
      <c r="O112" s="724">
        <v>7.5</v>
      </c>
      <c r="P112" s="724"/>
      <c r="Q112" s="729"/>
      <c r="R112" s="715">
        <v>1</v>
      </c>
      <c r="S112" s="732">
        <v>7.2</v>
      </c>
      <c r="T112" s="724" t="s">
        <v>3284</v>
      </c>
      <c r="U112" s="732">
        <v>20</v>
      </c>
      <c r="V112" s="733">
        <v>14</v>
      </c>
      <c r="W112" s="731"/>
      <c r="X112" s="732"/>
      <c r="Y112" s="733"/>
      <c r="Z112" s="727">
        <v>168</v>
      </c>
      <c r="AA112" s="726" t="s">
        <v>2140</v>
      </c>
      <c r="AB112" s="734" t="s">
        <v>540</v>
      </c>
      <c r="AC112" s="724" t="s">
        <v>2725</v>
      </c>
      <c r="AD112" s="712" t="s">
        <v>542</v>
      </c>
      <c r="AE112" s="727"/>
      <c r="AF112" s="724">
        <v>0</v>
      </c>
      <c r="AG112" s="734"/>
      <c r="AH112" s="726"/>
      <c r="AI112" s="724" t="s">
        <v>2004</v>
      </c>
      <c r="AJ112" s="724"/>
      <c r="AK112" s="729"/>
      <c r="AL112" s="727"/>
      <c r="AM112" s="724"/>
      <c r="AN112" s="724"/>
      <c r="AO112" s="724"/>
      <c r="AP112" s="724"/>
      <c r="AQ112" s="729"/>
      <c r="AR112" s="676"/>
      <c r="AS112" s="537" t="b">
        <f t="array" ref="AS112">AND(D112:AQ112=inp_used,A112=inp_used_usersel)</f>
        <v>0</v>
      </c>
      <c r="AT112" s="674" t="b">
        <f t="array" ref="AT112">AND(D112:G112=inp_used_minimal,A112=inp_used_usersel)</f>
        <v>0</v>
      </c>
      <c r="AV112" s="674" t="b">
        <f t="shared" si="6"/>
        <v>0</v>
      </c>
      <c r="AW112" s="674" t="b">
        <f t="shared" si="6"/>
        <v>0</v>
      </c>
    </row>
    <row r="113" spans="1:49" s="674" customFormat="1">
      <c r="A113" s="674">
        <v>7</v>
      </c>
      <c r="B113" s="735">
        <v>2</v>
      </c>
      <c r="C113" s="674">
        <v>1</v>
      </c>
      <c r="D113" s="715">
        <v>0.03</v>
      </c>
      <c r="E113" s="716" t="s">
        <v>226</v>
      </c>
      <c r="F113" s="684">
        <v>7.0000000000000001E-3</v>
      </c>
      <c r="G113" s="716" t="s">
        <v>226</v>
      </c>
      <c r="H113" s="715" t="s">
        <v>3263</v>
      </c>
      <c r="I113" s="716" t="s">
        <v>992</v>
      </c>
      <c r="J113" s="741">
        <v>29200</v>
      </c>
      <c r="K113" s="716"/>
      <c r="L113" s="716"/>
      <c r="M113" s="721"/>
      <c r="N113" s="715" t="s">
        <v>232</v>
      </c>
      <c r="O113" s="716">
        <v>7.5</v>
      </c>
      <c r="P113" s="716"/>
      <c r="Q113" s="721"/>
      <c r="R113" s="737"/>
      <c r="S113" s="718"/>
      <c r="T113" s="718"/>
      <c r="U113" s="718"/>
      <c r="V113" s="719"/>
      <c r="W113" s="682">
        <v>6</v>
      </c>
      <c r="X113" s="684">
        <v>6</v>
      </c>
      <c r="Y113" s="684">
        <v>3</v>
      </c>
      <c r="Z113" s="715">
        <v>168</v>
      </c>
      <c r="AA113" s="684" t="s">
        <v>2140</v>
      </c>
      <c r="AB113" s="684" t="s">
        <v>2996</v>
      </c>
      <c r="AC113" s="716" t="s">
        <v>541</v>
      </c>
      <c r="AD113" s="684" t="s">
        <v>542</v>
      </c>
      <c r="AE113" s="715"/>
      <c r="AF113" s="1043">
        <v>0</v>
      </c>
      <c r="AG113" s="720"/>
      <c r="AH113" s="684"/>
      <c r="AI113" s="716" t="s">
        <v>2004</v>
      </c>
      <c r="AJ113" s="716"/>
      <c r="AK113" s="716"/>
      <c r="AL113" s="715"/>
      <c r="AM113" s="716"/>
      <c r="AN113" s="716"/>
      <c r="AO113" s="716"/>
      <c r="AP113" s="716"/>
      <c r="AQ113" s="721"/>
      <c r="AR113" s="676" t="s">
        <v>188</v>
      </c>
      <c r="AS113" s="537" t="b">
        <f t="array" ref="AS113">AND(D113:AQ113=inp_used,A113=inp_used_usersel)</f>
        <v>0</v>
      </c>
      <c r="AT113" s="674" t="b">
        <f t="array" ref="AT113">AND(D113:G113=inp_used_minimal,A113=inp_used_usersel)</f>
        <v>0</v>
      </c>
    </row>
    <row r="114" spans="1:49" s="674" customFormat="1">
      <c r="A114" s="674">
        <v>7</v>
      </c>
      <c r="B114" s="716">
        <v>2</v>
      </c>
      <c r="C114" s="674">
        <v>2</v>
      </c>
      <c r="D114" s="715">
        <v>0.124</v>
      </c>
      <c r="E114" s="716" t="s">
        <v>226</v>
      </c>
      <c r="F114" s="684">
        <v>3.5000000000000003E-2</v>
      </c>
      <c r="G114" s="716" t="s">
        <v>226</v>
      </c>
      <c r="H114" s="715" t="s">
        <v>3263</v>
      </c>
      <c r="I114" s="716" t="s">
        <v>992</v>
      </c>
      <c r="J114" s="741">
        <v>29200</v>
      </c>
      <c r="K114" s="716"/>
      <c r="L114" s="716"/>
      <c r="M114" s="721"/>
      <c r="N114" s="715" t="s">
        <v>232</v>
      </c>
      <c r="O114" s="716">
        <v>7.5</v>
      </c>
      <c r="P114" s="716"/>
      <c r="Q114" s="721"/>
      <c r="R114" s="715"/>
      <c r="S114" s="718"/>
      <c r="T114" s="718"/>
      <c r="U114" s="718"/>
      <c r="V114" s="719"/>
      <c r="W114" s="682">
        <v>6</v>
      </c>
      <c r="X114" s="684">
        <v>6</v>
      </c>
      <c r="Y114" s="684">
        <v>3</v>
      </c>
      <c r="Z114" s="715">
        <v>168</v>
      </c>
      <c r="AA114" s="684" t="s">
        <v>2140</v>
      </c>
      <c r="AB114" s="684" t="s">
        <v>2996</v>
      </c>
      <c r="AC114" s="716" t="s">
        <v>541</v>
      </c>
      <c r="AD114" s="684" t="s">
        <v>542</v>
      </c>
      <c r="AE114" s="715"/>
      <c r="AF114" s="716">
        <v>0</v>
      </c>
      <c r="AG114" s="720"/>
      <c r="AH114" s="684"/>
      <c r="AI114" s="716" t="s">
        <v>2004</v>
      </c>
      <c r="AJ114" s="716"/>
      <c r="AK114" s="716"/>
      <c r="AL114" s="715"/>
      <c r="AM114" s="716"/>
      <c r="AN114" s="716"/>
      <c r="AO114" s="716"/>
      <c r="AP114" s="716"/>
      <c r="AQ114" s="721"/>
      <c r="AR114" s="676"/>
      <c r="AS114" s="537" t="b">
        <f t="array" ref="AS114">AND(D114:AQ114=inp_used,A114=inp_used_usersel)</f>
        <v>0</v>
      </c>
      <c r="AT114" s="674" t="b">
        <f t="array" ref="AT114">AND(D114:G114=inp_used_minimal,A114=inp_used_usersel)</f>
        <v>0</v>
      </c>
    </row>
    <row r="115" spans="1:49" s="674" customFormat="1">
      <c r="A115" s="674">
        <v>7</v>
      </c>
      <c r="B115" s="716">
        <v>2</v>
      </c>
      <c r="C115" s="674">
        <v>3</v>
      </c>
      <c r="D115" s="715">
        <v>0.30499999999999999</v>
      </c>
      <c r="E115" s="716" t="s">
        <v>226</v>
      </c>
      <c r="F115" s="684">
        <v>9.4E-2</v>
      </c>
      <c r="G115" s="716" t="s">
        <v>226</v>
      </c>
      <c r="H115" s="715" t="s">
        <v>3263</v>
      </c>
      <c r="I115" s="716" t="s">
        <v>992</v>
      </c>
      <c r="J115" s="741">
        <v>29200</v>
      </c>
      <c r="K115" s="716"/>
      <c r="L115" s="716"/>
      <c r="M115" s="721"/>
      <c r="N115" s="715" t="s">
        <v>232</v>
      </c>
      <c r="O115" s="716">
        <v>7.5</v>
      </c>
      <c r="P115" s="716"/>
      <c r="Q115" s="721"/>
      <c r="R115" s="715"/>
      <c r="S115" s="718"/>
      <c r="T115" s="718"/>
      <c r="U115" s="718"/>
      <c r="V115" s="719"/>
      <c r="W115" s="682">
        <v>6</v>
      </c>
      <c r="X115" s="684">
        <v>6</v>
      </c>
      <c r="Y115" s="684">
        <v>3</v>
      </c>
      <c r="Z115" s="715">
        <v>168</v>
      </c>
      <c r="AA115" s="684" t="s">
        <v>2140</v>
      </c>
      <c r="AB115" s="684" t="s">
        <v>2996</v>
      </c>
      <c r="AC115" s="716" t="s">
        <v>541</v>
      </c>
      <c r="AD115" s="684" t="s">
        <v>542</v>
      </c>
      <c r="AE115" s="715"/>
      <c r="AF115" s="716">
        <v>0</v>
      </c>
      <c r="AG115" s="720"/>
      <c r="AH115" s="684"/>
      <c r="AI115" s="716" t="s">
        <v>2004</v>
      </c>
      <c r="AJ115" s="716"/>
      <c r="AK115" s="716"/>
      <c r="AL115" s="715"/>
      <c r="AM115" s="716"/>
      <c r="AN115" s="716"/>
      <c r="AO115" s="716"/>
      <c r="AP115" s="716"/>
      <c r="AQ115" s="721"/>
      <c r="AR115" s="676"/>
      <c r="AS115" s="537" t="b">
        <f t="array" ref="AS115">AND(D115:AQ115=inp_used,A115=inp_used_usersel)</f>
        <v>0</v>
      </c>
      <c r="AT115" s="674" t="b">
        <f t="array" ref="AT115">AND(D115:G115=inp_used_minimal,A115=inp_used_usersel)</f>
        <v>0</v>
      </c>
    </row>
    <row r="116" spans="1:49" s="674" customFormat="1">
      <c r="A116" s="674">
        <v>7</v>
      </c>
      <c r="B116" s="716">
        <v>2</v>
      </c>
      <c r="C116" s="674">
        <v>4</v>
      </c>
      <c r="D116" s="715">
        <v>0.74</v>
      </c>
      <c r="E116" s="716" t="s">
        <v>226</v>
      </c>
      <c r="F116" s="684">
        <v>0.251</v>
      </c>
      <c r="G116" s="716" t="s">
        <v>226</v>
      </c>
      <c r="H116" s="715" t="s">
        <v>3263</v>
      </c>
      <c r="I116" s="716" t="s">
        <v>992</v>
      </c>
      <c r="J116" s="741">
        <v>29200</v>
      </c>
      <c r="K116" s="716"/>
      <c r="L116" s="716"/>
      <c r="M116" s="721"/>
      <c r="N116" s="715" t="s">
        <v>232</v>
      </c>
      <c r="O116" s="716">
        <v>7.5</v>
      </c>
      <c r="P116" s="716"/>
      <c r="Q116" s="721"/>
      <c r="R116" s="715"/>
      <c r="S116" s="718"/>
      <c r="T116" s="718"/>
      <c r="U116" s="718"/>
      <c r="V116" s="719"/>
      <c r="W116" s="682">
        <v>7</v>
      </c>
      <c r="X116" s="684">
        <v>7</v>
      </c>
      <c r="Y116" s="684">
        <v>5.3</v>
      </c>
      <c r="Z116" s="715">
        <v>168</v>
      </c>
      <c r="AA116" s="684" t="s">
        <v>2140</v>
      </c>
      <c r="AB116" s="684" t="s">
        <v>2996</v>
      </c>
      <c r="AC116" s="716" t="s">
        <v>541</v>
      </c>
      <c r="AD116" s="684" t="s">
        <v>542</v>
      </c>
      <c r="AE116" s="715"/>
      <c r="AF116" s="716">
        <v>0</v>
      </c>
      <c r="AG116" s="720"/>
      <c r="AH116" s="684"/>
      <c r="AI116" s="716" t="s">
        <v>2004</v>
      </c>
      <c r="AJ116" s="716"/>
      <c r="AK116" s="716"/>
      <c r="AL116" s="715"/>
      <c r="AM116" s="716"/>
      <c r="AN116" s="716"/>
      <c r="AO116" s="716"/>
      <c r="AP116" s="716"/>
      <c r="AQ116" s="721"/>
      <c r="AR116" s="676"/>
      <c r="AS116" s="537" t="b">
        <f t="array" ref="AS116">AND(D116:AQ116=inp_used,A116=inp_used_usersel)</f>
        <v>0</v>
      </c>
      <c r="AT116" s="674" t="b">
        <f t="array" ref="AT116">AND(D116:G116=inp_used_minimal,A116=inp_used_usersel)</f>
        <v>0</v>
      </c>
    </row>
    <row r="117" spans="1:49" s="674" customFormat="1">
      <c r="A117" s="674">
        <v>7</v>
      </c>
      <c r="B117" s="716">
        <v>2</v>
      </c>
      <c r="C117" s="537">
        <v>5</v>
      </c>
      <c r="D117" s="682">
        <v>2.1520000000000001</v>
      </c>
      <c r="E117" s="716" t="s">
        <v>226</v>
      </c>
      <c r="F117" s="684">
        <v>0.81899999999999995</v>
      </c>
      <c r="G117" s="716" t="s">
        <v>226</v>
      </c>
      <c r="H117" s="715" t="s">
        <v>3263</v>
      </c>
      <c r="I117" s="716" t="s">
        <v>992</v>
      </c>
      <c r="J117" s="741">
        <v>29200</v>
      </c>
      <c r="K117" s="716"/>
      <c r="L117" s="716"/>
      <c r="M117" s="721"/>
      <c r="N117" s="715" t="s">
        <v>232</v>
      </c>
      <c r="O117" s="716">
        <v>7.5</v>
      </c>
      <c r="P117" s="716"/>
      <c r="Q117" s="721"/>
      <c r="R117" s="715"/>
      <c r="S117" s="718"/>
      <c r="T117" s="718"/>
      <c r="U117" s="718"/>
      <c r="V117" s="719"/>
      <c r="W117" s="682">
        <v>8</v>
      </c>
      <c r="X117" s="684">
        <v>8</v>
      </c>
      <c r="Y117" s="684">
        <v>7.9</v>
      </c>
      <c r="Z117" s="715">
        <v>168</v>
      </c>
      <c r="AA117" s="684" t="s">
        <v>2140</v>
      </c>
      <c r="AB117" s="684" t="s">
        <v>2996</v>
      </c>
      <c r="AC117" s="716" t="s">
        <v>541</v>
      </c>
      <c r="AD117" s="684" t="s">
        <v>542</v>
      </c>
      <c r="AE117" s="715"/>
      <c r="AF117" s="716">
        <v>0</v>
      </c>
      <c r="AG117" s="720"/>
      <c r="AH117" s="684"/>
      <c r="AI117" s="716" t="s">
        <v>2004</v>
      </c>
      <c r="AJ117" s="716"/>
      <c r="AK117" s="716"/>
      <c r="AL117" s="715"/>
      <c r="AM117" s="716"/>
      <c r="AN117" s="716"/>
      <c r="AO117" s="716"/>
      <c r="AP117" s="716"/>
      <c r="AQ117" s="721"/>
      <c r="AR117" s="676"/>
      <c r="AS117" s="537" t="b">
        <f t="array" ref="AS117">AND(D117:AQ117=inp_used,A117=inp_used_usersel)</f>
        <v>0</v>
      </c>
      <c r="AT117" s="674" t="b">
        <f t="array" ref="AT117">AND(D117:G117=inp_used_minimal,A117=inp_used_usersel)</f>
        <v>0</v>
      </c>
    </row>
    <row r="118" spans="1:49" s="674" customFormat="1">
      <c r="A118" s="674">
        <v>7</v>
      </c>
      <c r="B118" s="716">
        <v>2</v>
      </c>
      <c r="C118" s="537">
        <v>6</v>
      </c>
      <c r="D118" s="682">
        <v>7.3650000000000002</v>
      </c>
      <c r="E118" s="716" t="s">
        <v>226</v>
      </c>
      <c r="F118" s="684">
        <v>3.2</v>
      </c>
      <c r="G118" s="716" t="s">
        <v>226</v>
      </c>
      <c r="H118" s="715" t="s">
        <v>3263</v>
      </c>
      <c r="I118" s="716" t="s">
        <v>992</v>
      </c>
      <c r="J118" s="741">
        <v>29200</v>
      </c>
      <c r="K118" s="716"/>
      <c r="L118" s="716"/>
      <c r="M118" s="721"/>
      <c r="N118" s="715" t="s">
        <v>232</v>
      </c>
      <c r="O118" s="716">
        <v>7.5</v>
      </c>
      <c r="P118" s="716"/>
      <c r="Q118" s="721"/>
      <c r="R118" s="715"/>
      <c r="S118" s="718"/>
      <c r="T118" s="718"/>
      <c r="U118" s="718"/>
      <c r="V118" s="719"/>
      <c r="W118" s="682">
        <v>11.5</v>
      </c>
      <c r="X118" s="684">
        <v>11.5</v>
      </c>
      <c r="Y118" s="684">
        <v>7.8</v>
      </c>
      <c r="Z118" s="715">
        <v>168</v>
      </c>
      <c r="AA118" s="684" t="s">
        <v>2140</v>
      </c>
      <c r="AB118" s="684" t="s">
        <v>2996</v>
      </c>
      <c r="AC118" s="716" t="s">
        <v>2725</v>
      </c>
      <c r="AD118" s="684" t="s">
        <v>542</v>
      </c>
      <c r="AE118" s="715"/>
      <c r="AF118" s="716">
        <v>0</v>
      </c>
      <c r="AG118" s="720"/>
      <c r="AH118" s="684"/>
      <c r="AI118" s="716" t="s">
        <v>2004</v>
      </c>
      <c r="AJ118" s="716"/>
      <c r="AK118" s="716"/>
      <c r="AL118" s="715"/>
      <c r="AM118" s="716"/>
      <c r="AN118" s="716"/>
      <c r="AO118" s="716"/>
      <c r="AP118" s="716"/>
      <c r="AQ118" s="721"/>
      <c r="AR118" s="676"/>
      <c r="AS118" s="537" t="b">
        <f t="array" ref="AS118">AND(D118:AQ118=inp_used,A118=inp_used_usersel)</f>
        <v>0</v>
      </c>
      <c r="AT118" s="674" t="b">
        <f t="array" ref="AT118">AND(D118:G118=inp_used_minimal,A118=inp_used_usersel)</f>
        <v>0</v>
      </c>
    </row>
    <row r="119" spans="1:49" s="674" customFormat="1">
      <c r="A119" s="674">
        <v>7</v>
      </c>
      <c r="B119" s="716">
        <v>2</v>
      </c>
      <c r="C119" s="537">
        <v>7</v>
      </c>
      <c r="D119" s="682">
        <v>22.614000000000001</v>
      </c>
      <c r="E119" s="716" t="s">
        <v>226</v>
      </c>
      <c r="F119" s="684">
        <v>11.066000000000001</v>
      </c>
      <c r="G119" s="716" t="s">
        <v>226</v>
      </c>
      <c r="H119" s="715" t="s">
        <v>3263</v>
      </c>
      <c r="I119" s="716" t="s">
        <v>992</v>
      </c>
      <c r="J119" s="741">
        <v>29200</v>
      </c>
      <c r="K119" s="716"/>
      <c r="L119" s="716"/>
      <c r="M119" s="721"/>
      <c r="N119" s="715" t="s">
        <v>232</v>
      </c>
      <c r="O119" s="716">
        <v>7.5</v>
      </c>
      <c r="P119" s="716"/>
      <c r="Q119" s="721"/>
      <c r="R119" s="715"/>
      <c r="S119" s="718"/>
      <c r="T119" s="718"/>
      <c r="U119" s="718"/>
      <c r="V119" s="719"/>
      <c r="W119" s="682">
        <v>15</v>
      </c>
      <c r="X119" s="684">
        <v>15</v>
      </c>
      <c r="Y119" s="684">
        <v>7.8</v>
      </c>
      <c r="Z119" s="715">
        <v>168</v>
      </c>
      <c r="AA119" s="684" t="s">
        <v>2140</v>
      </c>
      <c r="AB119" s="684" t="s">
        <v>2996</v>
      </c>
      <c r="AC119" s="716" t="s">
        <v>2725</v>
      </c>
      <c r="AD119" s="684" t="s">
        <v>542</v>
      </c>
      <c r="AE119" s="715"/>
      <c r="AF119" s="716">
        <v>0</v>
      </c>
      <c r="AG119" s="720"/>
      <c r="AH119" s="684"/>
      <c r="AI119" s="716" t="s">
        <v>2004</v>
      </c>
      <c r="AJ119" s="716"/>
      <c r="AK119" s="716"/>
      <c r="AL119" s="715"/>
      <c r="AM119" s="716"/>
      <c r="AN119" s="716"/>
      <c r="AO119" s="716"/>
      <c r="AP119" s="716"/>
      <c r="AQ119" s="721"/>
      <c r="AR119" s="676"/>
      <c r="AS119" s="537" t="b">
        <f t="array" ref="AS119">AND(D119:AQ119=inp_used,A119=inp_used_usersel)</f>
        <v>0</v>
      </c>
      <c r="AT119" s="674" t="b">
        <f t="array" ref="AT119">AND(D119:G119=inp_used_minimal,A119=inp_used_usersel)</f>
        <v>0</v>
      </c>
    </row>
    <row r="120" spans="1:49" s="674" customFormat="1">
      <c r="A120" s="724">
        <v>7</v>
      </c>
      <c r="B120" s="724">
        <v>2</v>
      </c>
      <c r="C120" s="726">
        <v>8</v>
      </c>
      <c r="D120" s="725">
        <v>75.072000000000003</v>
      </c>
      <c r="E120" s="724" t="s">
        <v>226</v>
      </c>
      <c r="F120" s="726">
        <v>37.536000000000001</v>
      </c>
      <c r="G120" s="724" t="s">
        <v>226</v>
      </c>
      <c r="H120" s="727" t="s">
        <v>3263</v>
      </c>
      <c r="I120" s="724" t="s">
        <v>992</v>
      </c>
      <c r="J120" s="742">
        <v>29200</v>
      </c>
      <c r="K120" s="724"/>
      <c r="L120" s="724"/>
      <c r="M120" s="729"/>
      <c r="N120" s="727" t="s">
        <v>232</v>
      </c>
      <c r="O120" s="724">
        <v>7.5</v>
      </c>
      <c r="P120" s="724"/>
      <c r="Q120" s="729"/>
      <c r="R120" s="727"/>
      <c r="S120" s="732"/>
      <c r="T120" s="732"/>
      <c r="U120" s="732"/>
      <c r="V120" s="733"/>
      <c r="W120" s="725">
        <v>30</v>
      </c>
      <c r="X120" s="726">
        <v>30</v>
      </c>
      <c r="Y120" s="712">
        <v>9.6999999999999993</v>
      </c>
      <c r="Z120" s="727">
        <v>168</v>
      </c>
      <c r="AA120" s="726" t="s">
        <v>2140</v>
      </c>
      <c r="AB120" s="726" t="s">
        <v>2996</v>
      </c>
      <c r="AC120" s="724" t="s">
        <v>2725</v>
      </c>
      <c r="AD120" s="726" t="s">
        <v>542</v>
      </c>
      <c r="AE120" s="727"/>
      <c r="AF120" s="724">
        <v>0</v>
      </c>
      <c r="AG120" s="734"/>
      <c r="AH120" s="726"/>
      <c r="AI120" s="724" t="s">
        <v>2004</v>
      </c>
      <c r="AJ120" s="724"/>
      <c r="AK120" s="729"/>
      <c r="AL120" s="727"/>
      <c r="AM120" s="724"/>
      <c r="AN120" s="724"/>
      <c r="AO120" s="724"/>
      <c r="AP120" s="724"/>
      <c r="AQ120" s="729"/>
      <c r="AR120" s="676"/>
      <c r="AS120" s="537" t="b">
        <f t="array" ref="AS120">AND(D120:AQ120=inp_used,A120=inp_used_usersel)</f>
        <v>0</v>
      </c>
      <c r="AT120" s="674" t="b">
        <f t="array" ref="AT120">AND(D120:G120=inp_used_minimal,A120=inp_used_usersel)</f>
        <v>0</v>
      </c>
    </row>
    <row r="121" spans="1:49" s="674" customFormat="1">
      <c r="A121" s="674">
        <v>8</v>
      </c>
      <c r="B121" s="674">
        <v>1</v>
      </c>
      <c r="C121" s="674">
        <v>1</v>
      </c>
      <c r="D121" s="715">
        <v>0.03</v>
      </c>
      <c r="E121" s="716" t="s">
        <v>226</v>
      </c>
      <c r="F121" s="684">
        <v>7.0000000000000001E-3</v>
      </c>
      <c r="G121" s="716" t="s">
        <v>226</v>
      </c>
      <c r="H121" s="715" t="s">
        <v>3263</v>
      </c>
      <c r="I121" s="716" t="s">
        <v>992</v>
      </c>
      <c r="J121" s="741">
        <v>21600</v>
      </c>
      <c r="K121" s="716"/>
      <c r="L121" s="716"/>
      <c r="M121" s="721"/>
      <c r="N121" s="715" t="s">
        <v>232</v>
      </c>
      <c r="O121" s="716">
        <v>7.5</v>
      </c>
      <c r="P121" s="716"/>
      <c r="Q121" s="721"/>
      <c r="R121" s="715">
        <v>1</v>
      </c>
      <c r="S121" s="718">
        <v>3.4</v>
      </c>
      <c r="T121" s="716" t="s">
        <v>2139</v>
      </c>
      <c r="U121" s="718">
        <v>6</v>
      </c>
      <c r="V121" s="719">
        <v>2</v>
      </c>
      <c r="W121" s="718"/>
      <c r="X121" s="718"/>
      <c r="Y121" s="718"/>
      <c r="Z121" s="715">
        <v>168</v>
      </c>
      <c r="AA121" s="684" t="s">
        <v>2140</v>
      </c>
      <c r="AB121" s="720" t="s">
        <v>539</v>
      </c>
      <c r="AC121" s="716" t="s">
        <v>541</v>
      </c>
      <c r="AD121" s="721"/>
      <c r="AE121" s="737"/>
      <c r="AF121" s="1043">
        <v>0</v>
      </c>
      <c r="AG121" s="743"/>
      <c r="AH121" s="744"/>
      <c r="AI121" s="716" t="s">
        <v>2004</v>
      </c>
      <c r="AJ121" s="716"/>
      <c r="AK121" s="716"/>
      <c r="AL121" s="715"/>
      <c r="AM121" s="716"/>
      <c r="AN121" s="716"/>
      <c r="AO121" s="716"/>
      <c r="AP121" s="716"/>
      <c r="AQ121" s="721"/>
      <c r="AR121" s="676" t="s">
        <v>189</v>
      </c>
      <c r="AS121" s="537" t="b">
        <f t="array" ref="AS121">AND(D121:AQ121=inp_used,A121=inp_used_usersel)</f>
        <v>0</v>
      </c>
      <c r="AT121" s="674" t="b">
        <f t="array" ref="AT121">AND(D121:G121=inp_used_minimal,A121=inp_used_usersel)</f>
        <v>0</v>
      </c>
      <c r="AV121" s="674" t="b">
        <f t="shared" ref="AV121:AW128" si="7">CHOOSE(design_type,AS121,AS129)</f>
        <v>0</v>
      </c>
      <c r="AW121" s="674" t="b">
        <f t="shared" si="7"/>
        <v>0</v>
      </c>
    </row>
    <row r="122" spans="1:49" s="674" customFormat="1">
      <c r="A122" s="674">
        <v>8</v>
      </c>
      <c r="B122" s="674">
        <v>1</v>
      </c>
      <c r="C122" s="674">
        <v>2</v>
      </c>
      <c r="D122" s="715">
        <v>0.124</v>
      </c>
      <c r="E122" s="716" t="s">
        <v>226</v>
      </c>
      <c r="F122" s="684">
        <v>3.5000000000000003E-2</v>
      </c>
      <c r="G122" s="716" t="s">
        <v>226</v>
      </c>
      <c r="H122" s="715" t="s">
        <v>3263</v>
      </c>
      <c r="I122" s="716" t="s">
        <v>992</v>
      </c>
      <c r="J122" s="741">
        <v>21600</v>
      </c>
      <c r="K122" s="716"/>
      <c r="L122" s="716"/>
      <c r="M122" s="721"/>
      <c r="N122" s="715" t="s">
        <v>232</v>
      </c>
      <c r="O122" s="716">
        <v>7.5</v>
      </c>
      <c r="P122" s="716"/>
      <c r="Q122" s="721"/>
      <c r="R122" s="715">
        <v>1</v>
      </c>
      <c r="S122" s="718">
        <v>6.9</v>
      </c>
      <c r="T122" s="716" t="s">
        <v>2139</v>
      </c>
      <c r="U122" s="718">
        <v>11</v>
      </c>
      <c r="V122" s="719">
        <v>4</v>
      </c>
      <c r="W122" s="718"/>
      <c r="X122" s="718"/>
      <c r="Y122" s="718"/>
      <c r="Z122" s="715">
        <v>168</v>
      </c>
      <c r="AA122" s="684" t="s">
        <v>2140</v>
      </c>
      <c r="AB122" s="720" t="s">
        <v>540</v>
      </c>
      <c r="AC122" s="716" t="s">
        <v>541</v>
      </c>
      <c r="AD122" s="723" t="s">
        <v>542</v>
      </c>
      <c r="AE122" s="715"/>
      <c r="AF122" s="716">
        <v>0</v>
      </c>
      <c r="AG122" s="720"/>
      <c r="AH122" s="684"/>
      <c r="AI122" s="716" t="s">
        <v>2004</v>
      </c>
      <c r="AJ122" s="716"/>
      <c r="AK122" s="716"/>
      <c r="AL122" s="715"/>
      <c r="AM122" s="716"/>
      <c r="AN122" s="716"/>
      <c r="AO122" s="716"/>
      <c r="AP122" s="716"/>
      <c r="AQ122" s="721"/>
      <c r="AR122" s="676"/>
      <c r="AS122" s="537" t="b">
        <f t="array" ref="AS122">AND(D122:AQ122=inp_used,A122=inp_used_usersel)</f>
        <v>0</v>
      </c>
      <c r="AT122" s="674" t="b">
        <f t="array" ref="AT122">AND(D122:G122=inp_used_minimal,A122=inp_used_usersel)</f>
        <v>0</v>
      </c>
      <c r="AV122" s="674" t="b">
        <f t="shared" si="7"/>
        <v>0</v>
      </c>
      <c r="AW122" s="674" t="b">
        <f t="shared" si="7"/>
        <v>0</v>
      </c>
    </row>
    <row r="123" spans="1:49" s="674" customFormat="1">
      <c r="A123" s="674">
        <v>8</v>
      </c>
      <c r="B123" s="674">
        <v>1</v>
      </c>
      <c r="C123" s="674">
        <v>3</v>
      </c>
      <c r="D123" s="715">
        <v>0.30499999999999999</v>
      </c>
      <c r="E123" s="716" t="s">
        <v>226</v>
      </c>
      <c r="F123" s="684">
        <v>9.4E-2</v>
      </c>
      <c r="G123" s="716" t="s">
        <v>226</v>
      </c>
      <c r="H123" s="715" t="s">
        <v>3263</v>
      </c>
      <c r="I123" s="716" t="s">
        <v>992</v>
      </c>
      <c r="J123" s="741">
        <v>21600</v>
      </c>
      <c r="K123" s="716"/>
      <c r="L123" s="716"/>
      <c r="M123" s="721"/>
      <c r="N123" s="715" t="s">
        <v>232</v>
      </c>
      <c r="O123" s="716">
        <v>7.5</v>
      </c>
      <c r="P123" s="716"/>
      <c r="Q123" s="721"/>
      <c r="R123" s="715">
        <v>1</v>
      </c>
      <c r="S123" s="718">
        <v>6.7</v>
      </c>
      <c r="T123" s="716" t="s">
        <v>2139</v>
      </c>
      <c r="U123" s="718">
        <v>11</v>
      </c>
      <c r="V123" s="719">
        <v>4.5</v>
      </c>
      <c r="W123" s="718"/>
      <c r="X123" s="718"/>
      <c r="Y123" s="718"/>
      <c r="Z123" s="715">
        <v>168</v>
      </c>
      <c r="AA123" s="684" t="s">
        <v>2140</v>
      </c>
      <c r="AB123" s="720" t="s">
        <v>540</v>
      </c>
      <c r="AC123" s="716" t="s">
        <v>541</v>
      </c>
      <c r="AD123" s="723" t="s">
        <v>542</v>
      </c>
      <c r="AE123" s="715"/>
      <c r="AF123" s="716">
        <v>0</v>
      </c>
      <c r="AG123" s="720"/>
      <c r="AH123" s="684"/>
      <c r="AI123" s="716" t="s">
        <v>2004</v>
      </c>
      <c r="AJ123" s="716"/>
      <c r="AK123" s="716"/>
      <c r="AL123" s="715"/>
      <c r="AM123" s="716"/>
      <c r="AN123" s="716"/>
      <c r="AO123" s="716"/>
      <c r="AP123" s="716"/>
      <c r="AQ123" s="721"/>
      <c r="AR123" s="676"/>
      <c r="AS123" s="537" t="b">
        <f t="array" ref="AS123">AND(D123:AQ123=inp_used,A123=inp_used_usersel)</f>
        <v>0</v>
      </c>
      <c r="AT123" s="674" t="b">
        <f t="array" ref="AT123">AND(D123:G123=inp_used_minimal,A123=inp_used_usersel)</f>
        <v>0</v>
      </c>
      <c r="AV123" s="674" t="b">
        <f t="shared" si="7"/>
        <v>0</v>
      </c>
      <c r="AW123" s="674" t="b">
        <f t="shared" si="7"/>
        <v>0</v>
      </c>
    </row>
    <row r="124" spans="1:49" s="674" customFormat="1">
      <c r="A124" s="674">
        <v>8</v>
      </c>
      <c r="B124" s="674">
        <v>1</v>
      </c>
      <c r="C124" s="674">
        <v>4</v>
      </c>
      <c r="D124" s="715">
        <v>0.74</v>
      </c>
      <c r="E124" s="716" t="s">
        <v>226</v>
      </c>
      <c r="F124" s="684">
        <v>0.251</v>
      </c>
      <c r="G124" s="716" t="s">
        <v>226</v>
      </c>
      <c r="H124" s="715" t="s">
        <v>3263</v>
      </c>
      <c r="I124" s="716" t="s">
        <v>992</v>
      </c>
      <c r="J124" s="741">
        <v>21600</v>
      </c>
      <c r="K124" s="716"/>
      <c r="L124" s="716"/>
      <c r="M124" s="721"/>
      <c r="N124" s="715" t="s">
        <v>232</v>
      </c>
      <c r="O124" s="716">
        <v>7.5</v>
      </c>
      <c r="P124" s="716"/>
      <c r="Q124" s="721"/>
      <c r="R124" s="715">
        <v>1</v>
      </c>
      <c r="S124" s="718">
        <v>6.7</v>
      </c>
      <c r="T124" s="716" t="s">
        <v>2139</v>
      </c>
      <c r="U124" s="718">
        <v>11</v>
      </c>
      <c r="V124" s="719">
        <v>7</v>
      </c>
      <c r="W124" s="718"/>
      <c r="X124" s="718"/>
      <c r="Y124" s="718"/>
      <c r="Z124" s="715">
        <v>168</v>
      </c>
      <c r="AA124" s="684" t="s">
        <v>2140</v>
      </c>
      <c r="AB124" s="720" t="s">
        <v>540</v>
      </c>
      <c r="AC124" s="716" t="s">
        <v>541</v>
      </c>
      <c r="AD124" s="723" t="s">
        <v>542</v>
      </c>
      <c r="AE124" s="715"/>
      <c r="AF124" s="716">
        <v>0</v>
      </c>
      <c r="AG124" s="720"/>
      <c r="AH124" s="684"/>
      <c r="AI124" s="716" t="s">
        <v>2004</v>
      </c>
      <c r="AJ124" s="716"/>
      <c r="AK124" s="716"/>
      <c r="AL124" s="715"/>
      <c r="AM124" s="716"/>
      <c r="AN124" s="716"/>
      <c r="AO124" s="716"/>
      <c r="AP124" s="716"/>
      <c r="AQ124" s="721"/>
      <c r="AR124" s="676"/>
      <c r="AS124" s="537" t="b">
        <f t="array" ref="AS124">AND(D124:AQ124=inp_used,A124=inp_used_usersel)</f>
        <v>0</v>
      </c>
      <c r="AT124" s="674" t="b">
        <f t="array" ref="AT124">AND(D124:G124=inp_used_minimal,A124=inp_used_usersel)</f>
        <v>0</v>
      </c>
      <c r="AV124" s="674" t="b">
        <f t="shared" si="7"/>
        <v>0</v>
      </c>
      <c r="AW124" s="674" t="b">
        <f t="shared" si="7"/>
        <v>0</v>
      </c>
    </row>
    <row r="125" spans="1:49" s="674" customFormat="1">
      <c r="A125" s="674">
        <v>8</v>
      </c>
      <c r="B125" s="674">
        <v>1</v>
      </c>
      <c r="C125" s="537">
        <v>5</v>
      </c>
      <c r="D125" s="682">
        <v>2.1520000000000001</v>
      </c>
      <c r="E125" s="716" t="s">
        <v>226</v>
      </c>
      <c r="F125" s="684">
        <v>0.81899999999999995</v>
      </c>
      <c r="G125" s="716" t="s">
        <v>226</v>
      </c>
      <c r="H125" s="715" t="s">
        <v>3263</v>
      </c>
      <c r="I125" s="716" t="s">
        <v>992</v>
      </c>
      <c r="J125" s="741">
        <v>21600</v>
      </c>
      <c r="K125" s="716"/>
      <c r="L125" s="716"/>
      <c r="M125" s="721"/>
      <c r="N125" s="715" t="s">
        <v>232</v>
      </c>
      <c r="O125" s="716">
        <v>7.5</v>
      </c>
      <c r="P125" s="716"/>
      <c r="Q125" s="721"/>
      <c r="R125" s="715">
        <v>1</v>
      </c>
      <c r="S125" s="718">
        <v>6.7</v>
      </c>
      <c r="T125" s="716" t="s">
        <v>2139</v>
      </c>
      <c r="U125" s="718">
        <v>11</v>
      </c>
      <c r="V125" s="719">
        <v>8.5</v>
      </c>
      <c r="W125" s="718"/>
      <c r="X125" s="718"/>
      <c r="Y125" s="718"/>
      <c r="Z125" s="715">
        <v>168</v>
      </c>
      <c r="AA125" s="684" t="s">
        <v>2140</v>
      </c>
      <c r="AB125" s="720" t="s">
        <v>540</v>
      </c>
      <c r="AC125" s="716" t="s">
        <v>541</v>
      </c>
      <c r="AD125" s="723" t="s">
        <v>542</v>
      </c>
      <c r="AE125" s="715"/>
      <c r="AF125" s="716">
        <v>0</v>
      </c>
      <c r="AG125" s="720"/>
      <c r="AH125" s="684"/>
      <c r="AI125" s="716" t="s">
        <v>2004</v>
      </c>
      <c r="AJ125" s="716"/>
      <c r="AK125" s="716"/>
      <c r="AL125" s="715"/>
      <c r="AM125" s="716"/>
      <c r="AN125" s="716"/>
      <c r="AO125" s="716"/>
      <c r="AP125" s="716"/>
      <c r="AQ125" s="721"/>
      <c r="AR125" s="676"/>
      <c r="AS125" s="537" t="b">
        <f t="array" ref="AS125">AND(D125:AQ125=inp_used,A125=inp_used_usersel)</f>
        <v>0</v>
      </c>
      <c r="AT125" s="674" t="b">
        <f t="array" ref="AT125">AND(D125:G125=inp_used_minimal,A125=inp_used_usersel)</f>
        <v>0</v>
      </c>
      <c r="AV125" s="674" t="b">
        <f t="shared" si="7"/>
        <v>0</v>
      </c>
      <c r="AW125" s="674" t="b">
        <f t="shared" si="7"/>
        <v>0</v>
      </c>
    </row>
    <row r="126" spans="1:49" s="674" customFormat="1">
      <c r="A126" s="674">
        <v>8</v>
      </c>
      <c r="B126" s="674">
        <v>1</v>
      </c>
      <c r="C126" s="537">
        <v>6</v>
      </c>
      <c r="D126" s="682">
        <v>7.3650000000000002</v>
      </c>
      <c r="E126" s="716" t="s">
        <v>226</v>
      </c>
      <c r="F126" s="684">
        <v>3.2</v>
      </c>
      <c r="G126" s="716" t="s">
        <v>226</v>
      </c>
      <c r="H126" s="715" t="s">
        <v>3263</v>
      </c>
      <c r="I126" s="716" t="s">
        <v>992</v>
      </c>
      <c r="J126" s="741">
        <v>21600</v>
      </c>
      <c r="K126" s="716"/>
      <c r="L126" s="716"/>
      <c r="M126" s="721"/>
      <c r="N126" s="715" t="s">
        <v>232</v>
      </c>
      <c r="O126" s="716">
        <v>7.5</v>
      </c>
      <c r="P126" s="716"/>
      <c r="Q126" s="721"/>
      <c r="R126" s="715">
        <v>1</v>
      </c>
      <c r="S126" s="718">
        <v>6.2</v>
      </c>
      <c r="T126" s="716" t="s">
        <v>3284</v>
      </c>
      <c r="U126" s="718">
        <v>20</v>
      </c>
      <c r="V126" s="719">
        <v>14</v>
      </c>
      <c r="W126" s="718"/>
      <c r="X126" s="718"/>
      <c r="Y126" s="718"/>
      <c r="Z126" s="715">
        <v>168</v>
      </c>
      <c r="AA126" s="684" t="s">
        <v>2140</v>
      </c>
      <c r="AB126" s="720" t="s">
        <v>540</v>
      </c>
      <c r="AC126" s="716" t="s">
        <v>2725</v>
      </c>
      <c r="AD126" s="723" t="s">
        <v>542</v>
      </c>
      <c r="AE126" s="715"/>
      <c r="AF126" s="716">
        <v>0</v>
      </c>
      <c r="AG126" s="720"/>
      <c r="AH126" s="684"/>
      <c r="AI126" s="716" t="s">
        <v>2004</v>
      </c>
      <c r="AJ126" s="716"/>
      <c r="AK126" s="716"/>
      <c r="AL126" s="715"/>
      <c r="AM126" s="716"/>
      <c r="AN126" s="716"/>
      <c r="AO126" s="716"/>
      <c r="AP126" s="716"/>
      <c r="AQ126" s="721"/>
      <c r="AR126" s="676"/>
      <c r="AS126" s="537" t="b">
        <f t="array" ref="AS126">AND(D126:AQ126=inp_used,A126=inp_used_usersel)</f>
        <v>0</v>
      </c>
      <c r="AT126" s="674" t="b">
        <f t="array" ref="AT126">AND(D126:G126=inp_used_minimal,A126=inp_used_usersel)</f>
        <v>0</v>
      </c>
      <c r="AV126" s="674" t="b">
        <f t="shared" si="7"/>
        <v>0</v>
      </c>
      <c r="AW126" s="674" t="b">
        <f t="shared" si="7"/>
        <v>0</v>
      </c>
    </row>
    <row r="127" spans="1:49" s="674" customFormat="1">
      <c r="A127" s="674">
        <v>8</v>
      </c>
      <c r="B127" s="674">
        <v>1</v>
      </c>
      <c r="C127" s="537">
        <v>7</v>
      </c>
      <c r="D127" s="682">
        <v>22.614000000000001</v>
      </c>
      <c r="E127" s="716" t="s">
        <v>226</v>
      </c>
      <c r="F127" s="684">
        <v>11.066000000000001</v>
      </c>
      <c r="G127" s="716" t="s">
        <v>226</v>
      </c>
      <c r="H127" s="715" t="s">
        <v>3263</v>
      </c>
      <c r="I127" s="716" t="s">
        <v>992</v>
      </c>
      <c r="J127" s="741">
        <v>21600</v>
      </c>
      <c r="K127" s="716"/>
      <c r="L127" s="716"/>
      <c r="M127" s="721"/>
      <c r="N127" s="715" t="s">
        <v>232</v>
      </c>
      <c r="O127" s="716">
        <v>7.5</v>
      </c>
      <c r="P127" s="716"/>
      <c r="Q127" s="721"/>
      <c r="R127" s="715">
        <v>1</v>
      </c>
      <c r="S127" s="718">
        <v>7.1</v>
      </c>
      <c r="T127" s="716" t="s">
        <v>3284</v>
      </c>
      <c r="U127" s="718">
        <v>20</v>
      </c>
      <c r="V127" s="719">
        <v>14</v>
      </c>
      <c r="W127" s="718"/>
      <c r="X127" s="718"/>
      <c r="Y127" s="718"/>
      <c r="Z127" s="715">
        <v>168</v>
      </c>
      <c r="AA127" s="684" t="s">
        <v>2140</v>
      </c>
      <c r="AB127" s="720" t="s">
        <v>540</v>
      </c>
      <c r="AC127" s="716" t="s">
        <v>2725</v>
      </c>
      <c r="AD127" s="723" t="s">
        <v>542</v>
      </c>
      <c r="AE127" s="715"/>
      <c r="AF127" s="716">
        <v>0</v>
      </c>
      <c r="AG127" s="720"/>
      <c r="AH127" s="684"/>
      <c r="AI127" s="716" t="s">
        <v>2004</v>
      </c>
      <c r="AJ127" s="716"/>
      <c r="AK127" s="716"/>
      <c r="AL127" s="715"/>
      <c r="AM127" s="716"/>
      <c r="AN127" s="716"/>
      <c r="AO127" s="716"/>
      <c r="AP127" s="716"/>
      <c r="AQ127" s="721"/>
      <c r="AR127" s="676"/>
      <c r="AS127" s="537" t="b">
        <f t="array" ref="AS127">AND(D127:AQ127=inp_used,A127=inp_used_usersel)</f>
        <v>0</v>
      </c>
      <c r="AT127" s="674" t="b">
        <f t="array" ref="AT127">AND(D127:G127=inp_used_minimal,A127=inp_used_usersel)</f>
        <v>0</v>
      </c>
      <c r="AV127" s="674" t="b">
        <f t="shared" si="7"/>
        <v>0</v>
      </c>
      <c r="AW127" s="674" t="b">
        <f t="shared" si="7"/>
        <v>0</v>
      </c>
    </row>
    <row r="128" spans="1:49" s="674" customFormat="1">
      <c r="A128" s="724">
        <v>8</v>
      </c>
      <c r="B128" s="724">
        <v>1</v>
      </c>
      <c r="C128" s="726">
        <v>8</v>
      </c>
      <c r="D128" s="725">
        <v>75.072000000000003</v>
      </c>
      <c r="E128" s="724" t="s">
        <v>226</v>
      </c>
      <c r="F128" s="726">
        <v>37.536000000000001</v>
      </c>
      <c r="G128" s="724" t="s">
        <v>226</v>
      </c>
      <c r="H128" s="727" t="s">
        <v>3263</v>
      </c>
      <c r="I128" s="724" t="s">
        <v>992</v>
      </c>
      <c r="J128" s="742">
        <v>21600</v>
      </c>
      <c r="K128" s="724"/>
      <c r="L128" s="724"/>
      <c r="M128" s="729"/>
      <c r="N128" s="727" t="s">
        <v>232</v>
      </c>
      <c r="O128" s="724">
        <v>7.5</v>
      </c>
      <c r="P128" s="724"/>
      <c r="Q128" s="729"/>
      <c r="R128" s="715">
        <v>1</v>
      </c>
      <c r="S128" s="732">
        <v>7.2</v>
      </c>
      <c r="T128" s="724" t="s">
        <v>3284</v>
      </c>
      <c r="U128" s="732">
        <v>20</v>
      </c>
      <c r="V128" s="733">
        <v>14</v>
      </c>
      <c r="W128" s="731"/>
      <c r="X128" s="732"/>
      <c r="Y128" s="733"/>
      <c r="Z128" s="727">
        <v>168</v>
      </c>
      <c r="AA128" s="726" t="s">
        <v>2140</v>
      </c>
      <c r="AB128" s="734" t="s">
        <v>540</v>
      </c>
      <c r="AC128" s="724" t="s">
        <v>2725</v>
      </c>
      <c r="AD128" s="712" t="s">
        <v>542</v>
      </c>
      <c r="AE128" s="727"/>
      <c r="AF128" s="724">
        <v>0</v>
      </c>
      <c r="AG128" s="734"/>
      <c r="AH128" s="726"/>
      <c r="AI128" s="724" t="s">
        <v>2004</v>
      </c>
      <c r="AJ128" s="724"/>
      <c r="AK128" s="729"/>
      <c r="AL128" s="727"/>
      <c r="AM128" s="724"/>
      <c r="AN128" s="724"/>
      <c r="AO128" s="724"/>
      <c r="AP128" s="724"/>
      <c r="AQ128" s="729"/>
      <c r="AR128" s="676"/>
      <c r="AS128" s="537" t="b">
        <f t="array" ref="AS128">AND(D128:AQ128=inp_used,A128=inp_used_usersel)</f>
        <v>0</v>
      </c>
      <c r="AT128" s="674" t="b">
        <f t="array" ref="AT128">AND(D128:G128=inp_used_minimal,A128=inp_used_usersel)</f>
        <v>0</v>
      </c>
      <c r="AV128" s="674" t="b">
        <f t="shared" si="7"/>
        <v>0</v>
      </c>
      <c r="AW128" s="674" t="b">
        <f t="shared" si="7"/>
        <v>0</v>
      </c>
    </row>
    <row r="129" spans="1:49" s="674" customFormat="1">
      <c r="A129" s="674">
        <v>8</v>
      </c>
      <c r="B129" s="735">
        <v>2</v>
      </c>
      <c r="C129" s="674">
        <v>1</v>
      </c>
      <c r="D129" s="715">
        <v>0.03</v>
      </c>
      <c r="E129" s="716" t="s">
        <v>226</v>
      </c>
      <c r="F129" s="684">
        <v>7.0000000000000001E-3</v>
      </c>
      <c r="G129" s="716" t="s">
        <v>226</v>
      </c>
      <c r="H129" s="715" t="s">
        <v>3263</v>
      </c>
      <c r="I129" s="716" t="s">
        <v>992</v>
      </c>
      <c r="J129" s="741">
        <v>21600</v>
      </c>
      <c r="K129" s="716"/>
      <c r="L129" s="716"/>
      <c r="M129" s="721"/>
      <c r="N129" s="715" t="s">
        <v>232</v>
      </c>
      <c r="O129" s="716">
        <v>7.5</v>
      </c>
      <c r="P129" s="716"/>
      <c r="Q129" s="721"/>
      <c r="R129" s="737"/>
      <c r="S129" s="718"/>
      <c r="T129" s="718"/>
      <c r="U129" s="718"/>
      <c r="V129" s="719"/>
      <c r="W129" s="682">
        <v>6</v>
      </c>
      <c r="X129" s="684">
        <v>6</v>
      </c>
      <c r="Y129" s="684">
        <v>3</v>
      </c>
      <c r="Z129" s="715">
        <v>168</v>
      </c>
      <c r="AA129" s="684" t="s">
        <v>2140</v>
      </c>
      <c r="AB129" s="684" t="s">
        <v>2996</v>
      </c>
      <c r="AC129" s="716" t="s">
        <v>541</v>
      </c>
      <c r="AD129" s="684" t="s">
        <v>542</v>
      </c>
      <c r="AE129" s="715"/>
      <c r="AF129" s="1043">
        <v>0</v>
      </c>
      <c r="AG129" s="720"/>
      <c r="AH129" s="684"/>
      <c r="AI129" s="716" t="s">
        <v>2004</v>
      </c>
      <c r="AJ129" s="716"/>
      <c r="AK129" s="716"/>
      <c r="AL129" s="715"/>
      <c r="AM129" s="716"/>
      <c r="AN129" s="716"/>
      <c r="AO129" s="716"/>
      <c r="AP129" s="716"/>
      <c r="AQ129" s="721"/>
      <c r="AR129" s="676" t="s">
        <v>190</v>
      </c>
      <c r="AS129" s="537" t="b">
        <f t="array" ref="AS129">AND(D129:AQ129=inp_used,A129=inp_used_usersel)</f>
        <v>0</v>
      </c>
      <c r="AT129" s="674" t="b">
        <f t="array" ref="AT129">AND(D129:G129=inp_used_minimal,A129=inp_used_usersel)</f>
        <v>0</v>
      </c>
    </row>
    <row r="130" spans="1:49" s="674" customFormat="1">
      <c r="A130" s="674">
        <v>8</v>
      </c>
      <c r="B130" s="716">
        <v>2</v>
      </c>
      <c r="C130" s="674">
        <v>2</v>
      </c>
      <c r="D130" s="715">
        <v>0.124</v>
      </c>
      <c r="E130" s="716" t="s">
        <v>226</v>
      </c>
      <c r="F130" s="684">
        <v>3.5000000000000003E-2</v>
      </c>
      <c r="G130" s="716" t="s">
        <v>226</v>
      </c>
      <c r="H130" s="715" t="s">
        <v>3263</v>
      </c>
      <c r="I130" s="716" t="s">
        <v>992</v>
      </c>
      <c r="J130" s="741">
        <v>21600</v>
      </c>
      <c r="K130" s="716"/>
      <c r="L130" s="716"/>
      <c r="M130" s="721"/>
      <c r="N130" s="715" t="s">
        <v>232</v>
      </c>
      <c r="O130" s="716">
        <v>7.5</v>
      </c>
      <c r="P130" s="716"/>
      <c r="Q130" s="721"/>
      <c r="R130" s="715"/>
      <c r="S130" s="718"/>
      <c r="T130" s="718"/>
      <c r="U130" s="718"/>
      <c r="V130" s="719"/>
      <c r="W130" s="682">
        <v>6</v>
      </c>
      <c r="X130" s="684">
        <v>6</v>
      </c>
      <c r="Y130" s="684">
        <v>3</v>
      </c>
      <c r="Z130" s="715">
        <v>168</v>
      </c>
      <c r="AA130" s="684" t="s">
        <v>2140</v>
      </c>
      <c r="AB130" s="684" t="s">
        <v>2996</v>
      </c>
      <c r="AC130" s="716" t="s">
        <v>541</v>
      </c>
      <c r="AD130" s="684" t="s">
        <v>542</v>
      </c>
      <c r="AE130" s="715"/>
      <c r="AF130" s="716">
        <v>0</v>
      </c>
      <c r="AG130" s="720"/>
      <c r="AH130" s="684"/>
      <c r="AI130" s="716" t="s">
        <v>2004</v>
      </c>
      <c r="AJ130" s="716"/>
      <c r="AK130" s="716"/>
      <c r="AL130" s="715"/>
      <c r="AM130" s="716"/>
      <c r="AN130" s="716"/>
      <c r="AO130" s="716"/>
      <c r="AP130" s="716"/>
      <c r="AQ130" s="721"/>
      <c r="AR130" s="676"/>
      <c r="AS130" s="537" t="b">
        <f t="array" ref="AS130">AND(D130:AQ130=inp_used,A130=inp_used_usersel)</f>
        <v>0</v>
      </c>
      <c r="AT130" s="674" t="b">
        <f t="array" ref="AT130">AND(D130:G130=inp_used_minimal,A130=inp_used_usersel)</f>
        <v>0</v>
      </c>
    </row>
    <row r="131" spans="1:49" s="674" customFormat="1">
      <c r="A131" s="674">
        <v>8</v>
      </c>
      <c r="B131" s="716">
        <v>2</v>
      </c>
      <c r="C131" s="674">
        <v>3</v>
      </c>
      <c r="D131" s="715">
        <v>0.30499999999999999</v>
      </c>
      <c r="E131" s="716" t="s">
        <v>226</v>
      </c>
      <c r="F131" s="684">
        <v>9.4E-2</v>
      </c>
      <c r="G131" s="716" t="s">
        <v>226</v>
      </c>
      <c r="H131" s="715" t="s">
        <v>3263</v>
      </c>
      <c r="I131" s="716" t="s">
        <v>992</v>
      </c>
      <c r="J131" s="741">
        <v>21600</v>
      </c>
      <c r="K131" s="716"/>
      <c r="L131" s="716"/>
      <c r="M131" s="721"/>
      <c r="N131" s="715" t="s">
        <v>232</v>
      </c>
      <c r="O131" s="716">
        <v>7.5</v>
      </c>
      <c r="P131" s="716"/>
      <c r="Q131" s="721"/>
      <c r="R131" s="715"/>
      <c r="S131" s="718"/>
      <c r="T131" s="718"/>
      <c r="U131" s="718"/>
      <c r="V131" s="719"/>
      <c r="W131" s="682">
        <v>6</v>
      </c>
      <c r="X131" s="684">
        <v>6</v>
      </c>
      <c r="Y131" s="684">
        <v>3</v>
      </c>
      <c r="Z131" s="715">
        <v>168</v>
      </c>
      <c r="AA131" s="684" t="s">
        <v>2140</v>
      </c>
      <c r="AB131" s="684" t="s">
        <v>2996</v>
      </c>
      <c r="AC131" s="716" t="s">
        <v>541</v>
      </c>
      <c r="AD131" s="684" t="s">
        <v>542</v>
      </c>
      <c r="AE131" s="715"/>
      <c r="AF131" s="716">
        <v>0</v>
      </c>
      <c r="AG131" s="720"/>
      <c r="AH131" s="684"/>
      <c r="AI131" s="716" t="s">
        <v>2004</v>
      </c>
      <c r="AJ131" s="716"/>
      <c r="AK131" s="716"/>
      <c r="AL131" s="715"/>
      <c r="AM131" s="716"/>
      <c r="AN131" s="716"/>
      <c r="AO131" s="716"/>
      <c r="AP131" s="716"/>
      <c r="AQ131" s="721"/>
      <c r="AR131" s="676"/>
      <c r="AS131" s="537" t="b">
        <f t="array" ref="AS131">AND(D131:AQ131=inp_used,A131=inp_used_usersel)</f>
        <v>0</v>
      </c>
      <c r="AT131" s="674" t="b">
        <f t="array" ref="AT131">AND(D131:G131=inp_used_minimal,A131=inp_used_usersel)</f>
        <v>0</v>
      </c>
    </row>
    <row r="132" spans="1:49" s="674" customFormat="1">
      <c r="A132" s="674">
        <v>8</v>
      </c>
      <c r="B132" s="716">
        <v>2</v>
      </c>
      <c r="C132" s="674">
        <v>4</v>
      </c>
      <c r="D132" s="715">
        <v>0.74</v>
      </c>
      <c r="E132" s="716" t="s">
        <v>226</v>
      </c>
      <c r="F132" s="684">
        <v>0.251</v>
      </c>
      <c r="G132" s="716" t="s">
        <v>226</v>
      </c>
      <c r="H132" s="715" t="s">
        <v>3263</v>
      </c>
      <c r="I132" s="716" t="s">
        <v>992</v>
      </c>
      <c r="J132" s="741">
        <v>21600</v>
      </c>
      <c r="K132" s="716"/>
      <c r="L132" s="716"/>
      <c r="M132" s="721"/>
      <c r="N132" s="715" t="s">
        <v>232</v>
      </c>
      <c r="O132" s="716">
        <v>7.5</v>
      </c>
      <c r="P132" s="716"/>
      <c r="Q132" s="721"/>
      <c r="R132" s="715"/>
      <c r="S132" s="718"/>
      <c r="T132" s="718"/>
      <c r="U132" s="718"/>
      <c r="V132" s="719"/>
      <c r="W132" s="682">
        <v>7</v>
      </c>
      <c r="X132" s="684">
        <v>7</v>
      </c>
      <c r="Y132" s="684">
        <v>5.3</v>
      </c>
      <c r="Z132" s="715">
        <v>168</v>
      </c>
      <c r="AA132" s="684" t="s">
        <v>2140</v>
      </c>
      <c r="AB132" s="684" t="s">
        <v>2996</v>
      </c>
      <c r="AC132" s="716" t="s">
        <v>541</v>
      </c>
      <c r="AD132" s="684" t="s">
        <v>542</v>
      </c>
      <c r="AE132" s="715"/>
      <c r="AF132" s="716">
        <v>0</v>
      </c>
      <c r="AG132" s="720"/>
      <c r="AH132" s="684"/>
      <c r="AI132" s="716" t="s">
        <v>2004</v>
      </c>
      <c r="AJ132" s="716"/>
      <c r="AK132" s="716"/>
      <c r="AL132" s="715"/>
      <c r="AM132" s="716"/>
      <c r="AN132" s="716"/>
      <c r="AO132" s="716"/>
      <c r="AP132" s="716"/>
      <c r="AQ132" s="721"/>
      <c r="AR132" s="676"/>
      <c r="AS132" s="537" t="b">
        <f t="array" ref="AS132">AND(D132:AQ132=inp_used,A132=inp_used_usersel)</f>
        <v>0</v>
      </c>
      <c r="AT132" s="674" t="b">
        <f t="array" ref="AT132">AND(D132:G132=inp_used_minimal,A132=inp_used_usersel)</f>
        <v>0</v>
      </c>
    </row>
    <row r="133" spans="1:49" s="674" customFormat="1">
      <c r="A133" s="674">
        <v>8</v>
      </c>
      <c r="B133" s="716">
        <v>2</v>
      </c>
      <c r="C133" s="537">
        <v>5</v>
      </c>
      <c r="D133" s="682">
        <v>2.1520000000000001</v>
      </c>
      <c r="E133" s="716" t="s">
        <v>226</v>
      </c>
      <c r="F133" s="684">
        <v>0.81899999999999995</v>
      </c>
      <c r="G133" s="716" t="s">
        <v>226</v>
      </c>
      <c r="H133" s="715" t="s">
        <v>3263</v>
      </c>
      <c r="I133" s="716" t="s">
        <v>992</v>
      </c>
      <c r="J133" s="741">
        <v>21600</v>
      </c>
      <c r="K133" s="716"/>
      <c r="L133" s="716"/>
      <c r="M133" s="721"/>
      <c r="N133" s="715" t="s">
        <v>232</v>
      </c>
      <c r="O133" s="716">
        <v>7.5</v>
      </c>
      <c r="P133" s="716"/>
      <c r="Q133" s="721"/>
      <c r="R133" s="715"/>
      <c r="S133" s="718"/>
      <c r="T133" s="718"/>
      <c r="U133" s="718"/>
      <c r="V133" s="719"/>
      <c r="W133" s="682">
        <v>8</v>
      </c>
      <c r="X133" s="684">
        <v>8</v>
      </c>
      <c r="Y133" s="684">
        <v>7.9</v>
      </c>
      <c r="Z133" s="715">
        <v>168</v>
      </c>
      <c r="AA133" s="684" t="s">
        <v>2140</v>
      </c>
      <c r="AB133" s="684" t="s">
        <v>2996</v>
      </c>
      <c r="AC133" s="716" t="s">
        <v>541</v>
      </c>
      <c r="AD133" s="684" t="s">
        <v>542</v>
      </c>
      <c r="AE133" s="715"/>
      <c r="AF133" s="716">
        <v>0</v>
      </c>
      <c r="AG133" s="720"/>
      <c r="AH133" s="684"/>
      <c r="AI133" s="716" t="s">
        <v>2004</v>
      </c>
      <c r="AJ133" s="716"/>
      <c r="AK133" s="716"/>
      <c r="AL133" s="715"/>
      <c r="AM133" s="716"/>
      <c r="AN133" s="716"/>
      <c r="AO133" s="716"/>
      <c r="AP133" s="716"/>
      <c r="AQ133" s="721"/>
      <c r="AR133" s="676"/>
      <c r="AS133" s="537" t="b">
        <f t="array" ref="AS133">AND(D133:AQ133=inp_used,A133=inp_used_usersel)</f>
        <v>0</v>
      </c>
      <c r="AT133" s="674" t="b">
        <f t="array" ref="AT133">AND(D133:G133=inp_used_minimal,A133=inp_used_usersel)</f>
        <v>0</v>
      </c>
    </row>
    <row r="134" spans="1:49" s="674" customFormat="1">
      <c r="A134" s="674">
        <v>8</v>
      </c>
      <c r="B134" s="716">
        <v>2</v>
      </c>
      <c r="C134" s="537">
        <v>6</v>
      </c>
      <c r="D134" s="682">
        <v>7.3650000000000002</v>
      </c>
      <c r="E134" s="716" t="s">
        <v>226</v>
      </c>
      <c r="F134" s="684">
        <v>3.2</v>
      </c>
      <c r="G134" s="716" t="s">
        <v>226</v>
      </c>
      <c r="H134" s="715" t="s">
        <v>3263</v>
      </c>
      <c r="I134" s="716" t="s">
        <v>992</v>
      </c>
      <c r="J134" s="741">
        <v>21600</v>
      </c>
      <c r="K134" s="716"/>
      <c r="L134" s="716"/>
      <c r="M134" s="721"/>
      <c r="N134" s="715" t="s">
        <v>232</v>
      </c>
      <c r="O134" s="716">
        <v>7.5</v>
      </c>
      <c r="P134" s="716"/>
      <c r="Q134" s="721"/>
      <c r="R134" s="715"/>
      <c r="S134" s="718"/>
      <c r="T134" s="718"/>
      <c r="U134" s="718"/>
      <c r="V134" s="719"/>
      <c r="W134" s="682">
        <v>11.5</v>
      </c>
      <c r="X134" s="684">
        <v>11.5</v>
      </c>
      <c r="Y134" s="684">
        <v>7.8</v>
      </c>
      <c r="Z134" s="715">
        <v>168</v>
      </c>
      <c r="AA134" s="684" t="s">
        <v>2140</v>
      </c>
      <c r="AB134" s="684" t="s">
        <v>2996</v>
      </c>
      <c r="AC134" s="716" t="s">
        <v>2725</v>
      </c>
      <c r="AD134" s="684" t="s">
        <v>542</v>
      </c>
      <c r="AE134" s="715"/>
      <c r="AF134" s="716">
        <v>0</v>
      </c>
      <c r="AG134" s="720"/>
      <c r="AH134" s="684"/>
      <c r="AI134" s="716" t="s">
        <v>2004</v>
      </c>
      <c r="AJ134" s="716"/>
      <c r="AK134" s="716"/>
      <c r="AL134" s="715"/>
      <c r="AM134" s="716"/>
      <c r="AN134" s="716"/>
      <c r="AO134" s="716"/>
      <c r="AP134" s="716"/>
      <c r="AQ134" s="721"/>
      <c r="AR134" s="676"/>
      <c r="AS134" s="537" t="b">
        <f t="array" ref="AS134">AND(D134:AQ134=inp_used,A134=inp_used_usersel)</f>
        <v>0</v>
      </c>
      <c r="AT134" s="674" t="b">
        <f t="array" ref="AT134">AND(D134:G134=inp_used_minimal,A134=inp_used_usersel)</f>
        <v>0</v>
      </c>
    </row>
    <row r="135" spans="1:49" s="674" customFormat="1">
      <c r="A135" s="674">
        <v>8</v>
      </c>
      <c r="B135" s="716">
        <v>2</v>
      </c>
      <c r="C135" s="537">
        <v>7</v>
      </c>
      <c r="D135" s="682">
        <v>22.614000000000001</v>
      </c>
      <c r="E135" s="716" t="s">
        <v>226</v>
      </c>
      <c r="F135" s="684">
        <v>11.066000000000001</v>
      </c>
      <c r="G135" s="716" t="s">
        <v>226</v>
      </c>
      <c r="H135" s="715" t="s">
        <v>3263</v>
      </c>
      <c r="I135" s="716" t="s">
        <v>992</v>
      </c>
      <c r="J135" s="741">
        <v>21600</v>
      </c>
      <c r="K135" s="716"/>
      <c r="L135" s="716"/>
      <c r="M135" s="721"/>
      <c r="N135" s="715" t="s">
        <v>232</v>
      </c>
      <c r="O135" s="716">
        <v>7.5</v>
      </c>
      <c r="P135" s="716"/>
      <c r="Q135" s="721"/>
      <c r="R135" s="715"/>
      <c r="S135" s="718"/>
      <c r="T135" s="718"/>
      <c r="U135" s="718"/>
      <c r="V135" s="719"/>
      <c r="W135" s="682">
        <v>15</v>
      </c>
      <c r="X135" s="684">
        <v>15</v>
      </c>
      <c r="Y135" s="684">
        <v>7.8</v>
      </c>
      <c r="Z135" s="715">
        <v>168</v>
      </c>
      <c r="AA135" s="684" t="s">
        <v>2140</v>
      </c>
      <c r="AB135" s="684" t="s">
        <v>2996</v>
      </c>
      <c r="AC135" s="716" t="s">
        <v>2725</v>
      </c>
      <c r="AD135" s="684" t="s">
        <v>542</v>
      </c>
      <c r="AE135" s="715"/>
      <c r="AF135" s="716">
        <v>0</v>
      </c>
      <c r="AG135" s="720"/>
      <c r="AH135" s="684"/>
      <c r="AI135" s="716" t="s">
        <v>2004</v>
      </c>
      <c r="AJ135" s="716"/>
      <c r="AK135" s="716"/>
      <c r="AL135" s="715"/>
      <c r="AM135" s="716"/>
      <c r="AN135" s="716"/>
      <c r="AO135" s="716"/>
      <c r="AP135" s="716"/>
      <c r="AQ135" s="721"/>
      <c r="AR135" s="676"/>
      <c r="AS135" s="537" t="b">
        <f t="array" ref="AS135">AND(D135:AQ135=inp_used,A135=inp_used_usersel)</f>
        <v>0</v>
      </c>
      <c r="AT135" s="674" t="b">
        <f t="array" ref="AT135">AND(D135:G135=inp_used_minimal,A135=inp_used_usersel)</f>
        <v>0</v>
      </c>
    </row>
    <row r="136" spans="1:49" s="674" customFormat="1">
      <c r="A136" s="724">
        <v>8</v>
      </c>
      <c r="B136" s="724">
        <v>2</v>
      </c>
      <c r="C136" s="726">
        <v>8</v>
      </c>
      <c r="D136" s="725">
        <v>75.072000000000003</v>
      </c>
      <c r="E136" s="724" t="s">
        <v>226</v>
      </c>
      <c r="F136" s="726">
        <v>37.536000000000001</v>
      </c>
      <c r="G136" s="724" t="s">
        <v>226</v>
      </c>
      <c r="H136" s="727" t="s">
        <v>3263</v>
      </c>
      <c r="I136" s="724" t="s">
        <v>992</v>
      </c>
      <c r="J136" s="742">
        <v>21600</v>
      </c>
      <c r="K136" s="724"/>
      <c r="L136" s="724"/>
      <c r="M136" s="729"/>
      <c r="N136" s="727" t="s">
        <v>232</v>
      </c>
      <c r="O136" s="724">
        <v>7.5</v>
      </c>
      <c r="P136" s="724"/>
      <c r="Q136" s="729"/>
      <c r="R136" s="727"/>
      <c r="S136" s="732"/>
      <c r="T136" s="732"/>
      <c r="U136" s="732"/>
      <c r="V136" s="733"/>
      <c r="W136" s="725">
        <v>30</v>
      </c>
      <c r="X136" s="726">
        <v>30</v>
      </c>
      <c r="Y136" s="712">
        <v>9.6999999999999993</v>
      </c>
      <c r="Z136" s="727">
        <v>168</v>
      </c>
      <c r="AA136" s="726" t="s">
        <v>2140</v>
      </c>
      <c r="AB136" s="726" t="s">
        <v>2996</v>
      </c>
      <c r="AC136" s="724" t="s">
        <v>2725</v>
      </c>
      <c r="AD136" s="726" t="s">
        <v>542</v>
      </c>
      <c r="AE136" s="727"/>
      <c r="AF136" s="724">
        <v>0</v>
      </c>
      <c r="AG136" s="734"/>
      <c r="AH136" s="726"/>
      <c r="AI136" s="724" t="s">
        <v>2004</v>
      </c>
      <c r="AJ136" s="724"/>
      <c r="AK136" s="729"/>
      <c r="AL136" s="727"/>
      <c r="AM136" s="724"/>
      <c r="AN136" s="724"/>
      <c r="AO136" s="724"/>
      <c r="AP136" s="724"/>
      <c r="AQ136" s="729"/>
      <c r="AR136" s="676"/>
      <c r="AS136" s="537" t="b">
        <f t="array" ref="AS136">AND(D136:AQ136=inp_used,A136=inp_used_usersel)</f>
        <v>0</v>
      </c>
      <c r="AT136" s="674" t="b">
        <f t="array" ref="AT136">AND(D136:G136=inp_used_minimal,A136=inp_used_usersel)</f>
        <v>0</v>
      </c>
    </row>
    <row r="137" spans="1:49" s="674" customFormat="1">
      <c r="A137" s="674">
        <v>9</v>
      </c>
      <c r="B137" s="674">
        <v>1</v>
      </c>
      <c r="C137" s="674">
        <v>1</v>
      </c>
      <c r="D137" s="715">
        <v>0.03</v>
      </c>
      <c r="E137" s="716" t="s">
        <v>226</v>
      </c>
      <c r="F137" s="684">
        <v>7.0000000000000001E-3</v>
      </c>
      <c r="G137" s="716" t="s">
        <v>226</v>
      </c>
      <c r="H137" s="715" t="s">
        <v>3263</v>
      </c>
      <c r="I137" s="716" t="s">
        <v>992</v>
      </c>
      <c r="J137" s="741">
        <v>21600</v>
      </c>
      <c r="K137" s="716"/>
      <c r="L137" s="716"/>
      <c r="M137" s="721"/>
      <c r="N137" s="715" t="s">
        <v>232</v>
      </c>
      <c r="O137" s="716">
        <v>7.5</v>
      </c>
      <c r="P137" s="716"/>
      <c r="Q137" s="721"/>
      <c r="R137" s="715">
        <v>1</v>
      </c>
      <c r="S137" s="718">
        <v>3.4</v>
      </c>
      <c r="T137" s="716" t="s">
        <v>2139</v>
      </c>
      <c r="U137" s="718">
        <v>6</v>
      </c>
      <c r="V137" s="719">
        <v>2</v>
      </c>
      <c r="W137" s="718"/>
      <c r="X137" s="718"/>
      <c r="Y137" s="718"/>
      <c r="Z137" s="715">
        <v>168</v>
      </c>
      <c r="AA137" s="684" t="s">
        <v>2140</v>
      </c>
      <c r="AB137" s="720" t="s">
        <v>539</v>
      </c>
      <c r="AC137" s="716" t="s">
        <v>541</v>
      </c>
      <c r="AD137" s="721"/>
      <c r="AE137" s="737"/>
      <c r="AF137" s="1043">
        <v>0</v>
      </c>
      <c r="AG137" s="743"/>
      <c r="AH137" s="744"/>
      <c r="AI137" s="716" t="s">
        <v>2004</v>
      </c>
      <c r="AJ137" s="716"/>
      <c r="AK137" s="716"/>
      <c r="AL137" s="715"/>
      <c r="AM137" s="716"/>
      <c r="AN137" s="716"/>
      <c r="AO137" s="716"/>
      <c r="AP137" s="716"/>
      <c r="AQ137" s="721"/>
      <c r="AR137" s="676" t="s">
        <v>191</v>
      </c>
      <c r="AS137" s="537" t="b">
        <f t="array" ref="AS137">AND(D137:AQ137=inp_used,A137=inp_used_usersel)</f>
        <v>0</v>
      </c>
      <c r="AT137" s="674" t="b">
        <f t="array" ref="AT137">AND(D137:G137=inp_used_minimal,A137=inp_used_usersel)</f>
        <v>0</v>
      </c>
      <c r="AV137" s="674" t="b">
        <f t="shared" ref="AV137:AW144" si="8">CHOOSE(design_type,AS137,AS145)</f>
        <v>0</v>
      </c>
      <c r="AW137" s="674" t="b">
        <f t="shared" si="8"/>
        <v>0</v>
      </c>
    </row>
    <row r="138" spans="1:49" s="674" customFormat="1">
      <c r="A138" s="674">
        <v>9</v>
      </c>
      <c r="B138" s="674">
        <v>1</v>
      </c>
      <c r="C138" s="674">
        <v>2</v>
      </c>
      <c r="D138" s="715">
        <v>0.124</v>
      </c>
      <c r="E138" s="716" t="s">
        <v>226</v>
      </c>
      <c r="F138" s="684">
        <v>3.5000000000000003E-2</v>
      </c>
      <c r="G138" s="716" t="s">
        <v>226</v>
      </c>
      <c r="H138" s="715" t="s">
        <v>3263</v>
      </c>
      <c r="I138" s="716" t="s">
        <v>992</v>
      </c>
      <c r="J138" s="741">
        <v>21600</v>
      </c>
      <c r="K138" s="716"/>
      <c r="L138" s="716"/>
      <c r="M138" s="721"/>
      <c r="N138" s="715" t="s">
        <v>232</v>
      </c>
      <c r="O138" s="716">
        <v>7.5</v>
      </c>
      <c r="P138" s="716"/>
      <c r="Q138" s="721"/>
      <c r="R138" s="715">
        <v>1</v>
      </c>
      <c r="S138" s="718">
        <v>6.9</v>
      </c>
      <c r="T138" s="716" t="s">
        <v>2139</v>
      </c>
      <c r="U138" s="718">
        <v>11</v>
      </c>
      <c r="V138" s="719">
        <v>4</v>
      </c>
      <c r="W138" s="718"/>
      <c r="X138" s="718"/>
      <c r="Y138" s="718"/>
      <c r="Z138" s="715">
        <v>168</v>
      </c>
      <c r="AA138" s="684" t="s">
        <v>2140</v>
      </c>
      <c r="AB138" s="720" t="s">
        <v>540</v>
      </c>
      <c r="AC138" s="716" t="s">
        <v>541</v>
      </c>
      <c r="AD138" s="723" t="s">
        <v>542</v>
      </c>
      <c r="AE138" s="715"/>
      <c r="AF138" s="716">
        <v>0</v>
      </c>
      <c r="AG138" s="720"/>
      <c r="AH138" s="684"/>
      <c r="AI138" s="716" t="s">
        <v>2004</v>
      </c>
      <c r="AJ138" s="716"/>
      <c r="AK138" s="716"/>
      <c r="AL138" s="715"/>
      <c r="AM138" s="716"/>
      <c r="AN138" s="716"/>
      <c r="AO138" s="716"/>
      <c r="AP138" s="716"/>
      <c r="AQ138" s="721"/>
      <c r="AR138" s="676"/>
      <c r="AS138" s="537" t="b">
        <f t="array" ref="AS138">AND(D138:AQ138=inp_used,A138=inp_used_usersel)</f>
        <v>0</v>
      </c>
      <c r="AT138" s="674" t="b">
        <f t="array" ref="AT138">AND(D138:G138=inp_used_minimal,A138=inp_used_usersel)</f>
        <v>0</v>
      </c>
      <c r="AV138" s="674" t="b">
        <f t="shared" si="8"/>
        <v>0</v>
      </c>
      <c r="AW138" s="674" t="b">
        <f t="shared" si="8"/>
        <v>0</v>
      </c>
    </row>
    <row r="139" spans="1:49" s="674" customFormat="1">
      <c r="A139" s="674">
        <v>9</v>
      </c>
      <c r="B139" s="674">
        <v>1</v>
      </c>
      <c r="C139" s="674">
        <v>3</v>
      </c>
      <c r="D139" s="715">
        <v>0.30499999999999999</v>
      </c>
      <c r="E139" s="716" t="s">
        <v>226</v>
      </c>
      <c r="F139" s="684">
        <v>9.4E-2</v>
      </c>
      <c r="G139" s="716" t="s">
        <v>226</v>
      </c>
      <c r="H139" s="715" t="s">
        <v>3263</v>
      </c>
      <c r="I139" s="716" t="s">
        <v>992</v>
      </c>
      <c r="J139" s="741">
        <v>21600</v>
      </c>
      <c r="K139" s="716"/>
      <c r="L139" s="716"/>
      <c r="M139" s="721"/>
      <c r="N139" s="715" t="s">
        <v>232</v>
      </c>
      <c r="O139" s="716">
        <v>7.5</v>
      </c>
      <c r="P139" s="716"/>
      <c r="Q139" s="721"/>
      <c r="R139" s="715">
        <v>1</v>
      </c>
      <c r="S139" s="718">
        <v>6.7</v>
      </c>
      <c r="T139" s="716" t="s">
        <v>2139</v>
      </c>
      <c r="U139" s="718">
        <v>11</v>
      </c>
      <c r="V139" s="719">
        <v>4.5</v>
      </c>
      <c r="W139" s="718"/>
      <c r="X139" s="718"/>
      <c r="Y139" s="718"/>
      <c r="Z139" s="715">
        <v>168</v>
      </c>
      <c r="AA139" s="684" t="s">
        <v>2140</v>
      </c>
      <c r="AB139" s="720" t="s">
        <v>540</v>
      </c>
      <c r="AC139" s="716" t="s">
        <v>541</v>
      </c>
      <c r="AD139" s="723" t="s">
        <v>542</v>
      </c>
      <c r="AE139" s="715"/>
      <c r="AF139" s="716">
        <v>0</v>
      </c>
      <c r="AG139" s="720"/>
      <c r="AH139" s="684"/>
      <c r="AI139" s="716" t="s">
        <v>2004</v>
      </c>
      <c r="AJ139" s="716"/>
      <c r="AK139" s="716"/>
      <c r="AL139" s="715"/>
      <c r="AM139" s="716"/>
      <c r="AN139" s="716"/>
      <c r="AO139" s="716"/>
      <c r="AP139" s="716"/>
      <c r="AQ139" s="721"/>
      <c r="AR139" s="676"/>
      <c r="AS139" s="537" t="b">
        <f t="array" ref="AS139">AND(D139:AQ139=inp_used,A139=inp_used_usersel)</f>
        <v>0</v>
      </c>
      <c r="AT139" s="674" t="b">
        <f t="array" ref="AT139">AND(D139:G139=inp_used_minimal,A139=inp_used_usersel)</f>
        <v>0</v>
      </c>
      <c r="AV139" s="674" t="b">
        <f t="shared" si="8"/>
        <v>0</v>
      </c>
      <c r="AW139" s="674" t="b">
        <f t="shared" si="8"/>
        <v>0</v>
      </c>
    </row>
    <row r="140" spans="1:49" s="674" customFormat="1">
      <c r="A140" s="674">
        <v>9</v>
      </c>
      <c r="B140" s="674">
        <v>1</v>
      </c>
      <c r="C140" s="674">
        <v>4</v>
      </c>
      <c r="D140" s="715">
        <v>0.74</v>
      </c>
      <c r="E140" s="716" t="s">
        <v>226</v>
      </c>
      <c r="F140" s="684">
        <v>0.251</v>
      </c>
      <c r="G140" s="716" t="s">
        <v>226</v>
      </c>
      <c r="H140" s="715" t="s">
        <v>3263</v>
      </c>
      <c r="I140" s="716" t="s">
        <v>992</v>
      </c>
      <c r="J140" s="741">
        <v>21600</v>
      </c>
      <c r="K140" s="716"/>
      <c r="L140" s="716"/>
      <c r="M140" s="721"/>
      <c r="N140" s="715" t="s">
        <v>232</v>
      </c>
      <c r="O140" s="716">
        <v>7.5</v>
      </c>
      <c r="P140" s="716"/>
      <c r="Q140" s="721"/>
      <c r="R140" s="715">
        <v>1</v>
      </c>
      <c r="S140" s="718">
        <v>6.7</v>
      </c>
      <c r="T140" s="716" t="s">
        <v>2139</v>
      </c>
      <c r="U140" s="718">
        <v>11</v>
      </c>
      <c r="V140" s="719">
        <v>7</v>
      </c>
      <c r="W140" s="718"/>
      <c r="X140" s="718"/>
      <c r="Y140" s="718"/>
      <c r="Z140" s="715">
        <v>168</v>
      </c>
      <c r="AA140" s="684" t="s">
        <v>2140</v>
      </c>
      <c r="AB140" s="720" t="s">
        <v>540</v>
      </c>
      <c r="AC140" s="716" t="s">
        <v>541</v>
      </c>
      <c r="AD140" s="723" t="s">
        <v>542</v>
      </c>
      <c r="AE140" s="715"/>
      <c r="AF140" s="716">
        <v>0</v>
      </c>
      <c r="AG140" s="720"/>
      <c r="AH140" s="684"/>
      <c r="AI140" s="716" t="s">
        <v>2004</v>
      </c>
      <c r="AJ140" s="716"/>
      <c r="AK140" s="716"/>
      <c r="AL140" s="715"/>
      <c r="AM140" s="716"/>
      <c r="AN140" s="716"/>
      <c r="AO140" s="716"/>
      <c r="AP140" s="716"/>
      <c r="AQ140" s="721"/>
      <c r="AR140" s="676"/>
      <c r="AS140" s="537" t="b">
        <f t="array" ref="AS140">AND(D140:AQ140=inp_used,A140=inp_used_usersel)</f>
        <v>0</v>
      </c>
      <c r="AT140" s="674" t="b">
        <f t="array" ref="AT140">AND(D140:G140=inp_used_minimal,A140=inp_used_usersel)</f>
        <v>0</v>
      </c>
      <c r="AV140" s="674" t="b">
        <f t="shared" si="8"/>
        <v>0</v>
      </c>
      <c r="AW140" s="674" t="b">
        <f t="shared" si="8"/>
        <v>0</v>
      </c>
    </row>
    <row r="141" spans="1:49" s="674" customFormat="1">
      <c r="A141" s="674">
        <v>9</v>
      </c>
      <c r="B141" s="674">
        <v>1</v>
      </c>
      <c r="C141" s="537">
        <v>5</v>
      </c>
      <c r="D141" s="682">
        <v>2.1520000000000001</v>
      </c>
      <c r="E141" s="716" t="s">
        <v>226</v>
      </c>
      <c r="F141" s="684">
        <v>0.81899999999999995</v>
      </c>
      <c r="G141" s="716" t="s">
        <v>226</v>
      </c>
      <c r="H141" s="715" t="s">
        <v>3263</v>
      </c>
      <c r="I141" s="716" t="s">
        <v>992</v>
      </c>
      <c r="J141" s="741">
        <v>21600</v>
      </c>
      <c r="K141" s="716"/>
      <c r="L141" s="716"/>
      <c r="M141" s="721"/>
      <c r="N141" s="715" t="s">
        <v>232</v>
      </c>
      <c r="O141" s="716">
        <v>7.5</v>
      </c>
      <c r="P141" s="716"/>
      <c r="Q141" s="721"/>
      <c r="R141" s="715">
        <v>1</v>
      </c>
      <c r="S141" s="718">
        <v>6.7</v>
      </c>
      <c r="T141" s="716" t="s">
        <v>2139</v>
      </c>
      <c r="U141" s="718">
        <v>11</v>
      </c>
      <c r="V141" s="719">
        <v>8.5</v>
      </c>
      <c r="W141" s="718"/>
      <c r="X141" s="718"/>
      <c r="Y141" s="718"/>
      <c r="Z141" s="715">
        <v>168</v>
      </c>
      <c r="AA141" s="684" t="s">
        <v>2140</v>
      </c>
      <c r="AB141" s="720" t="s">
        <v>540</v>
      </c>
      <c r="AC141" s="716" t="s">
        <v>541</v>
      </c>
      <c r="AD141" s="723" t="s">
        <v>542</v>
      </c>
      <c r="AE141" s="715"/>
      <c r="AF141" s="716">
        <v>0</v>
      </c>
      <c r="AG141" s="720"/>
      <c r="AH141" s="684"/>
      <c r="AI141" s="716" t="s">
        <v>2004</v>
      </c>
      <c r="AJ141" s="716"/>
      <c r="AK141" s="716"/>
      <c r="AL141" s="715"/>
      <c r="AM141" s="716"/>
      <c r="AN141" s="716"/>
      <c r="AO141" s="716"/>
      <c r="AP141" s="716"/>
      <c r="AQ141" s="721"/>
      <c r="AR141" s="676"/>
      <c r="AS141" s="537" t="b">
        <f t="array" ref="AS141">AND(D141:AQ141=inp_used,A141=inp_used_usersel)</f>
        <v>0</v>
      </c>
      <c r="AT141" s="674" t="b">
        <f t="array" ref="AT141">AND(D141:G141=inp_used_minimal,A141=inp_used_usersel)</f>
        <v>0</v>
      </c>
      <c r="AV141" s="674" t="b">
        <f t="shared" si="8"/>
        <v>0</v>
      </c>
      <c r="AW141" s="674" t="b">
        <f t="shared" si="8"/>
        <v>0</v>
      </c>
    </row>
    <row r="142" spans="1:49" s="674" customFormat="1">
      <c r="A142" s="674">
        <v>9</v>
      </c>
      <c r="B142" s="674">
        <v>1</v>
      </c>
      <c r="C142" s="537">
        <v>6</v>
      </c>
      <c r="D142" s="682">
        <v>7.3650000000000002</v>
      </c>
      <c r="E142" s="716" t="s">
        <v>226</v>
      </c>
      <c r="F142" s="684">
        <v>3.2</v>
      </c>
      <c r="G142" s="716" t="s">
        <v>226</v>
      </c>
      <c r="H142" s="715" t="s">
        <v>3263</v>
      </c>
      <c r="I142" s="716" t="s">
        <v>992</v>
      </c>
      <c r="J142" s="741">
        <v>21600</v>
      </c>
      <c r="K142" s="716"/>
      <c r="L142" s="716"/>
      <c r="M142" s="721"/>
      <c r="N142" s="715" t="s">
        <v>232</v>
      </c>
      <c r="O142" s="716">
        <v>7.5</v>
      </c>
      <c r="P142" s="716"/>
      <c r="Q142" s="721"/>
      <c r="R142" s="715">
        <v>1</v>
      </c>
      <c r="S142" s="718">
        <v>6.2</v>
      </c>
      <c r="T142" s="716" t="s">
        <v>3284</v>
      </c>
      <c r="U142" s="718">
        <v>20</v>
      </c>
      <c r="V142" s="719">
        <v>14</v>
      </c>
      <c r="W142" s="718"/>
      <c r="X142" s="718"/>
      <c r="Y142" s="718"/>
      <c r="Z142" s="715">
        <v>168</v>
      </c>
      <c r="AA142" s="684" t="s">
        <v>2140</v>
      </c>
      <c r="AB142" s="720" t="s">
        <v>540</v>
      </c>
      <c r="AC142" s="716" t="s">
        <v>2725</v>
      </c>
      <c r="AD142" s="723" t="s">
        <v>542</v>
      </c>
      <c r="AE142" s="715"/>
      <c r="AF142" s="716">
        <v>0</v>
      </c>
      <c r="AG142" s="720"/>
      <c r="AH142" s="684"/>
      <c r="AI142" s="716" t="s">
        <v>2004</v>
      </c>
      <c r="AJ142" s="716"/>
      <c r="AK142" s="716"/>
      <c r="AL142" s="715"/>
      <c r="AM142" s="716"/>
      <c r="AN142" s="716"/>
      <c r="AO142" s="716"/>
      <c r="AP142" s="716"/>
      <c r="AQ142" s="721"/>
      <c r="AR142" s="676"/>
      <c r="AS142" s="537" t="b">
        <f t="array" ref="AS142">AND(D142:AQ142=inp_used,A142=inp_used_usersel)</f>
        <v>0</v>
      </c>
      <c r="AT142" s="674" t="b">
        <f t="array" ref="AT142">AND(D142:G142=inp_used_minimal,A142=inp_used_usersel)</f>
        <v>0</v>
      </c>
      <c r="AV142" s="674" t="b">
        <f t="shared" si="8"/>
        <v>0</v>
      </c>
      <c r="AW142" s="674" t="b">
        <f t="shared" si="8"/>
        <v>0</v>
      </c>
    </row>
    <row r="143" spans="1:49" s="674" customFormat="1">
      <c r="A143" s="674">
        <v>9</v>
      </c>
      <c r="B143" s="674">
        <v>1</v>
      </c>
      <c r="C143" s="537">
        <v>7</v>
      </c>
      <c r="D143" s="682">
        <v>22.614000000000001</v>
      </c>
      <c r="E143" s="716" t="s">
        <v>226</v>
      </c>
      <c r="F143" s="684">
        <v>11.066000000000001</v>
      </c>
      <c r="G143" s="716" t="s">
        <v>226</v>
      </c>
      <c r="H143" s="715" t="s">
        <v>3263</v>
      </c>
      <c r="I143" s="716" t="s">
        <v>992</v>
      </c>
      <c r="J143" s="741">
        <v>21600</v>
      </c>
      <c r="K143" s="716"/>
      <c r="L143" s="716"/>
      <c r="M143" s="721"/>
      <c r="N143" s="715" t="s">
        <v>232</v>
      </c>
      <c r="O143" s="716">
        <v>7.5</v>
      </c>
      <c r="P143" s="716"/>
      <c r="Q143" s="721"/>
      <c r="R143" s="715">
        <v>1</v>
      </c>
      <c r="S143" s="718">
        <v>7.1</v>
      </c>
      <c r="T143" s="716" t="s">
        <v>3284</v>
      </c>
      <c r="U143" s="718">
        <v>20</v>
      </c>
      <c r="V143" s="719">
        <v>14</v>
      </c>
      <c r="W143" s="718"/>
      <c r="X143" s="718"/>
      <c r="Y143" s="718"/>
      <c r="Z143" s="715">
        <v>168</v>
      </c>
      <c r="AA143" s="684" t="s">
        <v>2140</v>
      </c>
      <c r="AB143" s="720" t="s">
        <v>540</v>
      </c>
      <c r="AC143" s="716" t="s">
        <v>2725</v>
      </c>
      <c r="AD143" s="723" t="s">
        <v>542</v>
      </c>
      <c r="AE143" s="715"/>
      <c r="AF143" s="716">
        <v>0</v>
      </c>
      <c r="AG143" s="720"/>
      <c r="AH143" s="684"/>
      <c r="AI143" s="716" t="s">
        <v>2004</v>
      </c>
      <c r="AJ143" s="716"/>
      <c r="AK143" s="716"/>
      <c r="AL143" s="715"/>
      <c r="AM143" s="716"/>
      <c r="AN143" s="716"/>
      <c r="AO143" s="716"/>
      <c r="AP143" s="716"/>
      <c r="AQ143" s="721"/>
      <c r="AR143" s="676"/>
      <c r="AS143" s="537" t="b">
        <f t="array" ref="AS143">AND(D143:AQ143=inp_used,A143=inp_used_usersel)</f>
        <v>0</v>
      </c>
      <c r="AT143" s="674" t="b">
        <f t="array" ref="AT143">AND(D143:G143=inp_used_minimal,A143=inp_used_usersel)</f>
        <v>0</v>
      </c>
      <c r="AV143" s="674" t="b">
        <f t="shared" si="8"/>
        <v>0</v>
      </c>
      <c r="AW143" s="674" t="b">
        <f t="shared" si="8"/>
        <v>0</v>
      </c>
    </row>
    <row r="144" spans="1:49" s="674" customFormat="1">
      <c r="A144" s="724">
        <v>9</v>
      </c>
      <c r="B144" s="724">
        <v>1</v>
      </c>
      <c r="C144" s="726">
        <v>8</v>
      </c>
      <c r="D144" s="725">
        <v>75.072000000000003</v>
      </c>
      <c r="E144" s="724" t="s">
        <v>226</v>
      </c>
      <c r="F144" s="726">
        <v>37.536000000000001</v>
      </c>
      <c r="G144" s="724" t="s">
        <v>226</v>
      </c>
      <c r="H144" s="727" t="s">
        <v>3263</v>
      </c>
      <c r="I144" s="724" t="s">
        <v>992</v>
      </c>
      <c r="J144" s="742">
        <v>21600</v>
      </c>
      <c r="K144" s="724"/>
      <c r="L144" s="724"/>
      <c r="M144" s="729"/>
      <c r="N144" s="727" t="s">
        <v>232</v>
      </c>
      <c r="O144" s="724">
        <v>7.5</v>
      </c>
      <c r="P144" s="724"/>
      <c r="Q144" s="729"/>
      <c r="R144" s="715">
        <v>1</v>
      </c>
      <c r="S144" s="732">
        <v>7.2</v>
      </c>
      <c r="T144" s="724" t="s">
        <v>3284</v>
      </c>
      <c r="U144" s="732">
        <v>20</v>
      </c>
      <c r="V144" s="733">
        <v>14</v>
      </c>
      <c r="W144" s="731"/>
      <c r="X144" s="732"/>
      <c r="Y144" s="733"/>
      <c r="Z144" s="727">
        <v>168</v>
      </c>
      <c r="AA144" s="726" t="s">
        <v>2140</v>
      </c>
      <c r="AB144" s="734" t="s">
        <v>540</v>
      </c>
      <c r="AC144" s="724" t="s">
        <v>2725</v>
      </c>
      <c r="AD144" s="712" t="s">
        <v>542</v>
      </c>
      <c r="AE144" s="727"/>
      <c r="AF144" s="724">
        <v>0</v>
      </c>
      <c r="AG144" s="734"/>
      <c r="AH144" s="726"/>
      <c r="AI144" s="724" t="s">
        <v>2004</v>
      </c>
      <c r="AJ144" s="724"/>
      <c r="AK144" s="729"/>
      <c r="AL144" s="727"/>
      <c r="AM144" s="724"/>
      <c r="AN144" s="724"/>
      <c r="AO144" s="724"/>
      <c r="AP144" s="724"/>
      <c r="AQ144" s="729"/>
      <c r="AR144" s="676"/>
      <c r="AS144" s="537" t="b">
        <f t="array" ref="AS144">AND(D144:AQ144=inp_used,A144=inp_used_usersel)</f>
        <v>0</v>
      </c>
      <c r="AT144" s="674" t="b">
        <f t="array" ref="AT144">AND(D144:G144=inp_used_minimal,A144=inp_used_usersel)</f>
        <v>0</v>
      </c>
      <c r="AV144" s="674" t="b">
        <f t="shared" si="8"/>
        <v>0</v>
      </c>
      <c r="AW144" s="674" t="b">
        <f t="shared" si="8"/>
        <v>0</v>
      </c>
    </row>
    <row r="145" spans="1:49" s="674" customFormat="1">
      <c r="A145" s="674">
        <v>9</v>
      </c>
      <c r="B145" s="735">
        <v>2</v>
      </c>
      <c r="C145" s="674">
        <v>1</v>
      </c>
      <c r="D145" s="715">
        <v>0.03</v>
      </c>
      <c r="E145" s="716" t="s">
        <v>226</v>
      </c>
      <c r="F145" s="684">
        <v>7.0000000000000001E-3</v>
      </c>
      <c r="G145" s="716" t="s">
        <v>226</v>
      </c>
      <c r="H145" s="715" t="s">
        <v>3263</v>
      </c>
      <c r="I145" s="716" t="s">
        <v>992</v>
      </c>
      <c r="J145" s="741">
        <v>21600</v>
      </c>
      <c r="K145" s="716"/>
      <c r="L145" s="716"/>
      <c r="M145" s="721"/>
      <c r="N145" s="715" t="s">
        <v>232</v>
      </c>
      <c r="O145" s="716">
        <v>7.5</v>
      </c>
      <c r="P145" s="716"/>
      <c r="Q145" s="721"/>
      <c r="R145" s="737"/>
      <c r="S145" s="718"/>
      <c r="T145" s="718"/>
      <c r="U145" s="718"/>
      <c r="V145" s="719"/>
      <c r="W145" s="682">
        <v>6</v>
      </c>
      <c r="X145" s="684">
        <v>6</v>
      </c>
      <c r="Y145" s="684">
        <v>3</v>
      </c>
      <c r="Z145" s="715">
        <v>168</v>
      </c>
      <c r="AA145" s="684" t="s">
        <v>2140</v>
      </c>
      <c r="AB145" s="684" t="s">
        <v>2996</v>
      </c>
      <c r="AC145" s="716" t="s">
        <v>541</v>
      </c>
      <c r="AD145" s="684" t="s">
        <v>542</v>
      </c>
      <c r="AE145" s="715"/>
      <c r="AF145" s="1043">
        <v>0</v>
      </c>
      <c r="AG145" s="720"/>
      <c r="AH145" s="684"/>
      <c r="AI145" s="716" t="s">
        <v>2004</v>
      </c>
      <c r="AJ145" s="716"/>
      <c r="AK145" s="716"/>
      <c r="AL145" s="715"/>
      <c r="AM145" s="716"/>
      <c r="AN145" s="716"/>
      <c r="AO145" s="716"/>
      <c r="AP145" s="716"/>
      <c r="AQ145" s="721"/>
      <c r="AR145" s="676" t="s">
        <v>192</v>
      </c>
      <c r="AS145" s="537" t="b">
        <f t="array" ref="AS145">AND(D145:AQ145=inp_used,A145=inp_used_usersel)</f>
        <v>0</v>
      </c>
      <c r="AT145" s="674" t="b">
        <f t="array" ref="AT145">AND(D145:G145=inp_used_minimal,A145=inp_used_usersel)</f>
        <v>0</v>
      </c>
    </row>
    <row r="146" spans="1:49" s="674" customFormat="1">
      <c r="A146" s="674">
        <v>9</v>
      </c>
      <c r="B146" s="716">
        <v>2</v>
      </c>
      <c r="C146" s="674">
        <v>2</v>
      </c>
      <c r="D146" s="715">
        <v>0.124</v>
      </c>
      <c r="E146" s="716" t="s">
        <v>226</v>
      </c>
      <c r="F146" s="684">
        <v>3.5000000000000003E-2</v>
      </c>
      <c r="G146" s="716" t="s">
        <v>226</v>
      </c>
      <c r="H146" s="715" t="s">
        <v>3263</v>
      </c>
      <c r="I146" s="716" t="s">
        <v>992</v>
      </c>
      <c r="J146" s="741">
        <v>21600</v>
      </c>
      <c r="K146" s="716"/>
      <c r="L146" s="716"/>
      <c r="M146" s="721"/>
      <c r="N146" s="715" t="s">
        <v>232</v>
      </c>
      <c r="O146" s="716">
        <v>7.5</v>
      </c>
      <c r="P146" s="716"/>
      <c r="Q146" s="721"/>
      <c r="R146" s="715"/>
      <c r="S146" s="718"/>
      <c r="T146" s="718"/>
      <c r="U146" s="718"/>
      <c r="V146" s="719"/>
      <c r="W146" s="682">
        <v>6</v>
      </c>
      <c r="X146" s="684">
        <v>6</v>
      </c>
      <c r="Y146" s="684">
        <v>3</v>
      </c>
      <c r="Z146" s="715">
        <v>168</v>
      </c>
      <c r="AA146" s="684" t="s">
        <v>2140</v>
      </c>
      <c r="AB146" s="684" t="s">
        <v>2996</v>
      </c>
      <c r="AC146" s="716" t="s">
        <v>541</v>
      </c>
      <c r="AD146" s="684" t="s">
        <v>542</v>
      </c>
      <c r="AE146" s="715"/>
      <c r="AF146" s="716">
        <v>0</v>
      </c>
      <c r="AG146" s="720"/>
      <c r="AH146" s="684"/>
      <c r="AI146" s="716" t="s">
        <v>2004</v>
      </c>
      <c r="AJ146" s="716"/>
      <c r="AK146" s="716"/>
      <c r="AL146" s="715"/>
      <c r="AM146" s="716"/>
      <c r="AN146" s="716"/>
      <c r="AO146" s="716"/>
      <c r="AP146" s="716"/>
      <c r="AQ146" s="721"/>
      <c r="AR146" s="676"/>
      <c r="AS146" s="537" t="b">
        <f t="array" ref="AS146">AND(D146:AQ146=inp_used,A146=inp_used_usersel)</f>
        <v>0</v>
      </c>
      <c r="AT146" s="674" t="b">
        <f t="array" ref="AT146">AND(D146:G146=inp_used_minimal,A146=inp_used_usersel)</f>
        <v>0</v>
      </c>
    </row>
    <row r="147" spans="1:49" s="674" customFormat="1">
      <c r="A147" s="674">
        <v>9</v>
      </c>
      <c r="B147" s="716">
        <v>2</v>
      </c>
      <c r="C147" s="674">
        <v>3</v>
      </c>
      <c r="D147" s="715">
        <v>0.30499999999999999</v>
      </c>
      <c r="E147" s="716" t="s">
        <v>226</v>
      </c>
      <c r="F147" s="684">
        <v>9.4E-2</v>
      </c>
      <c r="G147" s="716" t="s">
        <v>226</v>
      </c>
      <c r="H147" s="715" t="s">
        <v>3263</v>
      </c>
      <c r="I147" s="716" t="s">
        <v>992</v>
      </c>
      <c r="J147" s="741">
        <v>21600</v>
      </c>
      <c r="K147" s="716"/>
      <c r="L147" s="716"/>
      <c r="M147" s="721"/>
      <c r="N147" s="715" t="s">
        <v>232</v>
      </c>
      <c r="O147" s="716">
        <v>7.5</v>
      </c>
      <c r="P147" s="716"/>
      <c r="Q147" s="721"/>
      <c r="R147" s="715"/>
      <c r="S147" s="718"/>
      <c r="T147" s="718"/>
      <c r="U147" s="718"/>
      <c r="V147" s="719"/>
      <c r="W147" s="682">
        <v>6</v>
      </c>
      <c r="X147" s="684">
        <v>6</v>
      </c>
      <c r="Y147" s="684">
        <v>3</v>
      </c>
      <c r="Z147" s="715">
        <v>168</v>
      </c>
      <c r="AA147" s="684" t="s">
        <v>2140</v>
      </c>
      <c r="AB147" s="684" t="s">
        <v>2996</v>
      </c>
      <c r="AC147" s="716" t="s">
        <v>541</v>
      </c>
      <c r="AD147" s="684" t="s">
        <v>542</v>
      </c>
      <c r="AE147" s="715"/>
      <c r="AF147" s="716">
        <v>0</v>
      </c>
      <c r="AG147" s="720"/>
      <c r="AH147" s="684"/>
      <c r="AI147" s="716" t="s">
        <v>2004</v>
      </c>
      <c r="AJ147" s="716"/>
      <c r="AK147" s="716"/>
      <c r="AL147" s="715"/>
      <c r="AM147" s="716"/>
      <c r="AN147" s="716"/>
      <c r="AO147" s="716"/>
      <c r="AP147" s="716"/>
      <c r="AQ147" s="721"/>
      <c r="AR147" s="676"/>
      <c r="AS147" s="537" t="b">
        <f t="array" ref="AS147">AND(D147:AQ147=inp_used,A147=inp_used_usersel)</f>
        <v>0</v>
      </c>
      <c r="AT147" s="674" t="b">
        <f t="array" ref="AT147">AND(D147:G147=inp_used_minimal,A147=inp_used_usersel)</f>
        <v>0</v>
      </c>
    </row>
    <row r="148" spans="1:49" s="674" customFormat="1">
      <c r="A148" s="674">
        <v>9</v>
      </c>
      <c r="B148" s="716">
        <v>2</v>
      </c>
      <c r="C148" s="674">
        <v>4</v>
      </c>
      <c r="D148" s="715">
        <v>0.74</v>
      </c>
      <c r="E148" s="716" t="s">
        <v>226</v>
      </c>
      <c r="F148" s="684">
        <v>0.251</v>
      </c>
      <c r="G148" s="716" t="s">
        <v>226</v>
      </c>
      <c r="H148" s="715" t="s">
        <v>3263</v>
      </c>
      <c r="I148" s="716" t="s">
        <v>992</v>
      </c>
      <c r="J148" s="741">
        <v>21600</v>
      </c>
      <c r="K148" s="716"/>
      <c r="L148" s="716"/>
      <c r="M148" s="721"/>
      <c r="N148" s="715" t="s">
        <v>232</v>
      </c>
      <c r="O148" s="716">
        <v>7.5</v>
      </c>
      <c r="P148" s="716"/>
      <c r="Q148" s="721"/>
      <c r="R148" s="715"/>
      <c r="S148" s="718"/>
      <c r="T148" s="718"/>
      <c r="U148" s="718"/>
      <c r="V148" s="719"/>
      <c r="W148" s="682">
        <v>7</v>
      </c>
      <c r="X148" s="684">
        <v>7</v>
      </c>
      <c r="Y148" s="684">
        <v>5.3</v>
      </c>
      <c r="Z148" s="715">
        <v>168</v>
      </c>
      <c r="AA148" s="684" t="s">
        <v>2140</v>
      </c>
      <c r="AB148" s="684" t="s">
        <v>2996</v>
      </c>
      <c r="AC148" s="716" t="s">
        <v>541</v>
      </c>
      <c r="AD148" s="684" t="s">
        <v>542</v>
      </c>
      <c r="AE148" s="715"/>
      <c r="AF148" s="716">
        <v>0</v>
      </c>
      <c r="AG148" s="720"/>
      <c r="AH148" s="684"/>
      <c r="AI148" s="716" t="s">
        <v>2004</v>
      </c>
      <c r="AJ148" s="716"/>
      <c r="AK148" s="716"/>
      <c r="AL148" s="715"/>
      <c r="AM148" s="716"/>
      <c r="AN148" s="716"/>
      <c r="AO148" s="716"/>
      <c r="AP148" s="716"/>
      <c r="AQ148" s="721"/>
      <c r="AR148" s="676"/>
      <c r="AS148" s="537" t="b">
        <f t="array" ref="AS148">AND(D148:AQ148=inp_used,A148=inp_used_usersel)</f>
        <v>0</v>
      </c>
      <c r="AT148" s="674" t="b">
        <f t="array" ref="AT148">AND(D148:G148=inp_used_minimal,A148=inp_used_usersel)</f>
        <v>0</v>
      </c>
    </row>
    <row r="149" spans="1:49" s="674" customFormat="1">
      <c r="A149" s="674">
        <v>9</v>
      </c>
      <c r="B149" s="716">
        <v>2</v>
      </c>
      <c r="C149" s="537">
        <v>5</v>
      </c>
      <c r="D149" s="682">
        <v>2.1520000000000001</v>
      </c>
      <c r="E149" s="716" t="s">
        <v>226</v>
      </c>
      <c r="F149" s="684">
        <v>0.81899999999999995</v>
      </c>
      <c r="G149" s="716" t="s">
        <v>226</v>
      </c>
      <c r="H149" s="715" t="s">
        <v>3263</v>
      </c>
      <c r="I149" s="716" t="s">
        <v>992</v>
      </c>
      <c r="J149" s="741">
        <v>21600</v>
      </c>
      <c r="K149" s="716"/>
      <c r="L149" s="716"/>
      <c r="M149" s="721"/>
      <c r="N149" s="715" t="s">
        <v>232</v>
      </c>
      <c r="O149" s="716">
        <v>7.5</v>
      </c>
      <c r="P149" s="716"/>
      <c r="Q149" s="721"/>
      <c r="R149" s="715"/>
      <c r="S149" s="718"/>
      <c r="T149" s="718"/>
      <c r="U149" s="718"/>
      <c r="V149" s="719"/>
      <c r="W149" s="682">
        <v>8</v>
      </c>
      <c r="X149" s="684">
        <v>8</v>
      </c>
      <c r="Y149" s="684">
        <v>7.9</v>
      </c>
      <c r="Z149" s="715">
        <v>168</v>
      </c>
      <c r="AA149" s="684" t="s">
        <v>2140</v>
      </c>
      <c r="AB149" s="684" t="s">
        <v>2996</v>
      </c>
      <c r="AC149" s="716" t="s">
        <v>541</v>
      </c>
      <c r="AD149" s="684" t="s">
        <v>542</v>
      </c>
      <c r="AE149" s="715"/>
      <c r="AF149" s="716">
        <v>0</v>
      </c>
      <c r="AG149" s="720"/>
      <c r="AH149" s="684"/>
      <c r="AI149" s="716" t="s">
        <v>2004</v>
      </c>
      <c r="AJ149" s="716"/>
      <c r="AK149" s="716"/>
      <c r="AL149" s="715"/>
      <c r="AM149" s="716"/>
      <c r="AN149" s="716"/>
      <c r="AO149" s="716"/>
      <c r="AP149" s="716"/>
      <c r="AQ149" s="721"/>
      <c r="AR149" s="676"/>
      <c r="AS149" s="537" t="b">
        <f t="array" ref="AS149">AND(D149:AQ149=inp_used,A149=inp_used_usersel)</f>
        <v>0</v>
      </c>
      <c r="AT149" s="674" t="b">
        <f t="array" ref="AT149">AND(D149:G149=inp_used_minimal,A149=inp_used_usersel)</f>
        <v>0</v>
      </c>
    </row>
    <row r="150" spans="1:49" s="674" customFormat="1">
      <c r="A150" s="674">
        <v>9</v>
      </c>
      <c r="B150" s="716">
        <v>2</v>
      </c>
      <c r="C150" s="537">
        <v>6</v>
      </c>
      <c r="D150" s="682">
        <v>7.3650000000000002</v>
      </c>
      <c r="E150" s="716" t="s">
        <v>226</v>
      </c>
      <c r="F150" s="684">
        <v>3.2</v>
      </c>
      <c r="G150" s="716" t="s">
        <v>226</v>
      </c>
      <c r="H150" s="715" t="s">
        <v>3263</v>
      </c>
      <c r="I150" s="716" t="s">
        <v>992</v>
      </c>
      <c r="J150" s="741">
        <v>21600</v>
      </c>
      <c r="K150" s="716"/>
      <c r="L150" s="716"/>
      <c r="M150" s="721"/>
      <c r="N150" s="715" t="s">
        <v>232</v>
      </c>
      <c r="O150" s="716">
        <v>7.5</v>
      </c>
      <c r="P150" s="716"/>
      <c r="Q150" s="721"/>
      <c r="R150" s="715"/>
      <c r="S150" s="718"/>
      <c r="T150" s="718"/>
      <c r="U150" s="718"/>
      <c r="V150" s="719"/>
      <c r="W150" s="682">
        <v>11.5</v>
      </c>
      <c r="X150" s="684">
        <v>11.5</v>
      </c>
      <c r="Y150" s="684">
        <v>7.8</v>
      </c>
      <c r="Z150" s="715">
        <v>168</v>
      </c>
      <c r="AA150" s="684" t="s">
        <v>2140</v>
      </c>
      <c r="AB150" s="684" t="s">
        <v>2996</v>
      </c>
      <c r="AC150" s="716" t="s">
        <v>2725</v>
      </c>
      <c r="AD150" s="684" t="s">
        <v>542</v>
      </c>
      <c r="AE150" s="715"/>
      <c r="AF150" s="716">
        <v>0</v>
      </c>
      <c r="AG150" s="720"/>
      <c r="AH150" s="684"/>
      <c r="AI150" s="716" t="s">
        <v>2004</v>
      </c>
      <c r="AJ150" s="716"/>
      <c r="AK150" s="716"/>
      <c r="AL150" s="715"/>
      <c r="AM150" s="716"/>
      <c r="AN150" s="716"/>
      <c r="AO150" s="716"/>
      <c r="AP150" s="716"/>
      <c r="AQ150" s="721"/>
      <c r="AR150" s="676"/>
      <c r="AS150" s="537" t="b">
        <f t="array" ref="AS150">AND(D150:AQ150=inp_used,A150=inp_used_usersel)</f>
        <v>0</v>
      </c>
      <c r="AT150" s="674" t="b">
        <f t="array" ref="AT150">AND(D150:G150=inp_used_minimal,A150=inp_used_usersel)</f>
        <v>0</v>
      </c>
    </row>
    <row r="151" spans="1:49" s="674" customFormat="1">
      <c r="A151" s="674">
        <v>9</v>
      </c>
      <c r="B151" s="716">
        <v>2</v>
      </c>
      <c r="C151" s="537">
        <v>7</v>
      </c>
      <c r="D151" s="682">
        <v>22.614000000000001</v>
      </c>
      <c r="E151" s="716" t="s">
        <v>226</v>
      </c>
      <c r="F151" s="684">
        <v>11.066000000000001</v>
      </c>
      <c r="G151" s="716" t="s">
        <v>226</v>
      </c>
      <c r="H151" s="715" t="s">
        <v>3263</v>
      </c>
      <c r="I151" s="716" t="s">
        <v>992</v>
      </c>
      <c r="J151" s="741">
        <v>21600</v>
      </c>
      <c r="K151" s="716"/>
      <c r="L151" s="716"/>
      <c r="M151" s="721"/>
      <c r="N151" s="715" t="s">
        <v>232</v>
      </c>
      <c r="O151" s="716">
        <v>7.5</v>
      </c>
      <c r="P151" s="716"/>
      <c r="Q151" s="721"/>
      <c r="R151" s="715"/>
      <c r="S151" s="718"/>
      <c r="T151" s="718"/>
      <c r="U151" s="718"/>
      <c r="V151" s="719"/>
      <c r="W151" s="682">
        <v>15</v>
      </c>
      <c r="X151" s="684">
        <v>15</v>
      </c>
      <c r="Y151" s="684">
        <v>7.8</v>
      </c>
      <c r="Z151" s="715">
        <v>168</v>
      </c>
      <c r="AA151" s="684" t="s">
        <v>2140</v>
      </c>
      <c r="AB151" s="684" t="s">
        <v>2996</v>
      </c>
      <c r="AC151" s="716" t="s">
        <v>2725</v>
      </c>
      <c r="AD151" s="684" t="s">
        <v>542</v>
      </c>
      <c r="AE151" s="715"/>
      <c r="AF151" s="716">
        <v>0</v>
      </c>
      <c r="AG151" s="720"/>
      <c r="AH151" s="684"/>
      <c r="AI151" s="716" t="s">
        <v>2004</v>
      </c>
      <c r="AJ151" s="716"/>
      <c r="AK151" s="716"/>
      <c r="AL151" s="715"/>
      <c r="AM151" s="716"/>
      <c r="AN151" s="716"/>
      <c r="AO151" s="716"/>
      <c r="AP151" s="716"/>
      <c r="AQ151" s="721"/>
      <c r="AR151" s="676"/>
      <c r="AS151" s="537" t="b">
        <f t="array" ref="AS151">AND(D151:AQ151=inp_used,A151=inp_used_usersel)</f>
        <v>0</v>
      </c>
      <c r="AT151" s="674" t="b">
        <f t="array" ref="AT151">AND(D151:G151=inp_used_minimal,A151=inp_used_usersel)</f>
        <v>0</v>
      </c>
    </row>
    <row r="152" spans="1:49" s="674" customFormat="1">
      <c r="A152" s="724">
        <v>9</v>
      </c>
      <c r="B152" s="724">
        <v>2</v>
      </c>
      <c r="C152" s="726">
        <v>8</v>
      </c>
      <c r="D152" s="725">
        <v>75.072000000000003</v>
      </c>
      <c r="E152" s="724" t="s">
        <v>226</v>
      </c>
      <c r="F152" s="726">
        <v>37.536000000000001</v>
      </c>
      <c r="G152" s="724" t="s">
        <v>226</v>
      </c>
      <c r="H152" s="727" t="s">
        <v>3263</v>
      </c>
      <c r="I152" s="724" t="s">
        <v>992</v>
      </c>
      <c r="J152" s="742">
        <v>21600</v>
      </c>
      <c r="K152" s="724"/>
      <c r="L152" s="724"/>
      <c r="M152" s="729"/>
      <c r="N152" s="727" t="s">
        <v>232</v>
      </c>
      <c r="O152" s="724">
        <v>7.5</v>
      </c>
      <c r="P152" s="724"/>
      <c r="Q152" s="729"/>
      <c r="R152" s="727"/>
      <c r="S152" s="732"/>
      <c r="T152" s="732"/>
      <c r="U152" s="732"/>
      <c r="V152" s="733"/>
      <c r="W152" s="725">
        <v>30</v>
      </c>
      <c r="X152" s="726">
        <v>30</v>
      </c>
      <c r="Y152" s="712">
        <v>9.6999999999999993</v>
      </c>
      <c r="Z152" s="727">
        <v>168</v>
      </c>
      <c r="AA152" s="726" t="s">
        <v>2140</v>
      </c>
      <c r="AB152" s="726" t="s">
        <v>2996</v>
      </c>
      <c r="AC152" s="724" t="s">
        <v>2725</v>
      </c>
      <c r="AD152" s="726" t="s">
        <v>542</v>
      </c>
      <c r="AE152" s="727"/>
      <c r="AF152" s="724">
        <v>0</v>
      </c>
      <c r="AG152" s="734"/>
      <c r="AH152" s="726"/>
      <c r="AI152" s="724" t="s">
        <v>2004</v>
      </c>
      <c r="AJ152" s="724"/>
      <c r="AK152" s="729"/>
      <c r="AL152" s="727"/>
      <c r="AM152" s="724"/>
      <c r="AN152" s="724"/>
      <c r="AO152" s="724"/>
      <c r="AP152" s="724"/>
      <c r="AQ152" s="729"/>
      <c r="AR152" s="676"/>
      <c r="AS152" s="537" t="b">
        <f t="array" ref="AS152">AND(D152:AQ152=inp_used,A152=inp_used_usersel)</f>
        <v>0</v>
      </c>
      <c r="AT152" s="674" t="b">
        <f t="array" ref="AT152">AND(D152:G152=inp_used_minimal,A152=inp_used_usersel)</f>
        <v>0</v>
      </c>
    </row>
    <row r="153" spans="1:49" s="674" customFormat="1">
      <c r="A153" s="674">
        <v>10</v>
      </c>
      <c r="B153" s="674">
        <v>1</v>
      </c>
      <c r="C153" s="674">
        <v>1</v>
      </c>
      <c r="D153" s="715">
        <v>0.03</v>
      </c>
      <c r="E153" s="716" t="s">
        <v>226</v>
      </c>
      <c r="F153" s="684">
        <v>7.0000000000000001E-3</v>
      </c>
      <c r="G153" s="716" t="s">
        <v>226</v>
      </c>
      <c r="H153" s="715"/>
      <c r="I153" s="716"/>
      <c r="J153" s="741"/>
      <c r="K153" s="716"/>
      <c r="L153" s="716"/>
      <c r="M153" s="721"/>
      <c r="N153" s="715"/>
      <c r="O153" s="716"/>
      <c r="P153" s="716"/>
      <c r="Q153" s="721"/>
      <c r="R153" s="715"/>
      <c r="S153" s="718"/>
      <c r="T153" s="716"/>
      <c r="U153" s="718"/>
      <c r="V153" s="719"/>
      <c r="W153" s="718"/>
      <c r="X153" s="718"/>
      <c r="Y153" s="718"/>
      <c r="Z153" s="715"/>
      <c r="AA153" s="684"/>
      <c r="AB153" s="720"/>
      <c r="AC153" s="716"/>
      <c r="AD153" s="684"/>
      <c r="AE153" s="737"/>
      <c r="AF153" s="735"/>
      <c r="AG153" s="743"/>
      <c r="AH153" s="744"/>
      <c r="AI153" s="716"/>
      <c r="AJ153" s="716"/>
      <c r="AK153" s="716"/>
      <c r="AL153" s="715"/>
      <c r="AM153" s="716"/>
      <c r="AN153" s="716"/>
      <c r="AO153" s="716"/>
      <c r="AP153" s="716"/>
      <c r="AQ153" s="721"/>
      <c r="AR153" s="676" t="s">
        <v>3452</v>
      </c>
      <c r="AS153" s="537" t="b">
        <f t="array" ref="AS153">AND(D153:AQ153=inp_used,A153=inp_used_usersel)</f>
        <v>0</v>
      </c>
      <c r="AT153" s="674" t="b">
        <f t="array" ref="AT153">AND(D153:G153=inp_used_minimal,A153=inp_used_usersel)</f>
        <v>0</v>
      </c>
      <c r="AV153" s="674" t="b">
        <f t="shared" ref="AV153:AW160" si="9">CHOOSE(design_type,AS153,AS161)</f>
        <v>0</v>
      </c>
      <c r="AW153" s="674" t="b">
        <f t="shared" si="9"/>
        <v>0</v>
      </c>
    </row>
    <row r="154" spans="1:49" s="674" customFormat="1">
      <c r="A154" s="674">
        <v>10</v>
      </c>
      <c r="B154" s="674">
        <v>1</v>
      </c>
      <c r="C154" s="674">
        <v>2</v>
      </c>
      <c r="D154" s="715">
        <v>0.124</v>
      </c>
      <c r="E154" s="716" t="s">
        <v>226</v>
      </c>
      <c r="F154" s="684">
        <v>3.5000000000000003E-2</v>
      </c>
      <c r="G154" s="716" t="s">
        <v>226</v>
      </c>
      <c r="H154" s="715"/>
      <c r="I154" s="716"/>
      <c r="J154" s="741"/>
      <c r="K154" s="716"/>
      <c r="L154" s="716"/>
      <c r="M154" s="721"/>
      <c r="N154" s="715"/>
      <c r="O154" s="716"/>
      <c r="P154" s="716"/>
      <c r="Q154" s="721"/>
      <c r="R154" s="715"/>
      <c r="S154" s="718"/>
      <c r="T154" s="716"/>
      <c r="U154" s="718"/>
      <c r="V154" s="719"/>
      <c r="W154" s="718"/>
      <c r="X154" s="718"/>
      <c r="Y154" s="718"/>
      <c r="Z154" s="715"/>
      <c r="AA154" s="684"/>
      <c r="AB154" s="720"/>
      <c r="AC154" s="716"/>
      <c r="AD154" s="723"/>
      <c r="AE154" s="715"/>
      <c r="AF154" s="716"/>
      <c r="AG154" s="720"/>
      <c r="AH154" s="684"/>
      <c r="AI154" s="716"/>
      <c r="AJ154" s="716"/>
      <c r="AK154" s="716"/>
      <c r="AL154" s="715"/>
      <c r="AM154" s="716"/>
      <c r="AN154" s="716"/>
      <c r="AO154" s="716"/>
      <c r="AP154" s="716"/>
      <c r="AQ154" s="721"/>
      <c r="AR154" s="676"/>
      <c r="AS154" s="537" t="b">
        <f t="array" ref="AS154">AND(D154:AQ154=inp_used,A154=inp_used_usersel)</f>
        <v>0</v>
      </c>
      <c r="AT154" s="674" t="b">
        <f t="array" ref="AT154">AND(D154:G154=inp_used_minimal,A154=inp_used_usersel)</f>
        <v>0</v>
      </c>
      <c r="AV154" s="674" t="b">
        <f t="shared" si="9"/>
        <v>0</v>
      </c>
      <c r="AW154" s="674" t="b">
        <f t="shared" si="9"/>
        <v>0</v>
      </c>
    </row>
    <row r="155" spans="1:49" s="674" customFormat="1">
      <c r="A155" s="674">
        <v>10</v>
      </c>
      <c r="B155" s="674">
        <v>1</v>
      </c>
      <c r="C155" s="674">
        <v>3</v>
      </c>
      <c r="D155" s="715">
        <v>0.30499999999999999</v>
      </c>
      <c r="E155" s="716" t="s">
        <v>226</v>
      </c>
      <c r="F155" s="684">
        <v>9.4E-2</v>
      </c>
      <c r="G155" s="716" t="s">
        <v>226</v>
      </c>
      <c r="H155" s="715"/>
      <c r="I155" s="716"/>
      <c r="J155" s="741"/>
      <c r="K155" s="716"/>
      <c r="L155" s="716"/>
      <c r="M155" s="721"/>
      <c r="N155" s="715"/>
      <c r="O155" s="716"/>
      <c r="P155" s="716"/>
      <c r="Q155" s="721"/>
      <c r="R155" s="715"/>
      <c r="S155" s="718"/>
      <c r="T155" s="716"/>
      <c r="U155" s="718"/>
      <c r="V155" s="719"/>
      <c r="W155" s="718"/>
      <c r="X155" s="718"/>
      <c r="Y155" s="718"/>
      <c r="Z155" s="715"/>
      <c r="AA155" s="684"/>
      <c r="AB155" s="720"/>
      <c r="AC155" s="716"/>
      <c r="AD155" s="723"/>
      <c r="AE155" s="715"/>
      <c r="AF155" s="716"/>
      <c r="AG155" s="720"/>
      <c r="AH155" s="684"/>
      <c r="AI155" s="716"/>
      <c r="AJ155" s="716"/>
      <c r="AK155" s="716"/>
      <c r="AL155" s="715"/>
      <c r="AM155" s="716"/>
      <c r="AN155" s="716"/>
      <c r="AO155" s="716"/>
      <c r="AP155" s="716"/>
      <c r="AQ155" s="721"/>
      <c r="AR155" s="676"/>
      <c r="AS155" s="537" t="b">
        <f t="array" ref="AS155">AND(D155:AQ155=inp_used,A155=inp_used_usersel)</f>
        <v>0</v>
      </c>
      <c r="AT155" s="674" t="b">
        <f t="array" ref="AT155">AND(D155:G155=inp_used_minimal,A155=inp_used_usersel)</f>
        <v>0</v>
      </c>
      <c r="AV155" s="674" t="b">
        <f t="shared" si="9"/>
        <v>0</v>
      </c>
      <c r="AW155" s="674" t="b">
        <f t="shared" si="9"/>
        <v>0</v>
      </c>
    </row>
    <row r="156" spans="1:49" s="674" customFormat="1">
      <c r="A156" s="674">
        <v>10</v>
      </c>
      <c r="B156" s="674">
        <v>1</v>
      </c>
      <c r="C156" s="674">
        <v>4</v>
      </c>
      <c r="D156" s="715">
        <v>0.74</v>
      </c>
      <c r="E156" s="716" t="s">
        <v>226</v>
      </c>
      <c r="F156" s="684">
        <v>0.251</v>
      </c>
      <c r="G156" s="716" t="s">
        <v>226</v>
      </c>
      <c r="H156" s="715"/>
      <c r="I156" s="716"/>
      <c r="J156" s="741"/>
      <c r="K156" s="716"/>
      <c r="L156" s="716"/>
      <c r="M156" s="721"/>
      <c r="N156" s="715"/>
      <c r="O156" s="716"/>
      <c r="P156" s="716"/>
      <c r="Q156" s="721"/>
      <c r="R156" s="715"/>
      <c r="S156" s="718"/>
      <c r="T156" s="716"/>
      <c r="U156" s="718"/>
      <c r="V156" s="719"/>
      <c r="W156" s="718"/>
      <c r="X156" s="718"/>
      <c r="Y156" s="718"/>
      <c r="Z156" s="715"/>
      <c r="AA156" s="684"/>
      <c r="AB156" s="720"/>
      <c r="AC156" s="716"/>
      <c r="AD156" s="723"/>
      <c r="AE156" s="715"/>
      <c r="AF156" s="716"/>
      <c r="AG156" s="720"/>
      <c r="AH156" s="684"/>
      <c r="AI156" s="716"/>
      <c r="AJ156" s="716"/>
      <c r="AK156" s="716"/>
      <c r="AL156" s="715"/>
      <c r="AM156" s="716"/>
      <c r="AN156" s="716"/>
      <c r="AO156" s="716"/>
      <c r="AP156" s="716"/>
      <c r="AQ156" s="721"/>
      <c r="AR156" s="676"/>
      <c r="AS156" s="537" t="b">
        <f t="array" ref="AS156">AND(D156:AQ156=inp_used,A156=inp_used_usersel)</f>
        <v>0</v>
      </c>
      <c r="AT156" s="674" t="b">
        <f t="array" ref="AT156">AND(D156:G156=inp_used_minimal,A156=inp_used_usersel)</f>
        <v>0</v>
      </c>
      <c r="AV156" s="674" t="b">
        <f t="shared" si="9"/>
        <v>0</v>
      </c>
      <c r="AW156" s="674" t="b">
        <f t="shared" si="9"/>
        <v>0</v>
      </c>
    </row>
    <row r="157" spans="1:49" s="674" customFormat="1">
      <c r="A157" s="674">
        <v>10</v>
      </c>
      <c r="B157" s="674">
        <v>1</v>
      </c>
      <c r="C157" s="537">
        <v>5</v>
      </c>
      <c r="D157" s="682">
        <v>2.1520000000000001</v>
      </c>
      <c r="E157" s="716" t="s">
        <v>226</v>
      </c>
      <c r="F157" s="684">
        <v>0.81899999999999995</v>
      </c>
      <c r="G157" s="716" t="s">
        <v>226</v>
      </c>
      <c r="H157" s="715"/>
      <c r="I157" s="716"/>
      <c r="J157" s="741"/>
      <c r="K157" s="716"/>
      <c r="L157" s="716"/>
      <c r="M157" s="721"/>
      <c r="N157" s="715"/>
      <c r="O157" s="716"/>
      <c r="P157" s="716"/>
      <c r="Q157" s="721"/>
      <c r="R157" s="715"/>
      <c r="S157" s="718"/>
      <c r="T157" s="716"/>
      <c r="U157" s="718"/>
      <c r="V157" s="719"/>
      <c r="W157" s="718"/>
      <c r="X157" s="718"/>
      <c r="Y157" s="718"/>
      <c r="Z157" s="715"/>
      <c r="AA157" s="684"/>
      <c r="AB157" s="720"/>
      <c r="AC157" s="716"/>
      <c r="AD157" s="723"/>
      <c r="AE157" s="715"/>
      <c r="AF157" s="716"/>
      <c r="AG157" s="720"/>
      <c r="AH157" s="684"/>
      <c r="AI157" s="716"/>
      <c r="AJ157" s="716"/>
      <c r="AK157" s="716"/>
      <c r="AL157" s="715"/>
      <c r="AM157" s="716"/>
      <c r="AN157" s="716"/>
      <c r="AO157" s="716"/>
      <c r="AP157" s="716"/>
      <c r="AQ157" s="721"/>
      <c r="AR157" s="676"/>
      <c r="AS157" s="537" t="b">
        <f t="array" ref="AS157">AND(D157:AQ157=inp_used,A157=inp_used_usersel)</f>
        <v>0</v>
      </c>
      <c r="AT157" s="674" t="b">
        <f t="array" ref="AT157">AND(D157:G157=inp_used_minimal,A157=inp_used_usersel)</f>
        <v>0</v>
      </c>
      <c r="AV157" s="674" t="b">
        <f t="shared" si="9"/>
        <v>0</v>
      </c>
      <c r="AW157" s="674" t="b">
        <f t="shared" si="9"/>
        <v>0</v>
      </c>
    </row>
    <row r="158" spans="1:49" s="674" customFormat="1">
      <c r="A158" s="674">
        <v>10</v>
      </c>
      <c r="B158" s="674">
        <v>1</v>
      </c>
      <c r="C158" s="537">
        <v>6</v>
      </c>
      <c r="D158" s="682">
        <v>7.3650000000000002</v>
      </c>
      <c r="E158" s="716" t="s">
        <v>226</v>
      </c>
      <c r="F158" s="684">
        <v>3.2</v>
      </c>
      <c r="G158" s="716" t="s">
        <v>226</v>
      </c>
      <c r="H158" s="715"/>
      <c r="I158" s="716"/>
      <c r="J158" s="741"/>
      <c r="K158" s="716"/>
      <c r="L158" s="716"/>
      <c r="M158" s="721"/>
      <c r="N158" s="715"/>
      <c r="O158" s="716"/>
      <c r="P158" s="716"/>
      <c r="Q158" s="721"/>
      <c r="R158" s="715"/>
      <c r="S158" s="718"/>
      <c r="T158" s="716"/>
      <c r="U158" s="718"/>
      <c r="V158" s="719"/>
      <c r="W158" s="718"/>
      <c r="X158" s="718"/>
      <c r="Y158" s="718"/>
      <c r="Z158" s="715"/>
      <c r="AA158" s="684"/>
      <c r="AB158" s="720"/>
      <c r="AC158" s="716"/>
      <c r="AD158" s="723"/>
      <c r="AE158" s="715"/>
      <c r="AF158" s="716"/>
      <c r="AG158" s="720"/>
      <c r="AH158" s="684"/>
      <c r="AI158" s="716"/>
      <c r="AJ158" s="716"/>
      <c r="AK158" s="716"/>
      <c r="AL158" s="715"/>
      <c r="AM158" s="716"/>
      <c r="AN158" s="716"/>
      <c r="AO158" s="716"/>
      <c r="AP158" s="716"/>
      <c r="AQ158" s="721"/>
      <c r="AR158" s="676"/>
      <c r="AS158" s="537" t="b">
        <f t="array" ref="AS158">AND(D158:AQ158=inp_used,A158=inp_used_usersel)</f>
        <v>0</v>
      </c>
      <c r="AT158" s="674" t="b">
        <f t="array" ref="AT158">AND(D158:G158=inp_used_minimal,A158=inp_used_usersel)</f>
        <v>0</v>
      </c>
      <c r="AV158" s="674" t="b">
        <f t="shared" si="9"/>
        <v>0</v>
      </c>
      <c r="AW158" s="674" t="b">
        <f t="shared" si="9"/>
        <v>0</v>
      </c>
    </row>
    <row r="159" spans="1:49" s="674" customFormat="1">
      <c r="A159" s="674">
        <v>10</v>
      </c>
      <c r="B159" s="674">
        <v>1</v>
      </c>
      <c r="C159" s="537">
        <v>7</v>
      </c>
      <c r="D159" s="682">
        <v>22.614000000000001</v>
      </c>
      <c r="E159" s="716" t="s">
        <v>226</v>
      </c>
      <c r="F159" s="684">
        <v>11.066000000000001</v>
      </c>
      <c r="G159" s="716" t="s">
        <v>226</v>
      </c>
      <c r="H159" s="715"/>
      <c r="I159" s="716"/>
      <c r="J159" s="741"/>
      <c r="K159" s="716"/>
      <c r="L159" s="716"/>
      <c r="M159" s="721"/>
      <c r="N159" s="715"/>
      <c r="O159" s="716"/>
      <c r="P159" s="716"/>
      <c r="Q159" s="721"/>
      <c r="R159" s="715"/>
      <c r="S159" s="718"/>
      <c r="T159" s="716"/>
      <c r="U159" s="718"/>
      <c r="V159" s="719"/>
      <c r="W159" s="718"/>
      <c r="X159" s="718"/>
      <c r="Y159" s="718"/>
      <c r="Z159" s="715"/>
      <c r="AA159" s="684"/>
      <c r="AB159" s="720"/>
      <c r="AC159" s="716"/>
      <c r="AD159" s="723"/>
      <c r="AE159" s="715"/>
      <c r="AF159" s="716"/>
      <c r="AG159" s="720"/>
      <c r="AH159" s="684"/>
      <c r="AI159" s="716"/>
      <c r="AJ159" s="716"/>
      <c r="AK159" s="716"/>
      <c r="AL159" s="715"/>
      <c r="AM159" s="716"/>
      <c r="AN159" s="716"/>
      <c r="AO159" s="716"/>
      <c r="AP159" s="716"/>
      <c r="AQ159" s="721"/>
      <c r="AR159" s="676"/>
      <c r="AS159" s="537" t="b">
        <f t="array" ref="AS159">AND(D159:AQ159=inp_used,A159=inp_used_usersel)</f>
        <v>0</v>
      </c>
      <c r="AT159" s="674" t="b">
        <f t="array" ref="AT159">AND(D159:G159=inp_used_minimal,A159=inp_used_usersel)</f>
        <v>0</v>
      </c>
      <c r="AV159" s="674" t="b">
        <f t="shared" si="9"/>
        <v>0</v>
      </c>
      <c r="AW159" s="674" t="b">
        <f t="shared" si="9"/>
        <v>0</v>
      </c>
    </row>
    <row r="160" spans="1:49" s="674" customFormat="1">
      <c r="A160" s="724">
        <v>10</v>
      </c>
      <c r="B160" s="724">
        <v>1</v>
      </c>
      <c r="C160" s="726">
        <v>8</v>
      </c>
      <c r="D160" s="725">
        <v>75.072000000000003</v>
      </c>
      <c r="E160" s="724" t="s">
        <v>226</v>
      </c>
      <c r="F160" s="726">
        <v>37.536000000000001</v>
      </c>
      <c r="G160" s="724" t="s">
        <v>226</v>
      </c>
      <c r="H160" s="727"/>
      <c r="I160" s="724"/>
      <c r="J160" s="742"/>
      <c r="K160" s="724"/>
      <c r="L160" s="724"/>
      <c r="M160" s="729"/>
      <c r="N160" s="727"/>
      <c r="O160" s="724"/>
      <c r="P160" s="724"/>
      <c r="Q160" s="729"/>
      <c r="R160" s="715"/>
      <c r="S160" s="732"/>
      <c r="T160" s="724"/>
      <c r="U160" s="732"/>
      <c r="V160" s="733"/>
      <c r="W160" s="731"/>
      <c r="X160" s="732"/>
      <c r="Y160" s="733"/>
      <c r="Z160" s="727"/>
      <c r="AA160" s="726"/>
      <c r="AB160" s="734"/>
      <c r="AC160" s="724"/>
      <c r="AD160" s="712"/>
      <c r="AE160" s="727"/>
      <c r="AF160" s="724"/>
      <c r="AG160" s="734"/>
      <c r="AH160" s="726"/>
      <c r="AI160" s="724"/>
      <c r="AJ160" s="724"/>
      <c r="AK160" s="729"/>
      <c r="AL160" s="727"/>
      <c r="AM160" s="724"/>
      <c r="AN160" s="724"/>
      <c r="AO160" s="724"/>
      <c r="AP160" s="724"/>
      <c r="AQ160" s="729"/>
      <c r="AR160" s="676"/>
      <c r="AS160" s="537" t="b">
        <f t="array" ref="AS160">AND(D160:AQ160=inp_used,A160=inp_used_usersel)</f>
        <v>0</v>
      </c>
      <c r="AT160" s="674" t="b">
        <f t="array" ref="AT160">AND(D160:G160=inp_used_minimal,A160=inp_used_usersel)</f>
        <v>0</v>
      </c>
      <c r="AV160" s="674" t="b">
        <f t="shared" si="9"/>
        <v>0</v>
      </c>
      <c r="AW160" s="674" t="b">
        <f t="shared" si="9"/>
        <v>0</v>
      </c>
    </row>
    <row r="161" spans="1:49" s="674" customFormat="1">
      <c r="A161" s="674">
        <v>10</v>
      </c>
      <c r="B161" s="735">
        <v>2</v>
      </c>
      <c r="C161" s="674">
        <v>1</v>
      </c>
      <c r="D161" s="715">
        <v>0.03</v>
      </c>
      <c r="E161" s="716" t="s">
        <v>226</v>
      </c>
      <c r="F161" s="684">
        <v>7.0000000000000001E-3</v>
      </c>
      <c r="G161" s="716" t="s">
        <v>226</v>
      </c>
      <c r="H161" s="715"/>
      <c r="I161" s="716"/>
      <c r="J161" s="741"/>
      <c r="K161" s="716"/>
      <c r="L161" s="716"/>
      <c r="M161" s="721"/>
      <c r="N161" s="715"/>
      <c r="O161" s="716"/>
      <c r="P161" s="716"/>
      <c r="Q161" s="721"/>
      <c r="R161" s="737"/>
      <c r="S161" s="718"/>
      <c r="T161" s="718"/>
      <c r="U161" s="718"/>
      <c r="V161" s="719"/>
      <c r="W161" s="682"/>
      <c r="X161" s="684"/>
      <c r="Y161" s="684"/>
      <c r="Z161" s="715"/>
      <c r="AA161" s="684"/>
      <c r="AB161" s="684"/>
      <c r="AC161" s="716"/>
      <c r="AD161" s="684"/>
      <c r="AE161" s="715"/>
      <c r="AF161" s="716"/>
      <c r="AG161" s="720"/>
      <c r="AH161" s="684"/>
      <c r="AI161" s="716"/>
      <c r="AJ161" s="716"/>
      <c r="AK161" s="716"/>
      <c r="AL161" s="715"/>
      <c r="AM161" s="716"/>
      <c r="AN161" s="716"/>
      <c r="AO161" s="716"/>
      <c r="AP161" s="716"/>
      <c r="AQ161" s="721"/>
      <c r="AR161" s="676" t="s">
        <v>3504</v>
      </c>
      <c r="AS161" s="537" t="b">
        <f t="array" ref="AS161">AND(D161:AQ161=inp_used,A161=inp_used_usersel)</f>
        <v>0</v>
      </c>
      <c r="AT161" s="674" t="b">
        <f t="array" ref="AT161">AND(D161:G161=inp_used_minimal,A161=inp_used_usersel)</f>
        <v>0</v>
      </c>
    </row>
    <row r="162" spans="1:49" s="674" customFormat="1">
      <c r="A162" s="674">
        <v>10</v>
      </c>
      <c r="B162" s="716">
        <v>2</v>
      </c>
      <c r="C162" s="674">
        <v>2</v>
      </c>
      <c r="D162" s="715">
        <v>0.124</v>
      </c>
      <c r="E162" s="716" t="s">
        <v>226</v>
      </c>
      <c r="F162" s="684">
        <v>3.5000000000000003E-2</v>
      </c>
      <c r="G162" s="716" t="s">
        <v>226</v>
      </c>
      <c r="H162" s="715"/>
      <c r="I162" s="716"/>
      <c r="J162" s="741"/>
      <c r="K162" s="716"/>
      <c r="L162" s="716"/>
      <c r="M162" s="721"/>
      <c r="N162" s="715"/>
      <c r="O162" s="716"/>
      <c r="P162" s="716"/>
      <c r="Q162" s="721"/>
      <c r="R162" s="715"/>
      <c r="S162" s="718"/>
      <c r="T162" s="718"/>
      <c r="U162" s="718"/>
      <c r="V162" s="719"/>
      <c r="W162" s="684"/>
      <c r="X162" s="684"/>
      <c r="Y162" s="684"/>
      <c r="Z162" s="715"/>
      <c r="AA162" s="684"/>
      <c r="AB162" s="684"/>
      <c r="AC162" s="716"/>
      <c r="AD162" s="684"/>
      <c r="AE162" s="715"/>
      <c r="AF162" s="716"/>
      <c r="AG162" s="720"/>
      <c r="AH162" s="684"/>
      <c r="AI162" s="716"/>
      <c r="AJ162" s="716"/>
      <c r="AK162" s="716"/>
      <c r="AL162" s="715"/>
      <c r="AM162" s="716"/>
      <c r="AN162" s="716"/>
      <c r="AO162" s="716"/>
      <c r="AP162" s="716"/>
      <c r="AQ162" s="721"/>
      <c r="AR162" s="676"/>
      <c r="AS162" s="537" t="b">
        <f t="array" ref="AS162">AND(D162:AQ162=inp_used,A162=inp_used_usersel)</f>
        <v>0</v>
      </c>
      <c r="AT162" s="674" t="b">
        <f t="array" ref="AT162">AND(D162:G162=inp_used_minimal,A162=inp_used_usersel)</f>
        <v>0</v>
      </c>
    </row>
    <row r="163" spans="1:49" s="674" customFormat="1">
      <c r="A163" s="674">
        <v>10</v>
      </c>
      <c r="B163" s="716">
        <v>2</v>
      </c>
      <c r="C163" s="674">
        <v>3</v>
      </c>
      <c r="D163" s="715">
        <v>0.30499999999999999</v>
      </c>
      <c r="E163" s="716" t="s">
        <v>226</v>
      </c>
      <c r="F163" s="684">
        <v>9.4E-2</v>
      </c>
      <c r="G163" s="716" t="s">
        <v>226</v>
      </c>
      <c r="H163" s="715"/>
      <c r="I163" s="716"/>
      <c r="J163" s="741"/>
      <c r="K163" s="716"/>
      <c r="L163" s="716"/>
      <c r="M163" s="721"/>
      <c r="N163" s="715"/>
      <c r="O163" s="716"/>
      <c r="P163" s="716"/>
      <c r="Q163" s="721"/>
      <c r="R163" s="715"/>
      <c r="S163" s="718"/>
      <c r="T163" s="718"/>
      <c r="U163" s="718"/>
      <c r="V163" s="719"/>
      <c r="W163" s="684"/>
      <c r="X163" s="684"/>
      <c r="Y163" s="684"/>
      <c r="Z163" s="715"/>
      <c r="AA163" s="684"/>
      <c r="AB163" s="684"/>
      <c r="AC163" s="716"/>
      <c r="AD163" s="684"/>
      <c r="AE163" s="715"/>
      <c r="AF163" s="716"/>
      <c r="AG163" s="720"/>
      <c r="AH163" s="684"/>
      <c r="AI163" s="716"/>
      <c r="AJ163" s="716"/>
      <c r="AK163" s="716"/>
      <c r="AL163" s="715"/>
      <c r="AM163" s="716"/>
      <c r="AN163" s="716"/>
      <c r="AO163" s="716"/>
      <c r="AP163" s="716"/>
      <c r="AQ163" s="721"/>
      <c r="AR163" s="676"/>
      <c r="AS163" s="537" t="b">
        <f t="array" ref="AS163">AND(D163:AQ163=inp_used,A163=inp_used_usersel)</f>
        <v>0</v>
      </c>
      <c r="AT163" s="674" t="b">
        <f t="array" ref="AT163">AND(D163:G163=inp_used_minimal,A163=inp_used_usersel)</f>
        <v>0</v>
      </c>
    </row>
    <row r="164" spans="1:49" s="674" customFormat="1">
      <c r="A164" s="674">
        <v>10</v>
      </c>
      <c r="B164" s="716">
        <v>2</v>
      </c>
      <c r="C164" s="674">
        <v>4</v>
      </c>
      <c r="D164" s="715">
        <v>0.74</v>
      </c>
      <c r="E164" s="716" t="s">
        <v>226</v>
      </c>
      <c r="F164" s="684">
        <v>0.251</v>
      </c>
      <c r="G164" s="716" t="s">
        <v>226</v>
      </c>
      <c r="H164" s="715"/>
      <c r="I164" s="716"/>
      <c r="J164" s="741"/>
      <c r="K164" s="716"/>
      <c r="L164" s="716"/>
      <c r="M164" s="721"/>
      <c r="N164" s="715"/>
      <c r="O164" s="716"/>
      <c r="P164" s="716"/>
      <c r="Q164" s="721"/>
      <c r="R164" s="715"/>
      <c r="S164" s="718"/>
      <c r="T164" s="718"/>
      <c r="U164" s="718"/>
      <c r="V164" s="719"/>
      <c r="W164" s="684"/>
      <c r="X164" s="684"/>
      <c r="Y164" s="684"/>
      <c r="Z164" s="715"/>
      <c r="AA164" s="684"/>
      <c r="AB164" s="684"/>
      <c r="AC164" s="716"/>
      <c r="AD164" s="684"/>
      <c r="AE164" s="715"/>
      <c r="AF164" s="716"/>
      <c r="AG164" s="720"/>
      <c r="AH164" s="684"/>
      <c r="AI164" s="716"/>
      <c r="AJ164" s="716"/>
      <c r="AK164" s="716"/>
      <c r="AL164" s="715"/>
      <c r="AM164" s="716"/>
      <c r="AN164" s="716"/>
      <c r="AO164" s="716"/>
      <c r="AP164" s="716"/>
      <c r="AQ164" s="721"/>
      <c r="AR164" s="676"/>
      <c r="AS164" s="537" t="b">
        <f t="array" ref="AS164">AND(D164:AQ164=inp_used,A164=inp_used_usersel)</f>
        <v>0</v>
      </c>
      <c r="AT164" s="674" t="b">
        <f t="array" ref="AT164">AND(D164:G164=inp_used_minimal,A164=inp_used_usersel)</f>
        <v>0</v>
      </c>
    </row>
    <row r="165" spans="1:49" s="674" customFormat="1">
      <c r="A165" s="674">
        <v>10</v>
      </c>
      <c r="B165" s="716">
        <v>2</v>
      </c>
      <c r="C165" s="537">
        <v>5</v>
      </c>
      <c r="D165" s="682">
        <v>2.1520000000000001</v>
      </c>
      <c r="E165" s="716" t="s">
        <v>226</v>
      </c>
      <c r="F165" s="684">
        <v>0.81899999999999995</v>
      </c>
      <c r="G165" s="716" t="s">
        <v>226</v>
      </c>
      <c r="H165" s="715"/>
      <c r="I165" s="716"/>
      <c r="J165" s="741"/>
      <c r="K165" s="716"/>
      <c r="L165" s="716"/>
      <c r="M165" s="721"/>
      <c r="N165" s="715"/>
      <c r="O165" s="716"/>
      <c r="P165" s="716"/>
      <c r="Q165" s="721"/>
      <c r="R165" s="715"/>
      <c r="S165" s="718"/>
      <c r="T165" s="718"/>
      <c r="U165" s="718"/>
      <c r="V165" s="719"/>
      <c r="W165" s="741"/>
      <c r="X165" s="741"/>
      <c r="Y165" s="741"/>
      <c r="Z165" s="715"/>
      <c r="AA165" s="684"/>
      <c r="AB165" s="684"/>
      <c r="AC165" s="716"/>
      <c r="AD165" s="684"/>
      <c r="AE165" s="715"/>
      <c r="AF165" s="716"/>
      <c r="AG165" s="720"/>
      <c r="AH165" s="684"/>
      <c r="AI165" s="716"/>
      <c r="AJ165" s="716"/>
      <c r="AK165" s="716"/>
      <c r="AL165" s="715"/>
      <c r="AM165" s="716"/>
      <c r="AN165" s="716"/>
      <c r="AO165" s="716"/>
      <c r="AP165" s="716"/>
      <c r="AQ165" s="721"/>
      <c r="AR165" s="676"/>
      <c r="AS165" s="537" t="b">
        <f t="array" ref="AS165">AND(D165:AQ165=inp_used,A165=inp_used_usersel)</f>
        <v>0</v>
      </c>
      <c r="AT165" s="674" t="b">
        <f t="array" ref="AT165">AND(D165:G165=inp_used_minimal,A165=inp_used_usersel)</f>
        <v>0</v>
      </c>
    </row>
    <row r="166" spans="1:49" s="674" customFormat="1">
      <c r="A166" s="674">
        <v>10</v>
      </c>
      <c r="B166" s="716">
        <v>2</v>
      </c>
      <c r="C166" s="537">
        <v>6</v>
      </c>
      <c r="D166" s="682">
        <v>7.3650000000000002</v>
      </c>
      <c r="E166" s="716" t="s">
        <v>226</v>
      </c>
      <c r="F166" s="684">
        <v>3.2</v>
      </c>
      <c r="G166" s="716" t="s">
        <v>226</v>
      </c>
      <c r="H166" s="715"/>
      <c r="I166" s="716"/>
      <c r="J166" s="741"/>
      <c r="K166" s="716"/>
      <c r="L166" s="716"/>
      <c r="M166" s="721"/>
      <c r="N166" s="715"/>
      <c r="O166" s="716"/>
      <c r="P166" s="716"/>
      <c r="Q166" s="721"/>
      <c r="R166" s="715"/>
      <c r="S166" s="718"/>
      <c r="T166" s="718"/>
      <c r="U166" s="718"/>
      <c r="V166" s="719"/>
      <c r="W166" s="741"/>
      <c r="X166" s="741"/>
      <c r="Y166" s="741"/>
      <c r="Z166" s="715"/>
      <c r="AA166" s="684"/>
      <c r="AB166" s="684"/>
      <c r="AC166" s="716"/>
      <c r="AD166" s="684"/>
      <c r="AE166" s="715"/>
      <c r="AF166" s="716"/>
      <c r="AG166" s="720"/>
      <c r="AH166" s="684"/>
      <c r="AI166" s="716"/>
      <c r="AJ166" s="716"/>
      <c r="AK166" s="716"/>
      <c r="AL166" s="715"/>
      <c r="AM166" s="716"/>
      <c r="AN166" s="716"/>
      <c r="AO166" s="716"/>
      <c r="AP166" s="716"/>
      <c r="AQ166" s="721"/>
      <c r="AR166" s="676"/>
      <c r="AS166" s="537" t="b">
        <f t="array" ref="AS166">AND(D166:AQ166=inp_used,A166=inp_used_usersel)</f>
        <v>0</v>
      </c>
      <c r="AT166" s="674" t="b">
        <f t="array" ref="AT166">AND(D166:G166=inp_used_minimal,A166=inp_used_usersel)</f>
        <v>0</v>
      </c>
    </row>
    <row r="167" spans="1:49" s="674" customFormat="1">
      <c r="A167" s="674">
        <v>10</v>
      </c>
      <c r="B167" s="716">
        <v>2</v>
      </c>
      <c r="C167" s="537">
        <v>7</v>
      </c>
      <c r="D167" s="682">
        <v>22.614000000000001</v>
      </c>
      <c r="E167" s="716" t="s">
        <v>226</v>
      </c>
      <c r="F167" s="684">
        <v>11.066000000000001</v>
      </c>
      <c r="G167" s="716" t="s">
        <v>226</v>
      </c>
      <c r="H167" s="715"/>
      <c r="I167" s="716"/>
      <c r="J167" s="741"/>
      <c r="K167" s="716"/>
      <c r="L167" s="716"/>
      <c r="M167" s="721"/>
      <c r="N167" s="715"/>
      <c r="O167" s="716"/>
      <c r="P167" s="716"/>
      <c r="Q167" s="721"/>
      <c r="R167" s="715"/>
      <c r="S167" s="718"/>
      <c r="T167" s="718"/>
      <c r="U167" s="718"/>
      <c r="V167" s="719"/>
      <c r="W167" s="741"/>
      <c r="X167" s="741"/>
      <c r="Y167" s="741"/>
      <c r="Z167" s="715"/>
      <c r="AA167" s="684"/>
      <c r="AB167" s="684"/>
      <c r="AC167" s="716"/>
      <c r="AD167" s="684"/>
      <c r="AE167" s="715"/>
      <c r="AF167" s="716"/>
      <c r="AG167" s="720"/>
      <c r="AH167" s="684"/>
      <c r="AI167" s="716"/>
      <c r="AJ167" s="716"/>
      <c r="AK167" s="716"/>
      <c r="AL167" s="715"/>
      <c r="AM167" s="716"/>
      <c r="AN167" s="716"/>
      <c r="AO167" s="716"/>
      <c r="AP167" s="716"/>
      <c r="AQ167" s="721"/>
      <c r="AR167" s="676"/>
      <c r="AS167" s="537" t="b">
        <f t="array" ref="AS167">AND(D167:AQ167=inp_used,A167=inp_used_usersel)</f>
        <v>0</v>
      </c>
      <c r="AT167" s="674" t="b">
        <f t="array" ref="AT167">AND(D167:G167=inp_used_minimal,A167=inp_used_usersel)</f>
        <v>0</v>
      </c>
    </row>
    <row r="168" spans="1:49" s="674" customFormat="1">
      <c r="A168" s="724">
        <v>10</v>
      </c>
      <c r="B168" s="724">
        <v>2</v>
      </c>
      <c r="C168" s="726">
        <v>8</v>
      </c>
      <c r="D168" s="725">
        <v>75.072000000000003</v>
      </c>
      <c r="E168" s="724" t="s">
        <v>226</v>
      </c>
      <c r="F168" s="726">
        <v>37.536000000000001</v>
      </c>
      <c r="G168" s="724" t="s">
        <v>226</v>
      </c>
      <c r="H168" s="727"/>
      <c r="I168" s="724"/>
      <c r="J168" s="742"/>
      <c r="K168" s="724"/>
      <c r="L168" s="724"/>
      <c r="M168" s="729"/>
      <c r="N168" s="727"/>
      <c r="O168" s="724"/>
      <c r="P168" s="724"/>
      <c r="Q168" s="729"/>
      <c r="R168" s="727"/>
      <c r="S168" s="732"/>
      <c r="T168" s="732"/>
      <c r="U168" s="732"/>
      <c r="V168" s="733"/>
      <c r="W168" s="725"/>
      <c r="X168" s="726"/>
      <c r="Y168" s="712"/>
      <c r="Z168" s="727"/>
      <c r="AA168" s="726"/>
      <c r="AB168" s="726"/>
      <c r="AC168" s="724"/>
      <c r="AD168" s="726"/>
      <c r="AE168" s="727"/>
      <c r="AF168" s="724"/>
      <c r="AG168" s="734"/>
      <c r="AH168" s="726"/>
      <c r="AI168" s="724"/>
      <c r="AJ168" s="724"/>
      <c r="AK168" s="729"/>
      <c r="AL168" s="727"/>
      <c r="AM168" s="724"/>
      <c r="AN168" s="724"/>
      <c r="AO168" s="724"/>
      <c r="AP168" s="724"/>
      <c r="AQ168" s="729"/>
      <c r="AR168" s="676"/>
      <c r="AS168" s="537" t="b">
        <f t="array" ref="AS168">AND(D168:AQ168=inp_used,A168=inp_used_usersel)</f>
        <v>0</v>
      </c>
      <c r="AT168" s="674" t="b">
        <f t="array" ref="AT168">AND(D168:G168=inp_used_minimal,A168=inp_used_usersel)</f>
        <v>0</v>
      </c>
    </row>
    <row r="169" spans="1:49" s="674" customFormat="1">
      <c r="A169" s="674">
        <v>11</v>
      </c>
      <c r="B169" s="674">
        <v>1</v>
      </c>
      <c r="C169" s="674">
        <v>1</v>
      </c>
      <c r="D169" s="715">
        <v>0.03</v>
      </c>
      <c r="E169" s="716" t="s">
        <v>226</v>
      </c>
      <c r="F169" s="684">
        <v>7.0000000000000001E-3</v>
      </c>
      <c r="G169" s="716" t="s">
        <v>226</v>
      </c>
      <c r="H169" s="715" t="s">
        <v>3263</v>
      </c>
      <c r="I169" s="716" t="s">
        <v>992</v>
      </c>
      <c r="J169" s="741">
        <v>7940</v>
      </c>
      <c r="K169" s="716"/>
      <c r="L169" s="716"/>
      <c r="M169" s="721"/>
      <c r="N169" s="715" t="s">
        <v>232</v>
      </c>
      <c r="O169" s="716">
        <v>7.5</v>
      </c>
      <c r="P169" s="716"/>
      <c r="Q169" s="721"/>
      <c r="R169" s="715">
        <v>1</v>
      </c>
      <c r="S169" s="718">
        <v>3.4</v>
      </c>
      <c r="T169" s="716" t="s">
        <v>2139</v>
      </c>
      <c r="U169" s="718">
        <v>6</v>
      </c>
      <c r="V169" s="719">
        <v>2</v>
      </c>
      <c r="W169" s="718"/>
      <c r="X169" s="718"/>
      <c r="Y169" s="718"/>
      <c r="Z169" s="715">
        <v>168</v>
      </c>
      <c r="AA169" s="684" t="s">
        <v>2140</v>
      </c>
      <c r="AB169" s="720" t="s">
        <v>539</v>
      </c>
      <c r="AC169" s="716" t="s">
        <v>541</v>
      </c>
      <c r="AD169" s="721"/>
      <c r="AE169" s="737"/>
      <c r="AF169" s="1043">
        <v>0</v>
      </c>
      <c r="AG169" s="743"/>
      <c r="AH169" s="744"/>
      <c r="AI169" s="716" t="s">
        <v>2004</v>
      </c>
      <c r="AJ169" s="716"/>
      <c r="AK169" s="716"/>
      <c r="AL169" s="715"/>
      <c r="AM169" s="716"/>
      <c r="AN169" s="716"/>
      <c r="AO169" s="716"/>
      <c r="AP169" s="716"/>
      <c r="AQ169" s="721"/>
      <c r="AR169" s="676" t="s">
        <v>193</v>
      </c>
      <c r="AS169" s="537" t="b">
        <f t="array" ref="AS169">AND(D169:AQ169=inp_used,A169=inp_used_usersel)</f>
        <v>0</v>
      </c>
      <c r="AT169" s="674" t="b">
        <f t="array" ref="AT169">AND(D169:G169=inp_used_minimal,A169=inp_used_usersel)</f>
        <v>0</v>
      </c>
      <c r="AV169" s="674" t="b">
        <f t="shared" ref="AV169:AW176" si="10">CHOOSE(design_type,AS169,AS177)</f>
        <v>0</v>
      </c>
      <c r="AW169" s="674" t="b">
        <f t="shared" si="10"/>
        <v>0</v>
      </c>
    </row>
    <row r="170" spans="1:49" s="674" customFormat="1">
      <c r="A170" s="674">
        <v>11</v>
      </c>
      <c r="B170" s="674">
        <v>1</v>
      </c>
      <c r="C170" s="674">
        <v>2</v>
      </c>
      <c r="D170" s="715">
        <v>0.124</v>
      </c>
      <c r="E170" s="716" t="s">
        <v>226</v>
      </c>
      <c r="F170" s="684">
        <v>3.5000000000000003E-2</v>
      </c>
      <c r="G170" s="716" t="s">
        <v>226</v>
      </c>
      <c r="H170" s="715" t="s">
        <v>3263</v>
      </c>
      <c r="I170" s="716" t="s">
        <v>992</v>
      </c>
      <c r="J170" s="741">
        <v>7940</v>
      </c>
      <c r="K170" s="716"/>
      <c r="L170" s="716"/>
      <c r="M170" s="721"/>
      <c r="N170" s="715" t="s">
        <v>232</v>
      </c>
      <c r="O170" s="716">
        <v>7.5</v>
      </c>
      <c r="P170" s="716"/>
      <c r="Q170" s="721"/>
      <c r="R170" s="715">
        <v>1</v>
      </c>
      <c r="S170" s="718">
        <v>6.9</v>
      </c>
      <c r="T170" s="716" t="s">
        <v>2139</v>
      </c>
      <c r="U170" s="718">
        <v>11</v>
      </c>
      <c r="V170" s="719">
        <v>4</v>
      </c>
      <c r="W170" s="718"/>
      <c r="X170" s="718"/>
      <c r="Y170" s="718"/>
      <c r="Z170" s="715">
        <v>168</v>
      </c>
      <c r="AA170" s="684" t="s">
        <v>2140</v>
      </c>
      <c r="AB170" s="720" t="s">
        <v>540</v>
      </c>
      <c r="AC170" s="716" t="s">
        <v>541</v>
      </c>
      <c r="AD170" s="723" t="s">
        <v>542</v>
      </c>
      <c r="AE170" s="715"/>
      <c r="AF170" s="716">
        <v>0</v>
      </c>
      <c r="AG170" s="720"/>
      <c r="AH170" s="684"/>
      <c r="AI170" s="716" t="s">
        <v>2004</v>
      </c>
      <c r="AJ170" s="716"/>
      <c r="AK170" s="716"/>
      <c r="AL170" s="715"/>
      <c r="AM170" s="716"/>
      <c r="AN170" s="716"/>
      <c r="AO170" s="716"/>
      <c r="AP170" s="716"/>
      <c r="AQ170" s="721"/>
      <c r="AR170" s="676"/>
      <c r="AS170" s="537" t="b">
        <f t="array" ref="AS170">AND(D170:AQ170=inp_used,A170=inp_used_usersel)</f>
        <v>0</v>
      </c>
      <c r="AT170" s="674" t="b">
        <f t="array" ref="AT170">AND(D170:G170=inp_used_minimal,A170=inp_used_usersel)</f>
        <v>0</v>
      </c>
      <c r="AV170" s="674" t="b">
        <f t="shared" si="10"/>
        <v>0</v>
      </c>
      <c r="AW170" s="674" t="b">
        <f t="shared" si="10"/>
        <v>0</v>
      </c>
    </row>
    <row r="171" spans="1:49" s="674" customFormat="1">
      <c r="A171" s="674">
        <v>11</v>
      </c>
      <c r="B171" s="674">
        <v>1</v>
      </c>
      <c r="C171" s="674">
        <v>3</v>
      </c>
      <c r="D171" s="715">
        <v>0.30499999999999999</v>
      </c>
      <c r="E171" s="716" t="s">
        <v>226</v>
      </c>
      <c r="F171" s="684">
        <v>9.4E-2</v>
      </c>
      <c r="G171" s="716" t="s">
        <v>226</v>
      </c>
      <c r="H171" s="715" t="s">
        <v>3263</v>
      </c>
      <c r="I171" s="716" t="s">
        <v>992</v>
      </c>
      <c r="J171" s="741">
        <v>7940</v>
      </c>
      <c r="K171" s="716"/>
      <c r="L171" s="716"/>
      <c r="M171" s="721"/>
      <c r="N171" s="715" t="s">
        <v>232</v>
      </c>
      <c r="O171" s="716">
        <v>7.5</v>
      </c>
      <c r="P171" s="716"/>
      <c r="Q171" s="721"/>
      <c r="R171" s="715">
        <v>1</v>
      </c>
      <c r="S171" s="718">
        <v>6.7</v>
      </c>
      <c r="T171" s="716" t="s">
        <v>2139</v>
      </c>
      <c r="U171" s="718">
        <v>11</v>
      </c>
      <c r="V171" s="719">
        <v>4.5</v>
      </c>
      <c r="W171" s="718"/>
      <c r="X171" s="718"/>
      <c r="Y171" s="718"/>
      <c r="Z171" s="715">
        <v>168</v>
      </c>
      <c r="AA171" s="684" t="s">
        <v>2140</v>
      </c>
      <c r="AB171" s="720" t="s">
        <v>540</v>
      </c>
      <c r="AC171" s="716" t="s">
        <v>541</v>
      </c>
      <c r="AD171" s="723" t="s">
        <v>542</v>
      </c>
      <c r="AE171" s="715"/>
      <c r="AF171" s="716">
        <v>0</v>
      </c>
      <c r="AG171" s="720"/>
      <c r="AH171" s="684"/>
      <c r="AI171" s="716" t="s">
        <v>2004</v>
      </c>
      <c r="AJ171" s="716"/>
      <c r="AK171" s="716"/>
      <c r="AL171" s="715"/>
      <c r="AM171" s="716"/>
      <c r="AN171" s="716"/>
      <c r="AO171" s="716"/>
      <c r="AP171" s="716"/>
      <c r="AQ171" s="721"/>
      <c r="AR171" s="676"/>
      <c r="AS171" s="537" t="b">
        <f t="array" ref="AS171">AND(D171:AQ171=inp_used,A171=inp_used_usersel)</f>
        <v>0</v>
      </c>
      <c r="AT171" s="674" t="b">
        <f t="array" ref="AT171">AND(D171:G171=inp_used_minimal,A171=inp_used_usersel)</f>
        <v>0</v>
      </c>
      <c r="AV171" s="674" t="b">
        <f t="shared" si="10"/>
        <v>0</v>
      </c>
      <c r="AW171" s="674" t="b">
        <f t="shared" si="10"/>
        <v>0</v>
      </c>
    </row>
    <row r="172" spans="1:49" s="674" customFormat="1">
      <c r="A172" s="674">
        <v>11</v>
      </c>
      <c r="B172" s="674">
        <v>1</v>
      </c>
      <c r="C172" s="674">
        <v>4</v>
      </c>
      <c r="D172" s="715">
        <v>0.74</v>
      </c>
      <c r="E172" s="716" t="s">
        <v>226</v>
      </c>
      <c r="F172" s="684">
        <v>0.251</v>
      </c>
      <c r="G172" s="716" t="s">
        <v>226</v>
      </c>
      <c r="H172" s="715" t="s">
        <v>3263</v>
      </c>
      <c r="I172" s="716" t="s">
        <v>992</v>
      </c>
      <c r="J172" s="741">
        <v>7940</v>
      </c>
      <c r="K172" s="716"/>
      <c r="L172" s="716"/>
      <c r="M172" s="721"/>
      <c r="N172" s="715" t="s">
        <v>232</v>
      </c>
      <c r="O172" s="716">
        <v>7.5</v>
      </c>
      <c r="P172" s="716"/>
      <c r="Q172" s="721"/>
      <c r="R172" s="715">
        <v>1</v>
      </c>
      <c r="S172" s="718">
        <v>6.7</v>
      </c>
      <c r="T172" s="716" t="s">
        <v>2139</v>
      </c>
      <c r="U172" s="718">
        <v>11</v>
      </c>
      <c r="V172" s="719">
        <v>7</v>
      </c>
      <c r="W172" s="718"/>
      <c r="X172" s="718"/>
      <c r="Y172" s="718"/>
      <c r="Z172" s="715">
        <v>168</v>
      </c>
      <c r="AA172" s="684" t="s">
        <v>2140</v>
      </c>
      <c r="AB172" s="720" t="s">
        <v>540</v>
      </c>
      <c r="AC172" s="716" t="s">
        <v>541</v>
      </c>
      <c r="AD172" s="723" t="s">
        <v>542</v>
      </c>
      <c r="AE172" s="715"/>
      <c r="AF172" s="716">
        <v>0</v>
      </c>
      <c r="AG172" s="720"/>
      <c r="AH172" s="684"/>
      <c r="AI172" s="716" t="s">
        <v>2004</v>
      </c>
      <c r="AJ172" s="716"/>
      <c r="AK172" s="716"/>
      <c r="AL172" s="715"/>
      <c r="AM172" s="716"/>
      <c r="AN172" s="716"/>
      <c r="AO172" s="716"/>
      <c r="AP172" s="716"/>
      <c r="AQ172" s="721"/>
      <c r="AR172" s="676"/>
      <c r="AS172" s="537" t="b">
        <f t="array" ref="AS172">AND(D172:AQ172=inp_used,A172=inp_used_usersel)</f>
        <v>0</v>
      </c>
      <c r="AT172" s="674" t="b">
        <f t="array" ref="AT172">AND(D172:G172=inp_used_minimal,A172=inp_used_usersel)</f>
        <v>0</v>
      </c>
      <c r="AV172" s="674" t="b">
        <f t="shared" si="10"/>
        <v>0</v>
      </c>
      <c r="AW172" s="674" t="b">
        <f t="shared" si="10"/>
        <v>0</v>
      </c>
    </row>
    <row r="173" spans="1:49" s="674" customFormat="1">
      <c r="A173" s="674">
        <v>11</v>
      </c>
      <c r="B173" s="674">
        <v>1</v>
      </c>
      <c r="C173" s="537">
        <v>5</v>
      </c>
      <c r="D173" s="682">
        <v>2.1520000000000001</v>
      </c>
      <c r="E173" s="716" t="s">
        <v>226</v>
      </c>
      <c r="F173" s="684">
        <v>0.81899999999999995</v>
      </c>
      <c r="G173" s="716" t="s">
        <v>226</v>
      </c>
      <c r="H173" s="715" t="s">
        <v>3263</v>
      </c>
      <c r="I173" s="716" t="s">
        <v>992</v>
      </c>
      <c r="J173" s="741">
        <v>7940</v>
      </c>
      <c r="K173" s="716"/>
      <c r="L173" s="716"/>
      <c r="M173" s="721"/>
      <c r="N173" s="715" t="s">
        <v>232</v>
      </c>
      <c r="O173" s="716">
        <v>7.5</v>
      </c>
      <c r="P173" s="716"/>
      <c r="Q173" s="721"/>
      <c r="R173" s="715">
        <v>1</v>
      </c>
      <c r="S173" s="718">
        <v>6.7</v>
      </c>
      <c r="T173" s="716" t="s">
        <v>2139</v>
      </c>
      <c r="U173" s="718">
        <v>11</v>
      </c>
      <c r="V173" s="719">
        <v>8.5</v>
      </c>
      <c r="W173" s="718"/>
      <c r="X173" s="718"/>
      <c r="Y173" s="718"/>
      <c r="Z173" s="715">
        <v>168</v>
      </c>
      <c r="AA173" s="684" t="s">
        <v>2140</v>
      </c>
      <c r="AB173" s="720" t="s">
        <v>540</v>
      </c>
      <c r="AC173" s="716" t="s">
        <v>2725</v>
      </c>
      <c r="AD173" s="723" t="s">
        <v>542</v>
      </c>
      <c r="AE173" s="715"/>
      <c r="AF173" s="716">
        <v>0</v>
      </c>
      <c r="AG173" s="720"/>
      <c r="AH173" s="684"/>
      <c r="AI173" s="716" t="s">
        <v>2004</v>
      </c>
      <c r="AJ173" s="716"/>
      <c r="AK173" s="716"/>
      <c r="AL173" s="715"/>
      <c r="AM173" s="716"/>
      <c r="AN173" s="716"/>
      <c r="AO173" s="716"/>
      <c r="AP173" s="716"/>
      <c r="AQ173" s="721"/>
      <c r="AR173" s="676"/>
      <c r="AS173" s="537" t="b">
        <f t="array" ref="AS173">AND(D173:AQ173=inp_used,A173=inp_used_usersel)</f>
        <v>0</v>
      </c>
      <c r="AT173" s="674" t="b">
        <f t="array" ref="AT173">AND(D173:G173=inp_used_minimal,A173=inp_used_usersel)</f>
        <v>0</v>
      </c>
      <c r="AV173" s="674" t="b">
        <f t="shared" si="10"/>
        <v>0</v>
      </c>
      <c r="AW173" s="674" t="b">
        <f t="shared" si="10"/>
        <v>0</v>
      </c>
    </row>
    <row r="174" spans="1:49" s="674" customFormat="1">
      <c r="A174" s="674">
        <v>11</v>
      </c>
      <c r="B174" s="674">
        <v>1</v>
      </c>
      <c r="C174" s="537">
        <v>6</v>
      </c>
      <c r="D174" s="682">
        <v>7.3650000000000002</v>
      </c>
      <c r="E174" s="716" t="s">
        <v>226</v>
      </c>
      <c r="F174" s="684">
        <v>3.2</v>
      </c>
      <c r="G174" s="716" t="s">
        <v>226</v>
      </c>
      <c r="H174" s="715" t="s">
        <v>3263</v>
      </c>
      <c r="I174" s="716" t="s">
        <v>992</v>
      </c>
      <c r="J174" s="741">
        <v>7940</v>
      </c>
      <c r="K174" s="716"/>
      <c r="L174" s="716"/>
      <c r="M174" s="721"/>
      <c r="N174" s="715" t="s">
        <v>232</v>
      </c>
      <c r="O174" s="716">
        <v>7.5</v>
      </c>
      <c r="P174" s="716"/>
      <c r="Q174" s="721"/>
      <c r="R174" s="715">
        <v>1</v>
      </c>
      <c r="S174" s="718">
        <v>6.2</v>
      </c>
      <c r="T174" s="716" t="s">
        <v>3284</v>
      </c>
      <c r="U174" s="718">
        <v>20</v>
      </c>
      <c r="V174" s="719">
        <v>14</v>
      </c>
      <c r="W174" s="718"/>
      <c r="X174" s="718"/>
      <c r="Y174" s="718"/>
      <c r="Z174" s="715">
        <v>168</v>
      </c>
      <c r="AA174" s="684" t="s">
        <v>2140</v>
      </c>
      <c r="AB174" s="720" t="s">
        <v>540</v>
      </c>
      <c r="AC174" s="716" t="s">
        <v>2725</v>
      </c>
      <c r="AD174" s="723" t="s">
        <v>542</v>
      </c>
      <c r="AE174" s="715"/>
      <c r="AF174" s="716">
        <v>0</v>
      </c>
      <c r="AG174" s="720"/>
      <c r="AH174" s="684"/>
      <c r="AI174" s="716" t="s">
        <v>2004</v>
      </c>
      <c r="AJ174" s="716"/>
      <c r="AK174" s="716"/>
      <c r="AL174" s="715"/>
      <c r="AM174" s="716"/>
      <c r="AN174" s="716"/>
      <c r="AO174" s="716"/>
      <c r="AP174" s="716"/>
      <c r="AQ174" s="721"/>
      <c r="AR174" s="676"/>
      <c r="AS174" s="537" t="b">
        <f t="array" ref="AS174">AND(D174:AQ174=inp_used,A174=inp_used_usersel)</f>
        <v>0</v>
      </c>
      <c r="AT174" s="674" t="b">
        <f t="array" ref="AT174">AND(D174:G174=inp_used_minimal,A174=inp_used_usersel)</f>
        <v>0</v>
      </c>
      <c r="AV174" s="674" t="b">
        <f t="shared" si="10"/>
        <v>0</v>
      </c>
      <c r="AW174" s="674" t="b">
        <f t="shared" si="10"/>
        <v>0</v>
      </c>
    </row>
    <row r="175" spans="1:49" s="674" customFormat="1">
      <c r="A175" s="674">
        <v>11</v>
      </c>
      <c r="B175" s="674">
        <v>1</v>
      </c>
      <c r="C175" s="537">
        <v>7</v>
      </c>
      <c r="D175" s="682">
        <v>22.614000000000001</v>
      </c>
      <c r="E175" s="716" t="s">
        <v>226</v>
      </c>
      <c r="F175" s="684">
        <v>11.066000000000001</v>
      </c>
      <c r="G175" s="716" t="s">
        <v>226</v>
      </c>
      <c r="H175" s="715" t="s">
        <v>3263</v>
      </c>
      <c r="I175" s="716" t="s">
        <v>992</v>
      </c>
      <c r="J175" s="741">
        <v>7940</v>
      </c>
      <c r="K175" s="716"/>
      <c r="L175" s="716"/>
      <c r="M175" s="721"/>
      <c r="N175" s="715" t="s">
        <v>232</v>
      </c>
      <c r="O175" s="716">
        <v>7.5</v>
      </c>
      <c r="P175" s="716"/>
      <c r="Q175" s="721"/>
      <c r="R175" s="715">
        <v>1</v>
      </c>
      <c r="S175" s="718">
        <v>7.1</v>
      </c>
      <c r="T175" s="716" t="s">
        <v>3284</v>
      </c>
      <c r="U175" s="718">
        <v>20</v>
      </c>
      <c r="V175" s="719">
        <v>14</v>
      </c>
      <c r="W175" s="718"/>
      <c r="X175" s="718"/>
      <c r="Y175" s="718"/>
      <c r="Z175" s="715">
        <v>168</v>
      </c>
      <c r="AA175" s="684" t="s">
        <v>2140</v>
      </c>
      <c r="AB175" s="720" t="s">
        <v>540</v>
      </c>
      <c r="AC175" s="716" t="s">
        <v>2725</v>
      </c>
      <c r="AD175" s="723" t="s">
        <v>542</v>
      </c>
      <c r="AE175" s="715"/>
      <c r="AF175" s="716">
        <v>0</v>
      </c>
      <c r="AG175" s="720"/>
      <c r="AH175" s="684"/>
      <c r="AI175" s="716" t="s">
        <v>2004</v>
      </c>
      <c r="AJ175" s="716"/>
      <c r="AK175" s="716"/>
      <c r="AL175" s="715"/>
      <c r="AM175" s="716"/>
      <c r="AN175" s="716"/>
      <c r="AO175" s="716"/>
      <c r="AP175" s="716"/>
      <c r="AQ175" s="721"/>
      <c r="AR175" s="676"/>
      <c r="AS175" s="537" t="b">
        <f t="array" ref="AS175">AND(D175:AQ175=inp_used,A175=inp_used_usersel)</f>
        <v>0</v>
      </c>
      <c r="AT175" s="674" t="b">
        <f t="array" ref="AT175">AND(D175:G175=inp_used_minimal,A175=inp_used_usersel)</f>
        <v>0</v>
      </c>
      <c r="AV175" s="674" t="b">
        <f t="shared" si="10"/>
        <v>0</v>
      </c>
      <c r="AW175" s="674" t="b">
        <f t="shared" si="10"/>
        <v>0</v>
      </c>
    </row>
    <row r="176" spans="1:49" s="674" customFormat="1">
      <c r="A176" s="724">
        <v>11</v>
      </c>
      <c r="B176" s="724">
        <v>1</v>
      </c>
      <c r="C176" s="726">
        <v>8</v>
      </c>
      <c r="D176" s="725">
        <v>75.072000000000003</v>
      </c>
      <c r="E176" s="724" t="s">
        <v>226</v>
      </c>
      <c r="F176" s="726">
        <v>37.536000000000001</v>
      </c>
      <c r="G176" s="724" t="s">
        <v>226</v>
      </c>
      <c r="H176" s="727" t="s">
        <v>3263</v>
      </c>
      <c r="I176" s="724" t="s">
        <v>992</v>
      </c>
      <c r="J176" s="742">
        <v>7940</v>
      </c>
      <c r="K176" s="724"/>
      <c r="L176" s="724"/>
      <c r="M176" s="729"/>
      <c r="N176" s="727" t="s">
        <v>232</v>
      </c>
      <c r="O176" s="724">
        <v>7.5</v>
      </c>
      <c r="P176" s="724"/>
      <c r="Q176" s="729"/>
      <c r="R176" s="715">
        <v>1</v>
      </c>
      <c r="S176" s="732">
        <v>6.7</v>
      </c>
      <c r="T176" s="724" t="s">
        <v>3284</v>
      </c>
      <c r="U176" s="732">
        <v>20</v>
      </c>
      <c r="V176" s="733">
        <v>14</v>
      </c>
      <c r="W176" s="731"/>
      <c r="X176" s="732"/>
      <c r="Y176" s="733"/>
      <c r="Z176" s="727">
        <v>168</v>
      </c>
      <c r="AA176" s="726" t="s">
        <v>2140</v>
      </c>
      <c r="AB176" s="734" t="s">
        <v>540</v>
      </c>
      <c r="AC176" s="724" t="s">
        <v>2725</v>
      </c>
      <c r="AD176" s="712" t="s">
        <v>542</v>
      </c>
      <c r="AE176" s="727"/>
      <c r="AF176" s="724">
        <v>0</v>
      </c>
      <c r="AG176" s="734"/>
      <c r="AH176" s="726"/>
      <c r="AI176" s="724" t="s">
        <v>2004</v>
      </c>
      <c r="AJ176" s="724"/>
      <c r="AK176" s="729"/>
      <c r="AL176" s="727"/>
      <c r="AM176" s="724"/>
      <c r="AN176" s="724"/>
      <c r="AO176" s="724"/>
      <c r="AP176" s="724"/>
      <c r="AQ176" s="729"/>
      <c r="AR176" s="676"/>
      <c r="AS176" s="537" t="b">
        <f t="array" ref="AS176">AND(D176:AQ176=inp_used,A176=inp_used_usersel)</f>
        <v>0</v>
      </c>
      <c r="AT176" s="674" t="b">
        <f t="array" ref="AT176">AND(D176:G176=inp_used_minimal,A176=inp_used_usersel)</f>
        <v>0</v>
      </c>
      <c r="AV176" s="674" t="b">
        <f t="shared" si="10"/>
        <v>0</v>
      </c>
      <c r="AW176" s="674" t="b">
        <f t="shared" si="10"/>
        <v>0</v>
      </c>
    </row>
    <row r="177" spans="1:49" s="674" customFormat="1">
      <c r="A177" s="674">
        <v>11</v>
      </c>
      <c r="B177" s="735">
        <v>2</v>
      </c>
      <c r="C177" s="674">
        <v>1</v>
      </c>
      <c r="D177" s="715">
        <v>0.03</v>
      </c>
      <c r="E177" s="716" t="s">
        <v>226</v>
      </c>
      <c r="F177" s="684">
        <v>7.0000000000000001E-3</v>
      </c>
      <c r="G177" s="716" t="s">
        <v>226</v>
      </c>
      <c r="H177" s="715" t="s">
        <v>3263</v>
      </c>
      <c r="I177" s="716" t="s">
        <v>992</v>
      </c>
      <c r="J177" s="741">
        <v>7940</v>
      </c>
      <c r="K177" s="716"/>
      <c r="L177" s="716"/>
      <c r="M177" s="721"/>
      <c r="N177" s="715" t="s">
        <v>232</v>
      </c>
      <c r="O177" s="716">
        <v>7.5</v>
      </c>
      <c r="P177" s="716"/>
      <c r="Q177" s="721"/>
      <c r="R177" s="737"/>
      <c r="S177" s="718"/>
      <c r="T177" s="718"/>
      <c r="U177" s="718"/>
      <c r="V177" s="719"/>
      <c r="W177" s="682">
        <v>6</v>
      </c>
      <c r="X177" s="684">
        <v>6</v>
      </c>
      <c r="Y177" s="684">
        <v>3</v>
      </c>
      <c r="Z177" s="715">
        <v>168</v>
      </c>
      <c r="AA177" s="684" t="s">
        <v>2140</v>
      </c>
      <c r="AB177" s="684" t="s">
        <v>2996</v>
      </c>
      <c r="AC177" s="716" t="s">
        <v>541</v>
      </c>
      <c r="AD177" s="684" t="s">
        <v>542</v>
      </c>
      <c r="AE177" s="715"/>
      <c r="AF177" s="1043">
        <v>0</v>
      </c>
      <c r="AG177" s="720"/>
      <c r="AH177" s="684"/>
      <c r="AI177" s="716" t="s">
        <v>2004</v>
      </c>
      <c r="AJ177" s="716"/>
      <c r="AK177" s="716"/>
      <c r="AL177" s="715"/>
      <c r="AM177" s="716"/>
      <c r="AN177" s="716"/>
      <c r="AO177" s="716"/>
      <c r="AP177" s="716"/>
      <c r="AQ177" s="721"/>
      <c r="AR177" s="676" t="s">
        <v>194</v>
      </c>
      <c r="AS177" s="537" t="b">
        <f t="array" ref="AS177">AND(D177:AQ177=inp_used,A177=inp_used_usersel)</f>
        <v>0</v>
      </c>
      <c r="AT177" s="674" t="b">
        <f t="array" ref="AT177">AND(D177:G177=inp_used_minimal,A177=inp_used_usersel)</f>
        <v>0</v>
      </c>
    </row>
    <row r="178" spans="1:49" s="674" customFormat="1">
      <c r="A178" s="674">
        <v>11</v>
      </c>
      <c r="B178" s="716">
        <v>2</v>
      </c>
      <c r="C178" s="674">
        <v>2</v>
      </c>
      <c r="D178" s="715">
        <v>0.124</v>
      </c>
      <c r="E178" s="716" t="s">
        <v>226</v>
      </c>
      <c r="F178" s="684">
        <v>3.5000000000000003E-2</v>
      </c>
      <c r="G178" s="716" t="s">
        <v>226</v>
      </c>
      <c r="H178" s="715" t="s">
        <v>3263</v>
      </c>
      <c r="I178" s="716" t="s">
        <v>992</v>
      </c>
      <c r="J178" s="741">
        <v>7940</v>
      </c>
      <c r="K178" s="716"/>
      <c r="L178" s="716"/>
      <c r="M178" s="721"/>
      <c r="N178" s="715" t="s">
        <v>232</v>
      </c>
      <c r="O178" s="716">
        <v>7.5</v>
      </c>
      <c r="P178" s="716"/>
      <c r="Q178" s="721"/>
      <c r="R178" s="715"/>
      <c r="S178" s="718"/>
      <c r="T178" s="718"/>
      <c r="U178" s="718"/>
      <c r="V178" s="719"/>
      <c r="W178" s="682">
        <v>6</v>
      </c>
      <c r="X178" s="684">
        <v>6</v>
      </c>
      <c r="Y178" s="684">
        <v>3</v>
      </c>
      <c r="Z178" s="715">
        <v>168</v>
      </c>
      <c r="AA178" s="684" t="s">
        <v>2140</v>
      </c>
      <c r="AB178" s="684" t="s">
        <v>2996</v>
      </c>
      <c r="AC178" s="716" t="s">
        <v>541</v>
      </c>
      <c r="AD178" s="684" t="s">
        <v>542</v>
      </c>
      <c r="AE178" s="715"/>
      <c r="AF178" s="716">
        <v>0</v>
      </c>
      <c r="AG178" s="720"/>
      <c r="AH178" s="684"/>
      <c r="AI178" s="716" t="s">
        <v>2004</v>
      </c>
      <c r="AJ178" s="716"/>
      <c r="AK178" s="716"/>
      <c r="AL178" s="715"/>
      <c r="AM178" s="716"/>
      <c r="AN178" s="716"/>
      <c r="AO178" s="716"/>
      <c r="AP178" s="716"/>
      <c r="AQ178" s="721"/>
      <c r="AR178" s="676"/>
      <c r="AS178" s="537" t="b">
        <f t="array" ref="AS178">AND(D178:AQ178=inp_used,A178=inp_used_usersel)</f>
        <v>0</v>
      </c>
      <c r="AT178" s="674" t="b">
        <f t="array" ref="AT178">AND(D178:G178=inp_used_minimal,A178=inp_used_usersel)</f>
        <v>0</v>
      </c>
    </row>
    <row r="179" spans="1:49" s="674" customFormat="1">
      <c r="A179" s="674">
        <v>11</v>
      </c>
      <c r="B179" s="716">
        <v>2</v>
      </c>
      <c r="C179" s="674">
        <v>3</v>
      </c>
      <c r="D179" s="715">
        <v>0.30499999999999999</v>
      </c>
      <c r="E179" s="716" t="s">
        <v>226</v>
      </c>
      <c r="F179" s="684">
        <v>9.4E-2</v>
      </c>
      <c r="G179" s="716" t="s">
        <v>226</v>
      </c>
      <c r="H179" s="715" t="s">
        <v>3263</v>
      </c>
      <c r="I179" s="716" t="s">
        <v>992</v>
      </c>
      <c r="J179" s="741">
        <v>7940</v>
      </c>
      <c r="K179" s="716"/>
      <c r="L179" s="716"/>
      <c r="M179" s="721"/>
      <c r="N179" s="715" t="s">
        <v>232</v>
      </c>
      <c r="O179" s="716">
        <v>7.5</v>
      </c>
      <c r="P179" s="716"/>
      <c r="Q179" s="721"/>
      <c r="R179" s="715"/>
      <c r="S179" s="718"/>
      <c r="T179" s="718"/>
      <c r="U179" s="718"/>
      <c r="V179" s="719"/>
      <c r="W179" s="682">
        <v>6</v>
      </c>
      <c r="X179" s="684">
        <v>6</v>
      </c>
      <c r="Y179" s="684">
        <v>3</v>
      </c>
      <c r="Z179" s="715">
        <v>168</v>
      </c>
      <c r="AA179" s="684" t="s">
        <v>2140</v>
      </c>
      <c r="AB179" s="684" t="s">
        <v>2996</v>
      </c>
      <c r="AC179" s="716" t="s">
        <v>541</v>
      </c>
      <c r="AD179" s="684" t="s">
        <v>542</v>
      </c>
      <c r="AE179" s="715"/>
      <c r="AF179" s="716">
        <v>0</v>
      </c>
      <c r="AG179" s="720"/>
      <c r="AH179" s="684"/>
      <c r="AI179" s="716" t="s">
        <v>2004</v>
      </c>
      <c r="AJ179" s="716"/>
      <c r="AK179" s="716"/>
      <c r="AL179" s="715"/>
      <c r="AM179" s="716"/>
      <c r="AN179" s="716"/>
      <c r="AO179" s="716"/>
      <c r="AP179" s="716"/>
      <c r="AQ179" s="721"/>
      <c r="AR179" s="676"/>
      <c r="AS179" s="537" t="b">
        <f t="array" ref="AS179">AND(D179:AQ179=inp_used,A179=inp_used_usersel)</f>
        <v>0</v>
      </c>
      <c r="AT179" s="674" t="b">
        <f t="array" ref="AT179">AND(D179:G179=inp_used_minimal,A179=inp_used_usersel)</f>
        <v>0</v>
      </c>
    </row>
    <row r="180" spans="1:49" s="674" customFormat="1">
      <c r="A180" s="674">
        <v>11</v>
      </c>
      <c r="B180" s="716">
        <v>2</v>
      </c>
      <c r="C180" s="674">
        <v>4</v>
      </c>
      <c r="D180" s="715">
        <v>0.74</v>
      </c>
      <c r="E180" s="716" t="s">
        <v>226</v>
      </c>
      <c r="F180" s="684">
        <v>0.251</v>
      </c>
      <c r="G180" s="716" t="s">
        <v>226</v>
      </c>
      <c r="H180" s="715" t="s">
        <v>3263</v>
      </c>
      <c r="I180" s="716" t="s">
        <v>992</v>
      </c>
      <c r="J180" s="741">
        <v>7940</v>
      </c>
      <c r="K180" s="716"/>
      <c r="L180" s="716"/>
      <c r="M180" s="721"/>
      <c r="N180" s="715" t="s">
        <v>232</v>
      </c>
      <c r="O180" s="716">
        <v>7.5</v>
      </c>
      <c r="P180" s="716"/>
      <c r="Q180" s="721"/>
      <c r="R180" s="715"/>
      <c r="S180" s="718"/>
      <c r="T180" s="718"/>
      <c r="U180" s="718"/>
      <c r="V180" s="719"/>
      <c r="W180" s="682">
        <v>7</v>
      </c>
      <c r="X180" s="684">
        <v>7</v>
      </c>
      <c r="Y180" s="684">
        <v>5.3</v>
      </c>
      <c r="Z180" s="715">
        <v>168</v>
      </c>
      <c r="AA180" s="684" t="s">
        <v>2140</v>
      </c>
      <c r="AB180" s="684" t="s">
        <v>2996</v>
      </c>
      <c r="AC180" s="716" t="s">
        <v>541</v>
      </c>
      <c r="AD180" s="684" t="s">
        <v>542</v>
      </c>
      <c r="AE180" s="715"/>
      <c r="AF180" s="716">
        <v>0</v>
      </c>
      <c r="AG180" s="720"/>
      <c r="AH180" s="684"/>
      <c r="AI180" s="716" t="s">
        <v>2004</v>
      </c>
      <c r="AJ180" s="716"/>
      <c r="AK180" s="716"/>
      <c r="AL180" s="715"/>
      <c r="AM180" s="716"/>
      <c r="AN180" s="716"/>
      <c r="AO180" s="716"/>
      <c r="AP180" s="716"/>
      <c r="AQ180" s="721"/>
      <c r="AR180" s="676"/>
      <c r="AS180" s="537" t="b">
        <f t="array" ref="AS180">AND(D180:AQ180=inp_used,A180=inp_used_usersel)</f>
        <v>0</v>
      </c>
      <c r="AT180" s="674" t="b">
        <f t="array" ref="AT180">AND(D180:G180=inp_used_minimal,A180=inp_used_usersel)</f>
        <v>0</v>
      </c>
    </row>
    <row r="181" spans="1:49" s="674" customFormat="1">
      <c r="A181" s="674">
        <v>11</v>
      </c>
      <c r="B181" s="716">
        <v>2</v>
      </c>
      <c r="C181" s="537">
        <v>5</v>
      </c>
      <c r="D181" s="682">
        <v>2.1520000000000001</v>
      </c>
      <c r="E181" s="716" t="s">
        <v>226</v>
      </c>
      <c r="F181" s="684">
        <v>0.81899999999999995</v>
      </c>
      <c r="G181" s="716" t="s">
        <v>226</v>
      </c>
      <c r="H181" s="715" t="s">
        <v>3263</v>
      </c>
      <c r="I181" s="716" t="s">
        <v>992</v>
      </c>
      <c r="J181" s="741">
        <v>7940</v>
      </c>
      <c r="K181" s="716"/>
      <c r="L181" s="716"/>
      <c r="M181" s="721"/>
      <c r="N181" s="715" t="s">
        <v>232</v>
      </c>
      <c r="O181" s="716">
        <v>7.5</v>
      </c>
      <c r="P181" s="716"/>
      <c r="Q181" s="721"/>
      <c r="R181" s="715"/>
      <c r="S181" s="718"/>
      <c r="T181" s="718"/>
      <c r="U181" s="718"/>
      <c r="V181" s="719"/>
      <c r="W181" s="682">
        <v>8</v>
      </c>
      <c r="X181" s="684">
        <v>8</v>
      </c>
      <c r="Y181" s="684">
        <v>7.9</v>
      </c>
      <c r="Z181" s="715">
        <v>168</v>
      </c>
      <c r="AA181" s="684" t="s">
        <v>2140</v>
      </c>
      <c r="AB181" s="684" t="s">
        <v>2996</v>
      </c>
      <c r="AC181" s="716" t="s">
        <v>2725</v>
      </c>
      <c r="AD181" s="684" t="s">
        <v>542</v>
      </c>
      <c r="AE181" s="715"/>
      <c r="AF181" s="716">
        <v>0</v>
      </c>
      <c r="AG181" s="720"/>
      <c r="AH181" s="684"/>
      <c r="AI181" s="716" t="s">
        <v>2004</v>
      </c>
      <c r="AJ181" s="716"/>
      <c r="AK181" s="716"/>
      <c r="AL181" s="715"/>
      <c r="AM181" s="716"/>
      <c r="AN181" s="716"/>
      <c r="AO181" s="716"/>
      <c r="AP181" s="716"/>
      <c r="AQ181" s="721"/>
      <c r="AR181" s="676"/>
      <c r="AS181" s="537" t="b">
        <f t="array" ref="AS181">AND(D181:AQ181=inp_used,A181=inp_used_usersel)</f>
        <v>0</v>
      </c>
      <c r="AT181" s="674" t="b">
        <f t="array" ref="AT181">AND(D181:G181=inp_used_minimal,A181=inp_used_usersel)</f>
        <v>0</v>
      </c>
    </row>
    <row r="182" spans="1:49" s="674" customFormat="1">
      <c r="A182" s="674">
        <v>11</v>
      </c>
      <c r="B182" s="716">
        <v>2</v>
      </c>
      <c r="C182" s="537">
        <v>6</v>
      </c>
      <c r="D182" s="682">
        <v>7.3650000000000002</v>
      </c>
      <c r="E182" s="716" t="s">
        <v>226</v>
      </c>
      <c r="F182" s="684">
        <v>3.2</v>
      </c>
      <c r="G182" s="716" t="s">
        <v>226</v>
      </c>
      <c r="H182" s="715" t="s">
        <v>3263</v>
      </c>
      <c r="I182" s="716" t="s">
        <v>992</v>
      </c>
      <c r="J182" s="741">
        <v>7940</v>
      </c>
      <c r="K182" s="716"/>
      <c r="L182" s="716"/>
      <c r="M182" s="721"/>
      <c r="N182" s="715" t="s">
        <v>232</v>
      </c>
      <c r="O182" s="716">
        <v>7.5</v>
      </c>
      <c r="P182" s="716"/>
      <c r="Q182" s="721"/>
      <c r="R182" s="715"/>
      <c r="S182" s="718"/>
      <c r="T182" s="718"/>
      <c r="U182" s="718"/>
      <c r="V182" s="719"/>
      <c r="W182" s="682">
        <v>11.5</v>
      </c>
      <c r="X182" s="684">
        <v>11.5</v>
      </c>
      <c r="Y182" s="684">
        <v>7.8</v>
      </c>
      <c r="Z182" s="715">
        <v>168</v>
      </c>
      <c r="AA182" s="684" t="s">
        <v>2140</v>
      </c>
      <c r="AB182" s="684" t="s">
        <v>2996</v>
      </c>
      <c r="AC182" s="716" t="s">
        <v>2725</v>
      </c>
      <c r="AD182" s="684" t="s">
        <v>542</v>
      </c>
      <c r="AE182" s="715"/>
      <c r="AF182" s="716">
        <v>0</v>
      </c>
      <c r="AG182" s="720"/>
      <c r="AH182" s="684"/>
      <c r="AI182" s="716" t="s">
        <v>2004</v>
      </c>
      <c r="AJ182" s="716"/>
      <c r="AK182" s="716"/>
      <c r="AL182" s="715"/>
      <c r="AM182" s="716"/>
      <c r="AN182" s="716"/>
      <c r="AO182" s="716"/>
      <c r="AP182" s="716"/>
      <c r="AQ182" s="721"/>
      <c r="AR182" s="676"/>
      <c r="AS182" s="537" t="b">
        <f t="array" ref="AS182">AND(D182:AQ182=inp_used,A182=inp_used_usersel)</f>
        <v>0</v>
      </c>
      <c r="AT182" s="674" t="b">
        <f t="array" ref="AT182">AND(D182:G182=inp_used_minimal,A182=inp_used_usersel)</f>
        <v>0</v>
      </c>
    </row>
    <row r="183" spans="1:49" s="674" customFormat="1">
      <c r="A183" s="674">
        <v>11</v>
      </c>
      <c r="B183" s="716">
        <v>2</v>
      </c>
      <c r="C183" s="537">
        <v>7</v>
      </c>
      <c r="D183" s="682">
        <v>22.614000000000001</v>
      </c>
      <c r="E183" s="716" t="s">
        <v>226</v>
      </c>
      <c r="F183" s="684">
        <v>11.066000000000001</v>
      </c>
      <c r="G183" s="716" t="s">
        <v>226</v>
      </c>
      <c r="H183" s="715" t="s">
        <v>3263</v>
      </c>
      <c r="I183" s="716" t="s">
        <v>992</v>
      </c>
      <c r="J183" s="741">
        <v>7940</v>
      </c>
      <c r="K183" s="716"/>
      <c r="L183" s="716"/>
      <c r="M183" s="721"/>
      <c r="N183" s="715" t="s">
        <v>232</v>
      </c>
      <c r="O183" s="716">
        <v>7.5</v>
      </c>
      <c r="P183" s="716"/>
      <c r="Q183" s="721"/>
      <c r="R183" s="715"/>
      <c r="S183" s="718"/>
      <c r="T183" s="718"/>
      <c r="U183" s="718"/>
      <c r="V183" s="719"/>
      <c r="W183" s="682">
        <v>15</v>
      </c>
      <c r="X183" s="684">
        <v>15</v>
      </c>
      <c r="Y183" s="684">
        <v>7.8</v>
      </c>
      <c r="Z183" s="715">
        <v>168</v>
      </c>
      <c r="AA183" s="684" t="s">
        <v>2140</v>
      </c>
      <c r="AB183" s="684" t="s">
        <v>2996</v>
      </c>
      <c r="AC183" s="716" t="s">
        <v>2725</v>
      </c>
      <c r="AD183" s="684" t="s">
        <v>542</v>
      </c>
      <c r="AE183" s="715"/>
      <c r="AF183" s="716">
        <v>0</v>
      </c>
      <c r="AG183" s="720"/>
      <c r="AH183" s="684"/>
      <c r="AI183" s="716" t="s">
        <v>2004</v>
      </c>
      <c r="AJ183" s="716"/>
      <c r="AK183" s="716"/>
      <c r="AL183" s="715"/>
      <c r="AM183" s="716"/>
      <c r="AN183" s="716"/>
      <c r="AO183" s="716"/>
      <c r="AP183" s="716"/>
      <c r="AQ183" s="721"/>
      <c r="AR183" s="676"/>
      <c r="AS183" s="537" t="b">
        <f t="array" ref="AS183">AND(D183:AQ183=inp_used,A183=inp_used_usersel)</f>
        <v>0</v>
      </c>
      <c r="AT183" s="674" t="b">
        <f t="array" ref="AT183">AND(D183:G183=inp_used_minimal,A183=inp_used_usersel)</f>
        <v>0</v>
      </c>
    </row>
    <row r="184" spans="1:49" s="674" customFormat="1">
      <c r="A184" s="724">
        <v>11</v>
      </c>
      <c r="B184" s="724">
        <v>2</v>
      </c>
      <c r="C184" s="726">
        <v>8</v>
      </c>
      <c r="D184" s="725">
        <v>75.072000000000003</v>
      </c>
      <c r="E184" s="724" t="s">
        <v>226</v>
      </c>
      <c r="F184" s="726">
        <v>37.536000000000001</v>
      </c>
      <c r="G184" s="724" t="s">
        <v>226</v>
      </c>
      <c r="H184" s="727" t="s">
        <v>3263</v>
      </c>
      <c r="I184" s="724" t="s">
        <v>992</v>
      </c>
      <c r="J184" s="742">
        <v>7940</v>
      </c>
      <c r="K184" s="724"/>
      <c r="L184" s="724"/>
      <c r="M184" s="729"/>
      <c r="N184" s="727" t="s">
        <v>232</v>
      </c>
      <c r="O184" s="724">
        <v>7.5</v>
      </c>
      <c r="P184" s="724"/>
      <c r="Q184" s="729"/>
      <c r="R184" s="727"/>
      <c r="S184" s="732"/>
      <c r="T184" s="732"/>
      <c r="U184" s="732"/>
      <c r="V184" s="733"/>
      <c r="W184" s="725">
        <v>30</v>
      </c>
      <c r="X184" s="726">
        <v>30</v>
      </c>
      <c r="Y184" s="712">
        <v>9.6999999999999993</v>
      </c>
      <c r="Z184" s="727">
        <v>168</v>
      </c>
      <c r="AA184" s="726" t="s">
        <v>2140</v>
      </c>
      <c r="AB184" s="726" t="s">
        <v>2996</v>
      </c>
      <c r="AC184" s="724" t="s">
        <v>2725</v>
      </c>
      <c r="AD184" s="726" t="s">
        <v>542</v>
      </c>
      <c r="AE184" s="727"/>
      <c r="AF184" s="724">
        <v>0</v>
      </c>
      <c r="AG184" s="734"/>
      <c r="AH184" s="726"/>
      <c r="AI184" s="724" t="s">
        <v>2004</v>
      </c>
      <c r="AJ184" s="724"/>
      <c r="AK184" s="729"/>
      <c r="AL184" s="727"/>
      <c r="AM184" s="724"/>
      <c r="AN184" s="724"/>
      <c r="AO184" s="724"/>
      <c r="AP184" s="724"/>
      <c r="AQ184" s="729"/>
      <c r="AR184" s="676"/>
      <c r="AS184" s="537" t="b">
        <f t="array" ref="AS184">AND(D184:AQ184=inp_used,A184=inp_used_usersel)</f>
        <v>0</v>
      </c>
      <c r="AT184" s="674" t="b">
        <f t="array" ref="AT184">AND(D184:G184=inp_used_minimal,A184=inp_used_usersel)</f>
        <v>0</v>
      </c>
    </row>
    <row r="185" spans="1:49" s="674" customFormat="1">
      <c r="A185" s="674">
        <v>12</v>
      </c>
      <c r="B185" s="674">
        <v>1</v>
      </c>
      <c r="C185" s="674">
        <v>1</v>
      </c>
      <c r="D185" s="715">
        <v>0.03</v>
      </c>
      <c r="E185" s="716" t="s">
        <v>226</v>
      </c>
      <c r="F185" s="684">
        <v>7.0000000000000001E-3</v>
      </c>
      <c r="G185" s="716" t="s">
        <v>226</v>
      </c>
      <c r="H185" s="715" t="s">
        <v>3263</v>
      </c>
      <c r="I185" s="716" t="s">
        <v>992</v>
      </c>
      <c r="J185" s="741">
        <v>16900</v>
      </c>
      <c r="K185" s="716"/>
      <c r="L185" s="716"/>
      <c r="M185" s="721"/>
      <c r="N185" s="715" t="s">
        <v>232</v>
      </c>
      <c r="O185" s="716">
        <v>7.5</v>
      </c>
      <c r="P185" s="716"/>
      <c r="Q185" s="721"/>
      <c r="R185" s="715">
        <v>1</v>
      </c>
      <c r="S185" s="718">
        <v>3.4</v>
      </c>
      <c r="T185" s="716" t="s">
        <v>2139</v>
      </c>
      <c r="U185" s="718">
        <v>6</v>
      </c>
      <c r="V185" s="719">
        <v>2</v>
      </c>
      <c r="W185" s="718"/>
      <c r="X185" s="718"/>
      <c r="Y185" s="718"/>
      <c r="Z185" s="715">
        <v>168</v>
      </c>
      <c r="AA185" s="684" t="s">
        <v>2140</v>
      </c>
      <c r="AB185" s="720" t="s">
        <v>539</v>
      </c>
      <c r="AC185" s="716" t="s">
        <v>541</v>
      </c>
      <c r="AD185" s="721"/>
      <c r="AE185" s="737"/>
      <c r="AF185" s="1043">
        <v>0</v>
      </c>
      <c r="AG185" s="743"/>
      <c r="AH185" s="744"/>
      <c r="AI185" s="716" t="s">
        <v>2004</v>
      </c>
      <c r="AJ185" s="716"/>
      <c r="AK185" s="716"/>
      <c r="AL185" s="715"/>
      <c r="AM185" s="716"/>
      <c r="AN185" s="716"/>
      <c r="AO185" s="716"/>
      <c r="AP185" s="716"/>
      <c r="AQ185" s="721"/>
      <c r="AR185" s="676" t="s">
        <v>195</v>
      </c>
      <c r="AS185" s="537" t="b">
        <f t="array" ref="AS185">AND(D185:AQ185=inp_used,A185=inp_used_usersel)</f>
        <v>0</v>
      </c>
      <c r="AT185" s="674" t="b">
        <f t="array" ref="AT185">AND(D185:G185=inp_used_minimal,A185=inp_used_usersel)</f>
        <v>0</v>
      </c>
      <c r="AV185" s="674" t="b">
        <f t="shared" ref="AV185:AW192" si="11">CHOOSE(design_type,AS185,AS193)</f>
        <v>0</v>
      </c>
      <c r="AW185" s="674" t="b">
        <f t="shared" si="11"/>
        <v>0</v>
      </c>
    </row>
    <row r="186" spans="1:49" s="674" customFormat="1">
      <c r="A186" s="674">
        <v>12</v>
      </c>
      <c r="B186" s="674">
        <v>1</v>
      </c>
      <c r="C186" s="674">
        <v>2</v>
      </c>
      <c r="D186" s="715">
        <v>0.124</v>
      </c>
      <c r="E186" s="716" t="s">
        <v>226</v>
      </c>
      <c r="F186" s="684">
        <v>3.5000000000000003E-2</v>
      </c>
      <c r="G186" s="716" t="s">
        <v>226</v>
      </c>
      <c r="H186" s="715" t="s">
        <v>3263</v>
      </c>
      <c r="I186" s="716" t="s">
        <v>992</v>
      </c>
      <c r="J186" s="741">
        <v>16900</v>
      </c>
      <c r="K186" s="716"/>
      <c r="L186" s="716"/>
      <c r="M186" s="721"/>
      <c r="N186" s="715" t="s">
        <v>232</v>
      </c>
      <c r="O186" s="716">
        <v>7.5</v>
      </c>
      <c r="P186" s="716"/>
      <c r="Q186" s="721"/>
      <c r="R186" s="715">
        <v>1</v>
      </c>
      <c r="S186" s="718">
        <v>6.9</v>
      </c>
      <c r="T186" s="716" t="s">
        <v>2139</v>
      </c>
      <c r="U186" s="718">
        <v>11</v>
      </c>
      <c r="V186" s="719">
        <v>4</v>
      </c>
      <c r="W186" s="718"/>
      <c r="X186" s="718"/>
      <c r="Y186" s="718"/>
      <c r="Z186" s="715">
        <v>168</v>
      </c>
      <c r="AA186" s="684" t="s">
        <v>2140</v>
      </c>
      <c r="AB186" s="720" t="s">
        <v>540</v>
      </c>
      <c r="AC186" s="716" t="s">
        <v>541</v>
      </c>
      <c r="AD186" s="723" t="s">
        <v>542</v>
      </c>
      <c r="AE186" s="715"/>
      <c r="AF186" s="716">
        <v>0</v>
      </c>
      <c r="AG186" s="720"/>
      <c r="AH186" s="684"/>
      <c r="AI186" s="716" t="s">
        <v>2004</v>
      </c>
      <c r="AJ186" s="716"/>
      <c r="AK186" s="716"/>
      <c r="AL186" s="715"/>
      <c r="AM186" s="716"/>
      <c r="AN186" s="716"/>
      <c r="AO186" s="716"/>
      <c r="AP186" s="716"/>
      <c r="AQ186" s="721"/>
      <c r="AR186" s="676"/>
      <c r="AS186" s="537" t="b">
        <f t="array" ref="AS186">AND(D186:AQ186=inp_used,A186=inp_used_usersel)</f>
        <v>0</v>
      </c>
      <c r="AT186" s="674" t="b">
        <f t="array" ref="AT186">AND(D186:G186=inp_used_minimal,A186=inp_used_usersel)</f>
        <v>0</v>
      </c>
      <c r="AV186" s="674" t="b">
        <f t="shared" si="11"/>
        <v>0</v>
      </c>
      <c r="AW186" s="674" t="b">
        <f t="shared" si="11"/>
        <v>0</v>
      </c>
    </row>
    <row r="187" spans="1:49" s="674" customFormat="1">
      <c r="A187" s="674">
        <v>12</v>
      </c>
      <c r="B187" s="674">
        <v>1</v>
      </c>
      <c r="C187" s="674">
        <v>3</v>
      </c>
      <c r="D187" s="715">
        <v>0.30499999999999999</v>
      </c>
      <c r="E187" s="716" t="s">
        <v>226</v>
      </c>
      <c r="F187" s="684">
        <v>9.4E-2</v>
      </c>
      <c r="G187" s="716" t="s">
        <v>226</v>
      </c>
      <c r="H187" s="715" t="s">
        <v>3263</v>
      </c>
      <c r="I187" s="716" t="s">
        <v>992</v>
      </c>
      <c r="J187" s="741">
        <v>16900</v>
      </c>
      <c r="K187" s="716"/>
      <c r="L187" s="716"/>
      <c r="M187" s="721"/>
      <c r="N187" s="715" t="s">
        <v>232</v>
      </c>
      <c r="O187" s="716">
        <v>7.5</v>
      </c>
      <c r="P187" s="716"/>
      <c r="Q187" s="721"/>
      <c r="R187" s="715">
        <v>1</v>
      </c>
      <c r="S187" s="718">
        <v>6.7</v>
      </c>
      <c r="T187" s="716" t="s">
        <v>2139</v>
      </c>
      <c r="U187" s="718">
        <v>11</v>
      </c>
      <c r="V187" s="719">
        <v>4.5</v>
      </c>
      <c r="W187" s="718"/>
      <c r="X187" s="718"/>
      <c r="Y187" s="718"/>
      <c r="Z187" s="715">
        <v>168</v>
      </c>
      <c r="AA187" s="684" t="s">
        <v>2140</v>
      </c>
      <c r="AB187" s="720" t="s">
        <v>540</v>
      </c>
      <c r="AC187" s="716" t="s">
        <v>541</v>
      </c>
      <c r="AD187" s="723" t="s">
        <v>542</v>
      </c>
      <c r="AE187" s="715"/>
      <c r="AF187" s="716">
        <v>0</v>
      </c>
      <c r="AG187" s="720"/>
      <c r="AH187" s="684"/>
      <c r="AI187" s="716" t="s">
        <v>2004</v>
      </c>
      <c r="AJ187" s="716"/>
      <c r="AK187" s="716"/>
      <c r="AL187" s="715"/>
      <c r="AM187" s="716"/>
      <c r="AN187" s="716"/>
      <c r="AO187" s="716"/>
      <c r="AP187" s="716"/>
      <c r="AQ187" s="721"/>
      <c r="AR187" s="676"/>
      <c r="AS187" s="537" t="b">
        <f t="array" ref="AS187">AND(D187:AQ187=inp_used,A187=inp_used_usersel)</f>
        <v>0</v>
      </c>
      <c r="AT187" s="674" t="b">
        <f t="array" ref="AT187">AND(D187:G187=inp_used_minimal,A187=inp_used_usersel)</f>
        <v>0</v>
      </c>
      <c r="AV187" s="674" t="b">
        <f t="shared" si="11"/>
        <v>0</v>
      </c>
      <c r="AW187" s="674" t="b">
        <f t="shared" si="11"/>
        <v>0</v>
      </c>
    </row>
    <row r="188" spans="1:49" s="674" customFormat="1">
      <c r="A188" s="674">
        <v>12</v>
      </c>
      <c r="B188" s="674">
        <v>1</v>
      </c>
      <c r="C188" s="674">
        <v>4</v>
      </c>
      <c r="D188" s="715">
        <v>0.74</v>
      </c>
      <c r="E188" s="716" t="s">
        <v>226</v>
      </c>
      <c r="F188" s="684">
        <v>0.251</v>
      </c>
      <c r="G188" s="716" t="s">
        <v>226</v>
      </c>
      <c r="H188" s="715" t="s">
        <v>3263</v>
      </c>
      <c r="I188" s="716" t="s">
        <v>992</v>
      </c>
      <c r="J188" s="741">
        <v>16900</v>
      </c>
      <c r="K188" s="716"/>
      <c r="L188" s="716"/>
      <c r="M188" s="721"/>
      <c r="N188" s="715" t="s">
        <v>232</v>
      </c>
      <c r="O188" s="716">
        <v>7.5</v>
      </c>
      <c r="P188" s="716"/>
      <c r="Q188" s="721"/>
      <c r="R188" s="715">
        <v>1</v>
      </c>
      <c r="S188" s="718">
        <v>6.7</v>
      </c>
      <c r="T188" s="716" t="s">
        <v>2139</v>
      </c>
      <c r="U188" s="718">
        <v>11</v>
      </c>
      <c r="V188" s="719">
        <v>7</v>
      </c>
      <c r="W188" s="718"/>
      <c r="X188" s="718"/>
      <c r="Y188" s="718"/>
      <c r="Z188" s="715">
        <v>168</v>
      </c>
      <c r="AA188" s="684" t="s">
        <v>2140</v>
      </c>
      <c r="AB188" s="720" t="s">
        <v>540</v>
      </c>
      <c r="AC188" s="716" t="s">
        <v>541</v>
      </c>
      <c r="AD188" s="723" t="s">
        <v>542</v>
      </c>
      <c r="AE188" s="715"/>
      <c r="AF188" s="716">
        <v>0</v>
      </c>
      <c r="AG188" s="720"/>
      <c r="AH188" s="684"/>
      <c r="AI188" s="716" t="s">
        <v>2004</v>
      </c>
      <c r="AJ188" s="716"/>
      <c r="AK188" s="716"/>
      <c r="AL188" s="715"/>
      <c r="AM188" s="716"/>
      <c r="AN188" s="716"/>
      <c r="AO188" s="716"/>
      <c r="AP188" s="716"/>
      <c r="AQ188" s="721"/>
      <c r="AR188" s="676"/>
      <c r="AS188" s="537" t="b">
        <f t="array" ref="AS188">AND(D188:AQ188=inp_used,A188=inp_used_usersel)</f>
        <v>0</v>
      </c>
      <c r="AT188" s="674" t="b">
        <f t="array" ref="AT188">AND(D188:G188=inp_used_minimal,A188=inp_used_usersel)</f>
        <v>0</v>
      </c>
      <c r="AV188" s="674" t="b">
        <f t="shared" si="11"/>
        <v>0</v>
      </c>
      <c r="AW188" s="674" t="b">
        <f t="shared" si="11"/>
        <v>0</v>
      </c>
    </row>
    <row r="189" spans="1:49" s="674" customFormat="1">
      <c r="A189" s="674">
        <v>12</v>
      </c>
      <c r="B189" s="674">
        <v>1</v>
      </c>
      <c r="C189" s="537">
        <v>5</v>
      </c>
      <c r="D189" s="682">
        <v>2.1520000000000001</v>
      </c>
      <c r="E189" s="716" t="s">
        <v>226</v>
      </c>
      <c r="F189" s="684">
        <v>0.81899999999999995</v>
      </c>
      <c r="G189" s="716" t="s">
        <v>226</v>
      </c>
      <c r="H189" s="715" t="s">
        <v>3263</v>
      </c>
      <c r="I189" s="716" t="s">
        <v>992</v>
      </c>
      <c r="J189" s="741">
        <v>16900</v>
      </c>
      <c r="K189" s="716"/>
      <c r="L189" s="716"/>
      <c r="M189" s="721"/>
      <c r="N189" s="715" t="s">
        <v>232</v>
      </c>
      <c r="O189" s="716">
        <v>7.5</v>
      </c>
      <c r="P189" s="716"/>
      <c r="Q189" s="721"/>
      <c r="R189" s="715">
        <v>1</v>
      </c>
      <c r="S189" s="718">
        <v>6.7</v>
      </c>
      <c r="T189" s="716" t="s">
        <v>2139</v>
      </c>
      <c r="U189" s="718">
        <v>11</v>
      </c>
      <c r="V189" s="719">
        <v>8.5</v>
      </c>
      <c r="W189" s="718"/>
      <c r="X189" s="718"/>
      <c r="Y189" s="718"/>
      <c r="Z189" s="715">
        <v>168</v>
      </c>
      <c r="AA189" s="684" t="s">
        <v>2140</v>
      </c>
      <c r="AB189" s="720" t="s">
        <v>540</v>
      </c>
      <c r="AC189" s="716" t="s">
        <v>2725</v>
      </c>
      <c r="AD189" s="723" t="s">
        <v>542</v>
      </c>
      <c r="AE189" s="715"/>
      <c r="AF189" s="716">
        <v>0</v>
      </c>
      <c r="AG189" s="720"/>
      <c r="AH189" s="684"/>
      <c r="AI189" s="716" t="s">
        <v>2004</v>
      </c>
      <c r="AJ189" s="716"/>
      <c r="AK189" s="716"/>
      <c r="AL189" s="715"/>
      <c r="AM189" s="716"/>
      <c r="AN189" s="716"/>
      <c r="AO189" s="716"/>
      <c r="AP189" s="716"/>
      <c r="AQ189" s="721"/>
      <c r="AR189" s="676"/>
      <c r="AS189" s="537" t="b">
        <f t="array" ref="AS189">AND(D189:AQ189=inp_used,A189=inp_used_usersel)</f>
        <v>0</v>
      </c>
      <c r="AT189" s="674" t="b">
        <f t="array" ref="AT189">AND(D189:G189=inp_used_minimal,A189=inp_used_usersel)</f>
        <v>0</v>
      </c>
      <c r="AV189" s="674" t="b">
        <f t="shared" si="11"/>
        <v>0</v>
      </c>
      <c r="AW189" s="674" t="b">
        <f t="shared" si="11"/>
        <v>0</v>
      </c>
    </row>
    <row r="190" spans="1:49" s="674" customFormat="1">
      <c r="A190" s="674">
        <v>12</v>
      </c>
      <c r="B190" s="674">
        <v>1</v>
      </c>
      <c r="C190" s="537">
        <v>6</v>
      </c>
      <c r="D190" s="682">
        <v>7.3650000000000002</v>
      </c>
      <c r="E190" s="716" t="s">
        <v>226</v>
      </c>
      <c r="F190" s="684">
        <v>3.2</v>
      </c>
      <c r="G190" s="716" t="s">
        <v>226</v>
      </c>
      <c r="H190" s="715" t="s">
        <v>3263</v>
      </c>
      <c r="I190" s="716" t="s">
        <v>992</v>
      </c>
      <c r="J190" s="741">
        <v>16900</v>
      </c>
      <c r="K190" s="716"/>
      <c r="L190" s="716"/>
      <c r="M190" s="721"/>
      <c r="N190" s="715" t="s">
        <v>232</v>
      </c>
      <c r="O190" s="716">
        <v>7.5</v>
      </c>
      <c r="P190" s="716"/>
      <c r="Q190" s="721"/>
      <c r="R190" s="715">
        <v>1</v>
      </c>
      <c r="S190" s="718">
        <v>6.2</v>
      </c>
      <c r="T190" s="716" t="s">
        <v>3284</v>
      </c>
      <c r="U190" s="718">
        <v>20</v>
      </c>
      <c r="V190" s="719">
        <v>14</v>
      </c>
      <c r="W190" s="718"/>
      <c r="X190" s="718"/>
      <c r="Y190" s="718"/>
      <c r="Z190" s="715">
        <v>168</v>
      </c>
      <c r="AA190" s="684" t="s">
        <v>2140</v>
      </c>
      <c r="AB190" s="720" t="s">
        <v>540</v>
      </c>
      <c r="AC190" s="716" t="s">
        <v>2725</v>
      </c>
      <c r="AD190" s="723" t="s">
        <v>542</v>
      </c>
      <c r="AE190" s="715"/>
      <c r="AF190" s="716">
        <v>0</v>
      </c>
      <c r="AG190" s="720"/>
      <c r="AH190" s="684"/>
      <c r="AI190" s="716" t="s">
        <v>2004</v>
      </c>
      <c r="AJ190" s="716"/>
      <c r="AK190" s="716"/>
      <c r="AL190" s="715"/>
      <c r="AM190" s="716"/>
      <c r="AN190" s="716"/>
      <c r="AO190" s="716"/>
      <c r="AP190" s="716"/>
      <c r="AQ190" s="721"/>
      <c r="AR190" s="676"/>
      <c r="AS190" s="537" t="b">
        <f t="array" ref="AS190">AND(D190:AQ190=inp_used,A190=inp_used_usersel)</f>
        <v>0</v>
      </c>
      <c r="AT190" s="674" t="b">
        <f t="array" ref="AT190">AND(D190:G190=inp_used_minimal,A190=inp_used_usersel)</f>
        <v>0</v>
      </c>
      <c r="AV190" s="674" t="b">
        <f t="shared" si="11"/>
        <v>0</v>
      </c>
      <c r="AW190" s="674" t="b">
        <f t="shared" si="11"/>
        <v>0</v>
      </c>
    </row>
    <row r="191" spans="1:49" s="674" customFormat="1">
      <c r="A191" s="674">
        <v>12</v>
      </c>
      <c r="B191" s="674">
        <v>1</v>
      </c>
      <c r="C191" s="537">
        <v>7</v>
      </c>
      <c r="D191" s="682">
        <v>22.614000000000001</v>
      </c>
      <c r="E191" s="716" t="s">
        <v>226</v>
      </c>
      <c r="F191" s="684">
        <v>11.066000000000001</v>
      </c>
      <c r="G191" s="716" t="s">
        <v>226</v>
      </c>
      <c r="H191" s="715" t="s">
        <v>3263</v>
      </c>
      <c r="I191" s="716" t="s">
        <v>992</v>
      </c>
      <c r="J191" s="741">
        <v>16900</v>
      </c>
      <c r="K191" s="716"/>
      <c r="L191" s="716"/>
      <c r="M191" s="721"/>
      <c r="N191" s="715" t="s">
        <v>232</v>
      </c>
      <c r="O191" s="716">
        <v>7.5</v>
      </c>
      <c r="P191" s="716"/>
      <c r="Q191" s="721"/>
      <c r="R191" s="715">
        <v>1</v>
      </c>
      <c r="S191" s="718">
        <v>7.1</v>
      </c>
      <c r="T191" s="716" t="s">
        <v>3284</v>
      </c>
      <c r="U191" s="718">
        <v>20</v>
      </c>
      <c r="V191" s="719">
        <v>14</v>
      </c>
      <c r="W191" s="718"/>
      <c r="X191" s="718"/>
      <c r="Y191" s="718"/>
      <c r="Z191" s="715">
        <v>168</v>
      </c>
      <c r="AA191" s="684" t="s">
        <v>2140</v>
      </c>
      <c r="AB191" s="720" t="s">
        <v>540</v>
      </c>
      <c r="AC191" s="716" t="s">
        <v>2725</v>
      </c>
      <c r="AD191" s="723" t="s">
        <v>542</v>
      </c>
      <c r="AE191" s="715"/>
      <c r="AF191" s="716">
        <v>0</v>
      </c>
      <c r="AG191" s="720"/>
      <c r="AH191" s="684"/>
      <c r="AI191" s="716" t="s">
        <v>2004</v>
      </c>
      <c r="AJ191" s="716"/>
      <c r="AK191" s="716"/>
      <c r="AL191" s="715"/>
      <c r="AM191" s="716"/>
      <c r="AN191" s="716"/>
      <c r="AO191" s="716"/>
      <c r="AP191" s="716"/>
      <c r="AQ191" s="721"/>
      <c r="AR191" s="676"/>
      <c r="AS191" s="537" t="b">
        <f t="array" ref="AS191">AND(D191:AQ191=inp_used,A191=inp_used_usersel)</f>
        <v>0</v>
      </c>
      <c r="AT191" s="674" t="b">
        <f t="array" ref="AT191">AND(D191:G191=inp_used_minimal,A191=inp_used_usersel)</f>
        <v>0</v>
      </c>
      <c r="AV191" s="674" t="b">
        <f t="shared" si="11"/>
        <v>0</v>
      </c>
      <c r="AW191" s="674" t="b">
        <f t="shared" si="11"/>
        <v>0</v>
      </c>
    </row>
    <row r="192" spans="1:49" s="674" customFormat="1">
      <c r="A192" s="724">
        <v>12</v>
      </c>
      <c r="B192" s="724">
        <v>1</v>
      </c>
      <c r="C192" s="726">
        <v>8</v>
      </c>
      <c r="D192" s="725">
        <v>75.072000000000003</v>
      </c>
      <c r="E192" s="724" t="s">
        <v>226</v>
      </c>
      <c r="F192" s="726">
        <v>37.536000000000001</v>
      </c>
      <c r="G192" s="724" t="s">
        <v>226</v>
      </c>
      <c r="H192" s="727" t="s">
        <v>3263</v>
      </c>
      <c r="I192" s="724" t="s">
        <v>992</v>
      </c>
      <c r="J192" s="742">
        <v>16900</v>
      </c>
      <c r="K192" s="724"/>
      <c r="L192" s="724"/>
      <c r="M192" s="729"/>
      <c r="N192" s="727" t="s">
        <v>232</v>
      </c>
      <c r="O192" s="724">
        <v>7.5</v>
      </c>
      <c r="P192" s="724"/>
      <c r="Q192" s="729"/>
      <c r="R192" s="715">
        <v>1</v>
      </c>
      <c r="S192" s="732">
        <v>7.2</v>
      </c>
      <c r="T192" s="724" t="s">
        <v>3284</v>
      </c>
      <c r="U192" s="732">
        <v>20</v>
      </c>
      <c r="V192" s="733">
        <v>14</v>
      </c>
      <c r="W192" s="731"/>
      <c r="X192" s="732"/>
      <c r="Y192" s="733"/>
      <c r="Z192" s="727">
        <v>168</v>
      </c>
      <c r="AA192" s="726" t="s">
        <v>2140</v>
      </c>
      <c r="AB192" s="734" t="s">
        <v>540</v>
      </c>
      <c r="AC192" s="724" t="s">
        <v>2725</v>
      </c>
      <c r="AD192" s="712" t="s">
        <v>542</v>
      </c>
      <c r="AE192" s="727"/>
      <c r="AF192" s="724">
        <v>0</v>
      </c>
      <c r="AG192" s="734"/>
      <c r="AH192" s="726"/>
      <c r="AI192" s="724" t="s">
        <v>2004</v>
      </c>
      <c r="AJ192" s="724"/>
      <c r="AK192" s="729"/>
      <c r="AL192" s="727"/>
      <c r="AM192" s="724"/>
      <c r="AN192" s="724"/>
      <c r="AO192" s="724"/>
      <c r="AP192" s="724"/>
      <c r="AQ192" s="729"/>
      <c r="AR192" s="676"/>
      <c r="AS192" s="537" t="b">
        <f t="array" ref="AS192">AND(D192:AQ192=inp_used,A192=inp_used_usersel)</f>
        <v>0</v>
      </c>
      <c r="AT192" s="674" t="b">
        <f t="array" ref="AT192">AND(D192:G192=inp_used_minimal,A192=inp_used_usersel)</f>
        <v>0</v>
      </c>
      <c r="AV192" s="674" t="b">
        <f t="shared" si="11"/>
        <v>0</v>
      </c>
      <c r="AW192" s="674" t="b">
        <f t="shared" si="11"/>
        <v>0</v>
      </c>
    </row>
    <row r="193" spans="1:49" s="674" customFormat="1">
      <c r="A193" s="674">
        <v>12</v>
      </c>
      <c r="B193" s="735">
        <v>2</v>
      </c>
      <c r="C193" s="674">
        <v>1</v>
      </c>
      <c r="D193" s="715">
        <v>0.03</v>
      </c>
      <c r="E193" s="716" t="s">
        <v>226</v>
      </c>
      <c r="F193" s="684">
        <v>7.0000000000000001E-3</v>
      </c>
      <c r="G193" s="716" t="s">
        <v>226</v>
      </c>
      <c r="H193" s="715" t="s">
        <v>3263</v>
      </c>
      <c r="I193" s="716" t="s">
        <v>992</v>
      </c>
      <c r="J193" s="741">
        <v>16900</v>
      </c>
      <c r="K193" s="716"/>
      <c r="L193" s="716"/>
      <c r="M193" s="721"/>
      <c r="N193" s="715" t="s">
        <v>232</v>
      </c>
      <c r="O193" s="716">
        <v>7.5</v>
      </c>
      <c r="P193" s="716"/>
      <c r="Q193" s="721"/>
      <c r="R193" s="737"/>
      <c r="S193" s="718"/>
      <c r="T193" s="718"/>
      <c r="U193" s="718"/>
      <c r="V193" s="719"/>
      <c r="W193" s="682">
        <v>6</v>
      </c>
      <c r="X193" s="684">
        <v>6</v>
      </c>
      <c r="Y193" s="684">
        <v>3</v>
      </c>
      <c r="Z193" s="715">
        <v>168</v>
      </c>
      <c r="AA193" s="684" t="s">
        <v>2140</v>
      </c>
      <c r="AB193" s="684" t="s">
        <v>2996</v>
      </c>
      <c r="AC193" s="716" t="s">
        <v>541</v>
      </c>
      <c r="AD193" s="684" t="s">
        <v>542</v>
      </c>
      <c r="AE193" s="715"/>
      <c r="AF193" s="1043">
        <v>0</v>
      </c>
      <c r="AG193" s="720"/>
      <c r="AH193" s="684"/>
      <c r="AI193" s="716" t="s">
        <v>2004</v>
      </c>
      <c r="AJ193" s="716"/>
      <c r="AK193" s="716"/>
      <c r="AL193" s="715"/>
      <c r="AM193" s="716"/>
      <c r="AN193" s="716"/>
      <c r="AO193" s="716"/>
      <c r="AP193" s="716"/>
      <c r="AQ193" s="721"/>
      <c r="AR193" s="676" t="s">
        <v>196</v>
      </c>
      <c r="AS193" s="537" t="b">
        <f t="array" ref="AS193">AND(D193:AQ193=inp_used,A193=inp_used_usersel)</f>
        <v>0</v>
      </c>
      <c r="AT193" s="674" t="b">
        <f t="array" ref="AT193">AND(D193:G193=inp_used_minimal,A193=inp_used_usersel)</f>
        <v>0</v>
      </c>
    </row>
    <row r="194" spans="1:49" s="674" customFormat="1">
      <c r="A194" s="674">
        <v>12</v>
      </c>
      <c r="B194" s="716">
        <v>2</v>
      </c>
      <c r="C194" s="674">
        <v>2</v>
      </c>
      <c r="D194" s="715">
        <v>0.124</v>
      </c>
      <c r="E194" s="716" t="s">
        <v>226</v>
      </c>
      <c r="F194" s="684">
        <v>3.5000000000000003E-2</v>
      </c>
      <c r="G194" s="716" t="s">
        <v>226</v>
      </c>
      <c r="H194" s="715" t="s">
        <v>3263</v>
      </c>
      <c r="I194" s="716" t="s">
        <v>992</v>
      </c>
      <c r="J194" s="741">
        <v>16900</v>
      </c>
      <c r="K194" s="716"/>
      <c r="L194" s="716"/>
      <c r="M194" s="721"/>
      <c r="N194" s="715" t="s">
        <v>232</v>
      </c>
      <c r="O194" s="716">
        <v>7.5</v>
      </c>
      <c r="P194" s="716"/>
      <c r="Q194" s="721"/>
      <c r="R194" s="715"/>
      <c r="S194" s="718"/>
      <c r="T194" s="718"/>
      <c r="U194" s="718"/>
      <c r="V194" s="719"/>
      <c r="W194" s="682">
        <v>6</v>
      </c>
      <c r="X194" s="684">
        <v>6</v>
      </c>
      <c r="Y194" s="684">
        <v>3</v>
      </c>
      <c r="Z194" s="715">
        <v>168</v>
      </c>
      <c r="AA194" s="684" t="s">
        <v>2140</v>
      </c>
      <c r="AB194" s="684" t="s">
        <v>2996</v>
      </c>
      <c r="AC194" s="716" t="s">
        <v>541</v>
      </c>
      <c r="AD194" s="684" t="s">
        <v>542</v>
      </c>
      <c r="AE194" s="715"/>
      <c r="AF194" s="716">
        <v>0</v>
      </c>
      <c r="AG194" s="720"/>
      <c r="AH194" s="684"/>
      <c r="AI194" s="716" t="s">
        <v>2004</v>
      </c>
      <c r="AJ194" s="716"/>
      <c r="AK194" s="716"/>
      <c r="AL194" s="715"/>
      <c r="AM194" s="716"/>
      <c r="AN194" s="716"/>
      <c r="AO194" s="716"/>
      <c r="AP194" s="716"/>
      <c r="AQ194" s="721"/>
      <c r="AR194" s="676"/>
      <c r="AS194" s="537" t="b">
        <f t="array" ref="AS194">AND(D194:AQ194=inp_used,A194=inp_used_usersel)</f>
        <v>0</v>
      </c>
      <c r="AT194" s="674" t="b">
        <f t="array" ref="AT194">AND(D194:G194=inp_used_minimal,A194=inp_used_usersel)</f>
        <v>0</v>
      </c>
    </row>
    <row r="195" spans="1:49" s="674" customFormat="1">
      <c r="A195" s="674">
        <v>12</v>
      </c>
      <c r="B195" s="716">
        <v>2</v>
      </c>
      <c r="C195" s="674">
        <v>3</v>
      </c>
      <c r="D195" s="715">
        <v>0.30499999999999999</v>
      </c>
      <c r="E195" s="716" t="s">
        <v>226</v>
      </c>
      <c r="F195" s="684">
        <v>9.4E-2</v>
      </c>
      <c r="G195" s="716" t="s">
        <v>226</v>
      </c>
      <c r="H195" s="715" t="s">
        <v>3263</v>
      </c>
      <c r="I195" s="716" t="s">
        <v>992</v>
      </c>
      <c r="J195" s="741">
        <v>16900</v>
      </c>
      <c r="K195" s="716"/>
      <c r="L195" s="716"/>
      <c r="M195" s="721"/>
      <c r="N195" s="715" t="s">
        <v>232</v>
      </c>
      <c r="O195" s="716">
        <v>7.5</v>
      </c>
      <c r="P195" s="716"/>
      <c r="Q195" s="721"/>
      <c r="R195" s="715"/>
      <c r="S195" s="718"/>
      <c r="T195" s="718"/>
      <c r="U195" s="718"/>
      <c r="V195" s="719"/>
      <c r="W195" s="682">
        <v>6</v>
      </c>
      <c r="X195" s="684">
        <v>6</v>
      </c>
      <c r="Y195" s="684">
        <v>3</v>
      </c>
      <c r="Z195" s="715">
        <v>168</v>
      </c>
      <c r="AA195" s="684" t="s">
        <v>2140</v>
      </c>
      <c r="AB195" s="684" t="s">
        <v>2996</v>
      </c>
      <c r="AC195" s="716" t="s">
        <v>541</v>
      </c>
      <c r="AD195" s="684" t="s">
        <v>542</v>
      </c>
      <c r="AE195" s="715"/>
      <c r="AF195" s="716">
        <v>0</v>
      </c>
      <c r="AG195" s="720"/>
      <c r="AH195" s="684"/>
      <c r="AI195" s="716" t="s">
        <v>2004</v>
      </c>
      <c r="AJ195" s="716"/>
      <c r="AK195" s="716"/>
      <c r="AL195" s="715"/>
      <c r="AM195" s="716"/>
      <c r="AN195" s="716"/>
      <c r="AO195" s="716"/>
      <c r="AP195" s="716"/>
      <c r="AQ195" s="721"/>
      <c r="AR195" s="676"/>
      <c r="AS195" s="537" t="b">
        <f t="array" ref="AS195">AND(D195:AQ195=inp_used,A195=inp_used_usersel)</f>
        <v>0</v>
      </c>
      <c r="AT195" s="674" t="b">
        <f t="array" ref="AT195">AND(D195:G195=inp_used_minimal,A195=inp_used_usersel)</f>
        <v>0</v>
      </c>
    </row>
    <row r="196" spans="1:49" s="674" customFormat="1">
      <c r="A196" s="674">
        <v>12</v>
      </c>
      <c r="B196" s="716">
        <v>2</v>
      </c>
      <c r="C196" s="674">
        <v>4</v>
      </c>
      <c r="D196" s="715">
        <v>0.74</v>
      </c>
      <c r="E196" s="716" t="s">
        <v>226</v>
      </c>
      <c r="F196" s="684">
        <v>0.251</v>
      </c>
      <c r="G196" s="716" t="s">
        <v>226</v>
      </c>
      <c r="H196" s="715" t="s">
        <v>3263</v>
      </c>
      <c r="I196" s="716" t="s">
        <v>992</v>
      </c>
      <c r="J196" s="741">
        <v>16900</v>
      </c>
      <c r="K196" s="716"/>
      <c r="L196" s="716"/>
      <c r="M196" s="721"/>
      <c r="N196" s="715" t="s">
        <v>232</v>
      </c>
      <c r="O196" s="716">
        <v>7.5</v>
      </c>
      <c r="P196" s="716"/>
      <c r="Q196" s="721"/>
      <c r="R196" s="715"/>
      <c r="S196" s="718"/>
      <c r="T196" s="718"/>
      <c r="U196" s="718"/>
      <c r="V196" s="719"/>
      <c r="W196" s="682">
        <v>7</v>
      </c>
      <c r="X196" s="684">
        <v>7</v>
      </c>
      <c r="Y196" s="684">
        <v>5.3</v>
      </c>
      <c r="Z196" s="715">
        <v>168</v>
      </c>
      <c r="AA196" s="684" t="s">
        <v>2140</v>
      </c>
      <c r="AB196" s="684" t="s">
        <v>2996</v>
      </c>
      <c r="AC196" s="716" t="s">
        <v>541</v>
      </c>
      <c r="AD196" s="684" t="s">
        <v>542</v>
      </c>
      <c r="AE196" s="715"/>
      <c r="AF196" s="716">
        <v>0</v>
      </c>
      <c r="AG196" s="720"/>
      <c r="AH196" s="684"/>
      <c r="AI196" s="716" t="s">
        <v>2004</v>
      </c>
      <c r="AJ196" s="716"/>
      <c r="AK196" s="716"/>
      <c r="AL196" s="715"/>
      <c r="AM196" s="716"/>
      <c r="AN196" s="716"/>
      <c r="AO196" s="716"/>
      <c r="AP196" s="716"/>
      <c r="AQ196" s="721"/>
      <c r="AR196" s="676"/>
      <c r="AS196" s="537" t="b">
        <f t="array" ref="AS196">AND(D196:AQ196=inp_used,A196=inp_used_usersel)</f>
        <v>0</v>
      </c>
      <c r="AT196" s="674" t="b">
        <f t="array" ref="AT196">AND(D196:G196=inp_used_minimal,A196=inp_used_usersel)</f>
        <v>0</v>
      </c>
    </row>
    <row r="197" spans="1:49" s="674" customFormat="1">
      <c r="A197" s="674">
        <v>12</v>
      </c>
      <c r="B197" s="716">
        <v>2</v>
      </c>
      <c r="C197" s="537">
        <v>5</v>
      </c>
      <c r="D197" s="682">
        <v>2.1520000000000001</v>
      </c>
      <c r="E197" s="716" t="s">
        <v>226</v>
      </c>
      <c r="F197" s="684">
        <v>0.81899999999999995</v>
      </c>
      <c r="G197" s="716" t="s">
        <v>226</v>
      </c>
      <c r="H197" s="715" t="s">
        <v>3263</v>
      </c>
      <c r="I197" s="716" t="s">
        <v>992</v>
      </c>
      <c r="J197" s="741">
        <v>16900</v>
      </c>
      <c r="K197" s="716"/>
      <c r="L197" s="716"/>
      <c r="M197" s="721"/>
      <c r="N197" s="715" t="s">
        <v>232</v>
      </c>
      <c r="O197" s="716">
        <v>7.5</v>
      </c>
      <c r="P197" s="716"/>
      <c r="Q197" s="721"/>
      <c r="R197" s="715"/>
      <c r="S197" s="718"/>
      <c r="T197" s="718"/>
      <c r="U197" s="718"/>
      <c r="V197" s="719"/>
      <c r="W197" s="682">
        <v>8</v>
      </c>
      <c r="X197" s="684">
        <v>8</v>
      </c>
      <c r="Y197" s="684">
        <v>7.9</v>
      </c>
      <c r="Z197" s="715">
        <v>168</v>
      </c>
      <c r="AA197" s="684" t="s">
        <v>2140</v>
      </c>
      <c r="AB197" s="684" t="s">
        <v>2996</v>
      </c>
      <c r="AC197" s="716" t="s">
        <v>2725</v>
      </c>
      <c r="AD197" s="684" t="s">
        <v>542</v>
      </c>
      <c r="AE197" s="715"/>
      <c r="AF197" s="716">
        <v>0</v>
      </c>
      <c r="AG197" s="720"/>
      <c r="AH197" s="684"/>
      <c r="AI197" s="716" t="s">
        <v>2004</v>
      </c>
      <c r="AJ197" s="716"/>
      <c r="AK197" s="716"/>
      <c r="AL197" s="715"/>
      <c r="AM197" s="716"/>
      <c r="AN197" s="716"/>
      <c r="AO197" s="716"/>
      <c r="AP197" s="716"/>
      <c r="AQ197" s="721"/>
      <c r="AR197" s="676"/>
      <c r="AS197" s="537" t="b">
        <f t="array" ref="AS197">AND(D197:AQ197=inp_used,A197=inp_used_usersel)</f>
        <v>0</v>
      </c>
      <c r="AT197" s="674" t="b">
        <f t="array" ref="AT197">AND(D197:G197=inp_used_minimal,A197=inp_used_usersel)</f>
        <v>0</v>
      </c>
    </row>
    <row r="198" spans="1:49" s="674" customFormat="1">
      <c r="A198" s="674">
        <v>12</v>
      </c>
      <c r="B198" s="716">
        <v>2</v>
      </c>
      <c r="C198" s="537">
        <v>6</v>
      </c>
      <c r="D198" s="682">
        <v>7.3650000000000002</v>
      </c>
      <c r="E198" s="716" t="s">
        <v>226</v>
      </c>
      <c r="F198" s="684">
        <v>3.2</v>
      </c>
      <c r="G198" s="716" t="s">
        <v>226</v>
      </c>
      <c r="H198" s="715" t="s">
        <v>3263</v>
      </c>
      <c r="I198" s="716" t="s">
        <v>992</v>
      </c>
      <c r="J198" s="741">
        <v>16900</v>
      </c>
      <c r="K198" s="716"/>
      <c r="L198" s="716"/>
      <c r="M198" s="721"/>
      <c r="N198" s="715" t="s">
        <v>232</v>
      </c>
      <c r="O198" s="716">
        <v>7.5</v>
      </c>
      <c r="P198" s="716"/>
      <c r="Q198" s="721"/>
      <c r="R198" s="715"/>
      <c r="S198" s="718"/>
      <c r="T198" s="718"/>
      <c r="U198" s="718"/>
      <c r="V198" s="719"/>
      <c r="W198" s="682">
        <v>11.5</v>
      </c>
      <c r="X198" s="684">
        <v>11.5</v>
      </c>
      <c r="Y198" s="684">
        <v>7.8</v>
      </c>
      <c r="Z198" s="715">
        <v>168</v>
      </c>
      <c r="AA198" s="684" t="s">
        <v>2140</v>
      </c>
      <c r="AB198" s="684" t="s">
        <v>2996</v>
      </c>
      <c r="AC198" s="716" t="s">
        <v>2725</v>
      </c>
      <c r="AD198" s="684" t="s">
        <v>542</v>
      </c>
      <c r="AE198" s="715"/>
      <c r="AF198" s="716">
        <v>0</v>
      </c>
      <c r="AG198" s="720"/>
      <c r="AH198" s="684"/>
      <c r="AI198" s="716" t="s">
        <v>2004</v>
      </c>
      <c r="AJ198" s="716"/>
      <c r="AK198" s="716"/>
      <c r="AL198" s="715"/>
      <c r="AM198" s="716"/>
      <c r="AN198" s="716"/>
      <c r="AO198" s="716"/>
      <c r="AP198" s="716"/>
      <c r="AQ198" s="721"/>
      <c r="AR198" s="676"/>
      <c r="AS198" s="537" t="b">
        <f t="array" ref="AS198">AND(D198:AQ198=inp_used,A198=inp_used_usersel)</f>
        <v>0</v>
      </c>
      <c r="AT198" s="674" t="b">
        <f t="array" ref="AT198">AND(D198:G198=inp_used_minimal,A198=inp_used_usersel)</f>
        <v>0</v>
      </c>
    </row>
    <row r="199" spans="1:49" s="674" customFormat="1">
      <c r="A199" s="674">
        <v>12</v>
      </c>
      <c r="B199" s="716">
        <v>2</v>
      </c>
      <c r="C199" s="537">
        <v>7</v>
      </c>
      <c r="D199" s="682">
        <v>22.614000000000001</v>
      </c>
      <c r="E199" s="716" t="s">
        <v>226</v>
      </c>
      <c r="F199" s="684">
        <v>11.066000000000001</v>
      </c>
      <c r="G199" s="716" t="s">
        <v>226</v>
      </c>
      <c r="H199" s="715" t="s">
        <v>3263</v>
      </c>
      <c r="I199" s="716" t="s">
        <v>992</v>
      </c>
      <c r="J199" s="741">
        <v>16900</v>
      </c>
      <c r="K199" s="716"/>
      <c r="L199" s="716"/>
      <c r="M199" s="721"/>
      <c r="N199" s="715" t="s">
        <v>232</v>
      </c>
      <c r="O199" s="716">
        <v>7.5</v>
      </c>
      <c r="P199" s="716"/>
      <c r="Q199" s="721"/>
      <c r="R199" s="715"/>
      <c r="S199" s="718"/>
      <c r="T199" s="718"/>
      <c r="U199" s="718"/>
      <c r="V199" s="719"/>
      <c r="W199" s="682">
        <v>15</v>
      </c>
      <c r="X199" s="684">
        <v>15</v>
      </c>
      <c r="Y199" s="684">
        <v>7.8</v>
      </c>
      <c r="Z199" s="715">
        <v>168</v>
      </c>
      <c r="AA199" s="684" t="s">
        <v>2140</v>
      </c>
      <c r="AB199" s="684" t="s">
        <v>2996</v>
      </c>
      <c r="AC199" s="716" t="s">
        <v>2725</v>
      </c>
      <c r="AD199" s="684" t="s">
        <v>542</v>
      </c>
      <c r="AE199" s="715"/>
      <c r="AF199" s="716">
        <v>0</v>
      </c>
      <c r="AG199" s="720"/>
      <c r="AH199" s="684"/>
      <c r="AI199" s="716" t="s">
        <v>2004</v>
      </c>
      <c r="AJ199" s="716"/>
      <c r="AK199" s="716"/>
      <c r="AL199" s="715"/>
      <c r="AM199" s="716"/>
      <c r="AN199" s="716"/>
      <c r="AO199" s="716"/>
      <c r="AP199" s="716"/>
      <c r="AQ199" s="721"/>
      <c r="AR199" s="676"/>
      <c r="AS199" s="537" t="b">
        <f t="array" ref="AS199">AND(D199:AQ199=inp_used,A199=inp_used_usersel)</f>
        <v>0</v>
      </c>
      <c r="AT199" s="674" t="b">
        <f t="array" ref="AT199">AND(D199:G199=inp_used_minimal,A199=inp_used_usersel)</f>
        <v>0</v>
      </c>
    </row>
    <row r="200" spans="1:49" s="674" customFormat="1">
      <c r="A200" s="724">
        <v>12</v>
      </c>
      <c r="B200" s="724">
        <v>2</v>
      </c>
      <c r="C200" s="726">
        <v>8</v>
      </c>
      <c r="D200" s="725">
        <v>75.072000000000003</v>
      </c>
      <c r="E200" s="724" t="s">
        <v>226</v>
      </c>
      <c r="F200" s="726">
        <v>37.536000000000001</v>
      </c>
      <c r="G200" s="724" t="s">
        <v>226</v>
      </c>
      <c r="H200" s="727" t="s">
        <v>3263</v>
      </c>
      <c r="I200" s="724" t="s">
        <v>992</v>
      </c>
      <c r="J200" s="742">
        <v>16900</v>
      </c>
      <c r="K200" s="724"/>
      <c r="L200" s="724"/>
      <c r="M200" s="729"/>
      <c r="N200" s="727" t="s">
        <v>232</v>
      </c>
      <c r="O200" s="724">
        <v>7.5</v>
      </c>
      <c r="P200" s="724"/>
      <c r="Q200" s="729"/>
      <c r="R200" s="727"/>
      <c r="S200" s="732"/>
      <c r="T200" s="732"/>
      <c r="U200" s="732"/>
      <c r="V200" s="733"/>
      <c r="W200" s="725">
        <v>30</v>
      </c>
      <c r="X200" s="726">
        <v>30</v>
      </c>
      <c r="Y200" s="712">
        <v>9.6999999999999993</v>
      </c>
      <c r="Z200" s="727">
        <v>168</v>
      </c>
      <c r="AA200" s="726" t="s">
        <v>2140</v>
      </c>
      <c r="AB200" s="726" t="s">
        <v>2996</v>
      </c>
      <c r="AC200" s="724" t="s">
        <v>2725</v>
      </c>
      <c r="AD200" s="726" t="s">
        <v>542</v>
      </c>
      <c r="AE200" s="727"/>
      <c r="AF200" s="724">
        <v>0</v>
      </c>
      <c r="AG200" s="734"/>
      <c r="AH200" s="726"/>
      <c r="AI200" s="724" t="s">
        <v>2004</v>
      </c>
      <c r="AJ200" s="724"/>
      <c r="AK200" s="729"/>
      <c r="AL200" s="727"/>
      <c r="AM200" s="724"/>
      <c r="AN200" s="724"/>
      <c r="AO200" s="724"/>
      <c r="AP200" s="724"/>
      <c r="AQ200" s="729"/>
      <c r="AR200" s="676"/>
      <c r="AS200" s="537" t="b">
        <f t="array" ref="AS200">AND(D200:AQ200=inp_used,A200=inp_used_usersel)</f>
        <v>0</v>
      </c>
      <c r="AT200" s="674" t="b">
        <f t="array" ref="AT200">AND(D200:G200=inp_used_minimal,A200=inp_used_usersel)</f>
        <v>0</v>
      </c>
    </row>
    <row r="201" spans="1:49" s="674" customFormat="1">
      <c r="A201" s="674">
        <v>13</v>
      </c>
      <c r="B201" s="674">
        <v>1</v>
      </c>
      <c r="C201" s="674">
        <v>1</v>
      </c>
      <c r="D201" s="715">
        <v>0.03</v>
      </c>
      <c r="E201" s="716" t="s">
        <v>226</v>
      </c>
      <c r="F201" s="684">
        <v>7.0000000000000001E-3</v>
      </c>
      <c r="G201" s="716" t="s">
        <v>226</v>
      </c>
      <c r="H201" s="715" t="s">
        <v>3263</v>
      </c>
      <c r="I201" s="716" t="s">
        <v>992</v>
      </c>
      <c r="J201" s="741">
        <v>5560</v>
      </c>
      <c r="K201" s="716"/>
      <c r="L201" s="716"/>
      <c r="M201" s="721"/>
      <c r="N201" s="715" t="s">
        <v>232</v>
      </c>
      <c r="O201" s="716">
        <v>7.5</v>
      </c>
      <c r="P201" s="716"/>
      <c r="Q201" s="721"/>
      <c r="R201" s="715">
        <v>1</v>
      </c>
      <c r="S201" s="718">
        <v>3.4</v>
      </c>
      <c r="T201" s="716" t="s">
        <v>2139</v>
      </c>
      <c r="U201" s="718">
        <v>6</v>
      </c>
      <c r="V201" s="719">
        <v>2</v>
      </c>
      <c r="W201" s="718"/>
      <c r="X201" s="718"/>
      <c r="Y201" s="718"/>
      <c r="Z201" s="715">
        <v>168</v>
      </c>
      <c r="AA201" s="684" t="s">
        <v>2140</v>
      </c>
      <c r="AB201" s="720" t="s">
        <v>539</v>
      </c>
      <c r="AC201" s="716" t="s">
        <v>541</v>
      </c>
      <c r="AD201" s="721"/>
      <c r="AE201" s="737"/>
      <c r="AF201" s="1043">
        <v>0</v>
      </c>
      <c r="AG201" s="743"/>
      <c r="AH201" s="744"/>
      <c r="AI201" s="716" t="s">
        <v>2004</v>
      </c>
      <c r="AJ201" s="716"/>
      <c r="AK201" s="716"/>
      <c r="AL201" s="715"/>
      <c r="AM201" s="716"/>
      <c r="AN201" s="716"/>
      <c r="AO201" s="716"/>
      <c r="AP201" s="716"/>
      <c r="AQ201" s="721"/>
      <c r="AR201" s="676" t="s">
        <v>197</v>
      </c>
      <c r="AS201" s="537" t="b">
        <f t="array" ref="AS201">AND(D201:AQ201=inp_used,A201=inp_used_usersel)</f>
        <v>0</v>
      </c>
      <c r="AT201" s="674" t="b">
        <f t="array" ref="AT201">AND(D201:G201=inp_used_minimal,A201=inp_used_usersel)</f>
        <v>0</v>
      </c>
      <c r="AV201" s="674" t="b">
        <f t="shared" ref="AV201:AW208" si="12">CHOOSE(design_type,AS201,AS209)</f>
        <v>0</v>
      </c>
      <c r="AW201" s="674" t="b">
        <f t="shared" si="12"/>
        <v>0</v>
      </c>
    </row>
    <row r="202" spans="1:49" s="674" customFormat="1">
      <c r="A202" s="674">
        <v>13</v>
      </c>
      <c r="B202" s="674">
        <v>1</v>
      </c>
      <c r="C202" s="674">
        <v>2</v>
      </c>
      <c r="D202" s="715">
        <v>0.124</v>
      </c>
      <c r="E202" s="716" t="s">
        <v>226</v>
      </c>
      <c r="F202" s="684">
        <v>3.5000000000000003E-2</v>
      </c>
      <c r="G202" s="716" t="s">
        <v>226</v>
      </c>
      <c r="H202" s="715" t="s">
        <v>3263</v>
      </c>
      <c r="I202" s="716" t="s">
        <v>992</v>
      </c>
      <c r="J202" s="741">
        <v>5560</v>
      </c>
      <c r="K202" s="716"/>
      <c r="L202" s="716"/>
      <c r="M202" s="721"/>
      <c r="N202" s="715" t="s">
        <v>232</v>
      </c>
      <c r="O202" s="716">
        <v>7.5</v>
      </c>
      <c r="P202" s="716"/>
      <c r="Q202" s="721"/>
      <c r="R202" s="715">
        <v>1</v>
      </c>
      <c r="S202" s="718">
        <v>6.9</v>
      </c>
      <c r="T202" s="716" t="s">
        <v>2139</v>
      </c>
      <c r="U202" s="718">
        <v>11</v>
      </c>
      <c r="V202" s="719">
        <v>4</v>
      </c>
      <c r="W202" s="718"/>
      <c r="X202" s="718"/>
      <c r="Y202" s="718"/>
      <c r="Z202" s="715">
        <v>168</v>
      </c>
      <c r="AA202" s="684" t="s">
        <v>2140</v>
      </c>
      <c r="AB202" s="720" t="s">
        <v>540</v>
      </c>
      <c r="AC202" s="716" t="s">
        <v>541</v>
      </c>
      <c r="AD202" s="723" t="s">
        <v>542</v>
      </c>
      <c r="AE202" s="715"/>
      <c r="AF202" s="716">
        <v>0</v>
      </c>
      <c r="AG202" s="720"/>
      <c r="AH202" s="684"/>
      <c r="AI202" s="716" t="s">
        <v>2004</v>
      </c>
      <c r="AJ202" s="716"/>
      <c r="AK202" s="716"/>
      <c r="AL202" s="715"/>
      <c r="AM202" s="716"/>
      <c r="AN202" s="716"/>
      <c r="AO202" s="716"/>
      <c r="AP202" s="716"/>
      <c r="AQ202" s="721"/>
      <c r="AR202" s="676"/>
      <c r="AS202" s="537" t="b">
        <f t="array" ref="AS202">AND(D202:AQ202=inp_used,A202=inp_used_usersel)</f>
        <v>0</v>
      </c>
      <c r="AT202" s="674" t="b">
        <f t="array" ref="AT202">AND(D202:G202=inp_used_minimal,A202=inp_used_usersel)</f>
        <v>0</v>
      </c>
      <c r="AV202" s="674" t="b">
        <f t="shared" si="12"/>
        <v>0</v>
      </c>
      <c r="AW202" s="674" t="b">
        <f t="shared" si="12"/>
        <v>0</v>
      </c>
    </row>
    <row r="203" spans="1:49" s="674" customFormat="1">
      <c r="A203" s="674">
        <v>13</v>
      </c>
      <c r="B203" s="674">
        <v>1</v>
      </c>
      <c r="C203" s="674">
        <v>3</v>
      </c>
      <c r="D203" s="715">
        <v>0.30499999999999999</v>
      </c>
      <c r="E203" s="716" t="s">
        <v>226</v>
      </c>
      <c r="F203" s="684">
        <v>9.4E-2</v>
      </c>
      <c r="G203" s="716" t="s">
        <v>226</v>
      </c>
      <c r="H203" s="715" t="s">
        <v>3263</v>
      </c>
      <c r="I203" s="716" t="s">
        <v>992</v>
      </c>
      <c r="J203" s="741">
        <v>5560</v>
      </c>
      <c r="K203" s="716"/>
      <c r="L203" s="716"/>
      <c r="M203" s="721"/>
      <c r="N203" s="715" t="s">
        <v>232</v>
      </c>
      <c r="O203" s="716">
        <v>7.5</v>
      </c>
      <c r="P203" s="716"/>
      <c r="Q203" s="721"/>
      <c r="R203" s="715">
        <v>1</v>
      </c>
      <c r="S203" s="718">
        <v>6.7</v>
      </c>
      <c r="T203" s="716" t="s">
        <v>2139</v>
      </c>
      <c r="U203" s="718">
        <v>11</v>
      </c>
      <c r="V203" s="719">
        <v>4.5</v>
      </c>
      <c r="W203" s="718"/>
      <c r="X203" s="718"/>
      <c r="Y203" s="718"/>
      <c r="Z203" s="715">
        <v>168</v>
      </c>
      <c r="AA203" s="684" t="s">
        <v>2140</v>
      </c>
      <c r="AB203" s="720" t="s">
        <v>540</v>
      </c>
      <c r="AC203" s="716" t="s">
        <v>541</v>
      </c>
      <c r="AD203" s="723" t="s">
        <v>542</v>
      </c>
      <c r="AE203" s="715"/>
      <c r="AF203" s="716">
        <v>0</v>
      </c>
      <c r="AG203" s="720"/>
      <c r="AH203" s="684"/>
      <c r="AI203" s="716" t="s">
        <v>2004</v>
      </c>
      <c r="AJ203" s="716"/>
      <c r="AK203" s="716"/>
      <c r="AL203" s="715"/>
      <c r="AM203" s="716"/>
      <c r="AN203" s="716"/>
      <c r="AO203" s="716"/>
      <c r="AP203" s="716"/>
      <c r="AQ203" s="721"/>
      <c r="AR203" s="676"/>
      <c r="AS203" s="537" t="b">
        <f t="array" ref="AS203">AND(D203:AQ203=inp_used,A203=inp_used_usersel)</f>
        <v>0</v>
      </c>
      <c r="AT203" s="674" t="b">
        <f t="array" ref="AT203">AND(D203:G203=inp_used_minimal,A203=inp_used_usersel)</f>
        <v>0</v>
      </c>
      <c r="AV203" s="674" t="b">
        <f t="shared" si="12"/>
        <v>0</v>
      </c>
      <c r="AW203" s="674" t="b">
        <f t="shared" si="12"/>
        <v>0</v>
      </c>
    </row>
    <row r="204" spans="1:49" s="674" customFormat="1">
      <c r="A204" s="674">
        <v>13</v>
      </c>
      <c r="B204" s="674">
        <v>1</v>
      </c>
      <c r="C204" s="674">
        <v>4</v>
      </c>
      <c r="D204" s="715">
        <v>0.74</v>
      </c>
      <c r="E204" s="716" t="s">
        <v>226</v>
      </c>
      <c r="F204" s="684">
        <v>0.251</v>
      </c>
      <c r="G204" s="716" t="s">
        <v>226</v>
      </c>
      <c r="H204" s="715" t="s">
        <v>3263</v>
      </c>
      <c r="I204" s="716" t="s">
        <v>992</v>
      </c>
      <c r="J204" s="741">
        <v>5560</v>
      </c>
      <c r="K204" s="716"/>
      <c r="L204" s="716"/>
      <c r="M204" s="721"/>
      <c r="N204" s="715" t="s">
        <v>232</v>
      </c>
      <c r="O204" s="716">
        <v>7.5</v>
      </c>
      <c r="P204" s="716"/>
      <c r="Q204" s="721"/>
      <c r="R204" s="715">
        <v>1</v>
      </c>
      <c r="S204" s="718">
        <v>6.7</v>
      </c>
      <c r="T204" s="716" t="s">
        <v>2139</v>
      </c>
      <c r="U204" s="718">
        <v>11</v>
      </c>
      <c r="V204" s="719">
        <v>7</v>
      </c>
      <c r="W204" s="718"/>
      <c r="X204" s="718"/>
      <c r="Y204" s="718"/>
      <c r="Z204" s="715">
        <v>168</v>
      </c>
      <c r="AA204" s="684" t="s">
        <v>2140</v>
      </c>
      <c r="AB204" s="720" t="s">
        <v>540</v>
      </c>
      <c r="AC204" s="716" t="s">
        <v>541</v>
      </c>
      <c r="AD204" s="723" t="s">
        <v>542</v>
      </c>
      <c r="AE204" s="715"/>
      <c r="AF204" s="716">
        <v>0</v>
      </c>
      <c r="AG204" s="720"/>
      <c r="AH204" s="684"/>
      <c r="AI204" s="716" t="s">
        <v>2004</v>
      </c>
      <c r="AJ204" s="716"/>
      <c r="AK204" s="716"/>
      <c r="AL204" s="715"/>
      <c r="AM204" s="716"/>
      <c r="AN204" s="716"/>
      <c r="AO204" s="716"/>
      <c r="AP204" s="716"/>
      <c r="AQ204" s="721"/>
      <c r="AR204" s="676"/>
      <c r="AS204" s="537" t="b">
        <f t="array" ref="AS204">AND(D204:AQ204=inp_used,A204=inp_used_usersel)</f>
        <v>0</v>
      </c>
      <c r="AT204" s="674" t="b">
        <f t="array" ref="AT204">AND(D204:G204=inp_used_minimal,A204=inp_used_usersel)</f>
        <v>0</v>
      </c>
      <c r="AV204" s="674" t="b">
        <f t="shared" si="12"/>
        <v>0</v>
      </c>
      <c r="AW204" s="674" t="b">
        <f t="shared" si="12"/>
        <v>0</v>
      </c>
    </row>
    <row r="205" spans="1:49" s="674" customFormat="1">
      <c r="A205" s="674">
        <v>13</v>
      </c>
      <c r="B205" s="674">
        <v>1</v>
      </c>
      <c r="C205" s="537">
        <v>5</v>
      </c>
      <c r="D205" s="682">
        <v>2.1520000000000001</v>
      </c>
      <c r="E205" s="716" t="s">
        <v>226</v>
      </c>
      <c r="F205" s="684">
        <v>0.81899999999999995</v>
      </c>
      <c r="G205" s="716" t="s">
        <v>226</v>
      </c>
      <c r="H205" s="715" t="s">
        <v>3263</v>
      </c>
      <c r="I205" s="716" t="s">
        <v>992</v>
      </c>
      <c r="J205" s="741">
        <v>5560</v>
      </c>
      <c r="K205" s="716"/>
      <c r="L205" s="716"/>
      <c r="M205" s="721"/>
      <c r="N205" s="715" t="s">
        <v>232</v>
      </c>
      <c r="O205" s="716">
        <v>7.5</v>
      </c>
      <c r="P205" s="716"/>
      <c r="Q205" s="721"/>
      <c r="R205" s="715">
        <v>1</v>
      </c>
      <c r="S205" s="718">
        <v>6.7</v>
      </c>
      <c r="T205" s="716" t="s">
        <v>2139</v>
      </c>
      <c r="U205" s="718">
        <v>11</v>
      </c>
      <c r="V205" s="719">
        <v>8.5</v>
      </c>
      <c r="W205" s="718"/>
      <c r="X205" s="718"/>
      <c r="Y205" s="718"/>
      <c r="Z205" s="715">
        <v>168</v>
      </c>
      <c r="AA205" s="684" t="s">
        <v>2140</v>
      </c>
      <c r="AB205" s="720" t="s">
        <v>540</v>
      </c>
      <c r="AC205" s="716" t="s">
        <v>2725</v>
      </c>
      <c r="AD205" s="723" t="s">
        <v>542</v>
      </c>
      <c r="AE205" s="715"/>
      <c r="AF205" s="716">
        <v>0</v>
      </c>
      <c r="AG205" s="720"/>
      <c r="AH205" s="684"/>
      <c r="AI205" s="716" t="s">
        <v>2004</v>
      </c>
      <c r="AJ205" s="716"/>
      <c r="AK205" s="716"/>
      <c r="AL205" s="715"/>
      <c r="AM205" s="716"/>
      <c r="AN205" s="716"/>
      <c r="AO205" s="716"/>
      <c r="AP205" s="716"/>
      <c r="AQ205" s="721"/>
      <c r="AR205" s="676"/>
      <c r="AS205" s="537" t="b">
        <f t="array" ref="AS205">AND(D205:AQ205=inp_used,A205=inp_used_usersel)</f>
        <v>0</v>
      </c>
      <c r="AT205" s="674" t="b">
        <f t="array" ref="AT205">AND(D205:G205=inp_used_minimal,A205=inp_used_usersel)</f>
        <v>0</v>
      </c>
      <c r="AV205" s="674" t="b">
        <f t="shared" si="12"/>
        <v>0</v>
      </c>
      <c r="AW205" s="674" t="b">
        <f t="shared" si="12"/>
        <v>0</v>
      </c>
    </row>
    <row r="206" spans="1:49" s="674" customFormat="1">
      <c r="A206" s="674">
        <v>13</v>
      </c>
      <c r="B206" s="674">
        <v>1</v>
      </c>
      <c r="C206" s="537">
        <v>6</v>
      </c>
      <c r="D206" s="682">
        <v>7.3650000000000002</v>
      </c>
      <c r="E206" s="716" t="s">
        <v>226</v>
      </c>
      <c r="F206" s="684">
        <v>3.2</v>
      </c>
      <c r="G206" s="716" t="s">
        <v>226</v>
      </c>
      <c r="H206" s="715" t="s">
        <v>3263</v>
      </c>
      <c r="I206" s="716" t="s">
        <v>992</v>
      </c>
      <c r="J206" s="741">
        <v>5560</v>
      </c>
      <c r="K206" s="716"/>
      <c r="L206" s="716"/>
      <c r="M206" s="721"/>
      <c r="N206" s="715" t="s">
        <v>232</v>
      </c>
      <c r="O206" s="716">
        <v>7.5</v>
      </c>
      <c r="P206" s="716"/>
      <c r="Q206" s="721"/>
      <c r="R206" s="715">
        <v>1</v>
      </c>
      <c r="S206" s="718">
        <v>6.2</v>
      </c>
      <c r="T206" s="716" t="s">
        <v>3284</v>
      </c>
      <c r="U206" s="718">
        <v>20</v>
      </c>
      <c r="V206" s="719">
        <v>14</v>
      </c>
      <c r="W206" s="718"/>
      <c r="X206" s="718"/>
      <c r="Y206" s="718"/>
      <c r="Z206" s="715">
        <v>168</v>
      </c>
      <c r="AA206" s="684" t="s">
        <v>2140</v>
      </c>
      <c r="AB206" s="720" t="s">
        <v>540</v>
      </c>
      <c r="AC206" s="716" t="s">
        <v>2725</v>
      </c>
      <c r="AD206" s="723" t="s">
        <v>542</v>
      </c>
      <c r="AE206" s="715"/>
      <c r="AF206" s="716">
        <v>0</v>
      </c>
      <c r="AG206" s="720"/>
      <c r="AH206" s="684"/>
      <c r="AI206" s="716" t="s">
        <v>2004</v>
      </c>
      <c r="AJ206" s="716"/>
      <c r="AK206" s="716"/>
      <c r="AL206" s="715"/>
      <c r="AM206" s="716"/>
      <c r="AN206" s="716"/>
      <c r="AO206" s="716"/>
      <c r="AP206" s="716"/>
      <c r="AQ206" s="721"/>
      <c r="AR206" s="676"/>
      <c r="AS206" s="537" t="b">
        <f t="array" ref="AS206">AND(D206:AQ206=inp_used,A206=inp_used_usersel)</f>
        <v>0</v>
      </c>
      <c r="AT206" s="674" t="b">
        <f t="array" ref="AT206">AND(D206:G206=inp_used_minimal,A206=inp_used_usersel)</f>
        <v>0</v>
      </c>
      <c r="AV206" s="674" t="b">
        <f t="shared" si="12"/>
        <v>0</v>
      </c>
      <c r="AW206" s="674" t="b">
        <f t="shared" si="12"/>
        <v>0</v>
      </c>
    </row>
    <row r="207" spans="1:49" s="674" customFormat="1">
      <c r="A207" s="674">
        <v>13</v>
      </c>
      <c r="B207" s="674">
        <v>1</v>
      </c>
      <c r="C207" s="537">
        <v>7</v>
      </c>
      <c r="D207" s="682">
        <v>22.614000000000001</v>
      </c>
      <c r="E207" s="716" t="s">
        <v>226</v>
      </c>
      <c r="F207" s="684">
        <v>11.066000000000001</v>
      </c>
      <c r="G207" s="716" t="s">
        <v>226</v>
      </c>
      <c r="H207" s="715" t="s">
        <v>3263</v>
      </c>
      <c r="I207" s="716" t="s">
        <v>992</v>
      </c>
      <c r="J207" s="741">
        <v>5560</v>
      </c>
      <c r="K207" s="716"/>
      <c r="L207" s="716"/>
      <c r="M207" s="721"/>
      <c r="N207" s="715" t="s">
        <v>232</v>
      </c>
      <c r="O207" s="716">
        <v>7.5</v>
      </c>
      <c r="P207" s="716"/>
      <c r="Q207" s="721"/>
      <c r="R207" s="715">
        <v>1</v>
      </c>
      <c r="S207" s="718">
        <v>4.4000000000000004</v>
      </c>
      <c r="T207" s="716" t="s">
        <v>3284</v>
      </c>
      <c r="U207" s="718">
        <v>20</v>
      </c>
      <c r="V207" s="719">
        <v>14</v>
      </c>
      <c r="W207" s="718"/>
      <c r="X207" s="718"/>
      <c r="Y207" s="718"/>
      <c r="Z207" s="715">
        <v>168</v>
      </c>
      <c r="AA207" s="684" t="s">
        <v>2140</v>
      </c>
      <c r="AB207" s="720" t="s">
        <v>540</v>
      </c>
      <c r="AC207" s="716" t="s">
        <v>2725</v>
      </c>
      <c r="AD207" s="723" t="s">
        <v>542</v>
      </c>
      <c r="AE207" s="715"/>
      <c r="AF207" s="716">
        <v>0</v>
      </c>
      <c r="AG207" s="720"/>
      <c r="AH207" s="684"/>
      <c r="AI207" s="716" t="s">
        <v>2004</v>
      </c>
      <c r="AJ207" s="716"/>
      <c r="AK207" s="716"/>
      <c r="AL207" s="715"/>
      <c r="AM207" s="716"/>
      <c r="AN207" s="716"/>
      <c r="AO207" s="716"/>
      <c r="AP207" s="716"/>
      <c r="AQ207" s="721"/>
      <c r="AR207" s="676"/>
      <c r="AS207" s="537" t="b">
        <f t="array" ref="AS207">AND(D207:AQ207=inp_used,A207=inp_used_usersel)</f>
        <v>0</v>
      </c>
      <c r="AT207" s="674" t="b">
        <f t="array" ref="AT207">AND(D207:G207=inp_used_minimal,A207=inp_used_usersel)</f>
        <v>0</v>
      </c>
      <c r="AV207" s="674" t="b">
        <f t="shared" si="12"/>
        <v>0</v>
      </c>
      <c r="AW207" s="674" t="b">
        <f t="shared" si="12"/>
        <v>0</v>
      </c>
    </row>
    <row r="208" spans="1:49" s="674" customFormat="1">
      <c r="A208" s="724">
        <v>13</v>
      </c>
      <c r="B208" s="724">
        <v>1</v>
      </c>
      <c r="C208" s="726">
        <v>8</v>
      </c>
      <c r="D208" s="725">
        <v>75.072000000000003</v>
      </c>
      <c r="E208" s="724" t="s">
        <v>226</v>
      </c>
      <c r="F208" s="726">
        <v>37.536000000000001</v>
      </c>
      <c r="G208" s="724" t="s">
        <v>226</v>
      </c>
      <c r="H208" s="727" t="s">
        <v>3263</v>
      </c>
      <c r="I208" s="724" t="s">
        <v>992</v>
      </c>
      <c r="J208" s="742">
        <v>5560</v>
      </c>
      <c r="K208" s="724"/>
      <c r="L208" s="724"/>
      <c r="M208" s="729"/>
      <c r="N208" s="727" t="s">
        <v>232</v>
      </c>
      <c r="O208" s="724">
        <v>7.5</v>
      </c>
      <c r="P208" s="724"/>
      <c r="Q208" s="729"/>
      <c r="R208" s="715">
        <v>1</v>
      </c>
      <c r="S208" s="732">
        <v>6.5</v>
      </c>
      <c r="T208" s="724" t="s">
        <v>3284</v>
      </c>
      <c r="U208" s="732">
        <v>20</v>
      </c>
      <c r="V208" s="733">
        <v>14</v>
      </c>
      <c r="W208" s="731"/>
      <c r="X208" s="732"/>
      <c r="Y208" s="733"/>
      <c r="Z208" s="727">
        <v>168</v>
      </c>
      <c r="AA208" s="726" t="s">
        <v>2140</v>
      </c>
      <c r="AB208" s="734" t="s">
        <v>540</v>
      </c>
      <c r="AC208" s="724" t="s">
        <v>2725</v>
      </c>
      <c r="AD208" s="712" t="s">
        <v>542</v>
      </c>
      <c r="AE208" s="727"/>
      <c r="AF208" s="724">
        <v>0</v>
      </c>
      <c r="AG208" s="734"/>
      <c r="AH208" s="726"/>
      <c r="AI208" s="724" t="s">
        <v>2004</v>
      </c>
      <c r="AJ208" s="724"/>
      <c r="AK208" s="729"/>
      <c r="AL208" s="727"/>
      <c r="AM208" s="724"/>
      <c r="AN208" s="724"/>
      <c r="AO208" s="724"/>
      <c r="AP208" s="724"/>
      <c r="AQ208" s="729"/>
      <c r="AR208" s="676"/>
      <c r="AS208" s="537" t="b">
        <f t="array" ref="AS208">AND(D208:AQ208=inp_used,A208=inp_used_usersel)</f>
        <v>0</v>
      </c>
      <c r="AT208" s="674" t="b">
        <f t="array" ref="AT208">AND(D208:G208=inp_used_minimal,A208=inp_used_usersel)</f>
        <v>0</v>
      </c>
      <c r="AV208" s="674" t="b">
        <f t="shared" si="12"/>
        <v>0</v>
      </c>
      <c r="AW208" s="674" t="b">
        <f t="shared" si="12"/>
        <v>0</v>
      </c>
    </row>
    <row r="209" spans="1:49" s="674" customFormat="1">
      <c r="A209" s="674">
        <v>13</v>
      </c>
      <c r="B209" s="735">
        <v>2</v>
      </c>
      <c r="C209" s="674">
        <v>1</v>
      </c>
      <c r="D209" s="715">
        <v>0.03</v>
      </c>
      <c r="E209" s="716" t="s">
        <v>226</v>
      </c>
      <c r="F209" s="684">
        <v>7.0000000000000001E-3</v>
      </c>
      <c r="G209" s="716" t="s">
        <v>226</v>
      </c>
      <c r="H209" s="715" t="s">
        <v>3263</v>
      </c>
      <c r="I209" s="716" t="s">
        <v>992</v>
      </c>
      <c r="J209" s="741">
        <v>5560</v>
      </c>
      <c r="K209" s="716"/>
      <c r="L209" s="716"/>
      <c r="M209" s="721"/>
      <c r="N209" s="715" t="s">
        <v>232</v>
      </c>
      <c r="O209" s="716">
        <v>7.5</v>
      </c>
      <c r="P209" s="716"/>
      <c r="Q209" s="721"/>
      <c r="R209" s="737"/>
      <c r="S209" s="718"/>
      <c r="T209" s="718"/>
      <c r="U209" s="718"/>
      <c r="V209" s="719"/>
      <c r="W209" s="682">
        <v>6</v>
      </c>
      <c r="X209" s="684">
        <v>6</v>
      </c>
      <c r="Y209" s="684">
        <v>3</v>
      </c>
      <c r="Z209" s="715">
        <v>168</v>
      </c>
      <c r="AA209" s="684" t="s">
        <v>2140</v>
      </c>
      <c r="AB209" s="684" t="s">
        <v>2996</v>
      </c>
      <c r="AC209" s="716" t="s">
        <v>541</v>
      </c>
      <c r="AD209" s="684" t="s">
        <v>542</v>
      </c>
      <c r="AE209" s="715"/>
      <c r="AF209" s="1043">
        <v>0</v>
      </c>
      <c r="AG209" s="720"/>
      <c r="AH209" s="684"/>
      <c r="AI209" s="716" t="s">
        <v>2004</v>
      </c>
      <c r="AJ209" s="716"/>
      <c r="AK209" s="716"/>
      <c r="AL209" s="715"/>
      <c r="AM209" s="716"/>
      <c r="AN209" s="716"/>
      <c r="AO209" s="716"/>
      <c r="AP209" s="716"/>
      <c r="AQ209" s="721"/>
      <c r="AR209" s="676" t="s">
        <v>198</v>
      </c>
      <c r="AS209" s="537" t="b">
        <f t="array" ref="AS209">AND(D209:AQ209=inp_used,A209=inp_used_usersel)</f>
        <v>0</v>
      </c>
      <c r="AT209" s="674" t="b">
        <f t="array" ref="AT209">AND(D209:G209=inp_used_minimal,A209=inp_used_usersel)</f>
        <v>0</v>
      </c>
    </row>
    <row r="210" spans="1:49" s="674" customFormat="1">
      <c r="A210" s="674">
        <v>13</v>
      </c>
      <c r="B210" s="716">
        <v>2</v>
      </c>
      <c r="C210" s="674">
        <v>2</v>
      </c>
      <c r="D210" s="715">
        <v>0.124</v>
      </c>
      <c r="E210" s="716" t="s">
        <v>226</v>
      </c>
      <c r="F210" s="684">
        <v>3.5000000000000003E-2</v>
      </c>
      <c r="G210" s="716" t="s">
        <v>226</v>
      </c>
      <c r="H210" s="715" t="s">
        <v>3263</v>
      </c>
      <c r="I210" s="716" t="s">
        <v>992</v>
      </c>
      <c r="J210" s="741">
        <v>5560</v>
      </c>
      <c r="K210" s="716"/>
      <c r="L210" s="716"/>
      <c r="M210" s="721"/>
      <c r="N210" s="715" t="s">
        <v>232</v>
      </c>
      <c r="O210" s="716">
        <v>7.5</v>
      </c>
      <c r="P210" s="716"/>
      <c r="Q210" s="721"/>
      <c r="R210" s="715"/>
      <c r="S210" s="718"/>
      <c r="T210" s="718"/>
      <c r="U210" s="718"/>
      <c r="V210" s="719"/>
      <c r="W210" s="682">
        <v>6</v>
      </c>
      <c r="X210" s="684">
        <v>6</v>
      </c>
      <c r="Y210" s="684">
        <v>3</v>
      </c>
      <c r="Z210" s="715">
        <v>168</v>
      </c>
      <c r="AA210" s="684" t="s">
        <v>2140</v>
      </c>
      <c r="AB210" s="684" t="s">
        <v>2996</v>
      </c>
      <c r="AC210" s="716" t="s">
        <v>541</v>
      </c>
      <c r="AD210" s="684" t="s">
        <v>542</v>
      </c>
      <c r="AE210" s="715"/>
      <c r="AF210" s="716">
        <v>0</v>
      </c>
      <c r="AG210" s="720"/>
      <c r="AH210" s="684"/>
      <c r="AI210" s="716" t="s">
        <v>2004</v>
      </c>
      <c r="AJ210" s="716"/>
      <c r="AK210" s="716"/>
      <c r="AL210" s="715"/>
      <c r="AM210" s="716"/>
      <c r="AN210" s="716"/>
      <c r="AO210" s="716"/>
      <c r="AP210" s="716"/>
      <c r="AQ210" s="721"/>
      <c r="AR210" s="676"/>
      <c r="AS210" s="537" t="b">
        <f t="array" ref="AS210">AND(D210:AQ210=inp_used,A210=inp_used_usersel)</f>
        <v>0</v>
      </c>
      <c r="AT210" s="674" t="b">
        <f t="array" ref="AT210">AND(D210:G210=inp_used_minimal,A210=inp_used_usersel)</f>
        <v>0</v>
      </c>
    </row>
    <row r="211" spans="1:49" s="674" customFormat="1">
      <c r="A211" s="674">
        <v>13</v>
      </c>
      <c r="B211" s="716">
        <v>2</v>
      </c>
      <c r="C211" s="674">
        <v>3</v>
      </c>
      <c r="D211" s="715">
        <v>0.30499999999999999</v>
      </c>
      <c r="E211" s="716" t="s">
        <v>226</v>
      </c>
      <c r="F211" s="684">
        <v>9.4E-2</v>
      </c>
      <c r="G211" s="716" t="s">
        <v>226</v>
      </c>
      <c r="H211" s="715" t="s">
        <v>3263</v>
      </c>
      <c r="I211" s="716" t="s">
        <v>992</v>
      </c>
      <c r="J211" s="741">
        <v>5560</v>
      </c>
      <c r="K211" s="716"/>
      <c r="L211" s="716"/>
      <c r="M211" s="721"/>
      <c r="N211" s="715" t="s">
        <v>232</v>
      </c>
      <c r="O211" s="716">
        <v>7.5</v>
      </c>
      <c r="P211" s="716"/>
      <c r="Q211" s="721"/>
      <c r="R211" s="715"/>
      <c r="S211" s="718"/>
      <c r="T211" s="718"/>
      <c r="U211" s="718"/>
      <c r="V211" s="719"/>
      <c r="W211" s="682">
        <v>6</v>
      </c>
      <c r="X211" s="684">
        <v>6</v>
      </c>
      <c r="Y211" s="684">
        <v>3</v>
      </c>
      <c r="Z211" s="715">
        <v>168</v>
      </c>
      <c r="AA211" s="684" t="s">
        <v>2140</v>
      </c>
      <c r="AB211" s="684" t="s">
        <v>2996</v>
      </c>
      <c r="AC211" s="716" t="s">
        <v>541</v>
      </c>
      <c r="AD211" s="684" t="s">
        <v>542</v>
      </c>
      <c r="AE211" s="715"/>
      <c r="AF211" s="716">
        <v>0</v>
      </c>
      <c r="AG211" s="720"/>
      <c r="AH211" s="684"/>
      <c r="AI211" s="716" t="s">
        <v>2004</v>
      </c>
      <c r="AJ211" s="716"/>
      <c r="AK211" s="716"/>
      <c r="AL211" s="715"/>
      <c r="AM211" s="716"/>
      <c r="AN211" s="716"/>
      <c r="AO211" s="716"/>
      <c r="AP211" s="716"/>
      <c r="AQ211" s="721"/>
      <c r="AR211" s="676"/>
      <c r="AS211" s="537" t="b">
        <f t="array" ref="AS211">AND(D211:AQ211=inp_used,A211=inp_used_usersel)</f>
        <v>0</v>
      </c>
      <c r="AT211" s="674" t="b">
        <f t="array" ref="AT211">AND(D211:G211=inp_used_minimal,A211=inp_used_usersel)</f>
        <v>0</v>
      </c>
    </row>
    <row r="212" spans="1:49" s="674" customFormat="1">
      <c r="A212" s="674">
        <v>13</v>
      </c>
      <c r="B212" s="716">
        <v>2</v>
      </c>
      <c r="C212" s="674">
        <v>4</v>
      </c>
      <c r="D212" s="715">
        <v>0.74</v>
      </c>
      <c r="E212" s="716" t="s">
        <v>226</v>
      </c>
      <c r="F212" s="684">
        <v>0.251</v>
      </c>
      <c r="G212" s="716" t="s">
        <v>226</v>
      </c>
      <c r="H212" s="715" t="s">
        <v>3263</v>
      </c>
      <c r="I212" s="716" t="s">
        <v>992</v>
      </c>
      <c r="J212" s="741">
        <v>5560</v>
      </c>
      <c r="K212" s="716"/>
      <c r="L212" s="716"/>
      <c r="M212" s="721"/>
      <c r="N212" s="715" t="s">
        <v>232</v>
      </c>
      <c r="O212" s="716">
        <v>7.5</v>
      </c>
      <c r="P212" s="716"/>
      <c r="Q212" s="721"/>
      <c r="R212" s="715"/>
      <c r="S212" s="718"/>
      <c r="T212" s="718"/>
      <c r="U212" s="718"/>
      <c r="V212" s="719"/>
      <c r="W212" s="682">
        <v>7</v>
      </c>
      <c r="X212" s="684">
        <v>7</v>
      </c>
      <c r="Y212" s="684">
        <v>5.3</v>
      </c>
      <c r="Z212" s="715">
        <v>168</v>
      </c>
      <c r="AA212" s="684" t="s">
        <v>2140</v>
      </c>
      <c r="AB212" s="684" t="s">
        <v>2996</v>
      </c>
      <c r="AC212" s="716" t="s">
        <v>541</v>
      </c>
      <c r="AD212" s="684" t="s">
        <v>542</v>
      </c>
      <c r="AE212" s="715"/>
      <c r="AF212" s="716">
        <v>0</v>
      </c>
      <c r="AG212" s="720"/>
      <c r="AH212" s="684"/>
      <c r="AI212" s="716" t="s">
        <v>2004</v>
      </c>
      <c r="AJ212" s="716"/>
      <c r="AK212" s="716"/>
      <c r="AL212" s="715"/>
      <c r="AM212" s="716"/>
      <c r="AN212" s="716"/>
      <c r="AO212" s="716"/>
      <c r="AP212" s="716"/>
      <c r="AQ212" s="721"/>
      <c r="AR212" s="676"/>
      <c r="AS212" s="537" t="b">
        <f t="array" ref="AS212">AND(D212:AQ212=inp_used,A212=inp_used_usersel)</f>
        <v>0</v>
      </c>
      <c r="AT212" s="674" t="b">
        <f t="array" ref="AT212">AND(D212:G212=inp_used_minimal,A212=inp_used_usersel)</f>
        <v>0</v>
      </c>
    </row>
    <row r="213" spans="1:49" s="674" customFormat="1">
      <c r="A213" s="674">
        <v>13</v>
      </c>
      <c r="B213" s="716">
        <v>2</v>
      </c>
      <c r="C213" s="537">
        <v>5</v>
      </c>
      <c r="D213" s="682">
        <v>2.1520000000000001</v>
      </c>
      <c r="E213" s="716" t="s">
        <v>226</v>
      </c>
      <c r="F213" s="684">
        <v>0.81899999999999995</v>
      </c>
      <c r="G213" s="716" t="s">
        <v>226</v>
      </c>
      <c r="H213" s="715" t="s">
        <v>3263</v>
      </c>
      <c r="I213" s="716" t="s">
        <v>992</v>
      </c>
      <c r="J213" s="741">
        <v>5560</v>
      </c>
      <c r="K213" s="716"/>
      <c r="L213" s="716"/>
      <c r="M213" s="721"/>
      <c r="N213" s="715" t="s">
        <v>232</v>
      </c>
      <c r="O213" s="716">
        <v>7.5</v>
      </c>
      <c r="P213" s="716"/>
      <c r="Q213" s="721"/>
      <c r="R213" s="715"/>
      <c r="S213" s="718"/>
      <c r="T213" s="718"/>
      <c r="U213" s="718"/>
      <c r="V213" s="719"/>
      <c r="W213" s="682">
        <v>8</v>
      </c>
      <c r="X213" s="684">
        <v>8</v>
      </c>
      <c r="Y213" s="684">
        <v>7.9</v>
      </c>
      <c r="Z213" s="715">
        <v>168</v>
      </c>
      <c r="AA213" s="684" t="s">
        <v>2140</v>
      </c>
      <c r="AB213" s="684" t="s">
        <v>2996</v>
      </c>
      <c r="AC213" s="716" t="s">
        <v>2725</v>
      </c>
      <c r="AD213" s="684" t="s">
        <v>542</v>
      </c>
      <c r="AE213" s="715"/>
      <c r="AF213" s="716">
        <v>0</v>
      </c>
      <c r="AG213" s="720"/>
      <c r="AH213" s="684"/>
      <c r="AI213" s="716" t="s">
        <v>2004</v>
      </c>
      <c r="AJ213" s="716"/>
      <c r="AK213" s="716"/>
      <c r="AL213" s="715"/>
      <c r="AM213" s="716"/>
      <c r="AN213" s="716"/>
      <c r="AO213" s="716"/>
      <c r="AP213" s="716"/>
      <c r="AQ213" s="721"/>
      <c r="AR213" s="676"/>
      <c r="AS213" s="537" t="b">
        <f t="array" ref="AS213">AND(D213:AQ213=inp_used,A213=inp_used_usersel)</f>
        <v>0</v>
      </c>
      <c r="AT213" s="674" t="b">
        <f t="array" ref="AT213">AND(D213:G213=inp_used_minimal,A213=inp_used_usersel)</f>
        <v>0</v>
      </c>
    </row>
    <row r="214" spans="1:49" s="674" customFormat="1">
      <c r="A214" s="674">
        <v>13</v>
      </c>
      <c r="B214" s="716">
        <v>2</v>
      </c>
      <c r="C214" s="537">
        <v>6</v>
      </c>
      <c r="D214" s="682">
        <v>7.3650000000000002</v>
      </c>
      <c r="E214" s="716" t="s">
        <v>226</v>
      </c>
      <c r="F214" s="684">
        <v>3.2</v>
      </c>
      <c r="G214" s="716" t="s">
        <v>226</v>
      </c>
      <c r="H214" s="715" t="s">
        <v>3263</v>
      </c>
      <c r="I214" s="716" t="s">
        <v>992</v>
      </c>
      <c r="J214" s="741">
        <v>5560</v>
      </c>
      <c r="K214" s="716"/>
      <c r="L214" s="716"/>
      <c r="M214" s="721"/>
      <c r="N214" s="715" t="s">
        <v>232</v>
      </c>
      <c r="O214" s="716">
        <v>7.5</v>
      </c>
      <c r="P214" s="716"/>
      <c r="Q214" s="721"/>
      <c r="R214" s="715"/>
      <c r="S214" s="718"/>
      <c r="T214" s="718"/>
      <c r="U214" s="718"/>
      <c r="V214" s="719"/>
      <c r="W214" s="682">
        <v>11.5</v>
      </c>
      <c r="X214" s="684">
        <v>11.5</v>
      </c>
      <c r="Y214" s="684">
        <v>7.8</v>
      </c>
      <c r="Z214" s="715">
        <v>168</v>
      </c>
      <c r="AA214" s="684" t="s">
        <v>2140</v>
      </c>
      <c r="AB214" s="684" t="s">
        <v>2996</v>
      </c>
      <c r="AC214" s="716" t="s">
        <v>2725</v>
      </c>
      <c r="AD214" s="684" t="s">
        <v>542</v>
      </c>
      <c r="AE214" s="715"/>
      <c r="AF214" s="716">
        <v>0</v>
      </c>
      <c r="AG214" s="720"/>
      <c r="AH214" s="684"/>
      <c r="AI214" s="716" t="s">
        <v>2004</v>
      </c>
      <c r="AJ214" s="716"/>
      <c r="AK214" s="716"/>
      <c r="AL214" s="715"/>
      <c r="AM214" s="716"/>
      <c r="AN214" s="716"/>
      <c r="AO214" s="716"/>
      <c r="AP214" s="716"/>
      <c r="AQ214" s="721"/>
      <c r="AR214" s="676"/>
      <c r="AS214" s="537" t="b">
        <f t="array" ref="AS214">AND(D214:AQ214=inp_used,A214=inp_used_usersel)</f>
        <v>0</v>
      </c>
      <c r="AT214" s="674" t="b">
        <f t="array" ref="AT214">AND(D214:G214=inp_used_minimal,A214=inp_used_usersel)</f>
        <v>0</v>
      </c>
    </row>
    <row r="215" spans="1:49" s="674" customFormat="1">
      <c r="A215" s="674">
        <v>13</v>
      </c>
      <c r="B215" s="716">
        <v>2</v>
      </c>
      <c r="C215" s="537">
        <v>7</v>
      </c>
      <c r="D215" s="682">
        <v>22.614000000000001</v>
      </c>
      <c r="E215" s="716" t="s">
        <v>226</v>
      </c>
      <c r="F215" s="684">
        <v>11.066000000000001</v>
      </c>
      <c r="G215" s="716" t="s">
        <v>226</v>
      </c>
      <c r="H215" s="715" t="s">
        <v>3263</v>
      </c>
      <c r="I215" s="716" t="s">
        <v>992</v>
      </c>
      <c r="J215" s="741">
        <v>5560</v>
      </c>
      <c r="K215" s="716"/>
      <c r="L215" s="716"/>
      <c r="M215" s="721"/>
      <c r="N215" s="715" t="s">
        <v>232</v>
      </c>
      <c r="O215" s="716">
        <v>7.5</v>
      </c>
      <c r="P215" s="716"/>
      <c r="Q215" s="721"/>
      <c r="R215" s="715"/>
      <c r="S215" s="718"/>
      <c r="T215" s="718"/>
      <c r="U215" s="718"/>
      <c r="V215" s="719"/>
      <c r="W215" s="682">
        <v>15</v>
      </c>
      <c r="X215" s="684">
        <v>15</v>
      </c>
      <c r="Y215" s="684">
        <v>7.8</v>
      </c>
      <c r="Z215" s="715">
        <v>168</v>
      </c>
      <c r="AA215" s="684" t="s">
        <v>2140</v>
      </c>
      <c r="AB215" s="684" t="s">
        <v>2996</v>
      </c>
      <c r="AC215" s="716" t="s">
        <v>2725</v>
      </c>
      <c r="AD215" s="684" t="s">
        <v>542</v>
      </c>
      <c r="AE215" s="715"/>
      <c r="AF215" s="716">
        <v>0</v>
      </c>
      <c r="AG215" s="720"/>
      <c r="AH215" s="684"/>
      <c r="AI215" s="716" t="s">
        <v>2004</v>
      </c>
      <c r="AJ215" s="716"/>
      <c r="AK215" s="716"/>
      <c r="AL215" s="715"/>
      <c r="AM215" s="716"/>
      <c r="AN215" s="716"/>
      <c r="AO215" s="716"/>
      <c r="AP215" s="716"/>
      <c r="AQ215" s="721"/>
      <c r="AR215" s="676"/>
      <c r="AS215" s="537" t="b">
        <f t="array" ref="AS215">AND(D215:AQ215=inp_used,A215=inp_used_usersel)</f>
        <v>0</v>
      </c>
      <c r="AT215" s="674" t="b">
        <f t="array" ref="AT215">AND(D215:G215=inp_used_minimal,A215=inp_used_usersel)</f>
        <v>0</v>
      </c>
    </row>
    <row r="216" spans="1:49" s="674" customFormat="1">
      <c r="A216" s="724">
        <v>13</v>
      </c>
      <c r="B216" s="724">
        <v>2</v>
      </c>
      <c r="C216" s="726">
        <v>8</v>
      </c>
      <c r="D216" s="725">
        <v>75.072000000000003</v>
      </c>
      <c r="E216" s="724" t="s">
        <v>226</v>
      </c>
      <c r="F216" s="726">
        <v>37.536000000000001</v>
      </c>
      <c r="G216" s="724" t="s">
        <v>226</v>
      </c>
      <c r="H216" s="727" t="s">
        <v>3263</v>
      </c>
      <c r="I216" s="724" t="s">
        <v>992</v>
      </c>
      <c r="J216" s="742">
        <v>5560</v>
      </c>
      <c r="K216" s="724"/>
      <c r="L216" s="724"/>
      <c r="M216" s="729"/>
      <c r="N216" s="727" t="s">
        <v>232</v>
      </c>
      <c r="O216" s="724">
        <v>7.5</v>
      </c>
      <c r="P216" s="724"/>
      <c r="Q216" s="729"/>
      <c r="R216" s="727"/>
      <c r="S216" s="732"/>
      <c r="T216" s="732"/>
      <c r="U216" s="732"/>
      <c r="V216" s="733"/>
      <c r="W216" s="725">
        <v>30</v>
      </c>
      <c r="X216" s="726">
        <v>30</v>
      </c>
      <c r="Y216" s="712">
        <v>9.6999999999999993</v>
      </c>
      <c r="Z216" s="727">
        <v>168</v>
      </c>
      <c r="AA216" s="726" t="s">
        <v>2140</v>
      </c>
      <c r="AB216" s="726" t="s">
        <v>2996</v>
      </c>
      <c r="AC216" s="724" t="s">
        <v>2725</v>
      </c>
      <c r="AD216" s="726" t="s">
        <v>542</v>
      </c>
      <c r="AE216" s="727"/>
      <c r="AF216" s="724">
        <v>0</v>
      </c>
      <c r="AG216" s="734"/>
      <c r="AH216" s="726"/>
      <c r="AI216" s="724" t="s">
        <v>2004</v>
      </c>
      <c r="AJ216" s="724"/>
      <c r="AK216" s="729"/>
      <c r="AL216" s="727"/>
      <c r="AM216" s="724"/>
      <c r="AN216" s="724"/>
      <c r="AO216" s="724"/>
      <c r="AP216" s="724"/>
      <c r="AQ216" s="729"/>
      <c r="AR216" s="676"/>
      <c r="AS216" s="537" t="b">
        <f t="array" ref="AS216">AND(D216:AQ216=inp_used,A216=inp_used_usersel)</f>
        <v>0</v>
      </c>
      <c r="AT216" s="674" t="b">
        <f t="array" ref="AT216">AND(D216:G216=inp_used_minimal,A216=inp_used_usersel)</f>
        <v>0</v>
      </c>
    </row>
    <row r="217" spans="1:49" s="674" customFormat="1">
      <c r="A217" s="674">
        <v>14</v>
      </c>
      <c r="B217" s="674">
        <v>1</v>
      </c>
      <c r="C217" s="674">
        <v>1</v>
      </c>
      <c r="D217" s="715">
        <v>0.03</v>
      </c>
      <c r="E217" s="716" t="s">
        <v>226</v>
      </c>
      <c r="F217" s="684">
        <v>7.0000000000000001E-3</v>
      </c>
      <c r="G217" s="716" t="s">
        <v>226</v>
      </c>
      <c r="H217" s="715" t="s">
        <v>3263</v>
      </c>
      <c r="I217" s="716" t="s">
        <v>992</v>
      </c>
      <c r="J217" s="741">
        <v>20500</v>
      </c>
      <c r="K217" s="716"/>
      <c r="L217" s="716"/>
      <c r="M217" s="721"/>
      <c r="N217" s="715" t="s">
        <v>232</v>
      </c>
      <c r="O217" s="716">
        <v>7.5</v>
      </c>
      <c r="P217" s="716"/>
      <c r="Q217" s="721"/>
      <c r="R217" s="715">
        <v>1</v>
      </c>
      <c r="S217" s="718">
        <v>3.4</v>
      </c>
      <c r="T217" s="716" t="s">
        <v>2139</v>
      </c>
      <c r="U217" s="718">
        <v>6</v>
      </c>
      <c r="V217" s="719">
        <v>2</v>
      </c>
      <c r="W217" s="718"/>
      <c r="X217" s="718"/>
      <c r="Y217" s="718"/>
      <c r="Z217" s="715">
        <v>168</v>
      </c>
      <c r="AA217" s="684" t="s">
        <v>2140</v>
      </c>
      <c r="AB217" s="720" t="s">
        <v>539</v>
      </c>
      <c r="AC217" s="716" t="s">
        <v>541</v>
      </c>
      <c r="AD217" s="721"/>
      <c r="AE217" s="737"/>
      <c r="AF217" s="1043">
        <v>0</v>
      </c>
      <c r="AG217" s="743"/>
      <c r="AH217" s="744"/>
      <c r="AI217" s="716" t="s">
        <v>2004</v>
      </c>
      <c r="AJ217" s="716"/>
      <c r="AK217" s="716"/>
      <c r="AL217" s="715"/>
      <c r="AM217" s="716"/>
      <c r="AN217" s="716"/>
      <c r="AO217" s="716"/>
      <c r="AP217" s="716"/>
      <c r="AQ217" s="721"/>
      <c r="AR217" s="676" t="s">
        <v>200</v>
      </c>
      <c r="AS217" s="537" t="b">
        <f t="array" ref="AS217">AND(D217:AQ217=inp_used,A217=inp_used_usersel)</f>
        <v>0</v>
      </c>
      <c r="AT217" s="674" t="b">
        <f t="array" ref="AT217">AND(D217:G217=inp_used_minimal,A217=inp_used_usersel)</f>
        <v>0</v>
      </c>
      <c r="AV217" s="674" t="b">
        <f t="shared" ref="AV217:AW224" si="13">CHOOSE(design_type,AS217,AS225)</f>
        <v>0</v>
      </c>
      <c r="AW217" s="674" t="b">
        <f t="shared" si="13"/>
        <v>0</v>
      </c>
    </row>
    <row r="218" spans="1:49" s="674" customFormat="1">
      <c r="A218" s="674">
        <v>14</v>
      </c>
      <c r="B218" s="674">
        <v>1</v>
      </c>
      <c r="C218" s="674">
        <v>2</v>
      </c>
      <c r="D218" s="715">
        <v>0.124</v>
      </c>
      <c r="E218" s="716" t="s">
        <v>226</v>
      </c>
      <c r="F218" s="684">
        <v>3.5000000000000003E-2</v>
      </c>
      <c r="G218" s="716" t="s">
        <v>226</v>
      </c>
      <c r="H218" s="715" t="s">
        <v>3263</v>
      </c>
      <c r="I218" s="716" t="s">
        <v>992</v>
      </c>
      <c r="J218" s="741">
        <v>20500</v>
      </c>
      <c r="K218" s="716"/>
      <c r="L218" s="716"/>
      <c r="M218" s="721"/>
      <c r="N218" s="715" t="s">
        <v>232</v>
      </c>
      <c r="O218" s="716">
        <v>7.5</v>
      </c>
      <c r="P218" s="716"/>
      <c r="Q218" s="721"/>
      <c r="R218" s="715">
        <v>1</v>
      </c>
      <c r="S218" s="718">
        <v>6.9</v>
      </c>
      <c r="T218" s="716" t="s">
        <v>2139</v>
      </c>
      <c r="U218" s="718">
        <v>11</v>
      </c>
      <c r="V218" s="719">
        <v>4</v>
      </c>
      <c r="W218" s="718"/>
      <c r="X218" s="718"/>
      <c r="Y218" s="718"/>
      <c r="Z218" s="715">
        <v>168</v>
      </c>
      <c r="AA218" s="684" t="s">
        <v>2140</v>
      </c>
      <c r="AB218" s="720" t="s">
        <v>540</v>
      </c>
      <c r="AC218" s="716" t="s">
        <v>541</v>
      </c>
      <c r="AD218" s="723" t="s">
        <v>542</v>
      </c>
      <c r="AE218" s="715"/>
      <c r="AF218" s="716">
        <v>0</v>
      </c>
      <c r="AG218" s="720"/>
      <c r="AH218" s="684"/>
      <c r="AI218" s="716" t="s">
        <v>2004</v>
      </c>
      <c r="AJ218" s="716"/>
      <c r="AK218" s="716"/>
      <c r="AL218" s="715"/>
      <c r="AM218" s="716"/>
      <c r="AN218" s="716"/>
      <c r="AO218" s="716"/>
      <c r="AP218" s="716"/>
      <c r="AQ218" s="721"/>
      <c r="AR218" s="676"/>
      <c r="AS218" s="537" t="b">
        <f t="array" ref="AS218">AND(D218:AQ218=inp_used,A218=inp_used_usersel)</f>
        <v>0</v>
      </c>
      <c r="AT218" s="674" t="b">
        <f t="array" ref="AT218">AND(D218:G218=inp_used_minimal,A218=inp_used_usersel)</f>
        <v>0</v>
      </c>
      <c r="AV218" s="674" t="b">
        <f t="shared" si="13"/>
        <v>0</v>
      </c>
      <c r="AW218" s="674" t="b">
        <f t="shared" si="13"/>
        <v>0</v>
      </c>
    </row>
    <row r="219" spans="1:49" s="674" customFormat="1">
      <c r="A219" s="674">
        <v>14</v>
      </c>
      <c r="B219" s="674">
        <v>1</v>
      </c>
      <c r="C219" s="674">
        <v>3</v>
      </c>
      <c r="D219" s="715">
        <v>0.30499999999999999</v>
      </c>
      <c r="E219" s="716" t="s">
        <v>226</v>
      </c>
      <c r="F219" s="684">
        <v>9.4E-2</v>
      </c>
      <c r="G219" s="716" t="s">
        <v>226</v>
      </c>
      <c r="H219" s="715" t="s">
        <v>3263</v>
      </c>
      <c r="I219" s="716" t="s">
        <v>992</v>
      </c>
      <c r="J219" s="741">
        <v>20500</v>
      </c>
      <c r="K219" s="716"/>
      <c r="L219" s="716"/>
      <c r="M219" s="721"/>
      <c r="N219" s="715" t="s">
        <v>232</v>
      </c>
      <c r="O219" s="716">
        <v>7.5</v>
      </c>
      <c r="P219" s="716"/>
      <c r="Q219" s="721"/>
      <c r="R219" s="715">
        <v>1</v>
      </c>
      <c r="S219" s="718">
        <v>6.7</v>
      </c>
      <c r="T219" s="716" t="s">
        <v>2139</v>
      </c>
      <c r="U219" s="718">
        <v>11</v>
      </c>
      <c r="V219" s="719">
        <v>4.5</v>
      </c>
      <c r="W219" s="718"/>
      <c r="X219" s="718"/>
      <c r="Y219" s="718"/>
      <c r="Z219" s="715">
        <v>168</v>
      </c>
      <c r="AA219" s="684" t="s">
        <v>2140</v>
      </c>
      <c r="AB219" s="720" t="s">
        <v>540</v>
      </c>
      <c r="AC219" s="716" t="s">
        <v>541</v>
      </c>
      <c r="AD219" s="723" t="s">
        <v>542</v>
      </c>
      <c r="AE219" s="715"/>
      <c r="AF219" s="716">
        <v>0</v>
      </c>
      <c r="AG219" s="720"/>
      <c r="AH219" s="684"/>
      <c r="AI219" s="716" t="s">
        <v>2004</v>
      </c>
      <c r="AJ219" s="716"/>
      <c r="AK219" s="716"/>
      <c r="AL219" s="715"/>
      <c r="AM219" s="716"/>
      <c r="AN219" s="716"/>
      <c r="AO219" s="716"/>
      <c r="AP219" s="716"/>
      <c r="AQ219" s="721"/>
      <c r="AR219" s="676"/>
      <c r="AS219" s="537" t="b">
        <f t="array" ref="AS219">AND(D219:AQ219=inp_used,A219=inp_used_usersel)</f>
        <v>0</v>
      </c>
      <c r="AT219" s="674" t="b">
        <f t="array" ref="AT219">AND(D219:G219=inp_used_minimal,A219=inp_used_usersel)</f>
        <v>0</v>
      </c>
      <c r="AV219" s="674" t="b">
        <f t="shared" si="13"/>
        <v>0</v>
      </c>
      <c r="AW219" s="674" t="b">
        <f t="shared" si="13"/>
        <v>0</v>
      </c>
    </row>
    <row r="220" spans="1:49" s="674" customFormat="1">
      <c r="A220" s="674">
        <v>14</v>
      </c>
      <c r="B220" s="674">
        <v>1</v>
      </c>
      <c r="C220" s="674">
        <v>4</v>
      </c>
      <c r="D220" s="715">
        <v>0.74</v>
      </c>
      <c r="E220" s="716" t="s">
        <v>226</v>
      </c>
      <c r="F220" s="684">
        <v>0.251</v>
      </c>
      <c r="G220" s="716" t="s">
        <v>226</v>
      </c>
      <c r="H220" s="715" t="s">
        <v>3263</v>
      </c>
      <c r="I220" s="716" t="s">
        <v>992</v>
      </c>
      <c r="J220" s="741">
        <v>20500</v>
      </c>
      <c r="K220" s="716"/>
      <c r="L220" s="716"/>
      <c r="M220" s="721"/>
      <c r="N220" s="715" t="s">
        <v>232</v>
      </c>
      <c r="O220" s="716">
        <v>7.5</v>
      </c>
      <c r="P220" s="716"/>
      <c r="Q220" s="721"/>
      <c r="R220" s="715">
        <v>1</v>
      </c>
      <c r="S220" s="718">
        <v>6.7</v>
      </c>
      <c r="T220" s="716" t="s">
        <v>2139</v>
      </c>
      <c r="U220" s="718">
        <v>11</v>
      </c>
      <c r="V220" s="719">
        <v>7</v>
      </c>
      <c r="W220" s="718"/>
      <c r="X220" s="718"/>
      <c r="Y220" s="718"/>
      <c r="Z220" s="715">
        <v>168</v>
      </c>
      <c r="AA220" s="684" t="s">
        <v>2140</v>
      </c>
      <c r="AB220" s="720" t="s">
        <v>540</v>
      </c>
      <c r="AC220" s="716" t="s">
        <v>541</v>
      </c>
      <c r="AD220" s="723" t="s">
        <v>542</v>
      </c>
      <c r="AE220" s="715"/>
      <c r="AF220" s="716">
        <v>0</v>
      </c>
      <c r="AG220" s="720"/>
      <c r="AH220" s="684"/>
      <c r="AI220" s="716" t="s">
        <v>2004</v>
      </c>
      <c r="AJ220" s="716"/>
      <c r="AK220" s="716"/>
      <c r="AL220" s="715"/>
      <c r="AM220" s="716"/>
      <c r="AN220" s="716"/>
      <c r="AO220" s="716"/>
      <c r="AP220" s="716"/>
      <c r="AQ220" s="721"/>
      <c r="AR220" s="676"/>
      <c r="AS220" s="537" t="b">
        <f t="array" ref="AS220">AND(D220:AQ220=inp_used,A220=inp_used_usersel)</f>
        <v>0</v>
      </c>
      <c r="AT220" s="674" t="b">
        <f t="array" ref="AT220">AND(D220:G220=inp_used_minimal,A220=inp_used_usersel)</f>
        <v>0</v>
      </c>
      <c r="AV220" s="674" t="b">
        <f t="shared" si="13"/>
        <v>0</v>
      </c>
      <c r="AW220" s="674" t="b">
        <f t="shared" si="13"/>
        <v>0</v>
      </c>
    </row>
    <row r="221" spans="1:49" s="674" customFormat="1">
      <c r="A221" s="674">
        <v>14</v>
      </c>
      <c r="B221" s="674">
        <v>1</v>
      </c>
      <c r="C221" s="537">
        <v>5</v>
      </c>
      <c r="D221" s="682">
        <v>2.1520000000000001</v>
      </c>
      <c r="E221" s="716" t="s">
        <v>226</v>
      </c>
      <c r="F221" s="684">
        <v>0.81899999999999995</v>
      </c>
      <c r="G221" s="716" t="s">
        <v>226</v>
      </c>
      <c r="H221" s="715" t="s">
        <v>3263</v>
      </c>
      <c r="I221" s="716" t="s">
        <v>992</v>
      </c>
      <c r="J221" s="741">
        <v>20500</v>
      </c>
      <c r="K221" s="716"/>
      <c r="L221" s="716"/>
      <c r="M221" s="721"/>
      <c r="N221" s="715" t="s">
        <v>232</v>
      </c>
      <c r="O221" s="716">
        <v>7.5</v>
      </c>
      <c r="P221" s="716"/>
      <c r="Q221" s="721"/>
      <c r="R221" s="715">
        <v>1</v>
      </c>
      <c r="S221" s="718">
        <v>6.7</v>
      </c>
      <c r="T221" s="716" t="s">
        <v>2139</v>
      </c>
      <c r="U221" s="718">
        <v>11</v>
      </c>
      <c r="V221" s="719">
        <v>8.5</v>
      </c>
      <c r="W221" s="718"/>
      <c r="X221" s="718"/>
      <c r="Y221" s="718"/>
      <c r="Z221" s="715">
        <v>168</v>
      </c>
      <c r="AA221" s="684" t="s">
        <v>2140</v>
      </c>
      <c r="AB221" s="720" t="s">
        <v>540</v>
      </c>
      <c r="AC221" s="716" t="s">
        <v>541</v>
      </c>
      <c r="AD221" s="723" t="s">
        <v>542</v>
      </c>
      <c r="AE221" s="715"/>
      <c r="AF221" s="716">
        <v>0</v>
      </c>
      <c r="AG221" s="720"/>
      <c r="AH221" s="684"/>
      <c r="AI221" s="716" t="s">
        <v>2004</v>
      </c>
      <c r="AJ221" s="716"/>
      <c r="AK221" s="716"/>
      <c r="AL221" s="715"/>
      <c r="AM221" s="716"/>
      <c r="AN221" s="716"/>
      <c r="AO221" s="716"/>
      <c r="AP221" s="716"/>
      <c r="AQ221" s="721"/>
      <c r="AR221" s="676"/>
      <c r="AS221" s="537" t="b">
        <f t="array" ref="AS221">AND(D221:AQ221=inp_used,A221=inp_used_usersel)</f>
        <v>0</v>
      </c>
      <c r="AT221" s="674" t="b">
        <f t="array" ref="AT221">AND(D221:G221=inp_used_minimal,A221=inp_used_usersel)</f>
        <v>0</v>
      </c>
      <c r="AV221" s="674" t="b">
        <f t="shared" si="13"/>
        <v>0</v>
      </c>
      <c r="AW221" s="674" t="b">
        <f t="shared" si="13"/>
        <v>0</v>
      </c>
    </row>
    <row r="222" spans="1:49" s="674" customFormat="1">
      <c r="A222" s="674">
        <v>14</v>
      </c>
      <c r="B222" s="674">
        <v>1</v>
      </c>
      <c r="C222" s="537">
        <v>6</v>
      </c>
      <c r="D222" s="682">
        <v>7.3650000000000002</v>
      </c>
      <c r="E222" s="716" t="s">
        <v>226</v>
      </c>
      <c r="F222" s="684">
        <v>3.2</v>
      </c>
      <c r="G222" s="716" t="s">
        <v>226</v>
      </c>
      <c r="H222" s="715" t="s">
        <v>3263</v>
      </c>
      <c r="I222" s="716" t="s">
        <v>992</v>
      </c>
      <c r="J222" s="741">
        <v>20500</v>
      </c>
      <c r="K222" s="716"/>
      <c r="L222" s="716"/>
      <c r="M222" s="721"/>
      <c r="N222" s="715" t="s">
        <v>232</v>
      </c>
      <c r="O222" s="716">
        <v>7.5</v>
      </c>
      <c r="P222" s="716"/>
      <c r="Q222" s="721"/>
      <c r="R222" s="715">
        <v>1</v>
      </c>
      <c r="S222" s="718">
        <v>6.2</v>
      </c>
      <c r="T222" s="716" t="s">
        <v>3284</v>
      </c>
      <c r="U222" s="718">
        <v>20</v>
      </c>
      <c r="V222" s="719">
        <v>14</v>
      </c>
      <c r="W222" s="718"/>
      <c r="X222" s="718"/>
      <c r="Y222" s="718"/>
      <c r="Z222" s="715">
        <v>168</v>
      </c>
      <c r="AA222" s="684" t="s">
        <v>2140</v>
      </c>
      <c r="AB222" s="720" t="s">
        <v>540</v>
      </c>
      <c r="AC222" s="716" t="s">
        <v>2725</v>
      </c>
      <c r="AD222" s="723" t="s">
        <v>542</v>
      </c>
      <c r="AE222" s="715"/>
      <c r="AF222" s="716">
        <v>0</v>
      </c>
      <c r="AG222" s="720"/>
      <c r="AH222" s="684"/>
      <c r="AI222" s="716" t="s">
        <v>2004</v>
      </c>
      <c r="AJ222" s="716"/>
      <c r="AK222" s="716"/>
      <c r="AL222" s="715"/>
      <c r="AM222" s="716"/>
      <c r="AN222" s="716"/>
      <c r="AO222" s="716"/>
      <c r="AP222" s="716"/>
      <c r="AQ222" s="721"/>
      <c r="AR222" s="676"/>
      <c r="AS222" s="537" t="b">
        <f t="array" ref="AS222">AND(D222:AQ222=inp_used,A222=inp_used_usersel)</f>
        <v>0</v>
      </c>
      <c r="AT222" s="674" t="b">
        <f t="array" ref="AT222">AND(D222:G222=inp_used_minimal,A222=inp_used_usersel)</f>
        <v>0</v>
      </c>
      <c r="AV222" s="674" t="b">
        <f t="shared" si="13"/>
        <v>0</v>
      </c>
      <c r="AW222" s="674" t="b">
        <f t="shared" si="13"/>
        <v>0</v>
      </c>
    </row>
    <row r="223" spans="1:49" s="674" customFormat="1">
      <c r="A223" s="674">
        <v>14</v>
      </c>
      <c r="B223" s="674">
        <v>1</v>
      </c>
      <c r="C223" s="537">
        <v>7</v>
      </c>
      <c r="D223" s="682">
        <v>22.614000000000001</v>
      </c>
      <c r="E223" s="716" t="s">
        <v>226</v>
      </c>
      <c r="F223" s="684">
        <v>11.066000000000001</v>
      </c>
      <c r="G223" s="716" t="s">
        <v>226</v>
      </c>
      <c r="H223" s="715" t="s">
        <v>3263</v>
      </c>
      <c r="I223" s="716" t="s">
        <v>992</v>
      </c>
      <c r="J223" s="741">
        <v>20500</v>
      </c>
      <c r="K223" s="716"/>
      <c r="L223" s="716"/>
      <c r="M223" s="721"/>
      <c r="N223" s="715" t="s">
        <v>232</v>
      </c>
      <c r="O223" s="716">
        <v>7.5</v>
      </c>
      <c r="P223" s="716"/>
      <c r="Q223" s="721"/>
      <c r="R223" s="715">
        <v>1</v>
      </c>
      <c r="S223" s="718">
        <v>7.1</v>
      </c>
      <c r="T223" s="716" t="s">
        <v>3284</v>
      </c>
      <c r="U223" s="718">
        <v>20</v>
      </c>
      <c r="V223" s="719">
        <v>14</v>
      </c>
      <c r="W223" s="718"/>
      <c r="X223" s="718"/>
      <c r="Y223" s="718"/>
      <c r="Z223" s="715">
        <v>168</v>
      </c>
      <c r="AA223" s="684" t="s">
        <v>2140</v>
      </c>
      <c r="AB223" s="720" t="s">
        <v>540</v>
      </c>
      <c r="AC223" s="716" t="s">
        <v>2725</v>
      </c>
      <c r="AD223" s="723" t="s">
        <v>542</v>
      </c>
      <c r="AE223" s="715"/>
      <c r="AF223" s="716">
        <v>0</v>
      </c>
      <c r="AG223" s="720"/>
      <c r="AH223" s="684"/>
      <c r="AI223" s="716" t="s">
        <v>2004</v>
      </c>
      <c r="AJ223" s="716"/>
      <c r="AK223" s="716"/>
      <c r="AL223" s="715"/>
      <c r="AM223" s="716"/>
      <c r="AN223" s="716"/>
      <c r="AO223" s="716"/>
      <c r="AP223" s="716"/>
      <c r="AQ223" s="721"/>
      <c r="AR223" s="676"/>
      <c r="AS223" s="537" t="b">
        <f t="array" ref="AS223">AND(D223:AQ223=inp_used,A223=inp_used_usersel)</f>
        <v>0</v>
      </c>
      <c r="AT223" s="674" t="b">
        <f t="array" ref="AT223">AND(D223:G223=inp_used_minimal,A223=inp_used_usersel)</f>
        <v>0</v>
      </c>
      <c r="AV223" s="674" t="b">
        <f t="shared" si="13"/>
        <v>0</v>
      </c>
      <c r="AW223" s="674" t="b">
        <f t="shared" si="13"/>
        <v>0</v>
      </c>
    </row>
    <row r="224" spans="1:49" s="674" customFormat="1">
      <c r="A224" s="724">
        <v>14</v>
      </c>
      <c r="B224" s="724">
        <v>1</v>
      </c>
      <c r="C224" s="726">
        <v>8</v>
      </c>
      <c r="D224" s="725">
        <v>75.072000000000003</v>
      </c>
      <c r="E224" s="724" t="s">
        <v>226</v>
      </c>
      <c r="F224" s="726">
        <v>37.536000000000001</v>
      </c>
      <c r="G224" s="724" t="s">
        <v>226</v>
      </c>
      <c r="H224" s="727" t="s">
        <v>3263</v>
      </c>
      <c r="I224" s="724" t="s">
        <v>992</v>
      </c>
      <c r="J224" s="742">
        <v>20500</v>
      </c>
      <c r="K224" s="724"/>
      <c r="L224" s="724"/>
      <c r="M224" s="729"/>
      <c r="N224" s="727" t="s">
        <v>232</v>
      </c>
      <c r="O224" s="724">
        <v>7.5</v>
      </c>
      <c r="P224" s="724"/>
      <c r="Q224" s="729"/>
      <c r="R224" s="715">
        <v>1</v>
      </c>
      <c r="S224" s="732">
        <v>7.2</v>
      </c>
      <c r="T224" s="724" t="s">
        <v>3284</v>
      </c>
      <c r="U224" s="732">
        <v>20</v>
      </c>
      <c r="V224" s="733">
        <v>14</v>
      </c>
      <c r="W224" s="731"/>
      <c r="X224" s="732"/>
      <c r="Y224" s="733"/>
      <c r="Z224" s="727">
        <v>168</v>
      </c>
      <c r="AA224" s="726" t="s">
        <v>2140</v>
      </c>
      <c r="AB224" s="734" t="s">
        <v>540</v>
      </c>
      <c r="AC224" s="724" t="s">
        <v>2725</v>
      </c>
      <c r="AD224" s="712" t="s">
        <v>542</v>
      </c>
      <c r="AE224" s="727"/>
      <c r="AF224" s="724">
        <v>0</v>
      </c>
      <c r="AG224" s="734"/>
      <c r="AH224" s="726"/>
      <c r="AI224" s="724" t="s">
        <v>2004</v>
      </c>
      <c r="AJ224" s="724"/>
      <c r="AK224" s="729"/>
      <c r="AL224" s="727"/>
      <c r="AM224" s="724"/>
      <c r="AN224" s="724"/>
      <c r="AO224" s="724"/>
      <c r="AP224" s="724"/>
      <c r="AQ224" s="729"/>
      <c r="AR224" s="676"/>
      <c r="AS224" s="537" t="b">
        <f t="array" ref="AS224">AND(D224:AQ224=inp_used,A224=inp_used_usersel)</f>
        <v>0</v>
      </c>
      <c r="AT224" s="674" t="b">
        <f t="array" ref="AT224">AND(D224:G224=inp_used_minimal,A224=inp_used_usersel)</f>
        <v>0</v>
      </c>
      <c r="AV224" s="674" t="b">
        <f t="shared" si="13"/>
        <v>0</v>
      </c>
      <c r="AW224" s="674" t="b">
        <f t="shared" si="13"/>
        <v>0</v>
      </c>
    </row>
    <row r="225" spans="1:49" s="674" customFormat="1">
      <c r="A225" s="674">
        <v>14</v>
      </c>
      <c r="B225" s="735">
        <v>2</v>
      </c>
      <c r="C225" s="674">
        <v>1</v>
      </c>
      <c r="D225" s="715">
        <v>0.03</v>
      </c>
      <c r="E225" s="716" t="s">
        <v>226</v>
      </c>
      <c r="F225" s="684">
        <v>7.0000000000000001E-3</v>
      </c>
      <c r="G225" s="716" t="s">
        <v>226</v>
      </c>
      <c r="H225" s="715" t="s">
        <v>3263</v>
      </c>
      <c r="I225" s="716" t="s">
        <v>992</v>
      </c>
      <c r="J225" s="741">
        <v>20500</v>
      </c>
      <c r="K225" s="716"/>
      <c r="L225" s="716"/>
      <c r="M225" s="721"/>
      <c r="N225" s="715" t="s">
        <v>232</v>
      </c>
      <c r="O225" s="716">
        <v>7.5</v>
      </c>
      <c r="P225" s="716"/>
      <c r="Q225" s="721"/>
      <c r="R225" s="737"/>
      <c r="S225" s="718"/>
      <c r="T225" s="718"/>
      <c r="U225" s="718"/>
      <c r="V225" s="719"/>
      <c r="W225" s="682">
        <v>6</v>
      </c>
      <c r="X225" s="684">
        <v>6</v>
      </c>
      <c r="Y225" s="684">
        <v>3</v>
      </c>
      <c r="Z225" s="715">
        <v>168</v>
      </c>
      <c r="AA225" s="684" t="s">
        <v>2140</v>
      </c>
      <c r="AB225" s="684" t="s">
        <v>2996</v>
      </c>
      <c r="AC225" s="716" t="s">
        <v>541</v>
      </c>
      <c r="AD225" s="684" t="s">
        <v>542</v>
      </c>
      <c r="AE225" s="715"/>
      <c r="AF225" s="1043">
        <v>0</v>
      </c>
      <c r="AG225" s="720"/>
      <c r="AH225" s="684"/>
      <c r="AI225" s="716" t="s">
        <v>2004</v>
      </c>
      <c r="AJ225" s="716"/>
      <c r="AK225" s="716"/>
      <c r="AL225" s="715"/>
      <c r="AM225" s="716"/>
      <c r="AN225" s="716"/>
      <c r="AO225" s="716"/>
      <c r="AP225" s="716"/>
      <c r="AQ225" s="721"/>
      <c r="AR225" s="676" t="s">
        <v>199</v>
      </c>
      <c r="AS225" s="537" t="b">
        <f t="array" ref="AS225">AND(D225:AQ225=inp_used,A225=inp_used_usersel)</f>
        <v>0</v>
      </c>
      <c r="AT225" s="674" t="b">
        <f t="array" ref="AT225">AND(D225:G225=inp_used_minimal,A225=inp_used_usersel)</f>
        <v>0</v>
      </c>
    </row>
    <row r="226" spans="1:49" s="674" customFormat="1">
      <c r="A226" s="674">
        <v>14</v>
      </c>
      <c r="B226" s="716">
        <v>2</v>
      </c>
      <c r="C226" s="674">
        <v>2</v>
      </c>
      <c r="D226" s="715">
        <v>0.124</v>
      </c>
      <c r="E226" s="716" t="s">
        <v>226</v>
      </c>
      <c r="F226" s="684">
        <v>3.5000000000000003E-2</v>
      </c>
      <c r="G226" s="716" t="s">
        <v>226</v>
      </c>
      <c r="H226" s="715" t="s">
        <v>3263</v>
      </c>
      <c r="I226" s="716" t="s">
        <v>992</v>
      </c>
      <c r="J226" s="741">
        <v>20500</v>
      </c>
      <c r="K226" s="716"/>
      <c r="L226" s="716"/>
      <c r="M226" s="721"/>
      <c r="N226" s="715" t="s">
        <v>232</v>
      </c>
      <c r="O226" s="716">
        <v>7.5</v>
      </c>
      <c r="P226" s="716"/>
      <c r="Q226" s="721"/>
      <c r="R226" s="715"/>
      <c r="S226" s="718"/>
      <c r="T226" s="718"/>
      <c r="U226" s="718"/>
      <c r="V226" s="719"/>
      <c r="W226" s="682">
        <v>6</v>
      </c>
      <c r="X226" s="684">
        <v>6</v>
      </c>
      <c r="Y226" s="684">
        <v>3</v>
      </c>
      <c r="Z226" s="715">
        <v>168</v>
      </c>
      <c r="AA226" s="684" t="s">
        <v>2140</v>
      </c>
      <c r="AB226" s="684" t="s">
        <v>2996</v>
      </c>
      <c r="AC226" s="716" t="s">
        <v>541</v>
      </c>
      <c r="AD226" s="684" t="s">
        <v>542</v>
      </c>
      <c r="AE226" s="715"/>
      <c r="AF226" s="716">
        <v>0</v>
      </c>
      <c r="AG226" s="720"/>
      <c r="AH226" s="684"/>
      <c r="AI226" s="716" t="s">
        <v>2004</v>
      </c>
      <c r="AJ226" s="716"/>
      <c r="AK226" s="716"/>
      <c r="AL226" s="715"/>
      <c r="AM226" s="716"/>
      <c r="AN226" s="716"/>
      <c r="AO226" s="716"/>
      <c r="AP226" s="716"/>
      <c r="AQ226" s="721"/>
      <c r="AR226" s="676"/>
      <c r="AS226" s="537" t="b">
        <f t="array" ref="AS226">AND(D226:AQ226=inp_used,A226=inp_used_usersel)</f>
        <v>0</v>
      </c>
      <c r="AT226" s="674" t="b">
        <f t="array" ref="AT226">AND(D226:G226=inp_used_minimal,A226=inp_used_usersel)</f>
        <v>0</v>
      </c>
    </row>
    <row r="227" spans="1:49" s="674" customFormat="1">
      <c r="A227" s="674">
        <v>14</v>
      </c>
      <c r="B227" s="716">
        <v>2</v>
      </c>
      <c r="C227" s="674">
        <v>3</v>
      </c>
      <c r="D227" s="715">
        <v>0.30499999999999999</v>
      </c>
      <c r="E227" s="716" t="s">
        <v>226</v>
      </c>
      <c r="F227" s="684">
        <v>9.4E-2</v>
      </c>
      <c r="G227" s="716" t="s">
        <v>226</v>
      </c>
      <c r="H227" s="715" t="s">
        <v>3263</v>
      </c>
      <c r="I227" s="716" t="s">
        <v>992</v>
      </c>
      <c r="J227" s="741">
        <v>20500</v>
      </c>
      <c r="K227" s="716"/>
      <c r="L227" s="716"/>
      <c r="M227" s="721"/>
      <c r="N227" s="715" t="s">
        <v>232</v>
      </c>
      <c r="O227" s="716">
        <v>7.5</v>
      </c>
      <c r="P227" s="716"/>
      <c r="Q227" s="721"/>
      <c r="R227" s="715"/>
      <c r="S227" s="718"/>
      <c r="T227" s="718"/>
      <c r="U227" s="718"/>
      <c r="V227" s="719"/>
      <c r="W227" s="682">
        <v>6</v>
      </c>
      <c r="X227" s="684">
        <v>6</v>
      </c>
      <c r="Y227" s="684">
        <v>3</v>
      </c>
      <c r="Z227" s="715">
        <v>168</v>
      </c>
      <c r="AA227" s="684" t="s">
        <v>2140</v>
      </c>
      <c r="AB227" s="684" t="s">
        <v>2996</v>
      </c>
      <c r="AC227" s="716" t="s">
        <v>541</v>
      </c>
      <c r="AD227" s="684" t="s">
        <v>542</v>
      </c>
      <c r="AE227" s="715"/>
      <c r="AF227" s="716">
        <v>0</v>
      </c>
      <c r="AG227" s="720"/>
      <c r="AH227" s="684"/>
      <c r="AI227" s="716" t="s">
        <v>2004</v>
      </c>
      <c r="AJ227" s="716"/>
      <c r="AK227" s="716"/>
      <c r="AL227" s="715"/>
      <c r="AM227" s="716"/>
      <c r="AN227" s="716"/>
      <c r="AO227" s="716"/>
      <c r="AP227" s="716"/>
      <c r="AQ227" s="721"/>
      <c r="AR227" s="676"/>
      <c r="AS227" s="537" t="b">
        <f t="array" ref="AS227">AND(D227:AQ227=inp_used,A227=inp_used_usersel)</f>
        <v>0</v>
      </c>
      <c r="AT227" s="674" t="b">
        <f t="array" ref="AT227">AND(D227:G227=inp_used_minimal,A227=inp_used_usersel)</f>
        <v>0</v>
      </c>
    </row>
    <row r="228" spans="1:49" s="674" customFormat="1">
      <c r="A228" s="674">
        <v>14</v>
      </c>
      <c r="B228" s="716">
        <v>2</v>
      </c>
      <c r="C228" s="674">
        <v>4</v>
      </c>
      <c r="D228" s="715">
        <v>0.74</v>
      </c>
      <c r="E228" s="716" t="s">
        <v>226</v>
      </c>
      <c r="F228" s="684">
        <v>0.251</v>
      </c>
      <c r="G228" s="716" t="s">
        <v>226</v>
      </c>
      <c r="H228" s="715" t="s">
        <v>3263</v>
      </c>
      <c r="I228" s="716" t="s">
        <v>992</v>
      </c>
      <c r="J228" s="741">
        <v>20500</v>
      </c>
      <c r="K228" s="716"/>
      <c r="L228" s="716"/>
      <c r="M228" s="721"/>
      <c r="N228" s="715" t="s">
        <v>232</v>
      </c>
      <c r="O228" s="716">
        <v>7.5</v>
      </c>
      <c r="P228" s="716"/>
      <c r="Q228" s="721"/>
      <c r="R228" s="715"/>
      <c r="S228" s="718"/>
      <c r="T228" s="718"/>
      <c r="U228" s="718"/>
      <c r="V228" s="719"/>
      <c r="W228" s="682">
        <v>7</v>
      </c>
      <c r="X228" s="684">
        <v>7</v>
      </c>
      <c r="Y228" s="684">
        <v>5.3</v>
      </c>
      <c r="Z228" s="715">
        <v>168</v>
      </c>
      <c r="AA228" s="684" t="s">
        <v>2140</v>
      </c>
      <c r="AB228" s="684" t="s">
        <v>2996</v>
      </c>
      <c r="AC228" s="716" t="s">
        <v>541</v>
      </c>
      <c r="AD228" s="684" t="s">
        <v>542</v>
      </c>
      <c r="AE228" s="715"/>
      <c r="AF228" s="716">
        <v>0</v>
      </c>
      <c r="AG228" s="720"/>
      <c r="AH228" s="684"/>
      <c r="AI228" s="716" t="s">
        <v>2004</v>
      </c>
      <c r="AJ228" s="716"/>
      <c r="AK228" s="716"/>
      <c r="AL228" s="715"/>
      <c r="AM228" s="716"/>
      <c r="AN228" s="716"/>
      <c r="AO228" s="716"/>
      <c r="AP228" s="716"/>
      <c r="AQ228" s="721"/>
      <c r="AR228" s="676"/>
      <c r="AS228" s="537" t="b">
        <f t="array" ref="AS228">AND(D228:AQ228=inp_used,A228=inp_used_usersel)</f>
        <v>0</v>
      </c>
      <c r="AT228" s="674" t="b">
        <f t="array" ref="AT228">AND(D228:G228=inp_used_minimal,A228=inp_used_usersel)</f>
        <v>0</v>
      </c>
    </row>
    <row r="229" spans="1:49" s="674" customFormat="1">
      <c r="A229" s="674">
        <v>14</v>
      </c>
      <c r="B229" s="716">
        <v>2</v>
      </c>
      <c r="C229" s="537">
        <v>5</v>
      </c>
      <c r="D229" s="682">
        <v>2.1520000000000001</v>
      </c>
      <c r="E229" s="716" t="s">
        <v>226</v>
      </c>
      <c r="F229" s="684">
        <v>0.81899999999999995</v>
      </c>
      <c r="G229" s="716" t="s">
        <v>226</v>
      </c>
      <c r="H229" s="715" t="s">
        <v>3263</v>
      </c>
      <c r="I229" s="716" t="s">
        <v>992</v>
      </c>
      <c r="J229" s="741">
        <v>20500</v>
      </c>
      <c r="K229" s="716"/>
      <c r="L229" s="716"/>
      <c r="M229" s="721"/>
      <c r="N229" s="715" t="s">
        <v>232</v>
      </c>
      <c r="O229" s="716">
        <v>7.5</v>
      </c>
      <c r="P229" s="716"/>
      <c r="Q229" s="721"/>
      <c r="R229" s="715"/>
      <c r="S229" s="718"/>
      <c r="T229" s="718"/>
      <c r="U229" s="718"/>
      <c r="V229" s="719"/>
      <c r="W229" s="682">
        <v>8</v>
      </c>
      <c r="X229" s="684">
        <v>8</v>
      </c>
      <c r="Y229" s="684">
        <v>7.9</v>
      </c>
      <c r="Z229" s="715">
        <v>168</v>
      </c>
      <c r="AA229" s="684" t="s">
        <v>2140</v>
      </c>
      <c r="AB229" s="684" t="s">
        <v>2996</v>
      </c>
      <c r="AC229" s="716" t="s">
        <v>541</v>
      </c>
      <c r="AD229" s="684" t="s">
        <v>542</v>
      </c>
      <c r="AE229" s="715"/>
      <c r="AF229" s="716">
        <v>0</v>
      </c>
      <c r="AG229" s="720"/>
      <c r="AH229" s="684"/>
      <c r="AI229" s="716" t="s">
        <v>2004</v>
      </c>
      <c r="AJ229" s="716"/>
      <c r="AK229" s="716"/>
      <c r="AL229" s="715"/>
      <c r="AM229" s="716"/>
      <c r="AN229" s="716"/>
      <c r="AO229" s="716"/>
      <c r="AP229" s="716"/>
      <c r="AQ229" s="721"/>
      <c r="AR229" s="676"/>
      <c r="AS229" s="537" t="b">
        <f t="array" ref="AS229">AND(D229:AQ229=inp_used,A229=inp_used_usersel)</f>
        <v>0</v>
      </c>
      <c r="AT229" s="674" t="b">
        <f t="array" ref="AT229">AND(D229:G229=inp_used_minimal,A229=inp_used_usersel)</f>
        <v>0</v>
      </c>
    </row>
    <row r="230" spans="1:49" s="674" customFormat="1">
      <c r="A230" s="674">
        <v>14</v>
      </c>
      <c r="B230" s="716">
        <v>2</v>
      </c>
      <c r="C230" s="537">
        <v>6</v>
      </c>
      <c r="D230" s="682">
        <v>7.3650000000000002</v>
      </c>
      <c r="E230" s="716" t="s">
        <v>226</v>
      </c>
      <c r="F230" s="684">
        <v>3.2</v>
      </c>
      <c r="G230" s="716" t="s">
        <v>226</v>
      </c>
      <c r="H230" s="715" t="s">
        <v>3263</v>
      </c>
      <c r="I230" s="716" t="s">
        <v>992</v>
      </c>
      <c r="J230" s="741">
        <v>20500</v>
      </c>
      <c r="K230" s="716"/>
      <c r="L230" s="716"/>
      <c r="M230" s="721"/>
      <c r="N230" s="715" t="s">
        <v>232</v>
      </c>
      <c r="O230" s="716">
        <v>7.5</v>
      </c>
      <c r="P230" s="716"/>
      <c r="Q230" s="721"/>
      <c r="R230" s="715"/>
      <c r="S230" s="718"/>
      <c r="T230" s="718"/>
      <c r="U230" s="718"/>
      <c r="V230" s="719"/>
      <c r="W230" s="682">
        <v>11.5</v>
      </c>
      <c r="X230" s="684">
        <v>11.5</v>
      </c>
      <c r="Y230" s="684">
        <v>7.8</v>
      </c>
      <c r="Z230" s="715">
        <v>168</v>
      </c>
      <c r="AA230" s="684" t="s">
        <v>2140</v>
      </c>
      <c r="AB230" s="684" t="s">
        <v>2996</v>
      </c>
      <c r="AC230" s="716" t="s">
        <v>2725</v>
      </c>
      <c r="AD230" s="684" t="s">
        <v>542</v>
      </c>
      <c r="AE230" s="715"/>
      <c r="AF230" s="716">
        <v>0</v>
      </c>
      <c r="AG230" s="720"/>
      <c r="AH230" s="684"/>
      <c r="AI230" s="716" t="s">
        <v>2004</v>
      </c>
      <c r="AJ230" s="716"/>
      <c r="AK230" s="716"/>
      <c r="AL230" s="715"/>
      <c r="AM230" s="716"/>
      <c r="AN230" s="716"/>
      <c r="AO230" s="716"/>
      <c r="AP230" s="716"/>
      <c r="AQ230" s="721"/>
      <c r="AR230" s="676"/>
      <c r="AS230" s="537" t="b">
        <f t="array" ref="AS230">AND(D230:AQ230=inp_used,A230=inp_used_usersel)</f>
        <v>0</v>
      </c>
      <c r="AT230" s="674" t="b">
        <f t="array" ref="AT230">AND(D230:G230=inp_used_minimal,A230=inp_used_usersel)</f>
        <v>0</v>
      </c>
    </row>
    <row r="231" spans="1:49" s="674" customFormat="1">
      <c r="A231" s="674">
        <v>14</v>
      </c>
      <c r="B231" s="716">
        <v>2</v>
      </c>
      <c r="C231" s="537">
        <v>7</v>
      </c>
      <c r="D231" s="682">
        <v>22.614000000000001</v>
      </c>
      <c r="E231" s="716" t="s">
        <v>226</v>
      </c>
      <c r="F231" s="684">
        <v>11.066000000000001</v>
      </c>
      <c r="G231" s="716" t="s">
        <v>226</v>
      </c>
      <c r="H231" s="715" t="s">
        <v>3263</v>
      </c>
      <c r="I231" s="716" t="s">
        <v>992</v>
      </c>
      <c r="J231" s="741">
        <v>20500</v>
      </c>
      <c r="K231" s="716"/>
      <c r="L231" s="716"/>
      <c r="M231" s="721"/>
      <c r="N231" s="715" t="s">
        <v>232</v>
      </c>
      <c r="O231" s="716">
        <v>7.5</v>
      </c>
      <c r="P231" s="716"/>
      <c r="Q231" s="721"/>
      <c r="R231" s="715"/>
      <c r="S231" s="718"/>
      <c r="T231" s="718"/>
      <c r="U231" s="718"/>
      <c r="V231" s="719"/>
      <c r="W231" s="682">
        <v>15</v>
      </c>
      <c r="X231" s="684">
        <v>15</v>
      </c>
      <c r="Y231" s="684">
        <v>7.8</v>
      </c>
      <c r="Z231" s="715">
        <v>168</v>
      </c>
      <c r="AA231" s="684" t="s">
        <v>2140</v>
      </c>
      <c r="AB231" s="684" t="s">
        <v>2996</v>
      </c>
      <c r="AC231" s="716" t="s">
        <v>2725</v>
      </c>
      <c r="AD231" s="684" t="s">
        <v>542</v>
      </c>
      <c r="AE231" s="715"/>
      <c r="AF231" s="716">
        <v>0</v>
      </c>
      <c r="AG231" s="720"/>
      <c r="AH231" s="684"/>
      <c r="AI231" s="716" t="s">
        <v>2004</v>
      </c>
      <c r="AJ231" s="716"/>
      <c r="AK231" s="716"/>
      <c r="AL231" s="715"/>
      <c r="AM231" s="716"/>
      <c r="AN231" s="716"/>
      <c r="AO231" s="716"/>
      <c r="AP231" s="716"/>
      <c r="AQ231" s="721"/>
      <c r="AR231" s="676"/>
      <c r="AS231" s="537" t="b">
        <f t="array" ref="AS231">AND(D231:AQ231=inp_used,A231=inp_used_usersel)</f>
        <v>0</v>
      </c>
      <c r="AT231" s="674" t="b">
        <f t="array" ref="AT231">AND(D231:G231=inp_used_minimal,A231=inp_used_usersel)</f>
        <v>0</v>
      </c>
    </row>
    <row r="232" spans="1:49" s="674" customFormat="1">
      <c r="A232" s="724">
        <v>14</v>
      </c>
      <c r="B232" s="724">
        <v>2</v>
      </c>
      <c r="C232" s="726">
        <v>8</v>
      </c>
      <c r="D232" s="725">
        <v>75.072000000000003</v>
      </c>
      <c r="E232" s="724" t="s">
        <v>226</v>
      </c>
      <c r="F232" s="726">
        <v>37.536000000000001</v>
      </c>
      <c r="G232" s="724" t="s">
        <v>226</v>
      </c>
      <c r="H232" s="727" t="s">
        <v>3263</v>
      </c>
      <c r="I232" s="724" t="s">
        <v>992</v>
      </c>
      <c r="J232" s="742">
        <v>20500</v>
      </c>
      <c r="K232" s="724"/>
      <c r="L232" s="724"/>
      <c r="M232" s="729"/>
      <c r="N232" s="727" t="s">
        <v>232</v>
      </c>
      <c r="O232" s="724">
        <v>7.5</v>
      </c>
      <c r="P232" s="724"/>
      <c r="Q232" s="729"/>
      <c r="R232" s="727"/>
      <c r="S232" s="732"/>
      <c r="T232" s="732"/>
      <c r="U232" s="732"/>
      <c r="V232" s="733"/>
      <c r="W232" s="725">
        <v>30</v>
      </c>
      <c r="X232" s="726">
        <v>30</v>
      </c>
      <c r="Y232" s="712">
        <v>9.6999999999999993</v>
      </c>
      <c r="Z232" s="727">
        <v>168</v>
      </c>
      <c r="AA232" s="726" t="s">
        <v>2140</v>
      </c>
      <c r="AB232" s="726" t="s">
        <v>2996</v>
      </c>
      <c r="AC232" s="724" t="s">
        <v>2725</v>
      </c>
      <c r="AD232" s="726" t="s">
        <v>542</v>
      </c>
      <c r="AE232" s="727"/>
      <c r="AF232" s="724">
        <v>0</v>
      </c>
      <c r="AG232" s="734"/>
      <c r="AH232" s="726"/>
      <c r="AI232" s="724" t="s">
        <v>2004</v>
      </c>
      <c r="AJ232" s="724"/>
      <c r="AK232" s="729"/>
      <c r="AL232" s="727"/>
      <c r="AM232" s="724"/>
      <c r="AN232" s="724"/>
      <c r="AO232" s="724"/>
      <c r="AP232" s="724"/>
      <c r="AQ232" s="729"/>
      <c r="AR232" s="676"/>
      <c r="AS232" s="537" t="b">
        <f t="array" ref="AS232">AND(D232:AQ232=inp_used,A232=inp_used_usersel)</f>
        <v>0</v>
      </c>
      <c r="AT232" s="674" t="b">
        <f t="array" ref="AT232">AND(D232:G232=inp_used_minimal,A232=inp_used_usersel)</f>
        <v>0</v>
      </c>
    </row>
    <row r="233" spans="1:49" s="674" customFormat="1">
      <c r="A233" s="674">
        <v>15</v>
      </c>
      <c r="B233" s="674">
        <v>1</v>
      </c>
      <c r="C233" s="674">
        <v>1</v>
      </c>
      <c r="D233" s="715">
        <v>0.03</v>
      </c>
      <c r="E233" s="716" t="s">
        <v>226</v>
      </c>
      <c r="F233" s="684">
        <v>7.0000000000000001E-3</v>
      </c>
      <c r="G233" s="716" t="s">
        <v>226</v>
      </c>
      <c r="H233" s="715" t="s">
        <v>3263</v>
      </c>
      <c r="I233" s="716" t="s">
        <v>992</v>
      </c>
      <c r="J233" s="741">
        <v>47100</v>
      </c>
      <c r="K233" s="716"/>
      <c r="L233" s="716"/>
      <c r="M233" s="721"/>
      <c r="N233" s="715" t="s">
        <v>232</v>
      </c>
      <c r="O233" s="716">
        <v>7.5</v>
      </c>
      <c r="P233" s="716"/>
      <c r="Q233" s="721"/>
      <c r="R233" s="715">
        <v>1</v>
      </c>
      <c r="S233" s="718">
        <v>3.4</v>
      </c>
      <c r="T233" s="716" t="s">
        <v>2139</v>
      </c>
      <c r="U233" s="718">
        <v>6</v>
      </c>
      <c r="V233" s="719">
        <v>2</v>
      </c>
      <c r="W233" s="718"/>
      <c r="X233" s="718"/>
      <c r="Y233" s="718"/>
      <c r="Z233" s="715">
        <v>168</v>
      </c>
      <c r="AA233" s="684" t="s">
        <v>2140</v>
      </c>
      <c r="AB233" s="720" t="s">
        <v>539</v>
      </c>
      <c r="AC233" s="716" t="s">
        <v>541</v>
      </c>
      <c r="AD233" s="721"/>
      <c r="AE233" s="737"/>
      <c r="AF233" s="1043">
        <v>0</v>
      </c>
      <c r="AG233" s="743"/>
      <c r="AH233" s="744"/>
      <c r="AI233" s="716" t="s">
        <v>2004</v>
      </c>
      <c r="AJ233" s="716"/>
      <c r="AK233" s="716"/>
      <c r="AL233" s="715"/>
      <c r="AM233" s="716"/>
      <c r="AN233" s="716"/>
      <c r="AO233" s="716"/>
      <c r="AP233" s="716"/>
      <c r="AQ233" s="721"/>
      <c r="AR233" s="676" t="s">
        <v>201</v>
      </c>
      <c r="AS233" s="537" t="b">
        <f t="array" ref="AS233">AND(D233:AQ233=inp_used,A233=inp_used_usersel)</f>
        <v>0</v>
      </c>
      <c r="AT233" s="674" t="b">
        <f t="array" ref="AT233">AND(D233:G233=inp_used_minimal,A233=inp_used_usersel)</f>
        <v>0</v>
      </c>
      <c r="AV233" s="674" t="b">
        <f t="shared" ref="AV233:AW240" si="14">CHOOSE(design_type,AS233,AS241)</f>
        <v>0</v>
      </c>
      <c r="AW233" s="674" t="b">
        <f t="shared" si="14"/>
        <v>0</v>
      </c>
    </row>
    <row r="234" spans="1:49" s="674" customFormat="1">
      <c r="A234" s="674">
        <v>15</v>
      </c>
      <c r="B234" s="674">
        <v>1</v>
      </c>
      <c r="C234" s="674">
        <v>2</v>
      </c>
      <c r="D234" s="715">
        <v>0.124</v>
      </c>
      <c r="E234" s="716" t="s">
        <v>226</v>
      </c>
      <c r="F234" s="684">
        <v>3.5000000000000003E-2</v>
      </c>
      <c r="G234" s="716" t="s">
        <v>226</v>
      </c>
      <c r="H234" s="715" t="s">
        <v>3263</v>
      </c>
      <c r="I234" s="716" t="s">
        <v>992</v>
      </c>
      <c r="J234" s="741">
        <v>47100</v>
      </c>
      <c r="K234" s="716"/>
      <c r="L234" s="716"/>
      <c r="M234" s="721"/>
      <c r="N234" s="715" t="s">
        <v>232</v>
      </c>
      <c r="O234" s="716">
        <v>7.5</v>
      </c>
      <c r="P234" s="716"/>
      <c r="Q234" s="721"/>
      <c r="R234" s="715">
        <v>1</v>
      </c>
      <c r="S234" s="718">
        <v>6.9</v>
      </c>
      <c r="T234" s="716" t="s">
        <v>2139</v>
      </c>
      <c r="U234" s="718">
        <v>11</v>
      </c>
      <c r="V234" s="719">
        <v>4</v>
      </c>
      <c r="W234" s="718"/>
      <c r="X234" s="718"/>
      <c r="Y234" s="718"/>
      <c r="Z234" s="715">
        <v>168</v>
      </c>
      <c r="AA234" s="684" t="s">
        <v>2140</v>
      </c>
      <c r="AB234" s="720" t="s">
        <v>540</v>
      </c>
      <c r="AC234" s="716" t="s">
        <v>541</v>
      </c>
      <c r="AD234" s="723" t="s">
        <v>542</v>
      </c>
      <c r="AE234" s="715"/>
      <c r="AF234" s="716">
        <v>0</v>
      </c>
      <c r="AG234" s="720"/>
      <c r="AH234" s="684"/>
      <c r="AI234" s="716" t="s">
        <v>2004</v>
      </c>
      <c r="AJ234" s="716"/>
      <c r="AK234" s="716"/>
      <c r="AL234" s="715"/>
      <c r="AM234" s="716"/>
      <c r="AN234" s="716"/>
      <c r="AO234" s="716"/>
      <c r="AP234" s="716"/>
      <c r="AQ234" s="721"/>
      <c r="AR234" s="676"/>
      <c r="AS234" s="537" t="b">
        <f t="array" ref="AS234">AND(D234:AQ234=inp_used,A234=inp_used_usersel)</f>
        <v>0</v>
      </c>
      <c r="AT234" s="674" t="b">
        <f t="array" ref="AT234">AND(D234:G234=inp_used_minimal,A234=inp_used_usersel)</f>
        <v>0</v>
      </c>
      <c r="AV234" s="674" t="b">
        <f t="shared" si="14"/>
        <v>0</v>
      </c>
      <c r="AW234" s="674" t="b">
        <f t="shared" si="14"/>
        <v>0</v>
      </c>
    </row>
    <row r="235" spans="1:49" s="674" customFormat="1">
      <c r="A235" s="674">
        <v>15</v>
      </c>
      <c r="B235" s="674">
        <v>1</v>
      </c>
      <c r="C235" s="674">
        <v>3</v>
      </c>
      <c r="D235" s="715">
        <v>0.30499999999999999</v>
      </c>
      <c r="E235" s="716" t="s">
        <v>226</v>
      </c>
      <c r="F235" s="684">
        <v>9.4E-2</v>
      </c>
      <c r="G235" s="716" t="s">
        <v>226</v>
      </c>
      <c r="H235" s="715" t="s">
        <v>3263</v>
      </c>
      <c r="I235" s="716" t="s">
        <v>992</v>
      </c>
      <c r="J235" s="741">
        <v>47100</v>
      </c>
      <c r="K235" s="716"/>
      <c r="L235" s="716"/>
      <c r="M235" s="721"/>
      <c r="N235" s="715" t="s">
        <v>232</v>
      </c>
      <c r="O235" s="716">
        <v>7.5</v>
      </c>
      <c r="P235" s="716"/>
      <c r="Q235" s="721"/>
      <c r="R235" s="715">
        <v>1</v>
      </c>
      <c r="S235" s="718">
        <v>6.7</v>
      </c>
      <c r="T235" s="716" t="s">
        <v>2139</v>
      </c>
      <c r="U235" s="718">
        <v>11</v>
      </c>
      <c r="V235" s="719">
        <v>4.5</v>
      </c>
      <c r="W235" s="718"/>
      <c r="X235" s="718"/>
      <c r="Y235" s="718"/>
      <c r="Z235" s="715">
        <v>168</v>
      </c>
      <c r="AA235" s="684" t="s">
        <v>2140</v>
      </c>
      <c r="AB235" s="720" t="s">
        <v>540</v>
      </c>
      <c r="AC235" s="716" t="s">
        <v>541</v>
      </c>
      <c r="AD235" s="723" t="s">
        <v>542</v>
      </c>
      <c r="AE235" s="715"/>
      <c r="AF235" s="716">
        <v>0</v>
      </c>
      <c r="AG235" s="720"/>
      <c r="AH235" s="684"/>
      <c r="AI235" s="716" t="s">
        <v>2004</v>
      </c>
      <c r="AJ235" s="716"/>
      <c r="AK235" s="716"/>
      <c r="AL235" s="715"/>
      <c r="AM235" s="716"/>
      <c r="AN235" s="716"/>
      <c r="AO235" s="716"/>
      <c r="AP235" s="716"/>
      <c r="AQ235" s="721"/>
      <c r="AR235" s="676"/>
      <c r="AS235" s="537" t="b">
        <f t="array" ref="AS235">AND(D235:AQ235=inp_used,A235=inp_used_usersel)</f>
        <v>0</v>
      </c>
      <c r="AT235" s="674" t="b">
        <f t="array" ref="AT235">AND(D235:G235=inp_used_minimal,A235=inp_used_usersel)</f>
        <v>0</v>
      </c>
      <c r="AV235" s="674" t="b">
        <f t="shared" si="14"/>
        <v>0</v>
      </c>
      <c r="AW235" s="674" t="b">
        <f t="shared" si="14"/>
        <v>0</v>
      </c>
    </row>
    <row r="236" spans="1:49" s="674" customFormat="1">
      <c r="A236" s="674">
        <v>15</v>
      </c>
      <c r="B236" s="674">
        <v>1</v>
      </c>
      <c r="C236" s="674">
        <v>4</v>
      </c>
      <c r="D236" s="715">
        <v>0.74</v>
      </c>
      <c r="E236" s="716" t="s">
        <v>226</v>
      </c>
      <c r="F236" s="684">
        <v>0.251</v>
      </c>
      <c r="G236" s="716" t="s">
        <v>226</v>
      </c>
      <c r="H236" s="715" t="s">
        <v>3263</v>
      </c>
      <c r="I236" s="716" t="s">
        <v>992</v>
      </c>
      <c r="J236" s="741">
        <v>47100</v>
      </c>
      <c r="K236" s="716"/>
      <c r="L236" s="716"/>
      <c r="M236" s="721"/>
      <c r="N236" s="715" t="s">
        <v>232</v>
      </c>
      <c r="O236" s="716">
        <v>7.5</v>
      </c>
      <c r="P236" s="716"/>
      <c r="Q236" s="721"/>
      <c r="R236" s="715">
        <v>1</v>
      </c>
      <c r="S236" s="718">
        <v>6.7</v>
      </c>
      <c r="T236" s="716" t="s">
        <v>2139</v>
      </c>
      <c r="U236" s="718">
        <v>11</v>
      </c>
      <c r="V236" s="719">
        <v>7</v>
      </c>
      <c r="W236" s="718"/>
      <c r="X236" s="718"/>
      <c r="Y236" s="718"/>
      <c r="Z236" s="715">
        <v>168</v>
      </c>
      <c r="AA236" s="684" t="s">
        <v>2140</v>
      </c>
      <c r="AB236" s="720" t="s">
        <v>540</v>
      </c>
      <c r="AC236" s="716" t="s">
        <v>541</v>
      </c>
      <c r="AD236" s="723" t="s">
        <v>542</v>
      </c>
      <c r="AE236" s="715"/>
      <c r="AF236" s="716">
        <v>0</v>
      </c>
      <c r="AG236" s="720"/>
      <c r="AH236" s="684"/>
      <c r="AI236" s="716" t="s">
        <v>2004</v>
      </c>
      <c r="AJ236" s="716"/>
      <c r="AK236" s="716"/>
      <c r="AL236" s="715"/>
      <c r="AM236" s="716"/>
      <c r="AN236" s="716"/>
      <c r="AO236" s="716"/>
      <c r="AP236" s="716"/>
      <c r="AQ236" s="721"/>
      <c r="AR236" s="676"/>
      <c r="AS236" s="537" t="b">
        <f t="array" ref="AS236">AND(D236:AQ236=inp_used,A236=inp_used_usersel)</f>
        <v>0</v>
      </c>
      <c r="AT236" s="674" t="b">
        <f t="array" ref="AT236">AND(D236:G236=inp_used_minimal,A236=inp_used_usersel)</f>
        <v>0</v>
      </c>
      <c r="AV236" s="674" t="b">
        <f t="shared" si="14"/>
        <v>0</v>
      </c>
      <c r="AW236" s="674" t="b">
        <f t="shared" si="14"/>
        <v>0</v>
      </c>
    </row>
    <row r="237" spans="1:49" s="674" customFormat="1">
      <c r="A237" s="674">
        <v>15</v>
      </c>
      <c r="B237" s="674">
        <v>1</v>
      </c>
      <c r="C237" s="537">
        <v>5</v>
      </c>
      <c r="D237" s="682">
        <v>2.1520000000000001</v>
      </c>
      <c r="E237" s="716" t="s">
        <v>226</v>
      </c>
      <c r="F237" s="684">
        <v>0.81899999999999995</v>
      </c>
      <c r="G237" s="716" t="s">
        <v>226</v>
      </c>
      <c r="H237" s="715" t="s">
        <v>3263</v>
      </c>
      <c r="I237" s="716" t="s">
        <v>992</v>
      </c>
      <c r="J237" s="741">
        <v>47100</v>
      </c>
      <c r="K237" s="716"/>
      <c r="L237" s="716"/>
      <c r="M237" s="721"/>
      <c r="N237" s="715" t="s">
        <v>232</v>
      </c>
      <c r="O237" s="716">
        <v>7.5</v>
      </c>
      <c r="P237" s="716"/>
      <c r="Q237" s="721"/>
      <c r="R237" s="715">
        <v>1</v>
      </c>
      <c r="S237" s="718">
        <v>6.7</v>
      </c>
      <c r="T237" s="716" t="s">
        <v>2139</v>
      </c>
      <c r="U237" s="718">
        <v>11</v>
      </c>
      <c r="V237" s="719">
        <v>8.5</v>
      </c>
      <c r="W237" s="718"/>
      <c r="X237" s="718"/>
      <c r="Y237" s="718"/>
      <c r="Z237" s="715">
        <v>168</v>
      </c>
      <c r="AA237" s="684" t="s">
        <v>2140</v>
      </c>
      <c r="AB237" s="720" t="s">
        <v>540</v>
      </c>
      <c r="AC237" s="716" t="s">
        <v>541</v>
      </c>
      <c r="AD237" s="723" t="s">
        <v>542</v>
      </c>
      <c r="AE237" s="715"/>
      <c r="AF237" s="716">
        <v>0</v>
      </c>
      <c r="AG237" s="720"/>
      <c r="AH237" s="684"/>
      <c r="AI237" s="716" t="s">
        <v>2004</v>
      </c>
      <c r="AJ237" s="716"/>
      <c r="AK237" s="716"/>
      <c r="AL237" s="715"/>
      <c r="AM237" s="716"/>
      <c r="AN237" s="716"/>
      <c r="AO237" s="716"/>
      <c r="AP237" s="716"/>
      <c r="AQ237" s="721"/>
      <c r="AR237" s="676"/>
      <c r="AS237" s="537" t="b">
        <f t="array" ref="AS237">AND(D237:AQ237=inp_used,A237=inp_used_usersel)</f>
        <v>0</v>
      </c>
      <c r="AT237" s="674" t="b">
        <f t="array" ref="AT237">AND(D237:G237=inp_used_minimal,A237=inp_used_usersel)</f>
        <v>0</v>
      </c>
      <c r="AV237" s="674" t="b">
        <f t="shared" si="14"/>
        <v>0</v>
      </c>
      <c r="AW237" s="674" t="b">
        <f t="shared" si="14"/>
        <v>0</v>
      </c>
    </row>
    <row r="238" spans="1:49" s="674" customFormat="1">
      <c r="A238" s="674">
        <v>15</v>
      </c>
      <c r="B238" s="674">
        <v>1</v>
      </c>
      <c r="C238" s="537">
        <v>6</v>
      </c>
      <c r="D238" s="682">
        <v>7.3650000000000002</v>
      </c>
      <c r="E238" s="716" t="s">
        <v>226</v>
      </c>
      <c r="F238" s="684">
        <v>3.2</v>
      </c>
      <c r="G238" s="716" t="s">
        <v>226</v>
      </c>
      <c r="H238" s="715" t="s">
        <v>3263</v>
      </c>
      <c r="I238" s="716" t="s">
        <v>992</v>
      </c>
      <c r="J238" s="741">
        <v>47100</v>
      </c>
      <c r="K238" s="716"/>
      <c r="L238" s="716"/>
      <c r="M238" s="721"/>
      <c r="N238" s="715" t="s">
        <v>232</v>
      </c>
      <c r="O238" s="716">
        <v>7.5</v>
      </c>
      <c r="P238" s="716"/>
      <c r="Q238" s="721"/>
      <c r="R238" s="715">
        <v>1</v>
      </c>
      <c r="S238" s="718">
        <v>6.8</v>
      </c>
      <c r="T238" s="716" t="s">
        <v>2139</v>
      </c>
      <c r="U238" s="718">
        <v>11</v>
      </c>
      <c r="V238" s="719">
        <v>11</v>
      </c>
      <c r="W238" s="718"/>
      <c r="X238" s="718"/>
      <c r="Y238" s="718"/>
      <c r="Z238" s="715">
        <v>168</v>
      </c>
      <c r="AA238" s="684" t="s">
        <v>2140</v>
      </c>
      <c r="AB238" s="720" t="s">
        <v>540</v>
      </c>
      <c r="AC238" s="716" t="s">
        <v>2725</v>
      </c>
      <c r="AD238" s="723" t="s">
        <v>542</v>
      </c>
      <c r="AE238" s="715"/>
      <c r="AF238" s="716">
        <v>0</v>
      </c>
      <c r="AG238" s="720"/>
      <c r="AH238" s="684"/>
      <c r="AI238" s="716" t="s">
        <v>2004</v>
      </c>
      <c r="AJ238" s="716"/>
      <c r="AK238" s="716"/>
      <c r="AL238" s="715"/>
      <c r="AM238" s="716"/>
      <c r="AN238" s="716"/>
      <c r="AO238" s="716"/>
      <c r="AP238" s="716"/>
      <c r="AQ238" s="721"/>
      <c r="AR238" s="676"/>
      <c r="AS238" s="537" t="b">
        <f t="array" ref="AS238">AND(D238:AQ238=inp_used,A238=inp_used_usersel)</f>
        <v>0</v>
      </c>
      <c r="AT238" s="674" t="b">
        <f t="array" ref="AT238">AND(D238:G238=inp_used_minimal,A238=inp_used_usersel)</f>
        <v>0</v>
      </c>
      <c r="AV238" s="674" t="b">
        <f t="shared" si="14"/>
        <v>0</v>
      </c>
      <c r="AW238" s="674" t="b">
        <f t="shared" si="14"/>
        <v>0</v>
      </c>
    </row>
    <row r="239" spans="1:49" s="674" customFormat="1">
      <c r="A239" s="674">
        <v>15</v>
      </c>
      <c r="B239" s="674">
        <v>1</v>
      </c>
      <c r="C239" s="537">
        <v>7</v>
      </c>
      <c r="D239" s="682">
        <v>22.614000000000001</v>
      </c>
      <c r="E239" s="716" t="s">
        <v>226</v>
      </c>
      <c r="F239" s="684">
        <v>11.066000000000001</v>
      </c>
      <c r="G239" s="716" t="s">
        <v>226</v>
      </c>
      <c r="H239" s="715" t="s">
        <v>3263</v>
      </c>
      <c r="I239" s="716" t="s">
        <v>992</v>
      </c>
      <c r="J239" s="741">
        <v>47100</v>
      </c>
      <c r="K239" s="716"/>
      <c r="L239" s="716"/>
      <c r="M239" s="721"/>
      <c r="N239" s="715" t="s">
        <v>232</v>
      </c>
      <c r="O239" s="716">
        <v>7.5</v>
      </c>
      <c r="P239" s="716"/>
      <c r="Q239" s="721"/>
      <c r="R239" s="715">
        <v>1</v>
      </c>
      <c r="S239" s="718">
        <v>7.1</v>
      </c>
      <c r="T239" s="716" t="s">
        <v>3284</v>
      </c>
      <c r="U239" s="718">
        <v>20</v>
      </c>
      <c r="V239" s="719">
        <v>14</v>
      </c>
      <c r="W239" s="718"/>
      <c r="X239" s="718"/>
      <c r="Y239" s="718"/>
      <c r="Z239" s="715">
        <v>168</v>
      </c>
      <c r="AA239" s="684" t="s">
        <v>2140</v>
      </c>
      <c r="AB239" s="720" t="s">
        <v>540</v>
      </c>
      <c r="AC239" s="716" t="s">
        <v>2725</v>
      </c>
      <c r="AD239" s="723" t="s">
        <v>542</v>
      </c>
      <c r="AE239" s="715"/>
      <c r="AF239" s="716">
        <v>0</v>
      </c>
      <c r="AG239" s="720"/>
      <c r="AH239" s="684"/>
      <c r="AI239" s="716" t="s">
        <v>2004</v>
      </c>
      <c r="AJ239" s="716"/>
      <c r="AK239" s="716"/>
      <c r="AL239" s="715"/>
      <c r="AM239" s="716"/>
      <c r="AN239" s="716"/>
      <c r="AO239" s="716"/>
      <c r="AP239" s="716"/>
      <c r="AQ239" s="721"/>
      <c r="AR239" s="676"/>
      <c r="AS239" s="537" t="b">
        <f t="array" ref="AS239">AND(D239:AQ239=inp_used,A239=inp_used_usersel)</f>
        <v>0</v>
      </c>
      <c r="AT239" s="674" t="b">
        <f t="array" ref="AT239">AND(D239:G239=inp_used_minimal,A239=inp_used_usersel)</f>
        <v>0</v>
      </c>
      <c r="AV239" s="674" t="b">
        <f t="shared" si="14"/>
        <v>0</v>
      </c>
      <c r="AW239" s="674" t="b">
        <f t="shared" si="14"/>
        <v>0</v>
      </c>
    </row>
    <row r="240" spans="1:49" s="674" customFormat="1">
      <c r="A240" s="724">
        <v>15</v>
      </c>
      <c r="B240" s="724">
        <v>1</v>
      </c>
      <c r="C240" s="726">
        <v>8</v>
      </c>
      <c r="D240" s="725">
        <v>75.072000000000003</v>
      </c>
      <c r="E240" s="724" t="s">
        <v>226</v>
      </c>
      <c r="F240" s="726">
        <v>37.536000000000001</v>
      </c>
      <c r="G240" s="724" t="s">
        <v>226</v>
      </c>
      <c r="H240" s="727" t="s">
        <v>3263</v>
      </c>
      <c r="I240" s="724" t="s">
        <v>992</v>
      </c>
      <c r="J240" s="742">
        <v>47100</v>
      </c>
      <c r="K240" s="724"/>
      <c r="L240" s="724"/>
      <c r="M240" s="729"/>
      <c r="N240" s="727" t="s">
        <v>232</v>
      </c>
      <c r="O240" s="724">
        <v>7.5</v>
      </c>
      <c r="P240" s="724"/>
      <c r="Q240" s="729"/>
      <c r="R240" s="715">
        <v>1</v>
      </c>
      <c r="S240" s="732">
        <v>7.2</v>
      </c>
      <c r="T240" s="724" t="s">
        <v>3284</v>
      </c>
      <c r="U240" s="732">
        <v>20</v>
      </c>
      <c r="V240" s="733">
        <v>14</v>
      </c>
      <c r="W240" s="731"/>
      <c r="X240" s="732"/>
      <c r="Y240" s="733"/>
      <c r="Z240" s="727">
        <v>168</v>
      </c>
      <c r="AA240" s="726" t="s">
        <v>2140</v>
      </c>
      <c r="AB240" s="734" t="s">
        <v>540</v>
      </c>
      <c r="AC240" s="724" t="s">
        <v>2725</v>
      </c>
      <c r="AD240" s="712" t="s">
        <v>542</v>
      </c>
      <c r="AE240" s="727"/>
      <c r="AF240" s="724">
        <v>0</v>
      </c>
      <c r="AG240" s="734"/>
      <c r="AH240" s="726"/>
      <c r="AI240" s="724" t="s">
        <v>2004</v>
      </c>
      <c r="AJ240" s="724"/>
      <c r="AK240" s="729"/>
      <c r="AL240" s="727"/>
      <c r="AM240" s="724"/>
      <c r="AN240" s="724"/>
      <c r="AO240" s="724"/>
      <c r="AP240" s="724"/>
      <c r="AQ240" s="729"/>
      <c r="AR240" s="676"/>
      <c r="AS240" s="537" t="b">
        <f t="array" ref="AS240">AND(D240:AQ240=inp_used,A240=inp_used_usersel)</f>
        <v>0</v>
      </c>
      <c r="AT240" s="674" t="b">
        <f t="array" ref="AT240">AND(D240:G240=inp_used_minimal,A240=inp_used_usersel)</f>
        <v>0</v>
      </c>
      <c r="AV240" s="674" t="b">
        <f t="shared" si="14"/>
        <v>0</v>
      </c>
      <c r="AW240" s="674" t="b">
        <f t="shared" si="14"/>
        <v>0</v>
      </c>
    </row>
    <row r="241" spans="1:49" s="674" customFormat="1">
      <c r="A241" s="674">
        <v>15</v>
      </c>
      <c r="B241" s="735">
        <v>2</v>
      </c>
      <c r="C241" s="674">
        <v>1</v>
      </c>
      <c r="D241" s="715">
        <v>0.03</v>
      </c>
      <c r="E241" s="716" t="s">
        <v>226</v>
      </c>
      <c r="F241" s="684">
        <v>7.0000000000000001E-3</v>
      </c>
      <c r="G241" s="716" t="s">
        <v>226</v>
      </c>
      <c r="H241" s="715" t="s">
        <v>3263</v>
      </c>
      <c r="I241" s="716" t="s">
        <v>992</v>
      </c>
      <c r="J241" s="741">
        <v>47100</v>
      </c>
      <c r="K241" s="716"/>
      <c r="L241" s="716"/>
      <c r="M241" s="721"/>
      <c r="N241" s="715" t="s">
        <v>232</v>
      </c>
      <c r="O241" s="716">
        <v>7.5</v>
      </c>
      <c r="P241" s="716"/>
      <c r="Q241" s="721"/>
      <c r="R241" s="737"/>
      <c r="S241" s="718"/>
      <c r="T241" s="718"/>
      <c r="U241" s="718"/>
      <c r="V241" s="719"/>
      <c r="W241" s="682">
        <v>6</v>
      </c>
      <c r="X241" s="684">
        <v>6</v>
      </c>
      <c r="Y241" s="684">
        <v>3</v>
      </c>
      <c r="Z241" s="715">
        <v>168</v>
      </c>
      <c r="AA241" s="684" t="s">
        <v>2140</v>
      </c>
      <c r="AB241" s="684" t="s">
        <v>2996</v>
      </c>
      <c r="AC241" s="716" t="s">
        <v>541</v>
      </c>
      <c r="AD241" s="684" t="s">
        <v>542</v>
      </c>
      <c r="AE241" s="715"/>
      <c r="AF241" s="1043">
        <v>0</v>
      </c>
      <c r="AG241" s="720"/>
      <c r="AH241" s="684"/>
      <c r="AI241" s="716" t="s">
        <v>2004</v>
      </c>
      <c r="AJ241" s="716"/>
      <c r="AK241" s="716"/>
      <c r="AL241" s="715"/>
      <c r="AM241" s="716"/>
      <c r="AN241" s="716"/>
      <c r="AO241" s="716"/>
      <c r="AP241" s="716"/>
      <c r="AQ241" s="721"/>
      <c r="AR241" s="676" t="s">
        <v>202</v>
      </c>
      <c r="AS241" s="537" t="b">
        <f t="array" ref="AS241">AND(D241:AQ241=inp_used,A241=inp_used_usersel)</f>
        <v>0</v>
      </c>
      <c r="AT241" s="674" t="b">
        <f t="array" ref="AT241">AND(D241:G241=inp_used_minimal,A241=inp_used_usersel)</f>
        <v>0</v>
      </c>
    </row>
    <row r="242" spans="1:49" s="674" customFormat="1">
      <c r="A242" s="674">
        <v>15</v>
      </c>
      <c r="B242" s="716">
        <v>2</v>
      </c>
      <c r="C242" s="674">
        <v>2</v>
      </c>
      <c r="D242" s="715">
        <v>0.124</v>
      </c>
      <c r="E242" s="716" t="s">
        <v>226</v>
      </c>
      <c r="F242" s="684">
        <v>3.5000000000000003E-2</v>
      </c>
      <c r="G242" s="716" t="s">
        <v>226</v>
      </c>
      <c r="H242" s="715" t="s">
        <v>3263</v>
      </c>
      <c r="I242" s="716" t="s">
        <v>992</v>
      </c>
      <c r="J242" s="741">
        <v>47100</v>
      </c>
      <c r="K242" s="716"/>
      <c r="L242" s="716"/>
      <c r="M242" s="721"/>
      <c r="N242" s="715" t="s">
        <v>232</v>
      </c>
      <c r="O242" s="716">
        <v>7.5</v>
      </c>
      <c r="P242" s="716"/>
      <c r="Q242" s="721"/>
      <c r="R242" s="715"/>
      <c r="S242" s="718"/>
      <c r="T242" s="718"/>
      <c r="U242" s="718"/>
      <c r="V242" s="719"/>
      <c r="W242" s="682">
        <v>6</v>
      </c>
      <c r="X242" s="684">
        <v>6</v>
      </c>
      <c r="Y242" s="684">
        <v>3</v>
      </c>
      <c r="Z242" s="715">
        <v>168</v>
      </c>
      <c r="AA242" s="684" t="s">
        <v>2140</v>
      </c>
      <c r="AB242" s="684" t="s">
        <v>2996</v>
      </c>
      <c r="AC242" s="716" t="s">
        <v>541</v>
      </c>
      <c r="AD242" s="684" t="s">
        <v>542</v>
      </c>
      <c r="AE242" s="715"/>
      <c r="AF242" s="716">
        <v>0</v>
      </c>
      <c r="AG242" s="720"/>
      <c r="AH242" s="684"/>
      <c r="AI242" s="716" t="s">
        <v>2004</v>
      </c>
      <c r="AJ242" s="716"/>
      <c r="AK242" s="716"/>
      <c r="AL242" s="715"/>
      <c r="AM242" s="716"/>
      <c r="AN242" s="716"/>
      <c r="AO242" s="716"/>
      <c r="AP242" s="716"/>
      <c r="AQ242" s="721"/>
      <c r="AR242" s="676"/>
      <c r="AS242" s="537" t="b">
        <f t="array" ref="AS242">AND(D242:AQ242=inp_used,A242=inp_used_usersel)</f>
        <v>0</v>
      </c>
      <c r="AT242" s="674" t="b">
        <f t="array" ref="AT242">AND(D242:G242=inp_used_minimal,A242=inp_used_usersel)</f>
        <v>0</v>
      </c>
    </row>
    <row r="243" spans="1:49" s="674" customFormat="1">
      <c r="A243" s="674">
        <v>15</v>
      </c>
      <c r="B243" s="716">
        <v>2</v>
      </c>
      <c r="C243" s="674">
        <v>3</v>
      </c>
      <c r="D243" s="715">
        <v>0.30499999999999999</v>
      </c>
      <c r="E243" s="716" t="s">
        <v>226</v>
      </c>
      <c r="F243" s="684">
        <v>9.4E-2</v>
      </c>
      <c r="G243" s="716" t="s">
        <v>226</v>
      </c>
      <c r="H243" s="715" t="s">
        <v>3263</v>
      </c>
      <c r="I243" s="716" t="s">
        <v>992</v>
      </c>
      <c r="J243" s="741">
        <v>47100</v>
      </c>
      <c r="K243" s="716"/>
      <c r="L243" s="716"/>
      <c r="M243" s="721"/>
      <c r="N243" s="715" t="s">
        <v>232</v>
      </c>
      <c r="O243" s="716">
        <v>7.5</v>
      </c>
      <c r="P243" s="716"/>
      <c r="Q243" s="721"/>
      <c r="R243" s="715"/>
      <c r="S243" s="718"/>
      <c r="T243" s="718"/>
      <c r="U243" s="718"/>
      <c r="V243" s="719"/>
      <c r="W243" s="682">
        <v>6</v>
      </c>
      <c r="X243" s="684">
        <v>6</v>
      </c>
      <c r="Y243" s="684">
        <v>3</v>
      </c>
      <c r="Z243" s="715">
        <v>168</v>
      </c>
      <c r="AA243" s="684" t="s">
        <v>2140</v>
      </c>
      <c r="AB243" s="684" t="s">
        <v>2996</v>
      </c>
      <c r="AC243" s="716" t="s">
        <v>541</v>
      </c>
      <c r="AD243" s="684" t="s">
        <v>542</v>
      </c>
      <c r="AE243" s="715"/>
      <c r="AF243" s="716">
        <v>0</v>
      </c>
      <c r="AG243" s="720"/>
      <c r="AH243" s="684"/>
      <c r="AI243" s="716" t="s">
        <v>2004</v>
      </c>
      <c r="AJ243" s="716"/>
      <c r="AK243" s="716"/>
      <c r="AL243" s="715"/>
      <c r="AM243" s="716"/>
      <c r="AN243" s="716"/>
      <c r="AO243" s="716"/>
      <c r="AP243" s="716"/>
      <c r="AQ243" s="721"/>
      <c r="AR243" s="676"/>
      <c r="AS243" s="537" t="b">
        <f t="array" ref="AS243">AND(D243:AQ243=inp_used,A243=inp_used_usersel)</f>
        <v>0</v>
      </c>
      <c r="AT243" s="674" t="b">
        <f t="array" ref="AT243">AND(D243:G243=inp_used_minimal,A243=inp_used_usersel)</f>
        <v>0</v>
      </c>
    </row>
    <row r="244" spans="1:49" s="674" customFormat="1">
      <c r="A244" s="674">
        <v>15</v>
      </c>
      <c r="B244" s="716">
        <v>2</v>
      </c>
      <c r="C244" s="674">
        <v>4</v>
      </c>
      <c r="D244" s="715">
        <v>0.74</v>
      </c>
      <c r="E244" s="716" t="s">
        <v>226</v>
      </c>
      <c r="F244" s="684">
        <v>0.251</v>
      </c>
      <c r="G244" s="716" t="s">
        <v>226</v>
      </c>
      <c r="H244" s="715" t="s">
        <v>3263</v>
      </c>
      <c r="I244" s="716" t="s">
        <v>992</v>
      </c>
      <c r="J244" s="741">
        <v>47100</v>
      </c>
      <c r="K244" s="716"/>
      <c r="L244" s="716"/>
      <c r="M244" s="721"/>
      <c r="N244" s="715" t="s">
        <v>232</v>
      </c>
      <c r="O244" s="716">
        <v>7.5</v>
      </c>
      <c r="P244" s="716"/>
      <c r="Q244" s="721"/>
      <c r="R244" s="715"/>
      <c r="S244" s="718"/>
      <c r="T244" s="718"/>
      <c r="U244" s="718"/>
      <c r="V244" s="719"/>
      <c r="W244" s="682">
        <v>7</v>
      </c>
      <c r="X244" s="684">
        <v>7</v>
      </c>
      <c r="Y244" s="684">
        <v>5.3</v>
      </c>
      <c r="Z244" s="715">
        <v>168</v>
      </c>
      <c r="AA244" s="684" t="s">
        <v>2140</v>
      </c>
      <c r="AB244" s="684" t="s">
        <v>2996</v>
      </c>
      <c r="AC244" s="716" t="s">
        <v>541</v>
      </c>
      <c r="AD244" s="684" t="s">
        <v>542</v>
      </c>
      <c r="AE244" s="715"/>
      <c r="AF244" s="716">
        <v>0</v>
      </c>
      <c r="AG244" s="720"/>
      <c r="AH244" s="684"/>
      <c r="AI244" s="716" t="s">
        <v>2004</v>
      </c>
      <c r="AJ244" s="716"/>
      <c r="AK244" s="716"/>
      <c r="AL244" s="715"/>
      <c r="AM244" s="716"/>
      <c r="AN244" s="716"/>
      <c r="AO244" s="716"/>
      <c r="AP244" s="716"/>
      <c r="AQ244" s="721"/>
      <c r="AR244" s="676"/>
      <c r="AS244" s="537" t="b">
        <f t="array" ref="AS244">AND(D244:AQ244=inp_used,A244=inp_used_usersel)</f>
        <v>0</v>
      </c>
      <c r="AT244" s="674" t="b">
        <f t="array" ref="AT244">AND(D244:G244=inp_used_minimal,A244=inp_used_usersel)</f>
        <v>0</v>
      </c>
    </row>
    <row r="245" spans="1:49" s="674" customFormat="1">
      <c r="A245" s="674">
        <v>15</v>
      </c>
      <c r="B245" s="716">
        <v>2</v>
      </c>
      <c r="C245" s="537">
        <v>5</v>
      </c>
      <c r="D245" s="682">
        <v>2.1520000000000001</v>
      </c>
      <c r="E245" s="716" t="s">
        <v>226</v>
      </c>
      <c r="F245" s="684">
        <v>0.81899999999999995</v>
      </c>
      <c r="G245" s="716" t="s">
        <v>226</v>
      </c>
      <c r="H245" s="715" t="s">
        <v>3263</v>
      </c>
      <c r="I245" s="716" t="s">
        <v>992</v>
      </c>
      <c r="J245" s="741">
        <v>47100</v>
      </c>
      <c r="K245" s="716"/>
      <c r="L245" s="716"/>
      <c r="M245" s="721"/>
      <c r="N245" s="715" t="s">
        <v>232</v>
      </c>
      <c r="O245" s="716">
        <v>7.5</v>
      </c>
      <c r="P245" s="716"/>
      <c r="Q245" s="721"/>
      <c r="R245" s="715"/>
      <c r="S245" s="718"/>
      <c r="T245" s="718"/>
      <c r="U245" s="718"/>
      <c r="V245" s="719"/>
      <c r="W245" s="682">
        <v>8</v>
      </c>
      <c r="X245" s="684">
        <v>8</v>
      </c>
      <c r="Y245" s="684">
        <v>7.9</v>
      </c>
      <c r="Z245" s="715">
        <v>168</v>
      </c>
      <c r="AA245" s="684" t="s">
        <v>2140</v>
      </c>
      <c r="AB245" s="684" t="s">
        <v>2996</v>
      </c>
      <c r="AC245" s="716" t="s">
        <v>541</v>
      </c>
      <c r="AD245" s="684" t="s">
        <v>542</v>
      </c>
      <c r="AE245" s="715"/>
      <c r="AF245" s="716">
        <v>0</v>
      </c>
      <c r="AG245" s="720"/>
      <c r="AH245" s="684"/>
      <c r="AI245" s="716" t="s">
        <v>2004</v>
      </c>
      <c r="AJ245" s="716"/>
      <c r="AK245" s="716"/>
      <c r="AL245" s="715"/>
      <c r="AM245" s="716"/>
      <c r="AN245" s="716"/>
      <c r="AO245" s="716"/>
      <c r="AP245" s="716"/>
      <c r="AQ245" s="721"/>
      <c r="AR245" s="676"/>
      <c r="AS245" s="537" t="b">
        <f t="array" ref="AS245">AND(D245:AQ245=inp_used,A245=inp_used_usersel)</f>
        <v>0</v>
      </c>
      <c r="AT245" s="674" t="b">
        <f t="array" ref="AT245">AND(D245:G245=inp_used_minimal,A245=inp_used_usersel)</f>
        <v>0</v>
      </c>
    </row>
    <row r="246" spans="1:49" s="674" customFormat="1">
      <c r="A246" s="674">
        <v>15</v>
      </c>
      <c r="B246" s="716">
        <v>2</v>
      </c>
      <c r="C246" s="537">
        <v>6</v>
      </c>
      <c r="D246" s="682">
        <v>7.3650000000000002</v>
      </c>
      <c r="E246" s="716" t="s">
        <v>226</v>
      </c>
      <c r="F246" s="684">
        <v>3.2</v>
      </c>
      <c r="G246" s="716" t="s">
        <v>226</v>
      </c>
      <c r="H246" s="715" t="s">
        <v>3263</v>
      </c>
      <c r="I246" s="716" t="s">
        <v>992</v>
      </c>
      <c r="J246" s="741">
        <v>47100</v>
      </c>
      <c r="K246" s="716"/>
      <c r="L246" s="716"/>
      <c r="M246" s="721"/>
      <c r="N246" s="715" t="s">
        <v>232</v>
      </c>
      <c r="O246" s="716">
        <v>7.5</v>
      </c>
      <c r="P246" s="716"/>
      <c r="Q246" s="721"/>
      <c r="R246" s="715"/>
      <c r="S246" s="718"/>
      <c r="T246" s="718"/>
      <c r="U246" s="718"/>
      <c r="V246" s="719"/>
      <c r="W246" s="682">
        <v>11.5</v>
      </c>
      <c r="X246" s="684">
        <v>11.5</v>
      </c>
      <c r="Y246" s="684">
        <v>7.8</v>
      </c>
      <c r="Z246" s="715">
        <v>168</v>
      </c>
      <c r="AA246" s="684" t="s">
        <v>2140</v>
      </c>
      <c r="AB246" s="684" t="s">
        <v>2996</v>
      </c>
      <c r="AC246" s="716" t="s">
        <v>2725</v>
      </c>
      <c r="AD246" s="684" t="s">
        <v>542</v>
      </c>
      <c r="AE246" s="715"/>
      <c r="AF246" s="716">
        <v>0</v>
      </c>
      <c r="AG246" s="720"/>
      <c r="AH246" s="684"/>
      <c r="AI246" s="716" t="s">
        <v>2004</v>
      </c>
      <c r="AJ246" s="716"/>
      <c r="AK246" s="716"/>
      <c r="AL246" s="715"/>
      <c r="AM246" s="716"/>
      <c r="AN246" s="716"/>
      <c r="AO246" s="716"/>
      <c r="AP246" s="716"/>
      <c r="AQ246" s="721"/>
      <c r="AR246" s="676"/>
      <c r="AS246" s="537" t="b">
        <f t="array" ref="AS246">AND(D246:AQ246=inp_used,A246=inp_used_usersel)</f>
        <v>0</v>
      </c>
      <c r="AT246" s="674" t="b">
        <f t="array" ref="AT246">AND(D246:G246=inp_used_minimal,A246=inp_used_usersel)</f>
        <v>0</v>
      </c>
    </row>
    <row r="247" spans="1:49" s="674" customFormat="1">
      <c r="A247" s="674">
        <v>15</v>
      </c>
      <c r="B247" s="716">
        <v>2</v>
      </c>
      <c r="C247" s="537">
        <v>7</v>
      </c>
      <c r="D247" s="682">
        <v>22.614000000000001</v>
      </c>
      <c r="E247" s="716" t="s">
        <v>226</v>
      </c>
      <c r="F247" s="684">
        <v>11.066000000000001</v>
      </c>
      <c r="G247" s="716" t="s">
        <v>226</v>
      </c>
      <c r="H247" s="715" t="s">
        <v>3263</v>
      </c>
      <c r="I247" s="716" t="s">
        <v>992</v>
      </c>
      <c r="J247" s="741">
        <v>47100</v>
      </c>
      <c r="K247" s="716"/>
      <c r="L247" s="716"/>
      <c r="M247" s="721"/>
      <c r="N247" s="715" t="s">
        <v>232</v>
      </c>
      <c r="O247" s="716">
        <v>7.5</v>
      </c>
      <c r="P247" s="716"/>
      <c r="Q247" s="721"/>
      <c r="R247" s="715"/>
      <c r="S247" s="718"/>
      <c r="T247" s="718"/>
      <c r="U247" s="718"/>
      <c r="V247" s="719"/>
      <c r="W247" s="682">
        <v>15</v>
      </c>
      <c r="X247" s="684">
        <v>15</v>
      </c>
      <c r="Y247" s="684">
        <v>7.8</v>
      </c>
      <c r="Z247" s="715">
        <v>168</v>
      </c>
      <c r="AA247" s="684" t="s">
        <v>2140</v>
      </c>
      <c r="AB247" s="684" t="s">
        <v>2996</v>
      </c>
      <c r="AC247" s="716" t="s">
        <v>2725</v>
      </c>
      <c r="AD247" s="684" t="s">
        <v>542</v>
      </c>
      <c r="AE247" s="715"/>
      <c r="AF247" s="716">
        <v>0</v>
      </c>
      <c r="AG247" s="720"/>
      <c r="AH247" s="684"/>
      <c r="AI247" s="716" t="s">
        <v>2004</v>
      </c>
      <c r="AJ247" s="716"/>
      <c r="AK247" s="716"/>
      <c r="AL247" s="715"/>
      <c r="AM247" s="716"/>
      <c r="AN247" s="716"/>
      <c r="AO247" s="716"/>
      <c r="AP247" s="716"/>
      <c r="AQ247" s="721"/>
      <c r="AR247" s="676"/>
      <c r="AS247" s="537" t="b">
        <f t="array" ref="AS247">AND(D247:AQ247=inp_used,A247=inp_used_usersel)</f>
        <v>0</v>
      </c>
      <c r="AT247" s="674" t="b">
        <f t="array" ref="AT247">AND(D247:G247=inp_used_minimal,A247=inp_used_usersel)</f>
        <v>0</v>
      </c>
    </row>
    <row r="248" spans="1:49" s="674" customFormat="1">
      <c r="A248" s="724">
        <v>15</v>
      </c>
      <c r="B248" s="724">
        <v>2</v>
      </c>
      <c r="C248" s="726">
        <v>8</v>
      </c>
      <c r="D248" s="725">
        <v>75.072000000000003</v>
      </c>
      <c r="E248" s="724" t="s">
        <v>226</v>
      </c>
      <c r="F248" s="726">
        <v>37.536000000000001</v>
      </c>
      <c r="G248" s="724" t="s">
        <v>226</v>
      </c>
      <c r="H248" s="727" t="s">
        <v>3263</v>
      </c>
      <c r="I248" s="724" t="s">
        <v>992</v>
      </c>
      <c r="J248" s="742">
        <v>47100</v>
      </c>
      <c r="K248" s="724"/>
      <c r="L248" s="724"/>
      <c r="M248" s="729"/>
      <c r="N248" s="727" t="s">
        <v>232</v>
      </c>
      <c r="O248" s="724">
        <v>7.5</v>
      </c>
      <c r="P248" s="724"/>
      <c r="Q248" s="729"/>
      <c r="R248" s="727"/>
      <c r="S248" s="732"/>
      <c r="T248" s="732"/>
      <c r="U248" s="732"/>
      <c r="V248" s="733"/>
      <c r="W248" s="725">
        <v>30</v>
      </c>
      <c r="X248" s="726">
        <v>30</v>
      </c>
      <c r="Y248" s="712">
        <v>9.6999999999999993</v>
      </c>
      <c r="Z248" s="727">
        <v>168</v>
      </c>
      <c r="AA248" s="726" t="s">
        <v>2140</v>
      </c>
      <c r="AB248" s="726" t="s">
        <v>2996</v>
      </c>
      <c r="AC248" s="724" t="s">
        <v>2725</v>
      </c>
      <c r="AD248" s="726" t="s">
        <v>542</v>
      </c>
      <c r="AE248" s="727"/>
      <c r="AF248" s="724">
        <v>0</v>
      </c>
      <c r="AG248" s="734"/>
      <c r="AH248" s="726"/>
      <c r="AI248" s="724" t="s">
        <v>2004</v>
      </c>
      <c r="AJ248" s="724"/>
      <c r="AK248" s="729"/>
      <c r="AL248" s="727"/>
      <c r="AM248" s="724"/>
      <c r="AN248" s="724"/>
      <c r="AO248" s="724"/>
      <c r="AP248" s="724"/>
      <c r="AQ248" s="729"/>
      <c r="AR248" s="676"/>
      <c r="AS248" s="537" t="b">
        <f t="array" ref="AS248">AND(D248:AQ248=inp_used,A248=inp_used_usersel)</f>
        <v>0</v>
      </c>
      <c r="AT248" s="674" t="b">
        <f t="array" ref="AT248">AND(D248:G248=inp_used_minimal,A248=inp_used_usersel)</f>
        <v>0</v>
      </c>
    </row>
    <row r="249" spans="1:49" s="674" customFormat="1">
      <c r="A249" s="674">
        <v>16</v>
      </c>
      <c r="B249" s="674">
        <v>1</v>
      </c>
      <c r="C249" s="674">
        <v>1</v>
      </c>
      <c r="D249" s="715">
        <v>0.03</v>
      </c>
      <c r="E249" s="716" t="s">
        <v>226</v>
      </c>
      <c r="F249" s="684">
        <v>7.0000000000000001E-3</v>
      </c>
      <c r="G249" s="716" t="s">
        <v>226</v>
      </c>
      <c r="H249" s="715" t="s">
        <v>3263</v>
      </c>
      <c r="I249" s="716" t="s">
        <v>992</v>
      </c>
      <c r="J249" s="741">
        <v>38200</v>
      </c>
      <c r="K249" s="716"/>
      <c r="L249" s="716"/>
      <c r="M249" s="721"/>
      <c r="N249" s="715" t="s">
        <v>232</v>
      </c>
      <c r="O249" s="716">
        <v>7.5</v>
      </c>
      <c r="P249" s="716"/>
      <c r="Q249" s="721"/>
      <c r="R249" s="715">
        <v>1</v>
      </c>
      <c r="S249" s="718">
        <v>3.4</v>
      </c>
      <c r="T249" s="716" t="s">
        <v>2139</v>
      </c>
      <c r="U249" s="718">
        <v>6</v>
      </c>
      <c r="V249" s="719">
        <v>2</v>
      </c>
      <c r="W249" s="718"/>
      <c r="X249" s="718"/>
      <c r="Y249" s="718"/>
      <c r="Z249" s="715">
        <v>168</v>
      </c>
      <c r="AA249" s="684" t="s">
        <v>2140</v>
      </c>
      <c r="AB249" s="720" t="s">
        <v>539</v>
      </c>
      <c r="AC249" s="716" t="s">
        <v>541</v>
      </c>
      <c r="AD249" s="721"/>
      <c r="AE249" s="737"/>
      <c r="AF249" s="1043">
        <v>0</v>
      </c>
      <c r="AG249" s="743"/>
      <c r="AH249" s="744"/>
      <c r="AI249" s="716" t="s">
        <v>2004</v>
      </c>
      <c r="AJ249" s="716"/>
      <c r="AK249" s="716"/>
      <c r="AL249" s="715"/>
      <c r="AM249" s="716"/>
      <c r="AN249" s="716"/>
      <c r="AO249" s="716"/>
      <c r="AP249" s="716"/>
      <c r="AQ249" s="721"/>
      <c r="AR249" s="676" t="s">
        <v>203</v>
      </c>
      <c r="AS249" s="537" t="b">
        <f t="array" ref="AS249">AND(D249:AQ249=inp_used,A249=inp_used_usersel)</f>
        <v>0</v>
      </c>
      <c r="AT249" s="674" t="b">
        <f t="array" ref="AT249">AND(D249:G249=inp_used_minimal,A249=inp_used_usersel)</f>
        <v>0</v>
      </c>
      <c r="AV249" s="674" t="b">
        <f t="shared" ref="AV249:AW256" si="15">CHOOSE(design_type,AS249,AS257)</f>
        <v>0</v>
      </c>
      <c r="AW249" s="674" t="b">
        <f t="shared" si="15"/>
        <v>0</v>
      </c>
    </row>
    <row r="250" spans="1:49" s="674" customFormat="1">
      <c r="A250" s="674">
        <v>16</v>
      </c>
      <c r="B250" s="674">
        <v>1</v>
      </c>
      <c r="C250" s="674">
        <v>2</v>
      </c>
      <c r="D250" s="715">
        <v>0.124</v>
      </c>
      <c r="E250" s="716" t="s">
        <v>226</v>
      </c>
      <c r="F250" s="684">
        <v>3.5000000000000003E-2</v>
      </c>
      <c r="G250" s="716" t="s">
        <v>226</v>
      </c>
      <c r="H250" s="715" t="s">
        <v>3263</v>
      </c>
      <c r="I250" s="716" t="s">
        <v>992</v>
      </c>
      <c r="J250" s="741">
        <v>38200</v>
      </c>
      <c r="K250" s="716"/>
      <c r="L250" s="716"/>
      <c r="M250" s="721"/>
      <c r="N250" s="715" t="s">
        <v>232</v>
      </c>
      <c r="O250" s="716">
        <v>7.5</v>
      </c>
      <c r="P250" s="716"/>
      <c r="Q250" s="721"/>
      <c r="R250" s="715">
        <v>1</v>
      </c>
      <c r="S250" s="718">
        <v>6.9</v>
      </c>
      <c r="T250" s="716" t="s">
        <v>2139</v>
      </c>
      <c r="U250" s="718">
        <v>11</v>
      </c>
      <c r="V250" s="719">
        <v>4</v>
      </c>
      <c r="W250" s="718"/>
      <c r="X250" s="718"/>
      <c r="Y250" s="718"/>
      <c r="Z250" s="715">
        <v>168</v>
      </c>
      <c r="AA250" s="684" t="s">
        <v>2140</v>
      </c>
      <c r="AB250" s="720" t="s">
        <v>540</v>
      </c>
      <c r="AC250" s="716" t="s">
        <v>541</v>
      </c>
      <c r="AD250" s="723" t="s">
        <v>542</v>
      </c>
      <c r="AE250" s="715"/>
      <c r="AF250" s="716">
        <v>0</v>
      </c>
      <c r="AG250" s="720"/>
      <c r="AH250" s="684"/>
      <c r="AI250" s="716" t="s">
        <v>2004</v>
      </c>
      <c r="AJ250" s="716"/>
      <c r="AK250" s="716"/>
      <c r="AL250" s="715"/>
      <c r="AM250" s="716"/>
      <c r="AN250" s="716"/>
      <c r="AO250" s="716"/>
      <c r="AP250" s="716"/>
      <c r="AQ250" s="721"/>
      <c r="AR250" s="676"/>
      <c r="AS250" s="537" t="b">
        <f t="array" ref="AS250">AND(D250:AQ250=inp_used,A250=inp_used_usersel)</f>
        <v>0</v>
      </c>
      <c r="AT250" s="674" t="b">
        <f t="array" ref="AT250">AND(D250:G250=inp_used_minimal,A250=inp_used_usersel)</f>
        <v>0</v>
      </c>
      <c r="AV250" s="674" t="b">
        <f t="shared" si="15"/>
        <v>0</v>
      </c>
      <c r="AW250" s="674" t="b">
        <f t="shared" si="15"/>
        <v>0</v>
      </c>
    </row>
    <row r="251" spans="1:49" s="674" customFormat="1">
      <c r="A251" s="674">
        <v>16</v>
      </c>
      <c r="B251" s="674">
        <v>1</v>
      </c>
      <c r="C251" s="674">
        <v>3</v>
      </c>
      <c r="D251" s="715">
        <v>0.30499999999999999</v>
      </c>
      <c r="E251" s="716" t="s">
        <v>226</v>
      </c>
      <c r="F251" s="684">
        <v>9.4E-2</v>
      </c>
      <c r="G251" s="716" t="s">
        <v>226</v>
      </c>
      <c r="H251" s="715" t="s">
        <v>3263</v>
      </c>
      <c r="I251" s="716" t="s">
        <v>992</v>
      </c>
      <c r="J251" s="741">
        <v>38200</v>
      </c>
      <c r="K251" s="716"/>
      <c r="L251" s="716"/>
      <c r="M251" s="721"/>
      <c r="N251" s="715" t="s">
        <v>232</v>
      </c>
      <c r="O251" s="716">
        <v>7.5</v>
      </c>
      <c r="P251" s="716"/>
      <c r="Q251" s="721"/>
      <c r="R251" s="715">
        <v>1</v>
      </c>
      <c r="S251" s="718">
        <v>6.7</v>
      </c>
      <c r="T251" s="716" t="s">
        <v>2139</v>
      </c>
      <c r="U251" s="718">
        <v>11</v>
      </c>
      <c r="V251" s="719">
        <v>4.5</v>
      </c>
      <c r="W251" s="718"/>
      <c r="X251" s="718"/>
      <c r="Y251" s="718"/>
      <c r="Z251" s="715">
        <v>168</v>
      </c>
      <c r="AA251" s="684" t="s">
        <v>2140</v>
      </c>
      <c r="AB251" s="720" t="s">
        <v>540</v>
      </c>
      <c r="AC251" s="716" t="s">
        <v>541</v>
      </c>
      <c r="AD251" s="723" t="s">
        <v>542</v>
      </c>
      <c r="AE251" s="715"/>
      <c r="AF251" s="716">
        <v>0</v>
      </c>
      <c r="AG251" s="720"/>
      <c r="AH251" s="684"/>
      <c r="AI251" s="716" t="s">
        <v>2004</v>
      </c>
      <c r="AJ251" s="716"/>
      <c r="AK251" s="716"/>
      <c r="AL251" s="715"/>
      <c r="AM251" s="716"/>
      <c r="AN251" s="716"/>
      <c r="AO251" s="716"/>
      <c r="AP251" s="716"/>
      <c r="AQ251" s="721"/>
      <c r="AR251" s="676"/>
      <c r="AS251" s="537" t="b">
        <f t="array" ref="AS251">AND(D251:AQ251=inp_used,A251=inp_used_usersel)</f>
        <v>0</v>
      </c>
      <c r="AT251" s="674" t="b">
        <f t="array" ref="AT251">AND(D251:G251=inp_used_minimal,A251=inp_used_usersel)</f>
        <v>0</v>
      </c>
      <c r="AV251" s="674" t="b">
        <f t="shared" si="15"/>
        <v>0</v>
      </c>
      <c r="AW251" s="674" t="b">
        <f t="shared" si="15"/>
        <v>0</v>
      </c>
    </row>
    <row r="252" spans="1:49" s="674" customFormat="1">
      <c r="A252" s="674">
        <v>16</v>
      </c>
      <c r="B252" s="674">
        <v>1</v>
      </c>
      <c r="C252" s="674">
        <v>4</v>
      </c>
      <c r="D252" s="715">
        <v>0.74</v>
      </c>
      <c r="E252" s="716" t="s">
        <v>226</v>
      </c>
      <c r="F252" s="684">
        <v>0.251</v>
      </c>
      <c r="G252" s="716" t="s">
        <v>226</v>
      </c>
      <c r="H252" s="715" t="s">
        <v>3263</v>
      </c>
      <c r="I252" s="716" t="s">
        <v>992</v>
      </c>
      <c r="J252" s="741">
        <v>38200</v>
      </c>
      <c r="K252" s="716"/>
      <c r="L252" s="716"/>
      <c r="M252" s="721"/>
      <c r="N252" s="715" t="s">
        <v>232</v>
      </c>
      <c r="O252" s="716">
        <v>7.5</v>
      </c>
      <c r="P252" s="716"/>
      <c r="Q252" s="721"/>
      <c r="R252" s="715">
        <v>1</v>
      </c>
      <c r="S252" s="718">
        <v>6.7</v>
      </c>
      <c r="T252" s="716" t="s">
        <v>2139</v>
      </c>
      <c r="U252" s="718">
        <v>11</v>
      </c>
      <c r="V252" s="719">
        <v>7</v>
      </c>
      <c r="W252" s="718"/>
      <c r="X252" s="718"/>
      <c r="Y252" s="718"/>
      <c r="Z252" s="715">
        <v>168</v>
      </c>
      <c r="AA252" s="684" t="s">
        <v>2140</v>
      </c>
      <c r="AB252" s="720" t="s">
        <v>540</v>
      </c>
      <c r="AC252" s="716" t="s">
        <v>541</v>
      </c>
      <c r="AD252" s="723" t="s">
        <v>542</v>
      </c>
      <c r="AE252" s="715"/>
      <c r="AF252" s="716">
        <v>0</v>
      </c>
      <c r="AG252" s="720"/>
      <c r="AH252" s="684"/>
      <c r="AI252" s="716" t="s">
        <v>2004</v>
      </c>
      <c r="AJ252" s="716"/>
      <c r="AK252" s="716"/>
      <c r="AL252" s="715"/>
      <c r="AM252" s="716"/>
      <c r="AN252" s="716"/>
      <c r="AO252" s="716"/>
      <c r="AP252" s="716"/>
      <c r="AQ252" s="721"/>
      <c r="AR252" s="676"/>
      <c r="AS252" s="537" t="b">
        <f t="array" ref="AS252">AND(D252:AQ252=inp_used,A252=inp_used_usersel)</f>
        <v>0</v>
      </c>
      <c r="AT252" s="674" t="b">
        <f t="array" ref="AT252">AND(D252:G252=inp_used_minimal,A252=inp_used_usersel)</f>
        <v>0</v>
      </c>
      <c r="AV252" s="674" t="b">
        <f t="shared" si="15"/>
        <v>0</v>
      </c>
      <c r="AW252" s="674" t="b">
        <f t="shared" si="15"/>
        <v>0</v>
      </c>
    </row>
    <row r="253" spans="1:49" s="674" customFormat="1">
      <c r="A253" s="674">
        <v>16</v>
      </c>
      <c r="B253" s="674">
        <v>1</v>
      </c>
      <c r="C253" s="537">
        <v>5</v>
      </c>
      <c r="D253" s="682">
        <v>2.1520000000000001</v>
      </c>
      <c r="E253" s="716" t="s">
        <v>226</v>
      </c>
      <c r="F253" s="684">
        <v>0.81899999999999995</v>
      </c>
      <c r="G253" s="716" t="s">
        <v>226</v>
      </c>
      <c r="H253" s="715" t="s">
        <v>3263</v>
      </c>
      <c r="I253" s="716" t="s">
        <v>992</v>
      </c>
      <c r="J253" s="741">
        <v>38200</v>
      </c>
      <c r="K253" s="716"/>
      <c r="L253" s="716"/>
      <c r="M253" s="721"/>
      <c r="N253" s="715" t="s">
        <v>232</v>
      </c>
      <c r="O253" s="716">
        <v>7.5</v>
      </c>
      <c r="P253" s="716"/>
      <c r="Q253" s="721"/>
      <c r="R253" s="715">
        <v>1</v>
      </c>
      <c r="S253" s="718">
        <v>6.7</v>
      </c>
      <c r="T253" s="716" t="s">
        <v>2139</v>
      </c>
      <c r="U253" s="718">
        <v>11</v>
      </c>
      <c r="V253" s="719">
        <v>8.5</v>
      </c>
      <c r="W253" s="718"/>
      <c r="X253" s="718"/>
      <c r="Y253" s="718"/>
      <c r="Z253" s="715">
        <v>168</v>
      </c>
      <c r="AA253" s="684" t="s">
        <v>2140</v>
      </c>
      <c r="AB253" s="720" t="s">
        <v>540</v>
      </c>
      <c r="AC253" s="716" t="s">
        <v>541</v>
      </c>
      <c r="AD253" s="723" t="s">
        <v>542</v>
      </c>
      <c r="AE253" s="715"/>
      <c r="AF253" s="716">
        <v>0</v>
      </c>
      <c r="AG253" s="720"/>
      <c r="AH253" s="684"/>
      <c r="AI253" s="716" t="s">
        <v>2004</v>
      </c>
      <c r="AJ253" s="716"/>
      <c r="AK253" s="716"/>
      <c r="AL253" s="715"/>
      <c r="AM253" s="716"/>
      <c r="AN253" s="716"/>
      <c r="AO253" s="716"/>
      <c r="AP253" s="716"/>
      <c r="AQ253" s="721"/>
      <c r="AR253" s="676"/>
      <c r="AS253" s="537" t="b">
        <f t="array" ref="AS253">AND(D253:AQ253=inp_used,A253=inp_used_usersel)</f>
        <v>0</v>
      </c>
      <c r="AT253" s="674" t="b">
        <f t="array" ref="AT253">AND(D253:G253=inp_used_minimal,A253=inp_used_usersel)</f>
        <v>0</v>
      </c>
      <c r="AV253" s="674" t="b">
        <f t="shared" si="15"/>
        <v>0</v>
      </c>
      <c r="AW253" s="674" t="b">
        <f t="shared" si="15"/>
        <v>0</v>
      </c>
    </row>
    <row r="254" spans="1:49" s="674" customFormat="1">
      <c r="A254" s="674">
        <v>16</v>
      </c>
      <c r="B254" s="674">
        <v>1</v>
      </c>
      <c r="C254" s="537">
        <v>6</v>
      </c>
      <c r="D254" s="682">
        <v>7.3650000000000002</v>
      </c>
      <c r="E254" s="716" t="s">
        <v>226</v>
      </c>
      <c r="F254" s="684">
        <v>3.2</v>
      </c>
      <c r="G254" s="716" t="s">
        <v>226</v>
      </c>
      <c r="H254" s="715" t="s">
        <v>3263</v>
      </c>
      <c r="I254" s="716" t="s">
        <v>992</v>
      </c>
      <c r="J254" s="741">
        <v>38200</v>
      </c>
      <c r="K254" s="716"/>
      <c r="L254" s="716"/>
      <c r="M254" s="721"/>
      <c r="N254" s="715" t="s">
        <v>232</v>
      </c>
      <c r="O254" s="716">
        <v>7.5</v>
      </c>
      <c r="P254" s="716"/>
      <c r="Q254" s="721"/>
      <c r="R254" s="715">
        <v>1</v>
      </c>
      <c r="S254" s="718">
        <v>6.8</v>
      </c>
      <c r="T254" s="716" t="s">
        <v>2139</v>
      </c>
      <c r="U254" s="718">
        <v>11</v>
      </c>
      <c r="V254" s="719">
        <v>11</v>
      </c>
      <c r="W254" s="718"/>
      <c r="X254" s="718"/>
      <c r="Y254" s="718"/>
      <c r="Z254" s="715">
        <v>168</v>
      </c>
      <c r="AA254" s="684" t="s">
        <v>2140</v>
      </c>
      <c r="AB254" s="720" t="s">
        <v>540</v>
      </c>
      <c r="AC254" s="716" t="s">
        <v>2725</v>
      </c>
      <c r="AD254" s="723" t="s">
        <v>542</v>
      </c>
      <c r="AE254" s="715"/>
      <c r="AF254" s="716">
        <v>0</v>
      </c>
      <c r="AG254" s="720"/>
      <c r="AH254" s="684"/>
      <c r="AI254" s="716" t="s">
        <v>2004</v>
      </c>
      <c r="AJ254" s="716"/>
      <c r="AK254" s="716"/>
      <c r="AL254" s="715"/>
      <c r="AM254" s="716"/>
      <c r="AN254" s="716"/>
      <c r="AO254" s="716"/>
      <c r="AP254" s="716"/>
      <c r="AQ254" s="721"/>
      <c r="AR254" s="676"/>
      <c r="AS254" s="537" t="b">
        <f t="array" ref="AS254">AND(D254:AQ254=inp_used,A254=inp_used_usersel)</f>
        <v>0</v>
      </c>
      <c r="AT254" s="674" t="b">
        <f t="array" ref="AT254">AND(D254:G254=inp_used_minimal,A254=inp_used_usersel)</f>
        <v>0</v>
      </c>
      <c r="AV254" s="674" t="b">
        <f t="shared" si="15"/>
        <v>0</v>
      </c>
      <c r="AW254" s="674" t="b">
        <f t="shared" si="15"/>
        <v>0</v>
      </c>
    </row>
    <row r="255" spans="1:49" s="674" customFormat="1">
      <c r="A255" s="674">
        <v>16</v>
      </c>
      <c r="B255" s="674">
        <v>1</v>
      </c>
      <c r="C255" s="537">
        <v>7</v>
      </c>
      <c r="D255" s="682">
        <v>22.614000000000001</v>
      </c>
      <c r="E255" s="716" t="s">
        <v>226</v>
      </c>
      <c r="F255" s="684">
        <v>11.066000000000001</v>
      </c>
      <c r="G255" s="716" t="s">
        <v>226</v>
      </c>
      <c r="H255" s="715" t="s">
        <v>3263</v>
      </c>
      <c r="I255" s="716" t="s">
        <v>992</v>
      </c>
      <c r="J255" s="741">
        <v>38200</v>
      </c>
      <c r="K255" s="716"/>
      <c r="L255" s="716"/>
      <c r="M255" s="721"/>
      <c r="N255" s="715" t="s">
        <v>232</v>
      </c>
      <c r="O255" s="716">
        <v>7.5</v>
      </c>
      <c r="P255" s="716"/>
      <c r="Q255" s="721"/>
      <c r="R255" s="715">
        <v>1</v>
      </c>
      <c r="S255" s="718">
        <v>7.1</v>
      </c>
      <c r="T255" s="716" t="s">
        <v>3284</v>
      </c>
      <c r="U255" s="718">
        <v>20</v>
      </c>
      <c r="V255" s="719">
        <v>14</v>
      </c>
      <c r="W255" s="718"/>
      <c r="X255" s="718"/>
      <c r="Y255" s="718"/>
      <c r="Z255" s="715">
        <v>168</v>
      </c>
      <c r="AA255" s="684" t="s">
        <v>2140</v>
      </c>
      <c r="AB255" s="720" t="s">
        <v>540</v>
      </c>
      <c r="AC255" s="716" t="s">
        <v>2725</v>
      </c>
      <c r="AD255" s="723" t="s">
        <v>542</v>
      </c>
      <c r="AE255" s="715"/>
      <c r="AF255" s="716">
        <v>0</v>
      </c>
      <c r="AG255" s="720"/>
      <c r="AH255" s="684"/>
      <c r="AI255" s="716" t="s">
        <v>2004</v>
      </c>
      <c r="AJ255" s="716"/>
      <c r="AK255" s="716"/>
      <c r="AL255" s="715"/>
      <c r="AM255" s="716"/>
      <c r="AN255" s="716"/>
      <c r="AO255" s="716"/>
      <c r="AP255" s="716"/>
      <c r="AQ255" s="721"/>
      <c r="AR255" s="676"/>
      <c r="AS255" s="537" t="b">
        <f t="array" ref="AS255">AND(D255:AQ255=inp_used,A255=inp_used_usersel)</f>
        <v>0</v>
      </c>
      <c r="AT255" s="674" t="b">
        <f t="array" ref="AT255">AND(D255:G255=inp_used_minimal,A255=inp_used_usersel)</f>
        <v>0</v>
      </c>
      <c r="AV255" s="674" t="b">
        <f t="shared" si="15"/>
        <v>0</v>
      </c>
      <c r="AW255" s="674" t="b">
        <f t="shared" si="15"/>
        <v>0</v>
      </c>
    </row>
    <row r="256" spans="1:49" s="674" customFormat="1">
      <c r="A256" s="724">
        <v>16</v>
      </c>
      <c r="B256" s="724">
        <v>1</v>
      </c>
      <c r="C256" s="726">
        <v>8</v>
      </c>
      <c r="D256" s="725">
        <v>75.072000000000003</v>
      </c>
      <c r="E256" s="724" t="s">
        <v>226</v>
      </c>
      <c r="F256" s="726">
        <v>37.536000000000001</v>
      </c>
      <c r="G256" s="724" t="s">
        <v>226</v>
      </c>
      <c r="H256" s="727" t="s">
        <v>3263</v>
      </c>
      <c r="I256" s="724" t="s">
        <v>992</v>
      </c>
      <c r="J256" s="742">
        <v>38200</v>
      </c>
      <c r="K256" s="724"/>
      <c r="L256" s="724"/>
      <c r="M256" s="729"/>
      <c r="N256" s="727" t="s">
        <v>232</v>
      </c>
      <c r="O256" s="724">
        <v>7.5</v>
      </c>
      <c r="P256" s="724"/>
      <c r="Q256" s="729"/>
      <c r="R256" s="715">
        <v>1</v>
      </c>
      <c r="S256" s="732">
        <v>7.2</v>
      </c>
      <c r="T256" s="724" t="s">
        <v>3284</v>
      </c>
      <c r="U256" s="732">
        <v>20</v>
      </c>
      <c r="V256" s="733">
        <v>14</v>
      </c>
      <c r="W256" s="731"/>
      <c r="X256" s="732"/>
      <c r="Y256" s="733"/>
      <c r="Z256" s="727">
        <v>168</v>
      </c>
      <c r="AA256" s="726" t="s">
        <v>2140</v>
      </c>
      <c r="AB256" s="734" t="s">
        <v>540</v>
      </c>
      <c r="AC256" s="724" t="s">
        <v>2725</v>
      </c>
      <c r="AD256" s="712" t="s">
        <v>542</v>
      </c>
      <c r="AE256" s="727"/>
      <c r="AF256" s="724">
        <v>0</v>
      </c>
      <c r="AG256" s="734"/>
      <c r="AH256" s="726"/>
      <c r="AI256" s="724" t="s">
        <v>2004</v>
      </c>
      <c r="AJ256" s="724"/>
      <c r="AK256" s="729"/>
      <c r="AL256" s="727"/>
      <c r="AM256" s="724"/>
      <c r="AN256" s="724"/>
      <c r="AO256" s="724"/>
      <c r="AP256" s="724"/>
      <c r="AQ256" s="729"/>
      <c r="AR256" s="676"/>
      <c r="AS256" s="537" t="b">
        <f t="array" ref="AS256">AND(D256:AQ256=inp_used,A256=inp_used_usersel)</f>
        <v>0</v>
      </c>
      <c r="AT256" s="674" t="b">
        <f t="array" ref="AT256">AND(D256:G256=inp_used_minimal,A256=inp_used_usersel)</f>
        <v>0</v>
      </c>
      <c r="AV256" s="674" t="b">
        <f t="shared" si="15"/>
        <v>0</v>
      </c>
      <c r="AW256" s="674" t="b">
        <f t="shared" si="15"/>
        <v>0</v>
      </c>
    </row>
    <row r="257" spans="1:49" s="674" customFormat="1">
      <c r="A257" s="674">
        <v>16</v>
      </c>
      <c r="B257" s="735">
        <v>2</v>
      </c>
      <c r="C257" s="674">
        <v>1</v>
      </c>
      <c r="D257" s="715">
        <v>0.03</v>
      </c>
      <c r="E257" s="716" t="s">
        <v>226</v>
      </c>
      <c r="F257" s="684">
        <v>7.0000000000000001E-3</v>
      </c>
      <c r="G257" s="716" t="s">
        <v>226</v>
      </c>
      <c r="H257" s="715" t="s">
        <v>3263</v>
      </c>
      <c r="I257" s="716" t="s">
        <v>992</v>
      </c>
      <c r="J257" s="741">
        <v>38200</v>
      </c>
      <c r="K257" s="716"/>
      <c r="L257" s="716"/>
      <c r="M257" s="721"/>
      <c r="N257" s="715" t="s">
        <v>232</v>
      </c>
      <c r="O257" s="716">
        <v>7.5</v>
      </c>
      <c r="P257" s="716"/>
      <c r="Q257" s="721"/>
      <c r="R257" s="737"/>
      <c r="S257" s="718"/>
      <c r="T257" s="718"/>
      <c r="U257" s="718"/>
      <c r="V257" s="719"/>
      <c r="W257" s="682">
        <v>6</v>
      </c>
      <c r="X257" s="684">
        <v>6</v>
      </c>
      <c r="Y257" s="684">
        <v>3</v>
      </c>
      <c r="Z257" s="715">
        <v>168</v>
      </c>
      <c r="AA257" s="684" t="s">
        <v>2140</v>
      </c>
      <c r="AB257" s="684" t="s">
        <v>2996</v>
      </c>
      <c r="AC257" s="716" t="s">
        <v>541</v>
      </c>
      <c r="AD257" s="684" t="s">
        <v>542</v>
      </c>
      <c r="AE257" s="715"/>
      <c r="AF257" s="1043">
        <v>0</v>
      </c>
      <c r="AG257" s="720"/>
      <c r="AH257" s="684"/>
      <c r="AI257" s="716" t="s">
        <v>2004</v>
      </c>
      <c r="AJ257" s="716"/>
      <c r="AK257" s="716"/>
      <c r="AL257" s="715"/>
      <c r="AM257" s="716"/>
      <c r="AN257" s="716"/>
      <c r="AO257" s="716"/>
      <c r="AP257" s="716"/>
      <c r="AQ257" s="721"/>
      <c r="AR257" s="676" t="s">
        <v>204</v>
      </c>
      <c r="AS257" s="537" t="b">
        <f t="array" ref="AS257">AND(D257:AQ257=inp_used,A257=inp_used_usersel)</f>
        <v>0</v>
      </c>
      <c r="AT257" s="674" t="b">
        <f t="array" ref="AT257">AND(D257:G257=inp_used_minimal,A257=inp_used_usersel)</f>
        <v>0</v>
      </c>
    </row>
    <row r="258" spans="1:49" s="674" customFormat="1">
      <c r="A258" s="674">
        <v>16</v>
      </c>
      <c r="B258" s="716">
        <v>2</v>
      </c>
      <c r="C258" s="674">
        <v>2</v>
      </c>
      <c r="D258" s="715">
        <v>0.124</v>
      </c>
      <c r="E258" s="716" t="s">
        <v>226</v>
      </c>
      <c r="F258" s="684">
        <v>3.5000000000000003E-2</v>
      </c>
      <c r="G258" s="716" t="s">
        <v>226</v>
      </c>
      <c r="H258" s="715" t="s">
        <v>3263</v>
      </c>
      <c r="I258" s="716" t="s">
        <v>992</v>
      </c>
      <c r="J258" s="741">
        <v>38200</v>
      </c>
      <c r="K258" s="716"/>
      <c r="L258" s="716"/>
      <c r="M258" s="721"/>
      <c r="N258" s="715" t="s">
        <v>232</v>
      </c>
      <c r="O258" s="716">
        <v>7.5</v>
      </c>
      <c r="P258" s="716"/>
      <c r="Q258" s="721"/>
      <c r="R258" s="715"/>
      <c r="S258" s="718"/>
      <c r="T258" s="718"/>
      <c r="U258" s="718"/>
      <c r="V258" s="719"/>
      <c r="W258" s="682">
        <v>6</v>
      </c>
      <c r="X258" s="684">
        <v>6</v>
      </c>
      <c r="Y258" s="684">
        <v>3</v>
      </c>
      <c r="Z258" s="715">
        <v>168</v>
      </c>
      <c r="AA258" s="684" t="s">
        <v>2140</v>
      </c>
      <c r="AB258" s="684" t="s">
        <v>2996</v>
      </c>
      <c r="AC258" s="716" t="s">
        <v>541</v>
      </c>
      <c r="AD258" s="684" t="s">
        <v>542</v>
      </c>
      <c r="AE258" s="715"/>
      <c r="AF258" s="716">
        <v>0</v>
      </c>
      <c r="AG258" s="720"/>
      <c r="AH258" s="684"/>
      <c r="AI258" s="716" t="s">
        <v>2004</v>
      </c>
      <c r="AJ258" s="716"/>
      <c r="AK258" s="716"/>
      <c r="AL258" s="715"/>
      <c r="AM258" s="716"/>
      <c r="AN258" s="716"/>
      <c r="AO258" s="716"/>
      <c r="AP258" s="716"/>
      <c r="AQ258" s="721"/>
      <c r="AR258" s="676"/>
      <c r="AS258" s="537" t="b">
        <f t="array" ref="AS258">AND(D258:AQ258=inp_used,A258=inp_used_usersel)</f>
        <v>0</v>
      </c>
      <c r="AT258" s="674" t="b">
        <f t="array" ref="AT258">AND(D258:G258=inp_used_minimal,A258=inp_used_usersel)</f>
        <v>0</v>
      </c>
    </row>
    <row r="259" spans="1:49" s="674" customFormat="1">
      <c r="A259" s="674">
        <v>16</v>
      </c>
      <c r="B259" s="716">
        <v>2</v>
      </c>
      <c r="C259" s="674">
        <v>3</v>
      </c>
      <c r="D259" s="715">
        <v>0.30499999999999999</v>
      </c>
      <c r="E259" s="716" t="s">
        <v>226</v>
      </c>
      <c r="F259" s="684">
        <v>9.4E-2</v>
      </c>
      <c r="G259" s="716" t="s">
        <v>226</v>
      </c>
      <c r="H259" s="715" t="s">
        <v>3263</v>
      </c>
      <c r="I259" s="716" t="s">
        <v>992</v>
      </c>
      <c r="J259" s="741">
        <v>38200</v>
      </c>
      <c r="K259" s="716"/>
      <c r="L259" s="716"/>
      <c r="M259" s="721"/>
      <c r="N259" s="715" t="s">
        <v>232</v>
      </c>
      <c r="O259" s="716">
        <v>7.5</v>
      </c>
      <c r="P259" s="716"/>
      <c r="Q259" s="721"/>
      <c r="R259" s="715"/>
      <c r="S259" s="718"/>
      <c r="T259" s="718"/>
      <c r="U259" s="718"/>
      <c r="V259" s="719"/>
      <c r="W259" s="682">
        <v>6</v>
      </c>
      <c r="X259" s="684">
        <v>6</v>
      </c>
      <c r="Y259" s="684">
        <v>3</v>
      </c>
      <c r="Z259" s="715">
        <v>168</v>
      </c>
      <c r="AA259" s="684" t="s">
        <v>2140</v>
      </c>
      <c r="AB259" s="684" t="s">
        <v>2996</v>
      </c>
      <c r="AC259" s="716" t="s">
        <v>541</v>
      </c>
      <c r="AD259" s="684" t="s">
        <v>542</v>
      </c>
      <c r="AE259" s="715"/>
      <c r="AF259" s="716">
        <v>0</v>
      </c>
      <c r="AG259" s="720"/>
      <c r="AH259" s="684"/>
      <c r="AI259" s="716" t="s">
        <v>2004</v>
      </c>
      <c r="AJ259" s="716"/>
      <c r="AK259" s="716"/>
      <c r="AL259" s="715"/>
      <c r="AM259" s="716"/>
      <c r="AN259" s="716"/>
      <c r="AO259" s="716"/>
      <c r="AP259" s="716"/>
      <c r="AQ259" s="721"/>
      <c r="AR259" s="676"/>
      <c r="AS259" s="537" t="b">
        <f t="array" ref="AS259">AND(D259:AQ259=inp_used,A259=inp_used_usersel)</f>
        <v>0</v>
      </c>
      <c r="AT259" s="674" t="b">
        <f t="array" ref="AT259">AND(D259:G259=inp_used_minimal,A259=inp_used_usersel)</f>
        <v>0</v>
      </c>
    </row>
    <row r="260" spans="1:49" s="674" customFormat="1">
      <c r="A260" s="674">
        <v>16</v>
      </c>
      <c r="B260" s="716">
        <v>2</v>
      </c>
      <c r="C260" s="674">
        <v>4</v>
      </c>
      <c r="D260" s="715">
        <v>0.74</v>
      </c>
      <c r="E260" s="716" t="s">
        <v>226</v>
      </c>
      <c r="F260" s="684">
        <v>0.251</v>
      </c>
      <c r="G260" s="716" t="s">
        <v>226</v>
      </c>
      <c r="H260" s="715" t="s">
        <v>3263</v>
      </c>
      <c r="I260" s="716" t="s">
        <v>992</v>
      </c>
      <c r="J260" s="741">
        <v>38200</v>
      </c>
      <c r="K260" s="716"/>
      <c r="L260" s="716"/>
      <c r="M260" s="721"/>
      <c r="N260" s="715" t="s">
        <v>232</v>
      </c>
      <c r="O260" s="716">
        <v>7.5</v>
      </c>
      <c r="P260" s="716"/>
      <c r="Q260" s="721"/>
      <c r="R260" s="715"/>
      <c r="S260" s="718"/>
      <c r="T260" s="718"/>
      <c r="U260" s="718"/>
      <c r="V260" s="719"/>
      <c r="W260" s="682">
        <v>7</v>
      </c>
      <c r="X260" s="684">
        <v>7</v>
      </c>
      <c r="Y260" s="684">
        <v>5.3</v>
      </c>
      <c r="Z260" s="715">
        <v>168</v>
      </c>
      <c r="AA260" s="684" t="s">
        <v>2140</v>
      </c>
      <c r="AB260" s="684" t="s">
        <v>2996</v>
      </c>
      <c r="AC260" s="716" t="s">
        <v>541</v>
      </c>
      <c r="AD260" s="684" t="s">
        <v>542</v>
      </c>
      <c r="AE260" s="715"/>
      <c r="AF260" s="716">
        <v>0</v>
      </c>
      <c r="AG260" s="720"/>
      <c r="AH260" s="684"/>
      <c r="AI260" s="716" t="s">
        <v>2004</v>
      </c>
      <c r="AJ260" s="716"/>
      <c r="AK260" s="716"/>
      <c r="AL260" s="715"/>
      <c r="AM260" s="716"/>
      <c r="AN260" s="716"/>
      <c r="AO260" s="716"/>
      <c r="AP260" s="716"/>
      <c r="AQ260" s="721"/>
      <c r="AR260" s="676"/>
      <c r="AS260" s="537" t="b">
        <f t="array" ref="AS260">AND(D260:AQ260=inp_used,A260=inp_used_usersel)</f>
        <v>0</v>
      </c>
      <c r="AT260" s="674" t="b">
        <f t="array" ref="AT260">AND(D260:G260=inp_used_minimal,A260=inp_used_usersel)</f>
        <v>0</v>
      </c>
    </row>
    <row r="261" spans="1:49" s="674" customFormat="1">
      <c r="A261" s="674">
        <v>16</v>
      </c>
      <c r="B261" s="716">
        <v>2</v>
      </c>
      <c r="C261" s="537">
        <v>5</v>
      </c>
      <c r="D261" s="682">
        <v>2.1520000000000001</v>
      </c>
      <c r="E261" s="716" t="s">
        <v>226</v>
      </c>
      <c r="F261" s="684">
        <v>0.81899999999999995</v>
      </c>
      <c r="G261" s="716" t="s">
        <v>226</v>
      </c>
      <c r="H261" s="715" t="s">
        <v>3263</v>
      </c>
      <c r="I261" s="716" t="s">
        <v>992</v>
      </c>
      <c r="J261" s="741">
        <v>38200</v>
      </c>
      <c r="K261" s="716"/>
      <c r="L261" s="716"/>
      <c r="M261" s="721"/>
      <c r="N261" s="715" t="s">
        <v>232</v>
      </c>
      <c r="O261" s="716">
        <v>7.5</v>
      </c>
      <c r="P261" s="716"/>
      <c r="Q261" s="721"/>
      <c r="R261" s="715"/>
      <c r="S261" s="718"/>
      <c r="T261" s="718"/>
      <c r="U261" s="718"/>
      <c r="V261" s="719"/>
      <c r="W261" s="682">
        <v>8</v>
      </c>
      <c r="X261" s="684">
        <v>8</v>
      </c>
      <c r="Y261" s="684">
        <v>7.9</v>
      </c>
      <c r="Z261" s="715">
        <v>168</v>
      </c>
      <c r="AA261" s="684" t="s">
        <v>2140</v>
      </c>
      <c r="AB261" s="684" t="s">
        <v>2996</v>
      </c>
      <c r="AC261" s="716" t="s">
        <v>541</v>
      </c>
      <c r="AD261" s="684" t="s">
        <v>542</v>
      </c>
      <c r="AE261" s="715"/>
      <c r="AF261" s="716">
        <v>0</v>
      </c>
      <c r="AG261" s="720"/>
      <c r="AH261" s="684"/>
      <c r="AI261" s="716" t="s">
        <v>2004</v>
      </c>
      <c r="AJ261" s="716"/>
      <c r="AK261" s="716"/>
      <c r="AL261" s="715"/>
      <c r="AM261" s="716"/>
      <c r="AN261" s="716"/>
      <c r="AO261" s="716"/>
      <c r="AP261" s="716"/>
      <c r="AQ261" s="721"/>
      <c r="AR261" s="676"/>
      <c r="AS261" s="537" t="b">
        <f t="array" ref="AS261">AND(D261:AQ261=inp_used,A261=inp_used_usersel)</f>
        <v>0</v>
      </c>
      <c r="AT261" s="674" t="b">
        <f t="array" ref="AT261">AND(D261:G261=inp_used_minimal,A261=inp_used_usersel)</f>
        <v>0</v>
      </c>
    </row>
    <row r="262" spans="1:49" s="674" customFormat="1">
      <c r="A262" s="674">
        <v>16</v>
      </c>
      <c r="B262" s="716">
        <v>2</v>
      </c>
      <c r="C262" s="537">
        <v>6</v>
      </c>
      <c r="D262" s="682">
        <v>7.3650000000000002</v>
      </c>
      <c r="E262" s="716" t="s">
        <v>226</v>
      </c>
      <c r="F262" s="684">
        <v>3.2</v>
      </c>
      <c r="G262" s="716" t="s">
        <v>226</v>
      </c>
      <c r="H262" s="715" t="s">
        <v>3263</v>
      </c>
      <c r="I262" s="716" t="s">
        <v>992</v>
      </c>
      <c r="J262" s="741">
        <v>38200</v>
      </c>
      <c r="K262" s="716"/>
      <c r="L262" s="716"/>
      <c r="M262" s="721"/>
      <c r="N262" s="715" t="s">
        <v>232</v>
      </c>
      <c r="O262" s="716">
        <v>7.5</v>
      </c>
      <c r="P262" s="716"/>
      <c r="Q262" s="721"/>
      <c r="R262" s="715"/>
      <c r="S262" s="718"/>
      <c r="T262" s="718"/>
      <c r="U262" s="718"/>
      <c r="V262" s="719"/>
      <c r="W262" s="682">
        <v>11.5</v>
      </c>
      <c r="X262" s="684">
        <v>11.5</v>
      </c>
      <c r="Y262" s="684">
        <v>7.8</v>
      </c>
      <c r="Z262" s="715">
        <v>168</v>
      </c>
      <c r="AA262" s="684" t="s">
        <v>2140</v>
      </c>
      <c r="AB262" s="684" t="s">
        <v>2996</v>
      </c>
      <c r="AC262" s="716" t="s">
        <v>2725</v>
      </c>
      <c r="AD262" s="684" t="s">
        <v>542</v>
      </c>
      <c r="AE262" s="715"/>
      <c r="AF262" s="716">
        <v>0</v>
      </c>
      <c r="AG262" s="720"/>
      <c r="AH262" s="684"/>
      <c r="AI262" s="716" t="s">
        <v>2004</v>
      </c>
      <c r="AJ262" s="716"/>
      <c r="AK262" s="716"/>
      <c r="AL262" s="715"/>
      <c r="AM262" s="716"/>
      <c r="AN262" s="716"/>
      <c r="AO262" s="716"/>
      <c r="AP262" s="716"/>
      <c r="AQ262" s="721"/>
      <c r="AR262" s="676"/>
      <c r="AS262" s="537" t="b">
        <f t="array" ref="AS262">AND(D262:AQ262=inp_used,A262=inp_used_usersel)</f>
        <v>0</v>
      </c>
      <c r="AT262" s="674" t="b">
        <f t="array" ref="AT262">AND(D262:G262=inp_used_minimal,A262=inp_used_usersel)</f>
        <v>0</v>
      </c>
    </row>
    <row r="263" spans="1:49" s="674" customFormat="1">
      <c r="A263" s="674">
        <v>16</v>
      </c>
      <c r="B263" s="716">
        <v>2</v>
      </c>
      <c r="C263" s="537">
        <v>7</v>
      </c>
      <c r="D263" s="682">
        <v>22.614000000000001</v>
      </c>
      <c r="E263" s="716" t="s">
        <v>226</v>
      </c>
      <c r="F263" s="684">
        <v>11.066000000000001</v>
      </c>
      <c r="G263" s="716" t="s">
        <v>226</v>
      </c>
      <c r="H263" s="715" t="s">
        <v>3263</v>
      </c>
      <c r="I263" s="716" t="s">
        <v>992</v>
      </c>
      <c r="J263" s="741">
        <v>38200</v>
      </c>
      <c r="K263" s="716"/>
      <c r="L263" s="716"/>
      <c r="M263" s="721"/>
      <c r="N263" s="715" t="s">
        <v>232</v>
      </c>
      <c r="O263" s="716">
        <v>7.5</v>
      </c>
      <c r="P263" s="716"/>
      <c r="Q263" s="721"/>
      <c r="R263" s="715"/>
      <c r="S263" s="718"/>
      <c r="T263" s="718"/>
      <c r="U263" s="718"/>
      <c r="V263" s="719"/>
      <c r="W263" s="682">
        <v>15</v>
      </c>
      <c r="X263" s="684">
        <v>15</v>
      </c>
      <c r="Y263" s="684">
        <v>7.8</v>
      </c>
      <c r="Z263" s="715">
        <v>168</v>
      </c>
      <c r="AA263" s="684" t="s">
        <v>2140</v>
      </c>
      <c r="AB263" s="684" t="s">
        <v>2996</v>
      </c>
      <c r="AC263" s="716" t="s">
        <v>2725</v>
      </c>
      <c r="AD263" s="684" t="s">
        <v>542</v>
      </c>
      <c r="AE263" s="715"/>
      <c r="AF263" s="716">
        <v>0</v>
      </c>
      <c r="AG263" s="720"/>
      <c r="AH263" s="684"/>
      <c r="AI263" s="716" t="s">
        <v>2004</v>
      </c>
      <c r="AJ263" s="716"/>
      <c r="AK263" s="716"/>
      <c r="AL263" s="715"/>
      <c r="AM263" s="716"/>
      <c r="AN263" s="716"/>
      <c r="AO263" s="716"/>
      <c r="AP263" s="716"/>
      <c r="AQ263" s="721"/>
      <c r="AR263" s="676"/>
      <c r="AS263" s="537" t="b">
        <f t="array" ref="AS263">AND(D263:AQ263=inp_used,A263=inp_used_usersel)</f>
        <v>0</v>
      </c>
      <c r="AT263" s="674" t="b">
        <f t="array" ref="AT263">AND(D263:G263=inp_used_minimal,A263=inp_used_usersel)</f>
        <v>0</v>
      </c>
    </row>
    <row r="264" spans="1:49" s="674" customFormat="1">
      <c r="A264" s="724">
        <v>16</v>
      </c>
      <c r="B264" s="724">
        <v>2</v>
      </c>
      <c r="C264" s="726">
        <v>8</v>
      </c>
      <c r="D264" s="725">
        <v>75.072000000000003</v>
      </c>
      <c r="E264" s="724" t="s">
        <v>226</v>
      </c>
      <c r="F264" s="726">
        <v>37.536000000000001</v>
      </c>
      <c r="G264" s="724" t="s">
        <v>226</v>
      </c>
      <c r="H264" s="727" t="s">
        <v>3263</v>
      </c>
      <c r="I264" s="724" t="s">
        <v>992</v>
      </c>
      <c r="J264" s="742">
        <v>38200</v>
      </c>
      <c r="K264" s="724"/>
      <c r="L264" s="724"/>
      <c r="M264" s="729"/>
      <c r="N264" s="727" t="s">
        <v>232</v>
      </c>
      <c r="O264" s="724">
        <v>7.5</v>
      </c>
      <c r="P264" s="724"/>
      <c r="Q264" s="729"/>
      <c r="R264" s="727"/>
      <c r="S264" s="732"/>
      <c r="T264" s="732"/>
      <c r="U264" s="732"/>
      <c r="V264" s="733"/>
      <c r="W264" s="725">
        <v>30</v>
      </c>
      <c r="X264" s="726">
        <v>30</v>
      </c>
      <c r="Y264" s="712">
        <v>9.6999999999999993</v>
      </c>
      <c r="Z264" s="727">
        <v>168</v>
      </c>
      <c r="AA264" s="726" t="s">
        <v>2140</v>
      </c>
      <c r="AB264" s="726" t="s">
        <v>2996</v>
      </c>
      <c r="AC264" s="724" t="s">
        <v>2725</v>
      </c>
      <c r="AD264" s="726" t="s">
        <v>542</v>
      </c>
      <c r="AE264" s="727"/>
      <c r="AF264" s="724">
        <v>0</v>
      </c>
      <c r="AG264" s="734"/>
      <c r="AH264" s="726"/>
      <c r="AI264" s="724" t="s">
        <v>2004</v>
      </c>
      <c r="AJ264" s="724"/>
      <c r="AK264" s="729"/>
      <c r="AL264" s="727"/>
      <c r="AM264" s="724"/>
      <c r="AN264" s="724"/>
      <c r="AO264" s="724"/>
      <c r="AP264" s="724"/>
      <c r="AQ264" s="729"/>
      <c r="AR264" s="676"/>
      <c r="AS264" s="537" t="b">
        <f t="array" ref="AS264">AND(D264:AQ264=inp_used,A264=inp_used_usersel)</f>
        <v>0</v>
      </c>
      <c r="AT264" s="674" t="b">
        <f t="array" ref="AT264">AND(D264:G264=inp_used_minimal,A264=inp_used_usersel)</f>
        <v>0</v>
      </c>
    </row>
    <row r="265" spans="1:49" s="674" customFormat="1">
      <c r="A265" s="674">
        <v>17</v>
      </c>
      <c r="B265" s="674">
        <v>1</v>
      </c>
      <c r="C265" s="674">
        <v>1</v>
      </c>
      <c r="D265" s="715">
        <v>0.03</v>
      </c>
      <c r="E265" s="716" t="s">
        <v>226</v>
      </c>
      <c r="F265" s="684">
        <v>7.0000000000000001E-3</v>
      </c>
      <c r="G265" s="716" t="s">
        <v>226</v>
      </c>
      <c r="H265" s="715" t="s">
        <v>3263</v>
      </c>
      <c r="I265" s="716" t="s">
        <v>440</v>
      </c>
      <c r="J265" s="741">
        <v>12</v>
      </c>
      <c r="K265" s="716"/>
      <c r="L265" s="716"/>
      <c r="M265" s="721"/>
      <c r="N265" s="715" t="s">
        <v>232</v>
      </c>
      <c r="O265" s="716">
        <v>4</v>
      </c>
      <c r="P265" s="716"/>
      <c r="Q265" s="721"/>
      <c r="R265" s="715">
        <v>1</v>
      </c>
      <c r="S265" s="718">
        <v>3.6</v>
      </c>
      <c r="T265" s="716" t="s">
        <v>2139</v>
      </c>
      <c r="U265" s="718">
        <v>6</v>
      </c>
      <c r="V265" s="719">
        <v>2</v>
      </c>
      <c r="W265" s="718"/>
      <c r="X265" s="718"/>
      <c r="Y265" s="718"/>
      <c r="Z265" s="715">
        <v>168</v>
      </c>
      <c r="AA265" s="684" t="s">
        <v>2140</v>
      </c>
      <c r="AB265" s="720" t="s">
        <v>1441</v>
      </c>
      <c r="AC265" s="716" t="s">
        <v>541</v>
      </c>
      <c r="AD265" s="716"/>
      <c r="AE265" s="1044">
        <v>0</v>
      </c>
      <c r="AF265" s="1043">
        <v>0</v>
      </c>
      <c r="AG265" s="743" t="s">
        <v>1870</v>
      </c>
      <c r="AH265" s="744" t="s">
        <v>1871</v>
      </c>
      <c r="AI265" s="735" t="s">
        <v>2004</v>
      </c>
      <c r="AJ265" s="716"/>
      <c r="AK265" s="716" t="s">
        <v>2257</v>
      </c>
      <c r="AL265" s="715"/>
      <c r="AM265" s="716"/>
      <c r="AN265" s="716"/>
      <c r="AO265" s="716"/>
      <c r="AP265" s="716"/>
      <c r="AQ265" s="721"/>
      <c r="AR265" s="676" t="s">
        <v>177</v>
      </c>
      <c r="AS265" s="537" t="b">
        <f t="array" ref="AS265">AND(D265:AQ265=inp_used,A265=inp_used_usersel)</f>
        <v>0</v>
      </c>
      <c r="AT265" s="674" t="b">
        <f t="array" ref="AT265">AND(D265:G265=inp_used_minimal,A265=inp_used_usersel)</f>
        <v>0</v>
      </c>
      <c r="AV265" s="674" t="b">
        <f t="shared" ref="AV265:AW272" si="16">CHOOSE(design_type,AS265,AS273)</f>
        <v>0</v>
      </c>
      <c r="AW265" s="674" t="b">
        <f t="shared" si="16"/>
        <v>0</v>
      </c>
    </row>
    <row r="266" spans="1:49" s="674" customFormat="1">
      <c r="A266" s="674">
        <v>17</v>
      </c>
      <c r="B266" s="674">
        <v>1</v>
      </c>
      <c r="C266" s="674">
        <v>2</v>
      </c>
      <c r="D266" s="715">
        <v>0.124</v>
      </c>
      <c r="E266" s="716" t="s">
        <v>226</v>
      </c>
      <c r="F266" s="684">
        <v>3.5000000000000003E-2</v>
      </c>
      <c r="G266" s="716" t="s">
        <v>226</v>
      </c>
      <c r="H266" s="715" t="s">
        <v>3263</v>
      </c>
      <c r="I266" s="716" t="s">
        <v>440</v>
      </c>
      <c r="J266" s="741">
        <v>12</v>
      </c>
      <c r="K266" s="716"/>
      <c r="L266" s="716"/>
      <c r="M266" s="721"/>
      <c r="N266" s="715" t="s">
        <v>232</v>
      </c>
      <c r="O266" s="716">
        <v>4</v>
      </c>
      <c r="P266" s="716"/>
      <c r="Q266" s="721"/>
      <c r="R266" s="715">
        <v>1</v>
      </c>
      <c r="S266" s="718">
        <v>4.8</v>
      </c>
      <c r="T266" s="716" t="s">
        <v>2139</v>
      </c>
      <c r="U266" s="718">
        <v>8</v>
      </c>
      <c r="V266" s="719">
        <v>3.5</v>
      </c>
      <c r="W266" s="718"/>
      <c r="X266" s="718"/>
      <c r="Y266" s="718"/>
      <c r="Z266" s="715">
        <v>168</v>
      </c>
      <c r="AA266" s="684" t="s">
        <v>2140</v>
      </c>
      <c r="AB266" s="720" t="s">
        <v>1441</v>
      </c>
      <c r="AC266" s="716" t="s">
        <v>541</v>
      </c>
      <c r="AD266" s="684"/>
      <c r="AE266" s="1045">
        <v>0</v>
      </c>
      <c r="AF266" s="716">
        <v>0</v>
      </c>
      <c r="AG266" s="720" t="s">
        <v>1870</v>
      </c>
      <c r="AH266" s="684" t="s">
        <v>1871</v>
      </c>
      <c r="AI266" s="716" t="s">
        <v>2004</v>
      </c>
      <c r="AJ266" s="716"/>
      <c r="AK266" s="716" t="s">
        <v>2257</v>
      </c>
      <c r="AL266" s="715"/>
      <c r="AM266" s="716"/>
      <c r="AN266" s="716"/>
      <c r="AO266" s="716"/>
      <c r="AP266" s="716"/>
      <c r="AQ266" s="721"/>
      <c r="AR266" s="676"/>
      <c r="AS266" s="537" t="b">
        <f t="array" ref="AS266">AND(D266:AQ266=inp_used,A266=inp_used_usersel)</f>
        <v>0</v>
      </c>
      <c r="AT266" s="674" t="b">
        <f t="array" ref="AT266">AND(D266:G266=inp_used_minimal,A266=inp_used_usersel)</f>
        <v>0</v>
      </c>
      <c r="AV266" s="674" t="b">
        <f t="shared" si="16"/>
        <v>0</v>
      </c>
      <c r="AW266" s="674" t="b">
        <f t="shared" si="16"/>
        <v>0</v>
      </c>
    </row>
    <row r="267" spans="1:49" s="674" customFormat="1">
      <c r="A267" s="674">
        <v>17</v>
      </c>
      <c r="B267" s="674">
        <v>1</v>
      </c>
      <c r="C267" s="674">
        <v>3</v>
      </c>
      <c r="D267" s="715">
        <v>0.30499999999999999</v>
      </c>
      <c r="E267" s="716" t="s">
        <v>226</v>
      </c>
      <c r="F267" s="684">
        <v>9.4E-2</v>
      </c>
      <c r="G267" s="716" t="s">
        <v>226</v>
      </c>
      <c r="H267" s="715" t="s">
        <v>3263</v>
      </c>
      <c r="I267" s="716" t="s">
        <v>440</v>
      </c>
      <c r="J267" s="741">
        <v>12</v>
      </c>
      <c r="K267" s="716"/>
      <c r="L267" s="716"/>
      <c r="M267" s="721"/>
      <c r="N267" s="715" t="s">
        <v>232</v>
      </c>
      <c r="O267" s="716">
        <v>4</v>
      </c>
      <c r="P267" s="716"/>
      <c r="Q267" s="721"/>
      <c r="R267" s="715">
        <v>1</v>
      </c>
      <c r="S267" s="718">
        <v>4.8</v>
      </c>
      <c r="T267" s="716" t="s">
        <v>2139</v>
      </c>
      <c r="U267" s="718">
        <v>8</v>
      </c>
      <c r="V267" s="719">
        <v>5.5</v>
      </c>
      <c r="W267" s="718"/>
      <c r="X267" s="718"/>
      <c r="Y267" s="718"/>
      <c r="Z267" s="715">
        <v>168</v>
      </c>
      <c r="AA267" s="684" t="s">
        <v>2140</v>
      </c>
      <c r="AB267" s="720" t="s">
        <v>1441</v>
      </c>
      <c r="AC267" s="716" t="s">
        <v>541</v>
      </c>
      <c r="AD267" s="684"/>
      <c r="AE267" s="1045">
        <v>0</v>
      </c>
      <c r="AF267" s="716">
        <v>0</v>
      </c>
      <c r="AG267" s="720" t="s">
        <v>1870</v>
      </c>
      <c r="AH267" s="684" t="s">
        <v>1871</v>
      </c>
      <c r="AI267" s="716" t="s">
        <v>2004</v>
      </c>
      <c r="AJ267" s="716"/>
      <c r="AK267" s="716" t="s">
        <v>2257</v>
      </c>
      <c r="AL267" s="715"/>
      <c r="AM267" s="716"/>
      <c r="AN267" s="716"/>
      <c r="AO267" s="716"/>
      <c r="AP267" s="716"/>
      <c r="AQ267" s="721"/>
      <c r="AR267" s="676"/>
      <c r="AS267" s="537" t="b">
        <f t="array" ref="AS267">AND(D267:AQ267=inp_used,A267=inp_used_usersel)</f>
        <v>0</v>
      </c>
      <c r="AT267" s="674" t="b">
        <f t="array" ref="AT267">AND(D267:G267=inp_used_minimal,A267=inp_used_usersel)</f>
        <v>0</v>
      </c>
      <c r="AV267" s="674" t="b">
        <f t="shared" si="16"/>
        <v>0</v>
      </c>
      <c r="AW267" s="674" t="b">
        <f t="shared" si="16"/>
        <v>0</v>
      </c>
    </row>
    <row r="268" spans="1:49" s="674" customFormat="1">
      <c r="A268" s="674">
        <v>17</v>
      </c>
      <c r="B268" s="674">
        <v>1</v>
      </c>
      <c r="C268" s="674">
        <v>4</v>
      </c>
      <c r="D268" s="715">
        <v>0.74</v>
      </c>
      <c r="E268" s="716" t="s">
        <v>226</v>
      </c>
      <c r="F268" s="684">
        <v>0.251</v>
      </c>
      <c r="G268" s="716" t="s">
        <v>226</v>
      </c>
      <c r="H268" s="715" t="s">
        <v>3263</v>
      </c>
      <c r="I268" s="716" t="s">
        <v>440</v>
      </c>
      <c r="J268" s="741">
        <v>12</v>
      </c>
      <c r="K268" s="716"/>
      <c r="L268" s="716"/>
      <c r="M268" s="721"/>
      <c r="N268" s="715" t="s">
        <v>232</v>
      </c>
      <c r="O268" s="716">
        <v>4</v>
      </c>
      <c r="P268" s="716"/>
      <c r="Q268" s="721"/>
      <c r="R268" s="715">
        <v>1</v>
      </c>
      <c r="S268" s="718">
        <v>4.9000000000000004</v>
      </c>
      <c r="T268" s="716" t="s">
        <v>2139</v>
      </c>
      <c r="U268" s="718">
        <v>8</v>
      </c>
      <c r="V268" s="719">
        <v>8.5</v>
      </c>
      <c r="W268" s="718"/>
      <c r="X268" s="718"/>
      <c r="Y268" s="718"/>
      <c r="Z268" s="715">
        <v>168</v>
      </c>
      <c r="AA268" s="684" t="s">
        <v>2140</v>
      </c>
      <c r="AB268" s="720" t="s">
        <v>1441</v>
      </c>
      <c r="AC268" s="716" t="s">
        <v>541</v>
      </c>
      <c r="AD268" s="684"/>
      <c r="AE268" s="1045">
        <v>0</v>
      </c>
      <c r="AF268" s="716">
        <v>0</v>
      </c>
      <c r="AG268" s="720" t="s">
        <v>1870</v>
      </c>
      <c r="AH268" s="684" t="s">
        <v>1871</v>
      </c>
      <c r="AI268" s="716" t="s">
        <v>2004</v>
      </c>
      <c r="AJ268" s="716"/>
      <c r="AK268" s="716" t="s">
        <v>2257</v>
      </c>
      <c r="AL268" s="715"/>
      <c r="AM268" s="716"/>
      <c r="AN268" s="716"/>
      <c r="AO268" s="716"/>
      <c r="AP268" s="716"/>
      <c r="AQ268" s="721"/>
      <c r="AR268" s="676"/>
      <c r="AS268" s="537" t="b">
        <f t="array" ref="AS268">AND(D268:AQ268=inp_used,A268=inp_used_usersel)</f>
        <v>1</v>
      </c>
      <c r="AT268" s="674" t="b">
        <f t="array" ref="AT268">AND(D268:G268=inp_used_minimal,A268=inp_used_usersel)</f>
        <v>1</v>
      </c>
      <c r="AV268" s="674" t="b">
        <f t="shared" si="16"/>
        <v>1</v>
      </c>
      <c r="AW268" s="674" t="b">
        <f t="shared" si="16"/>
        <v>1</v>
      </c>
    </row>
    <row r="269" spans="1:49" s="674" customFormat="1">
      <c r="A269" s="674">
        <v>17</v>
      </c>
      <c r="B269" s="674">
        <v>1</v>
      </c>
      <c r="C269" s="537">
        <v>5</v>
      </c>
      <c r="D269" s="682">
        <v>2.1520000000000001</v>
      </c>
      <c r="E269" s="716" t="s">
        <v>226</v>
      </c>
      <c r="F269" s="684">
        <v>0.81899999999999995</v>
      </c>
      <c r="G269" s="716" t="s">
        <v>226</v>
      </c>
      <c r="H269" s="715" t="s">
        <v>3263</v>
      </c>
      <c r="I269" s="716" t="s">
        <v>440</v>
      </c>
      <c r="J269" s="741">
        <v>12</v>
      </c>
      <c r="K269" s="716"/>
      <c r="L269" s="716"/>
      <c r="M269" s="721"/>
      <c r="N269" s="715" t="s">
        <v>232</v>
      </c>
      <c r="O269" s="716">
        <v>4</v>
      </c>
      <c r="P269" s="716"/>
      <c r="Q269" s="721"/>
      <c r="R269" s="715">
        <v>1</v>
      </c>
      <c r="S269" s="718">
        <v>5.2</v>
      </c>
      <c r="T269" s="716" t="s">
        <v>2139</v>
      </c>
      <c r="U269" s="718">
        <v>8.5</v>
      </c>
      <c r="V269" s="719">
        <v>14</v>
      </c>
      <c r="W269" s="718"/>
      <c r="X269" s="718"/>
      <c r="Y269" s="718"/>
      <c r="Z269" s="715">
        <v>168</v>
      </c>
      <c r="AA269" s="684" t="s">
        <v>2140</v>
      </c>
      <c r="AB269" s="720" t="s">
        <v>1441</v>
      </c>
      <c r="AC269" s="716" t="s">
        <v>541</v>
      </c>
      <c r="AD269" s="684"/>
      <c r="AE269" s="1045">
        <v>0</v>
      </c>
      <c r="AF269" s="716">
        <v>0</v>
      </c>
      <c r="AG269" s="720" t="s">
        <v>1870</v>
      </c>
      <c r="AH269" s="684" t="s">
        <v>1871</v>
      </c>
      <c r="AI269" s="716" t="s">
        <v>2004</v>
      </c>
      <c r="AJ269" s="716"/>
      <c r="AK269" s="716" t="s">
        <v>2257</v>
      </c>
      <c r="AL269" s="715"/>
      <c r="AM269" s="716"/>
      <c r="AN269" s="716"/>
      <c r="AO269" s="716"/>
      <c r="AP269" s="716"/>
      <c r="AQ269" s="721"/>
      <c r="AR269" s="676"/>
      <c r="AS269" s="537" t="b">
        <f t="array" ref="AS269">AND(D269:AQ269=inp_used,A269=inp_used_usersel)</f>
        <v>0</v>
      </c>
      <c r="AT269" s="674" t="b">
        <f t="array" ref="AT269">AND(D269:G269=inp_used_minimal,A269=inp_used_usersel)</f>
        <v>0</v>
      </c>
      <c r="AV269" s="674" t="b">
        <f t="shared" si="16"/>
        <v>0</v>
      </c>
      <c r="AW269" s="674" t="b">
        <f t="shared" si="16"/>
        <v>0</v>
      </c>
    </row>
    <row r="270" spans="1:49" s="674" customFormat="1">
      <c r="A270" s="674">
        <v>17</v>
      </c>
      <c r="B270" s="674">
        <v>1</v>
      </c>
      <c r="C270" s="537">
        <v>6</v>
      </c>
      <c r="D270" s="682">
        <v>7.3650000000000002</v>
      </c>
      <c r="E270" s="716" t="s">
        <v>226</v>
      </c>
      <c r="F270" s="684">
        <v>3.2</v>
      </c>
      <c r="G270" s="716" t="s">
        <v>226</v>
      </c>
      <c r="H270" s="715" t="s">
        <v>3263</v>
      </c>
      <c r="I270" s="716" t="s">
        <v>440</v>
      </c>
      <c r="J270" s="741">
        <v>12</v>
      </c>
      <c r="K270" s="716"/>
      <c r="L270" s="716"/>
      <c r="M270" s="721"/>
      <c r="N270" s="715" t="s">
        <v>232</v>
      </c>
      <c r="O270" s="716">
        <v>4</v>
      </c>
      <c r="P270" s="716"/>
      <c r="Q270" s="721"/>
      <c r="R270" s="715">
        <v>1</v>
      </c>
      <c r="S270" s="718">
        <v>5.2</v>
      </c>
      <c r="T270" s="716" t="s">
        <v>2139</v>
      </c>
      <c r="U270" s="718">
        <v>8.5</v>
      </c>
      <c r="V270" s="719">
        <v>13</v>
      </c>
      <c r="W270" s="718"/>
      <c r="X270" s="718"/>
      <c r="Y270" s="718"/>
      <c r="Z270" s="715">
        <v>168</v>
      </c>
      <c r="AA270" s="684" t="s">
        <v>2140</v>
      </c>
      <c r="AB270" s="720" t="s">
        <v>1441</v>
      </c>
      <c r="AC270" s="716" t="s">
        <v>541</v>
      </c>
      <c r="AD270" s="684"/>
      <c r="AE270" s="1045">
        <v>0</v>
      </c>
      <c r="AF270" s="716">
        <v>0</v>
      </c>
      <c r="AG270" s="720" t="s">
        <v>1870</v>
      </c>
      <c r="AH270" s="684" t="s">
        <v>1871</v>
      </c>
      <c r="AI270" s="716" t="s">
        <v>2004</v>
      </c>
      <c r="AJ270" s="716"/>
      <c r="AK270" s="716" t="s">
        <v>2257</v>
      </c>
      <c r="AL270" s="715"/>
      <c r="AM270" s="716"/>
      <c r="AN270" s="716"/>
      <c r="AO270" s="716"/>
      <c r="AP270" s="716"/>
      <c r="AQ270" s="721"/>
      <c r="AR270" s="676"/>
      <c r="AS270" s="537" t="b">
        <f t="array" ref="AS270">AND(D270:AQ270=inp_used,A270=inp_used_usersel)</f>
        <v>0</v>
      </c>
      <c r="AT270" s="674" t="b">
        <f t="array" ref="AT270">AND(D270:G270=inp_used_minimal,A270=inp_used_usersel)</f>
        <v>0</v>
      </c>
      <c r="AV270" s="674" t="b">
        <f t="shared" si="16"/>
        <v>0</v>
      </c>
      <c r="AW270" s="674" t="b">
        <f t="shared" si="16"/>
        <v>0</v>
      </c>
    </row>
    <row r="271" spans="1:49" s="674" customFormat="1">
      <c r="A271" s="674">
        <v>17</v>
      </c>
      <c r="B271" s="674">
        <v>1</v>
      </c>
      <c r="C271" s="537">
        <v>7</v>
      </c>
      <c r="D271" s="682">
        <v>22.614000000000001</v>
      </c>
      <c r="E271" s="716" t="s">
        <v>226</v>
      </c>
      <c r="F271" s="684">
        <v>11.066000000000001</v>
      </c>
      <c r="G271" s="716" t="s">
        <v>226</v>
      </c>
      <c r="H271" s="715" t="s">
        <v>3263</v>
      </c>
      <c r="I271" s="716" t="s">
        <v>440</v>
      </c>
      <c r="J271" s="741">
        <v>12</v>
      </c>
      <c r="K271" s="716"/>
      <c r="L271" s="716"/>
      <c r="M271" s="721"/>
      <c r="N271" s="715" t="s">
        <v>232</v>
      </c>
      <c r="O271" s="716">
        <v>4</v>
      </c>
      <c r="P271" s="716"/>
      <c r="Q271" s="721"/>
      <c r="R271" s="715">
        <v>1</v>
      </c>
      <c r="S271" s="718">
        <v>5.3</v>
      </c>
      <c r="T271" s="716" t="s">
        <v>2139</v>
      </c>
      <c r="U271" s="718">
        <v>8.5</v>
      </c>
      <c r="V271" s="719">
        <v>13</v>
      </c>
      <c r="W271" s="718"/>
      <c r="X271" s="718"/>
      <c r="Y271" s="718"/>
      <c r="Z271" s="715">
        <v>168</v>
      </c>
      <c r="AA271" s="684" t="s">
        <v>2140</v>
      </c>
      <c r="AB271" s="720" t="s">
        <v>1441</v>
      </c>
      <c r="AC271" s="716" t="s">
        <v>541</v>
      </c>
      <c r="AD271" s="684"/>
      <c r="AE271" s="1045">
        <v>0</v>
      </c>
      <c r="AF271" s="716">
        <v>0</v>
      </c>
      <c r="AG271" s="720" t="s">
        <v>1870</v>
      </c>
      <c r="AH271" s="684" t="s">
        <v>1871</v>
      </c>
      <c r="AI271" s="716" t="s">
        <v>2004</v>
      </c>
      <c r="AJ271" s="716"/>
      <c r="AK271" s="716" t="s">
        <v>2257</v>
      </c>
      <c r="AL271" s="715"/>
      <c r="AM271" s="716"/>
      <c r="AN271" s="716"/>
      <c r="AO271" s="716"/>
      <c r="AP271" s="716"/>
      <c r="AQ271" s="721"/>
      <c r="AR271" s="676"/>
      <c r="AS271" s="537" t="b">
        <f t="array" ref="AS271">AND(D271:AQ271=inp_used,A271=inp_used_usersel)</f>
        <v>0</v>
      </c>
      <c r="AT271" s="674" t="b">
        <f t="array" ref="AT271">AND(D271:G271=inp_used_minimal,A271=inp_used_usersel)</f>
        <v>0</v>
      </c>
      <c r="AV271" s="674" t="b">
        <f t="shared" si="16"/>
        <v>0</v>
      </c>
      <c r="AW271" s="674" t="b">
        <f t="shared" si="16"/>
        <v>0</v>
      </c>
    </row>
    <row r="272" spans="1:49" s="674" customFormat="1">
      <c r="A272" s="724">
        <v>17</v>
      </c>
      <c r="B272" s="724">
        <v>1</v>
      </c>
      <c r="C272" s="726">
        <v>8</v>
      </c>
      <c r="D272" s="725">
        <v>75.072000000000003</v>
      </c>
      <c r="E272" s="724" t="s">
        <v>226</v>
      </c>
      <c r="F272" s="726">
        <v>37.536000000000001</v>
      </c>
      <c r="G272" s="724" t="s">
        <v>226</v>
      </c>
      <c r="H272" s="727" t="s">
        <v>3263</v>
      </c>
      <c r="I272" s="724" t="s">
        <v>440</v>
      </c>
      <c r="J272" s="742">
        <v>12</v>
      </c>
      <c r="K272" s="724"/>
      <c r="L272" s="724"/>
      <c r="M272" s="729"/>
      <c r="N272" s="727" t="s">
        <v>232</v>
      </c>
      <c r="O272" s="724">
        <v>4</v>
      </c>
      <c r="P272" s="724"/>
      <c r="Q272" s="729"/>
      <c r="R272" s="715">
        <v>1</v>
      </c>
      <c r="S272" s="732">
        <v>5.3</v>
      </c>
      <c r="T272" s="724" t="s">
        <v>2139</v>
      </c>
      <c r="U272" s="732">
        <v>8.5</v>
      </c>
      <c r="V272" s="733">
        <v>13.5</v>
      </c>
      <c r="W272" s="731"/>
      <c r="X272" s="732"/>
      <c r="Y272" s="733"/>
      <c r="Z272" s="727">
        <v>168</v>
      </c>
      <c r="AA272" s="726" t="s">
        <v>2140</v>
      </c>
      <c r="AB272" s="734" t="s">
        <v>1441</v>
      </c>
      <c r="AC272" s="724" t="s">
        <v>541</v>
      </c>
      <c r="AD272" s="726"/>
      <c r="AE272" s="1046">
        <v>0</v>
      </c>
      <c r="AF272" s="724">
        <v>0</v>
      </c>
      <c r="AG272" s="734" t="s">
        <v>1870</v>
      </c>
      <c r="AH272" s="726" t="s">
        <v>1871</v>
      </c>
      <c r="AI272" s="724" t="s">
        <v>2004</v>
      </c>
      <c r="AJ272" s="724"/>
      <c r="AK272" s="729" t="s">
        <v>2257</v>
      </c>
      <c r="AL272" s="727"/>
      <c r="AM272" s="724"/>
      <c r="AN272" s="724"/>
      <c r="AO272" s="724"/>
      <c r="AP272" s="724"/>
      <c r="AQ272" s="729"/>
      <c r="AR272" s="676"/>
      <c r="AS272" s="537" t="b">
        <f t="array" ref="AS272">AND(D272:AQ272=inp_used,A272=inp_used_usersel)</f>
        <v>0</v>
      </c>
      <c r="AT272" s="674" t="b">
        <f t="array" ref="AT272">AND(D272:G272=inp_used_minimal,A272=inp_used_usersel)</f>
        <v>0</v>
      </c>
      <c r="AV272" s="674" t="b">
        <f t="shared" si="16"/>
        <v>0</v>
      </c>
      <c r="AW272" s="674" t="b">
        <f t="shared" si="16"/>
        <v>0</v>
      </c>
    </row>
    <row r="273" spans="1:49" s="674" customFormat="1">
      <c r="A273" s="674">
        <v>17</v>
      </c>
      <c r="B273" s="735">
        <v>2</v>
      </c>
      <c r="C273" s="674">
        <v>1</v>
      </c>
      <c r="D273" s="715">
        <v>0.03</v>
      </c>
      <c r="E273" s="716" t="s">
        <v>226</v>
      </c>
      <c r="F273" s="684">
        <v>7.0000000000000001E-3</v>
      </c>
      <c r="G273" s="716" t="s">
        <v>226</v>
      </c>
      <c r="H273" s="715" t="s">
        <v>3263</v>
      </c>
      <c r="I273" s="716" t="s">
        <v>440</v>
      </c>
      <c r="J273" s="741">
        <v>12</v>
      </c>
      <c r="K273" s="716"/>
      <c r="L273" s="716"/>
      <c r="M273" s="721"/>
      <c r="N273" s="715" t="s">
        <v>232</v>
      </c>
      <c r="O273" s="716">
        <v>4</v>
      </c>
      <c r="P273" s="716"/>
      <c r="Q273" s="721"/>
      <c r="R273" s="737"/>
      <c r="S273" s="718"/>
      <c r="T273" s="718"/>
      <c r="U273" s="718"/>
      <c r="V273" s="719"/>
      <c r="W273" s="682">
        <v>6</v>
      </c>
      <c r="X273" s="684">
        <v>6</v>
      </c>
      <c r="Y273" s="684">
        <v>3</v>
      </c>
      <c r="Z273" s="715">
        <v>168</v>
      </c>
      <c r="AA273" s="684" t="s">
        <v>2140</v>
      </c>
      <c r="AB273" s="684" t="s">
        <v>1441</v>
      </c>
      <c r="AC273" s="716" t="s">
        <v>541</v>
      </c>
      <c r="AD273" s="684"/>
      <c r="AE273" s="1044">
        <v>0</v>
      </c>
      <c r="AF273" s="1043">
        <v>0</v>
      </c>
      <c r="AG273" s="720" t="s">
        <v>1870</v>
      </c>
      <c r="AH273" s="684" t="s">
        <v>1871</v>
      </c>
      <c r="AI273" s="716" t="s">
        <v>2004</v>
      </c>
      <c r="AJ273" s="716"/>
      <c r="AK273" s="716" t="s">
        <v>2257</v>
      </c>
      <c r="AL273" s="715"/>
      <c r="AM273" s="716"/>
      <c r="AN273" s="716"/>
      <c r="AO273" s="716"/>
      <c r="AP273" s="716"/>
      <c r="AQ273" s="721"/>
      <c r="AR273" s="676" t="s">
        <v>178</v>
      </c>
      <c r="AS273" s="537" t="b">
        <f t="array" ref="AS273">AND(D273:AQ273=inp_used,A273=inp_used_usersel)</f>
        <v>0</v>
      </c>
      <c r="AT273" s="674" t="b">
        <f t="array" ref="AT273">AND(D273:G273=inp_used_minimal,A273=inp_used_usersel)</f>
        <v>0</v>
      </c>
    </row>
    <row r="274" spans="1:49" s="674" customFormat="1">
      <c r="A274" s="674">
        <v>17</v>
      </c>
      <c r="B274" s="716">
        <v>2</v>
      </c>
      <c r="C274" s="674">
        <v>2</v>
      </c>
      <c r="D274" s="715">
        <v>0.124</v>
      </c>
      <c r="E274" s="716" t="s">
        <v>226</v>
      </c>
      <c r="F274" s="684">
        <v>3.5000000000000003E-2</v>
      </c>
      <c r="G274" s="716" t="s">
        <v>226</v>
      </c>
      <c r="H274" s="715" t="s">
        <v>3263</v>
      </c>
      <c r="I274" s="716" t="s">
        <v>440</v>
      </c>
      <c r="J274" s="741">
        <v>12</v>
      </c>
      <c r="K274" s="716"/>
      <c r="L274" s="716"/>
      <c r="M274" s="721"/>
      <c r="N274" s="715" t="s">
        <v>232</v>
      </c>
      <c r="O274" s="716">
        <v>4</v>
      </c>
      <c r="P274" s="716"/>
      <c r="Q274" s="721"/>
      <c r="R274" s="715"/>
      <c r="S274" s="718"/>
      <c r="T274" s="718"/>
      <c r="U274" s="718"/>
      <c r="V274" s="719"/>
      <c r="W274" s="684">
        <v>6</v>
      </c>
      <c r="X274" s="684">
        <v>6</v>
      </c>
      <c r="Y274" s="684">
        <v>3</v>
      </c>
      <c r="Z274" s="715">
        <v>168</v>
      </c>
      <c r="AA274" s="684" t="s">
        <v>2140</v>
      </c>
      <c r="AB274" s="684" t="s">
        <v>1441</v>
      </c>
      <c r="AC274" s="716" t="s">
        <v>541</v>
      </c>
      <c r="AD274" s="684"/>
      <c r="AE274" s="1045">
        <v>0</v>
      </c>
      <c r="AF274" s="716">
        <v>0</v>
      </c>
      <c r="AG274" s="720" t="s">
        <v>1870</v>
      </c>
      <c r="AH274" s="684" t="s">
        <v>1871</v>
      </c>
      <c r="AI274" s="716" t="s">
        <v>2004</v>
      </c>
      <c r="AJ274" s="716"/>
      <c r="AK274" s="716" t="s">
        <v>2257</v>
      </c>
      <c r="AL274" s="715"/>
      <c r="AM274" s="716"/>
      <c r="AN274" s="716"/>
      <c r="AO274" s="716"/>
      <c r="AP274" s="716"/>
      <c r="AQ274" s="721"/>
      <c r="AR274" s="676"/>
      <c r="AS274" s="537" t="b">
        <f t="array" ref="AS274">AND(D274:AQ274=inp_used,A274=inp_used_usersel)</f>
        <v>0</v>
      </c>
      <c r="AT274" s="674" t="b">
        <f t="array" ref="AT274">AND(D274:G274=inp_used_minimal,A274=inp_used_usersel)</f>
        <v>0</v>
      </c>
    </row>
    <row r="275" spans="1:49" s="674" customFormat="1">
      <c r="A275" s="674">
        <v>17</v>
      </c>
      <c r="B275" s="716">
        <v>2</v>
      </c>
      <c r="C275" s="674">
        <v>3</v>
      </c>
      <c r="D275" s="715">
        <v>0.30499999999999999</v>
      </c>
      <c r="E275" s="716" t="s">
        <v>226</v>
      </c>
      <c r="F275" s="684">
        <v>9.4E-2</v>
      </c>
      <c r="G275" s="716" t="s">
        <v>226</v>
      </c>
      <c r="H275" s="715" t="s">
        <v>3263</v>
      </c>
      <c r="I275" s="716" t="s">
        <v>440</v>
      </c>
      <c r="J275" s="741">
        <v>12</v>
      </c>
      <c r="K275" s="716"/>
      <c r="L275" s="716"/>
      <c r="M275" s="721"/>
      <c r="N275" s="715" t="s">
        <v>232</v>
      </c>
      <c r="O275" s="716">
        <v>4</v>
      </c>
      <c r="P275" s="716"/>
      <c r="Q275" s="721"/>
      <c r="R275" s="715"/>
      <c r="S275" s="718"/>
      <c r="T275" s="718"/>
      <c r="U275" s="718"/>
      <c r="V275" s="719"/>
      <c r="W275" s="684">
        <v>6</v>
      </c>
      <c r="X275" s="684">
        <v>6</v>
      </c>
      <c r="Y275" s="684">
        <v>3.2</v>
      </c>
      <c r="Z275" s="715">
        <v>168</v>
      </c>
      <c r="AA275" s="684" t="s">
        <v>2140</v>
      </c>
      <c r="AB275" s="684" t="s">
        <v>1441</v>
      </c>
      <c r="AC275" s="716" t="s">
        <v>541</v>
      </c>
      <c r="AD275" s="684"/>
      <c r="AE275" s="1045">
        <v>0</v>
      </c>
      <c r="AF275" s="716">
        <v>0</v>
      </c>
      <c r="AG275" s="720" t="s">
        <v>1870</v>
      </c>
      <c r="AH275" s="684" t="s">
        <v>1871</v>
      </c>
      <c r="AI275" s="716" t="s">
        <v>2004</v>
      </c>
      <c r="AJ275" s="716"/>
      <c r="AK275" s="716" t="s">
        <v>2257</v>
      </c>
      <c r="AL275" s="715"/>
      <c r="AM275" s="716"/>
      <c r="AN275" s="716"/>
      <c r="AO275" s="716"/>
      <c r="AP275" s="716"/>
      <c r="AQ275" s="721"/>
      <c r="AR275" s="676"/>
      <c r="AS275" s="537" t="b">
        <f t="array" ref="AS275">AND(D275:AQ275=inp_used,A275=inp_used_usersel)</f>
        <v>0</v>
      </c>
      <c r="AT275" s="674" t="b">
        <f t="array" ref="AT275">AND(D275:G275=inp_used_minimal,A275=inp_used_usersel)</f>
        <v>0</v>
      </c>
    </row>
    <row r="276" spans="1:49" s="674" customFormat="1">
      <c r="A276" s="674">
        <v>17</v>
      </c>
      <c r="B276" s="716">
        <v>2</v>
      </c>
      <c r="C276" s="674">
        <v>4</v>
      </c>
      <c r="D276" s="715">
        <v>0.74</v>
      </c>
      <c r="E276" s="716" t="s">
        <v>226</v>
      </c>
      <c r="F276" s="684">
        <v>0.251</v>
      </c>
      <c r="G276" s="716" t="s">
        <v>226</v>
      </c>
      <c r="H276" s="715" t="s">
        <v>3263</v>
      </c>
      <c r="I276" s="716" t="s">
        <v>440</v>
      </c>
      <c r="J276" s="741">
        <v>12</v>
      </c>
      <c r="K276" s="716"/>
      <c r="L276" s="716"/>
      <c r="M276" s="721"/>
      <c r="N276" s="715" t="s">
        <v>232</v>
      </c>
      <c r="O276" s="716">
        <v>4</v>
      </c>
      <c r="P276" s="716"/>
      <c r="Q276" s="721"/>
      <c r="R276" s="715"/>
      <c r="S276" s="718"/>
      <c r="T276" s="718"/>
      <c r="U276" s="718"/>
      <c r="V276" s="719"/>
      <c r="W276" s="684">
        <v>7.5</v>
      </c>
      <c r="X276" s="684">
        <v>7.5</v>
      </c>
      <c r="Y276" s="684">
        <v>4.9000000000000004</v>
      </c>
      <c r="Z276" s="715">
        <v>168</v>
      </c>
      <c r="AA276" s="684" t="s">
        <v>2140</v>
      </c>
      <c r="AB276" s="684" t="s">
        <v>1441</v>
      </c>
      <c r="AC276" s="716" t="s">
        <v>541</v>
      </c>
      <c r="AD276" s="684"/>
      <c r="AE276" s="1045">
        <v>0</v>
      </c>
      <c r="AF276" s="716">
        <v>0</v>
      </c>
      <c r="AG276" s="720" t="s">
        <v>1870</v>
      </c>
      <c r="AH276" s="684" t="s">
        <v>1871</v>
      </c>
      <c r="AI276" s="716" t="s">
        <v>2004</v>
      </c>
      <c r="AJ276" s="716"/>
      <c r="AK276" s="716" t="s">
        <v>2257</v>
      </c>
      <c r="AL276" s="715"/>
      <c r="AM276" s="716"/>
      <c r="AN276" s="716"/>
      <c r="AO276" s="716"/>
      <c r="AP276" s="716"/>
      <c r="AQ276" s="721"/>
      <c r="AR276" s="676"/>
      <c r="AS276" s="537" t="b">
        <f t="array" ref="AS276">AND(D276:AQ276=inp_used,A276=inp_used_usersel)</f>
        <v>0</v>
      </c>
      <c r="AT276" s="674" t="b">
        <f t="array" ref="AT276">AND(D276:G276=inp_used_minimal,A276=inp_used_usersel)</f>
        <v>1</v>
      </c>
    </row>
    <row r="277" spans="1:49" s="674" customFormat="1">
      <c r="A277" s="674">
        <v>17</v>
      </c>
      <c r="B277" s="716">
        <v>2</v>
      </c>
      <c r="C277" s="537">
        <v>5</v>
      </c>
      <c r="D277" s="682">
        <v>2.1520000000000001</v>
      </c>
      <c r="E277" s="716" t="s">
        <v>226</v>
      </c>
      <c r="F277" s="684">
        <v>0.81899999999999995</v>
      </c>
      <c r="G277" s="716" t="s">
        <v>226</v>
      </c>
      <c r="H277" s="715" t="s">
        <v>3263</v>
      </c>
      <c r="I277" s="716" t="s">
        <v>440</v>
      </c>
      <c r="J277" s="741">
        <v>12</v>
      </c>
      <c r="K277" s="716"/>
      <c r="L277" s="716"/>
      <c r="M277" s="721"/>
      <c r="N277" s="715" t="s">
        <v>232</v>
      </c>
      <c r="O277" s="716">
        <v>4</v>
      </c>
      <c r="P277" s="716"/>
      <c r="Q277" s="721"/>
      <c r="R277" s="715"/>
      <c r="S277" s="718"/>
      <c r="T277" s="718"/>
      <c r="U277" s="718"/>
      <c r="V277" s="719"/>
      <c r="W277" s="741">
        <v>12.5</v>
      </c>
      <c r="X277" s="741">
        <v>12.5</v>
      </c>
      <c r="Y277" s="741">
        <v>5.2</v>
      </c>
      <c r="Z277" s="715">
        <v>168</v>
      </c>
      <c r="AA277" s="684" t="s">
        <v>2140</v>
      </c>
      <c r="AB277" s="684" t="s">
        <v>1441</v>
      </c>
      <c r="AC277" s="716" t="s">
        <v>541</v>
      </c>
      <c r="AD277" s="684"/>
      <c r="AE277" s="1045">
        <v>0</v>
      </c>
      <c r="AF277" s="716">
        <v>0</v>
      </c>
      <c r="AG277" s="720" t="s">
        <v>1870</v>
      </c>
      <c r="AH277" s="684" t="s">
        <v>1871</v>
      </c>
      <c r="AI277" s="716" t="s">
        <v>2004</v>
      </c>
      <c r="AJ277" s="716"/>
      <c r="AK277" s="716" t="s">
        <v>2257</v>
      </c>
      <c r="AL277" s="715"/>
      <c r="AM277" s="716"/>
      <c r="AN277" s="716"/>
      <c r="AO277" s="716"/>
      <c r="AP277" s="716"/>
      <c r="AQ277" s="721"/>
      <c r="AR277" s="676"/>
      <c r="AS277" s="537" t="b">
        <f t="array" ref="AS277">AND(D277:AQ277=inp_used,A277=inp_used_usersel)</f>
        <v>0</v>
      </c>
      <c r="AT277" s="674" t="b">
        <f t="array" ref="AT277">AND(D277:G277=inp_used_minimal,A277=inp_used_usersel)</f>
        <v>0</v>
      </c>
    </row>
    <row r="278" spans="1:49" s="674" customFormat="1">
      <c r="A278" s="674">
        <v>17</v>
      </c>
      <c r="B278" s="716">
        <v>2</v>
      </c>
      <c r="C278" s="537">
        <v>6</v>
      </c>
      <c r="D278" s="682">
        <v>7.3650000000000002</v>
      </c>
      <c r="E278" s="716" t="s">
        <v>226</v>
      </c>
      <c r="F278" s="684">
        <v>3.2</v>
      </c>
      <c r="G278" s="716" t="s">
        <v>226</v>
      </c>
      <c r="H278" s="715" t="s">
        <v>3263</v>
      </c>
      <c r="I278" s="716" t="s">
        <v>440</v>
      </c>
      <c r="J278" s="741">
        <v>12</v>
      </c>
      <c r="K278" s="716"/>
      <c r="L278" s="716"/>
      <c r="M278" s="721"/>
      <c r="N278" s="715" t="s">
        <v>232</v>
      </c>
      <c r="O278" s="716">
        <v>4</v>
      </c>
      <c r="P278" s="716"/>
      <c r="Q278" s="721"/>
      <c r="R278" s="715"/>
      <c r="S278" s="718"/>
      <c r="T278" s="718"/>
      <c r="U278" s="718"/>
      <c r="V278" s="719"/>
      <c r="W278" s="741">
        <v>23</v>
      </c>
      <c r="X278" s="741">
        <v>23</v>
      </c>
      <c r="Y278" s="741">
        <v>5.2</v>
      </c>
      <c r="Z278" s="715">
        <v>168</v>
      </c>
      <c r="AA278" s="684" t="s">
        <v>2140</v>
      </c>
      <c r="AB278" s="684" t="s">
        <v>1441</v>
      </c>
      <c r="AC278" s="716" t="s">
        <v>541</v>
      </c>
      <c r="AD278" s="684"/>
      <c r="AE278" s="1045">
        <v>0</v>
      </c>
      <c r="AF278" s="716">
        <v>0</v>
      </c>
      <c r="AG278" s="720" t="s">
        <v>1870</v>
      </c>
      <c r="AH278" s="684" t="s">
        <v>1871</v>
      </c>
      <c r="AI278" s="716" t="s">
        <v>2004</v>
      </c>
      <c r="AJ278" s="716"/>
      <c r="AK278" s="716" t="s">
        <v>2257</v>
      </c>
      <c r="AL278" s="715"/>
      <c r="AM278" s="716"/>
      <c r="AN278" s="716"/>
      <c r="AO278" s="716"/>
      <c r="AP278" s="716"/>
      <c r="AQ278" s="721"/>
      <c r="AR278" s="676"/>
      <c r="AS278" s="537" t="b">
        <f t="array" ref="AS278">AND(D278:AQ278=inp_used,A278=inp_used_usersel)</f>
        <v>0</v>
      </c>
      <c r="AT278" s="674" t="b">
        <f t="array" ref="AT278">AND(D278:G278=inp_used_minimal,A278=inp_used_usersel)</f>
        <v>0</v>
      </c>
    </row>
    <row r="279" spans="1:49" s="674" customFormat="1">
      <c r="A279" s="674">
        <v>17</v>
      </c>
      <c r="B279" s="716">
        <v>2</v>
      </c>
      <c r="C279" s="537">
        <v>7</v>
      </c>
      <c r="D279" s="682">
        <v>22.614000000000001</v>
      </c>
      <c r="E279" s="716" t="s">
        <v>226</v>
      </c>
      <c r="F279" s="684">
        <v>11.066000000000001</v>
      </c>
      <c r="G279" s="716" t="s">
        <v>226</v>
      </c>
      <c r="H279" s="715" t="s">
        <v>3263</v>
      </c>
      <c r="I279" s="716" t="s">
        <v>440</v>
      </c>
      <c r="J279" s="741">
        <v>12</v>
      </c>
      <c r="K279" s="716"/>
      <c r="L279" s="716"/>
      <c r="M279" s="721"/>
      <c r="N279" s="715" t="s">
        <v>232</v>
      </c>
      <c r="O279" s="716">
        <v>4</v>
      </c>
      <c r="P279" s="716"/>
      <c r="Q279" s="721"/>
      <c r="R279" s="715"/>
      <c r="S279" s="718"/>
      <c r="T279" s="718"/>
      <c r="U279" s="718"/>
      <c r="V279" s="719"/>
      <c r="W279" s="741">
        <v>23</v>
      </c>
      <c r="X279" s="741">
        <v>23</v>
      </c>
      <c r="Y279" s="741">
        <v>5.3</v>
      </c>
      <c r="Z279" s="715">
        <v>168</v>
      </c>
      <c r="AA279" s="684" t="s">
        <v>2140</v>
      </c>
      <c r="AB279" s="684" t="s">
        <v>1441</v>
      </c>
      <c r="AC279" s="716" t="s">
        <v>541</v>
      </c>
      <c r="AD279" s="684"/>
      <c r="AE279" s="1045">
        <v>0</v>
      </c>
      <c r="AF279" s="716">
        <v>0</v>
      </c>
      <c r="AG279" s="720" t="s">
        <v>1870</v>
      </c>
      <c r="AH279" s="684" t="s">
        <v>1871</v>
      </c>
      <c r="AI279" s="716" t="s">
        <v>2004</v>
      </c>
      <c r="AJ279" s="716"/>
      <c r="AK279" s="716" t="s">
        <v>2257</v>
      </c>
      <c r="AL279" s="715"/>
      <c r="AM279" s="716"/>
      <c r="AN279" s="716"/>
      <c r="AO279" s="716"/>
      <c r="AP279" s="716"/>
      <c r="AQ279" s="721"/>
      <c r="AR279" s="676"/>
      <c r="AS279" s="537" t="b">
        <f t="array" ref="AS279">AND(D279:AQ279=inp_used,A279=inp_used_usersel)</f>
        <v>0</v>
      </c>
      <c r="AT279" s="674" t="b">
        <f t="array" ref="AT279">AND(D279:G279=inp_used_minimal,A279=inp_used_usersel)</f>
        <v>0</v>
      </c>
    </row>
    <row r="280" spans="1:49" s="674" customFormat="1">
      <c r="A280" s="724">
        <v>17</v>
      </c>
      <c r="B280" s="724">
        <v>2</v>
      </c>
      <c r="C280" s="726">
        <v>8</v>
      </c>
      <c r="D280" s="725">
        <v>75.072000000000003</v>
      </c>
      <c r="E280" s="724" t="s">
        <v>226</v>
      </c>
      <c r="F280" s="726">
        <v>37.536000000000001</v>
      </c>
      <c r="G280" s="724" t="s">
        <v>226</v>
      </c>
      <c r="H280" s="727" t="s">
        <v>3263</v>
      </c>
      <c r="I280" s="724" t="s">
        <v>440</v>
      </c>
      <c r="J280" s="742">
        <v>12</v>
      </c>
      <c r="K280" s="724"/>
      <c r="L280" s="724"/>
      <c r="M280" s="729"/>
      <c r="N280" s="727" t="s">
        <v>232</v>
      </c>
      <c r="O280" s="724">
        <v>4</v>
      </c>
      <c r="P280" s="724"/>
      <c r="Q280" s="729"/>
      <c r="R280" s="727"/>
      <c r="S280" s="732"/>
      <c r="T280" s="732"/>
      <c r="U280" s="732"/>
      <c r="V280" s="733"/>
      <c r="W280" s="725">
        <v>29.5</v>
      </c>
      <c r="X280" s="726">
        <v>29.5</v>
      </c>
      <c r="Y280" s="712">
        <v>5.4</v>
      </c>
      <c r="Z280" s="727">
        <v>168</v>
      </c>
      <c r="AA280" s="726" t="s">
        <v>2140</v>
      </c>
      <c r="AB280" s="726" t="s">
        <v>1441</v>
      </c>
      <c r="AC280" s="724" t="s">
        <v>541</v>
      </c>
      <c r="AD280" s="726"/>
      <c r="AE280" s="1046">
        <v>0</v>
      </c>
      <c r="AF280" s="724">
        <v>0</v>
      </c>
      <c r="AG280" s="734" t="s">
        <v>1870</v>
      </c>
      <c r="AH280" s="726" t="s">
        <v>1871</v>
      </c>
      <c r="AI280" s="724" t="s">
        <v>2004</v>
      </c>
      <c r="AJ280" s="724"/>
      <c r="AK280" s="729" t="s">
        <v>2257</v>
      </c>
      <c r="AL280" s="727"/>
      <c r="AM280" s="724"/>
      <c r="AN280" s="724"/>
      <c r="AO280" s="724"/>
      <c r="AP280" s="724"/>
      <c r="AQ280" s="729"/>
      <c r="AR280" s="676"/>
      <c r="AS280" s="537" t="b">
        <f t="array" ref="AS280">AND(D280:AQ280=inp_used,A280=inp_used_usersel)</f>
        <v>0</v>
      </c>
      <c r="AT280" s="674" t="b">
        <f t="array" ref="AT280">AND(D280:G280=inp_used_minimal,A280=inp_used_usersel)</f>
        <v>0</v>
      </c>
    </row>
    <row r="281" spans="1:49" s="674" customFormat="1">
      <c r="A281" s="674">
        <v>18</v>
      </c>
      <c r="B281" s="674">
        <v>1</v>
      </c>
      <c r="C281" s="674">
        <v>1</v>
      </c>
      <c r="D281" s="715">
        <v>0.03</v>
      </c>
      <c r="E281" s="716" t="s">
        <v>226</v>
      </c>
      <c r="F281" s="684">
        <v>7.0000000000000001E-3</v>
      </c>
      <c r="G281" s="716" t="s">
        <v>226</v>
      </c>
      <c r="H281" s="715"/>
      <c r="I281" s="716"/>
      <c r="J281" s="716"/>
      <c r="K281" s="716"/>
      <c r="L281" s="716"/>
      <c r="M281" s="721"/>
      <c r="N281" s="715"/>
      <c r="O281" s="716"/>
      <c r="P281" s="716"/>
      <c r="Q281" s="721"/>
      <c r="R281" s="715"/>
      <c r="S281" s="716"/>
      <c r="T281" s="716"/>
      <c r="U281" s="716"/>
      <c r="V281" s="721"/>
      <c r="W281" s="716"/>
      <c r="X281" s="716"/>
      <c r="Y281" s="716"/>
      <c r="Z281" s="715"/>
      <c r="AA281" s="716"/>
      <c r="AB281" s="716"/>
      <c r="AC281" s="716"/>
      <c r="AD281" s="721"/>
      <c r="AE281" s="715"/>
      <c r="AF281" s="684"/>
      <c r="AG281" s="716"/>
      <c r="AH281" s="716"/>
      <c r="AI281" s="716"/>
      <c r="AJ281" s="716"/>
      <c r="AK281" s="716"/>
      <c r="AL281" s="715"/>
      <c r="AM281" s="716"/>
      <c r="AN281" s="716"/>
      <c r="AO281" s="716"/>
      <c r="AP281" s="716"/>
      <c r="AQ281" s="721"/>
      <c r="AR281" s="676" t="s">
        <v>205</v>
      </c>
      <c r="AS281" s="684" t="b">
        <f t="array" ref="AS281">AND(D281:AQ281=inp_used,A281=inp_used_usersel)</f>
        <v>0</v>
      </c>
      <c r="AT281" s="716" t="b">
        <f t="array" ref="AT281">AND(D281:G281=inp_used_minimal,A281=inp_used_usersel)</f>
        <v>0</v>
      </c>
      <c r="AV281" s="674" t="b">
        <f t="shared" ref="AV281:AW288" si="17">CHOOSE(design_type,AS281,AS289)</f>
        <v>0</v>
      </c>
      <c r="AW281" s="674" t="b">
        <f t="shared" si="17"/>
        <v>0</v>
      </c>
    </row>
    <row r="282" spans="1:49" s="674" customFormat="1">
      <c r="A282" s="674">
        <v>18</v>
      </c>
      <c r="B282" s="674">
        <v>1</v>
      </c>
      <c r="C282" s="674">
        <v>2</v>
      </c>
      <c r="D282" s="715">
        <v>0.124</v>
      </c>
      <c r="E282" s="716" t="s">
        <v>226</v>
      </c>
      <c r="F282" s="684">
        <v>3.5000000000000003E-2</v>
      </c>
      <c r="G282" s="716" t="s">
        <v>226</v>
      </c>
      <c r="H282" s="715"/>
      <c r="I282" s="716"/>
      <c r="J282" s="716"/>
      <c r="K282" s="716"/>
      <c r="L282" s="716"/>
      <c r="M282" s="721"/>
      <c r="N282" s="715"/>
      <c r="O282" s="716"/>
      <c r="P282" s="716"/>
      <c r="Q282" s="721"/>
      <c r="R282" s="715"/>
      <c r="S282" s="716"/>
      <c r="T282" s="716"/>
      <c r="U282" s="716"/>
      <c r="V282" s="721"/>
      <c r="W282" s="716"/>
      <c r="X282" s="716"/>
      <c r="Y282" s="716"/>
      <c r="Z282" s="715"/>
      <c r="AA282" s="716"/>
      <c r="AB282" s="716"/>
      <c r="AC282" s="716"/>
      <c r="AD282" s="721"/>
      <c r="AE282" s="715"/>
      <c r="AF282" s="684"/>
      <c r="AG282" s="716"/>
      <c r="AH282" s="716"/>
      <c r="AI282" s="716"/>
      <c r="AJ282" s="716"/>
      <c r="AK282" s="716"/>
      <c r="AL282" s="715"/>
      <c r="AM282" s="716"/>
      <c r="AN282" s="716"/>
      <c r="AO282" s="716"/>
      <c r="AP282" s="716"/>
      <c r="AQ282" s="721"/>
      <c r="AR282" s="676"/>
      <c r="AS282" s="684" t="b">
        <f t="array" ref="AS282">AND(D282:AQ282=inp_used,A282=inp_used_usersel)</f>
        <v>0</v>
      </c>
      <c r="AT282" s="716" t="b">
        <f t="array" ref="AT282">AND(D282:G282=inp_used_minimal,A282=inp_used_usersel)</f>
        <v>0</v>
      </c>
      <c r="AV282" s="674" t="b">
        <f t="shared" si="17"/>
        <v>0</v>
      </c>
      <c r="AW282" s="674" t="b">
        <f t="shared" si="17"/>
        <v>0</v>
      </c>
    </row>
    <row r="283" spans="1:49" s="674" customFormat="1">
      <c r="A283" s="674">
        <v>18</v>
      </c>
      <c r="B283" s="674">
        <v>1</v>
      </c>
      <c r="C283" s="674">
        <v>3</v>
      </c>
      <c r="D283" s="715">
        <v>0.30499999999999999</v>
      </c>
      <c r="E283" s="716" t="s">
        <v>226</v>
      </c>
      <c r="F283" s="684">
        <v>9.4E-2</v>
      </c>
      <c r="G283" s="716" t="s">
        <v>226</v>
      </c>
      <c r="H283" s="715"/>
      <c r="I283" s="716"/>
      <c r="J283" s="716"/>
      <c r="K283" s="716"/>
      <c r="L283" s="716"/>
      <c r="M283" s="721"/>
      <c r="N283" s="715"/>
      <c r="O283" s="716"/>
      <c r="P283" s="716"/>
      <c r="Q283" s="721"/>
      <c r="R283" s="715"/>
      <c r="S283" s="716"/>
      <c r="T283" s="716"/>
      <c r="U283" s="716"/>
      <c r="V283" s="721"/>
      <c r="W283" s="716"/>
      <c r="X283" s="716"/>
      <c r="Y283" s="716"/>
      <c r="Z283" s="715"/>
      <c r="AA283" s="716"/>
      <c r="AB283" s="716"/>
      <c r="AC283" s="716"/>
      <c r="AD283" s="721"/>
      <c r="AE283" s="715"/>
      <c r="AF283" s="684"/>
      <c r="AG283" s="716"/>
      <c r="AH283" s="716"/>
      <c r="AI283" s="716"/>
      <c r="AJ283" s="716"/>
      <c r="AK283" s="716"/>
      <c r="AL283" s="715"/>
      <c r="AM283" s="716"/>
      <c r="AN283" s="716"/>
      <c r="AO283" s="716"/>
      <c r="AP283" s="716"/>
      <c r="AQ283" s="721"/>
      <c r="AR283" s="676"/>
      <c r="AS283" s="684" t="b">
        <f t="array" ref="AS283">AND(D283:AQ283=inp_used,A283=inp_used_usersel)</f>
        <v>0</v>
      </c>
      <c r="AT283" s="716" t="b">
        <f t="array" ref="AT283">AND(D283:G283=inp_used_minimal,A283=inp_used_usersel)</f>
        <v>0</v>
      </c>
      <c r="AV283" s="674" t="b">
        <f t="shared" si="17"/>
        <v>0</v>
      </c>
      <c r="AW283" s="674" t="b">
        <f t="shared" si="17"/>
        <v>0</v>
      </c>
    </row>
    <row r="284" spans="1:49" s="674" customFormat="1">
      <c r="A284" s="674">
        <v>18</v>
      </c>
      <c r="B284" s="674">
        <v>1</v>
      </c>
      <c r="C284" s="674">
        <v>4</v>
      </c>
      <c r="D284" s="715">
        <v>0.74</v>
      </c>
      <c r="E284" s="716" t="s">
        <v>226</v>
      </c>
      <c r="F284" s="684">
        <v>0.251</v>
      </c>
      <c r="G284" s="716" t="s">
        <v>226</v>
      </c>
      <c r="H284" s="715"/>
      <c r="I284" s="716"/>
      <c r="J284" s="716"/>
      <c r="K284" s="716"/>
      <c r="L284" s="716"/>
      <c r="M284" s="721"/>
      <c r="N284" s="715"/>
      <c r="O284" s="716"/>
      <c r="P284" s="716"/>
      <c r="Q284" s="721"/>
      <c r="R284" s="715"/>
      <c r="S284" s="716"/>
      <c r="T284" s="716"/>
      <c r="U284" s="716"/>
      <c r="V284" s="721"/>
      <c r="W284" s="716"/>
      <c r="X284" s="716"/>
      <c r="Y284" s="716"/>
      <c r="Z284" s="715"/>
      <c r="AA284" s="716"/>
      <c r="AB284" s="716"/>
      <c r="AC284" s="716"/>
      <c r="AD284" s="721"/>
      <c r="AE284" s="715"/>
      <c r="AF284" s="684"/>
      <c r="AG284" s="716"/>
      <c r="AH284" s="716"/>
      <c r="AI284" s="716"/>
      <c r="AJ284" s="716"/>
      <c r="AK284" s="716"/>
      <c r="AL284" s="715"/>
      <c r="AM284" s="716"/>
      <c r="AN284" s="716"/>
      <c r="AO284" s="716"/>
      <c r="AP284" s="716"/>
      <c r="AQ284" s="721"/>
      <c r="AR284" s="676"/>
      <c r="AS284" s="684" t="b">
        <f t="array" ref="AS284">AND(D284:AQ284=inp_used,A284=inp_used_usersel)</f>
        <v>0</v>
      </c>
      <c r="AT284" s="716" t="b">
        <f t="array" ref="AT284">AND(D284:G284=inp_used_minimal,A284=inp_used_usersel)</f>
        <v>0</v>
      </c>
      <c r="AV284" s="674" t="b">
        <f t="shared" si="17"/>
        <v>0</v>
      </c>
      <c r="AW284" s="674" t="b">
        <f t="shared" si="17"/>
        <v>0</v>
      </c>
    </row>
    <row r="285" spans="1:49" s="674" customFormat="1">
      <c r="A285" s="674">
        <v>18</v>
      </c>
      <c r="B285" s="674">
        <v>1</v>
      </c>
      <c r="C285" s="537">
        <v>5</v>
      </c>
      <c r="D285" s="682">
        <v>2.1520000000000001</v>
      </c>
      <c r="E285" s="716" t="s">
        <v>226</v>
      </c>
      <c r="F285" s="684">
        <v>0.81899999999999995</v>
      </c>
      <c r="G285" s="716" t="s">
        <v>226</v>
      </c>
      <c r="H285" s="715"/>
      <c r="I285" s="716"/>
      <c r="J285" s="716"/>
      <c r="K285" s="716"/>
      <c r="L285" s="716"/>
      <c r="M285" s="721"/>
      <c r="N285" s="715"/>
      <c r="O285" s="716"/>
      <c r="P285" s="716"/>
      <c r="Q285" s="721"/>
      <c r="R285" s="715"/>
      <c r="S285" s="716"/>
      <c r="T285" s="716"/>
      <c r="U285" s="716"/>
      <c r="V285" s="721"/>
      <c r="W285" s="716"/>
      <c r="X285" s="716"/>
      <c r="Y285" s="716"/>
      <c r="Z285" s="715"/>
      <c r="AA285" s="716"/>
      <c r="AB285" s="716"/>
      <c r="AC285" s="716"/>
      <c r="AD285" s="721"/>
      <c r="AE285" s="715"/>
      <c r="AF285" s="684"/>
      <c r="AG285" s="716"/>
      <c r="AH285" s="716"/>
      <c r="AI285" s="716"/>
      <c r="AJ285" s="716"/>
      <c r="AK285" s="716"/>
      <c r="AL285" s="715"/>
      <c r="AM285" s="716"/>
      <c r="AN285" s="716"/>
      <c r="AO285" s="716"/>
      <c r="AP285" s="716"/>
      <c r="AQ285" s="721"/>
      <c r="AR285" s="676"/>
      <c r="AS285" s="684" t="b">
        <f t="array" ref="AS285">AND(D285:AQ285=inp_used,A285=inp_used_usersel)</f>
        <v>0</v>
      </c>
      <c r="AT285" s="716" t="b">
        <f t="array" ref="AT285">AND(D285:G285=inp_used_minimal,A285=inp_used_usersel)</f>
        <v>0</v>
      </c>
      <c r="AV285" s="674" t="b">
        <f t="shared" si="17"/>
        <v>0</v>
      </c>
      <c r="AW285" s="674" t="b">
        <f t="shared" si="17"/>
        <v>0</v>
      </c>
    </row>
    <row r="286" spans="1:49" s="674" customFormat="1">
      <c r="A286" s="674">
        <v>18</v>
      </c>
      <c r="B286" s="674">
        <v>1</v>
      </c>
      <c r="C286" s="537">
        <v>6</v>
      </c>
      <c r="D286" s="682">
        <v>7.3650000000000002</v>
      </c>
      <c r="E286" s="716" t="s">
        <v>226</v>
      </c>
      <c r="F286" s="684">
        <v>3.2</v>
      </c>
      <c r="G286" s="716" t="s">
        <v>226</v>
      </c>
      <c r="H286" s="715"/>
      <c r="I286" s="716"/>
      <c r="J286" s="716"/>
      <c r="K286" s="716"/>
      <c r="L286" s="716"/>
      <c r="M286" s="721"/>
      <c r="N286" s="715"/>
      <c r="O286" s="716"/>
      <c r="P286" s="716"/>
      <c r="Q286" s="721"/>
      <c r="R286" s="715"/>
      <c r="S286" s="716"/>
      <c r="T286" s="716"/>
      <c r="U286" s="716"/>
      <c r="V286" s="721"/>
      <c r="W286" s="716"/>
      <c r="X286" s="716"/>
      <c r="Y286" s="716"/>
      <c r="Z286" s="715"/>
      <c r="AA286" s="716"/>
      <c r="AB286" s="716"/>
      <c r="AC286" s="716"/>
      <c r="AD286" s="721"/>
      <c r="AE286" s="715"/>
      <c r="AF286" s="684"/>
      <c r="AG286" s="716"/>
      <c r="AH286" s="716"/>
      <c r="AI286" s="716"/>
      <c r="AJ286" s="716"/>
      <c r="AK286" s="716"/>
      <c r="AL286" s="715"/>
      <c r="AM286" s="716"/>
      <c r="AN286" s="716"/>
      <c r="AO286" s="716"/>
      <c r="AP286" s="716"/>
      <c r="AQ286" s="721"/>
      <c r="AR286" s="676"/>
      <c r="AS286" s="684" t="b">
        <f t="array" ref="AS286">AND(D286:AQ286=inp_used,A286=inp_used_usersel)</f>
        <v>0</v>
      </c>
      <c r="AT286" s="716" t="b">
        <f t="array" ref="AT286">AND(D286:G286=inp_used_minimal,A286=inp_used_usersel)</f>
        <v>0</v>
      </c>
      <c r="AV286" s="674" t="b">
        <f t="shared" si="17"/>
        <v>0</v>
      </c>
      <c r="AW286" s="674" t="b">
        <f t="shared" si="17"/>
        <v>0</v>
      </c>
    </row>
    <row r="287" spans="1:49" s="674" customFormat="1">
      <c r="A287" s="674">
        <v>18</v>
      </c>
      <c r="B287" s="674">
        <v>1</v>
      </c>
      <c r="C287" s="537">
        <v>7</v>
      </c>
      <c r="D287" s="682">
        <v>22.614000000000001</v>
      </c>
      <c r="E287" s="716" t="s">
        <v>226</v>
      </c>
      <c r="F287" s="684">
        <v>11.066000000000001</v>
      </c>
      <c r="G287" s="716" t="s">
        <v>226</v>
      </c>
      <c r="H287" s="715"/>
      <c r="I287" s="716"/>
      <c r="J287" s="716"/>
      <c r="K287" s="716"/>
      <c r="L287" s="716"/>
      <c r="M287" s="721"/>
      <c r="N287" s="715"/>
      <c r="O287" s="716"/>
      <c r="P287" s="716"/>
      <c r="Q287" s="721"/>
      <c r="R287" s="715"/>
      <c r="S287" s="716"/>
      <c r="T287" s="716"/>
      <c r="U287" s="716"/>
      <c r="V287" s="721"/>
      <c r="W287" s="716"/>
      <c r="X287" s="716"/>
      <c r="Y287" s="716"/>
      <c r="Z287" s="715"/>
      <c r="AA287" s="716"/>
      <c r="AB287" s="716"/>
      <c r="AC287" s="716"/>
      <c r="AD287" s="721"/>
      <c r="AE287" s="715"/>
      <c r="AF287" s="684"/>
      <c r="AG287" s="716"/>
      <c r="AH287" s="716"/>
      <c r="AI287" s="716"/>
      <c r="AJ287" s="716"/>
      <c r="AK287" s="716"/>
      <c r="AL287" s="715"/>
      <c r="AM287" s="716"/>
      <c r="AN287" s="716"/>
      <c r="AO287" s="716"/>
      <c r="AP287" s="716"/>
      <c r="AQ287" s="721"/>
      <c r="AR287" s="676"/>
      <c r="AS287" s="684" t="b">
        <f t="array" ref="AS287">AND(D287:AQ287=inp_used,A287=inp_used_usersel)</f>
        <v>0</v>
      </c>
      <c r="AT287" s="716" t="b">
        <f t="array" ref="AT287">AND(D287:G287=inp_used_minimal,A287=inp_used_usersel)</f>
        <v>0</v>
      </c>
      <c r="AV287" s="674" t="b">
        <f t="shared" si="17"/>
        <v>0</v>
      </c>
      <c r="AW287" s="674" t="b">
        <f t="shared" si="17"/>
        <v>0</v>
      </c>
    </row>
    <row r="288" spans="1:49" s="674" customFormat="1">
      <c r="A288" s="724">
        <v>18</v>
      </c>
      <c r="B288" s="724">
        <v>1</v>
      </c>
      <c r="C288" s="726">
        <v>8</v>
      </c>
      <c r="D288" s="725">
        <v>75.072000000000003</v>
      </c>
      <c r="E288" s="724" t="s">
        <v>226</v>
      </c>
      <c r="F288" s="726">
        <v>37.536000000000001</v>
      </c>
      <c r="G288" s="724" t="s">
        <v>226</v>
      </c>
      <c r="H288" s="727"/>
      <c r="I288" s="724"/>
      <c r="J288" s="724"/>
      <c r="K288" s="724"/>
      <c r="L288" s="724"/>
      <c r="M288" s="729"/>
      <c r="N288" s="727"/>
      <c r="O288" s="724"/>
      <c r="P288" s="724"/>
      <c r="Q288" s="729"/>
      <c r="R288" s="727"/>
      <c r="S288" s="724"/>
      <c r="T288" s="724"/>
      <c r="U288" s="724"/>
      <c r="V288" s="729"/>
      <c r="W288" s="724"/>
      <c r="X288" s="724"/>
      <c r="Y288" s="724"/>
      <c r="Z288" s="727"/>
      <c r="AA288" s="724"/>
      <c r="AB288" s="724"/>
      <c r="AC288" s="724"/>
      <c r="AD288" s="729"/>
      <c r="AE288" s="727"/>
      <c r="AF288" s="726"/>
      <c r="AG288" s="724"/>
      <c r="AH288" s="724"/>
      <c r="AI288" s="724"/>
      <c r="AJ288" s="724"/>
      <c r="AK288" s="729"/>
      <c r="AL288" s="727"/>
      <c r="AM288" s="724"/>
      <c r="AN288" s="724"/>
      <c r="AO288" s="724"/>
      <c r="AP288" s="724"/>
      <c r="AQ288" s="729"/>
      <c r="AR288" s="676"/>
      <c r="AS288" s="537" t="b">
        <f t="array" ref="AS288">AND(D288:AQ288=inp_used,A288=inp_used_usersel)</f>
        <v>0</v>
      </c>
      <c r="AT288" s="674" t="b">
        <f t="array" ref="AT288">AND(D288:G288=inp_used_minimal,A288=inp_used_usersel)</f>
        <v>0</v>
      </c>
      <c r="AV288" s="674" t="b">
        <f t="shared" si="17"/>
        <v>0</v>
      </c>
      <c r="AW288" s="674" t="b">
        <f t="shared" si="17"/>
        <v>0</v>
      </c>
    </row>
    <row r="289" spans="1:46" s="674" customFormat="1">
      <c r="A289" s="674">
        <v>18</v>
      </c>
      <c r="B289" s="735">
        <v>2</v>
      </c>
      <c r="C289" s="674">
        <v>1</v>
      </c>
      <c r="D289" s="715">
        <v>0.03</v>
      </c>
      <c r="E289" s="716" t="s">
        <v>226</v>
      </c>
      <c r="F289" s="684">
        <v>7.0000000000000001E-3</v>
      </c>
      <c r="G289" s="716" t="s">
        <v>226</v>
      </c>
      <c r="H289" s="715"/>
      <c r="I289" s="716"/>
      <c r="J289" s="716"/>
      <c r="K289" s="716"/>
      <c r="L289" s="716"/>
      <c r="M289" s="721"/>
      <c r="N289" s="715"/>
      <c r="O289" s="716"/>
      <c r="P289" s="716"/>
      <c r="Q289" s="721"/>
      <c r="R289" s="715"/>
      <c r="S289" s="716"/>
      <c r="T289" s="716"/>
      <c r="U289" s="716"/>
      <c r="V289" s="721"/>
      <c r="W289" s="716"/>
      <c r="X289" s="716"/>
      <c r="Y289" s="716"/>
      <c r="Z289" s="715"/>
      <c r="AA289" s="716"/>
      <c r="AB289" s="716"/>
      <c r="AC289" s="716"/>
      <c r="AD289" s="721"/>
      <c r="AE289" s="715"/>
      <c r="AF289" s="684"/>
      <c r="AG289" s="716"/>
      <c r="AH289" s="716"/>
      <c r="AI289" s="716"/>
      <c r="AJ289" s="716"/>
      <c r="AK289" s="716"/>
      <c r="AL289" s="715"/>
      <c r="AM289" s="716"/>
      <c r="AN289" s="716"/>
      <c r="AO289" s="716"/>
      <c r="AP289" s="716"/>
      <c r="AQ289" s="721"/>
      <c r="AR289" s="676" t="s">
        <v>206</v>
      </c>
      <c r="AS289" s="684" t="b">
        <f t="array" ref="AS289">AND(D289:AQ289=inp_used,A289=inp_used_usersel)</f>
        <v>0</v>
      </c>
      <c r="AT289" s="716" t="b">
        <f t="array" ref="AT289">AND(D289:G289=inp_used_minimal,A289=inp_used_usersel)</f>
        <v>0</v>
      </c>
    </row>
    <row r="290" spans="1:46" s="674" customFormat="1">
      <c r="A290" s="674">
        <v>18</v>
      </c>
      <c r="B290" s="716">
        <v>2</v>
      </c>
      <c r="C290" s="674">
        <v>2</v>
      </c>
      <c r="D290" s="715">
        <v>0.124</v>
      </c>
      <c r="E290" s="716" t="s">
        <v>226</v>
      </c>
      <c r="F290" s="684">
        <v>3.5000000000000003E-2</v>
      </c>
      <c r="G290" s="716" t="s">
        <v>226</v>
      </c>
      <c r="H290" s="715"/>
      <c r="I290" s="716"/>
      <c r="J290" s="716"/>
      <c r="K290" s="716"/>
      <c r="L290" s="716"/>
      <c r="M290" s="721"/>
      <c r="N290" s="715"/>
      <c r="O290" s="716"/>
      <c r="P290" s="716"/>
      <c r="Q290" s="721"/>
      <c r="R290" s="715"/>
      <c r="S290" s="716"/>
      <c r="T290" s="716"/>
      <c r="U290" s="716"/>
      <c r="V290" s="721"/>
      <c r="W290" s="716"/>
      <c r="X290" s="716"/>
      <c r="Y290" s="716"/>
      <c r="Z290" s="715"/>
      <c r="AA290" s="716"/>
      <c r="AB290" s="716"/>
      <c r="AC290" s="716"/>
      <c r="AD290" s="721"/>
      <c r="AE290" s="715"/>
      <c r="AF290" s="684"/>
      <c r="AG290" s="716"/>
      <c r="AH290" s="716"/>
      <c r="AI290" s="716"/>
      <c r="AJ290" s="716"/>
      <c r="AK290" s="716"/>
      <c r="AL290" s="715"/>
      <c r="AM290" s="716"/>
      <c r="AN290" s="716"/>
      <c r="AO290" s="716"/>
      <c r="AP290" s="716"/>
      <c r="AQ290" s="721"/>
      <c r="AR290" s="676"/>
      <c r="AS290" s="684" t="b">
        <f t="array" ref="AS290">AND(D290:AQ290=inp_used,A290=inp_used_usersel)</f>
        <v>0</v>
      </c>
      <c r="AT290" s="716" t="b">
        <f t="array" ref="AT290">AND(D290:G290=inp_used_minimal,A290=inp_used_usersel)</f>
        <v>0</v>
      </c>
    </row>
    <row r="291" spans="1:46" s="674" customFormat="1">
      <c r="A291" s="674">
        <v>18</v>
      </c>
      <c r="B291" s="716">
        <v>2</v>
      </c>
      <c r="C291" s="674">
        <v>3</v>
      </c>
      <c r="D291" s="715">
        <v>0.30499999999999999</v>
      </c>
      <c r="E291" s="716" t="s">
        <v>226</v>
      </c>
      <c r="F291" s="684">
        <v>9.4E-2</v>
      </c>
      <c r="G291" s="716" t="s">
        <v>226</v>
      </c>
      <c r="H291" s="715"/>
      <c r="I291" s="716"/>
      <c r="J291" s="716"/>
      <c r="K291" s="716"/>
      <c r="L291" s="716"/>
      <c r="M291" s="721"/>
      <c r="N291" s="715"/>
      <c r="O291" s="716"/>
      <c r="P291" s="716"/>
      <c r="Q291" s="721"/>
      <c r="R291" s="715"/>
      <c r="S291" s="716"/>
      <c r="T291" s="716"/>
      <c r="U291" s="716"/>
      <c r="V291" s="721"/>
      <c r="W291" s="716"/>
      <c r="X291" s="716"/>
      <c r="Y291" s="716"/>
      <c r="Z291" s="715"/>
      <c r="AA291" s="716"/>
      <c r="AB291" s="716"/>
      <c r="AC291" s="716"/>
      <c r="AD291" s="721"/>
      <c r="AE291" s="715"/>
      <c r="AF291" s="684"/>
      <c r="AG291" s="716"/>
      <c r="AH291" s="716"/>
      <c r="AI291" s="716"/>
      <c r="AJ291" s="716"/>
      <c r="AK291" s="716"/>
      <c r="AL291" s="715"/>
      <c r="AM291" s="716"/>
      <c r="AN291" s="716"/>
      <c r="AO291" s="716"/>
      <c r="AP291" s="716"/>
      <c r="AQ291" s="721"/>
      <c r="AR291" s="676"/>
      <c r="AS291" s="684" t="b">
        <f t="array" ref="AS291">AND(D291:AQ291=inp_used,A291=inp_used_usersel)</f>
        <v>0</v>
      </c>
      <c r="AT291" s="716" t="b">
        <f t="array" ref="AT291">AND(D291:G291=inp_used_minimal,A291=inp_used_usersel)</f>
        <v>0</v>
      </c>
    </row>
    <row r="292" spans="1:46" s="674" customFormat="1">
      <c r="A292" s="674">
        <v>18</v>
      </c>
      <c r="B292" s="716">
        <v>2</v>
      </c>
      <c r="C292" s="674">
        <v>4</v>
      </c>
      <c r="D292" s="715">
        <v>0.74</v>
      </c>
      <c r="E292" s="716" t="s">
        <v>226</v>
      </c>
      <c r="F292" s="684">
        <v>0.251</v>
      </c>
      <c r="G292" s="716" t="s">
        <v>226</v>
      </c>
      <c r="H292" s="715"/>
      <c r="I292" s="716"/>
      <c r="J292" s="716"/>
      <c r="K292" s="716"/>
      <c r="L292" s="716"/>
      <c r="M292" s="721"/>
      <c r="N292" s="715"/>
      <c r="O292" s="716"/>
      <c r="P292" s="716"/>
      <c r="Q292" s="721"/>
      <c r="R292" s="715"/>
      <c r="S292" s="716"/>
      <c r="T292" s="716"/>
      <c r="U292" s="716"/>
      <c r="V292" s="721"/>
      <c r="W292" s="716"/>
      <c r="X292" s="716"/>
      <c r="Y292" s="716"/>
      <c r="Z292" s="715"/>
      <c r="AA292" s="716"/>
      <c r="AB292" s="716"/>
      <c r="AC292" s="716"/>
      <c r="AD292" s="721"/>
      <c r="AE292" s="715"/>
      <c r="AF292" s="684"/>
      <c r="AG292" s="716"/>
      <c r="AH292" s="716"/>
      <c r="AI292" s="716"/>
      <c r="AJ292" s="716"/>
      <c r="AK292" s="716"/>
      <c r="AL292" s="715"/>
      <c r="AM292" s="716"/>
      <c r="AN292" s="716"/>
      <c r="AO292" s="716"/>
      <c r="AP292" s="716"/>
      <c r="AQ292" s="721"/>
      <c r="AR292" s="676"/>
      <c r="AS292" s="684" t="b">
        <f t="array" ref="AS292">AND(D292:AQ292=inp_used,A292=inp_used_usersel)</f>
        <v>0</v>
      </c>
      <c r="AT292" s="716" t="b">
        <f t="array" ref="AT292">AND(D292:G292=inp_used_minimal,A292=inp_used_usersel)</f>
        <v>0</v>
      </c>
    </row>
    <row r="293" spans="1:46" s="674" customFormat="1">
      <c r="A293" s="674">
        <v>18</v>
      </c>
      <c r="B293" s="716">
        <v>2</v>
      </c>
      <c r="C293" s="537">
        <v>5</v>
      </c>
      <c r="D293" s="682">
        <v>2.1520000000000001</v>
      </c>
      <c r="E293" s="716" t="s">
        <v>226</v>
      </c>
      <c r="F293" s="684">
        <v>0.81899999999999995</v>
      </c>
      <c r="G293" s="716" t="s">
        <v>226</v>
      </c>
      <c r="H293" s="715"/>
      <c r="I293" s="716"/>
      <c r="J293" s="716"/>
      <c r="K293" s="716"/>
      <c r="L293" s="716"/>
      <c r="M293" s="721"/>
      <c r="N293" s="715"/>
      <c r="O293" s="716"/>
      <c r="P293" s="716"/>
      <c r="Q293" s="721"/>
      <c r="R293" s="715"/>
      <c r="S293" s="716"/>
      <c r="T293" s="716"/>
      <c r="U293" s="716"/>
      <c r="V293" s="721"/>
      <c r="W293" s="716"/>
      <c r="X293" s="716"/>
      <c r="Y293" s="716"/>
      <c r="Z293" s="715"/>
      <c r="AA293" s="716"/>
      <c r="AB293" s="716"/>
      <c r="AC293" s="716"/>
      <c r="AD293" s="721"/>
      <c r="AE293" s="715"/>
      <c r="AF293" s="684"/>
      <c r="AG293" s="716"/>
      <c r="AH293" s="716"/>
      <c r="AI293" s="716"/>
      <c r="AJ293" s="716"/>
      <c r="AK293" s="716"/>
      <c r="AL293" s="715"/>
      <c r="AM293" s="716"/>
      <c r="AN293" s="716"/>
      <c r="AO293" s="716"/>
      <c r="AP293" s="716"/>
      <c r="AQ293" s="721"/>
      <c r="AR293" s="676"/>
      <c r="AS293" s="684" t="b">
        <f t="array" ref="AS293">AND(D293:AQ293=inp_used,A293=inp_used_usersel)</f>
        <v>0</v>
      </c>
      <c r="AT293" s="716" t="b">
        <f t="array" ref="AT293">AND(D293:G293=inp_used_minimal,A293=inp_used_usersel)</f>
        <v>0</v>
      </c>
    </row>
    <row r="294" spans="1:46" s="674" customFormat="1">
      <c r="A294" s="674">
        <v>18</v>
      </c>
      <c r="B294" s="716">
        <v>2</v>
      </c>
      <c r="C294" s="537">
        <v>6</v>
      </c>
      <c r="D294" s="682">
        <v>7.3650000000000002</v>
      </c>
      <c r="E294" s="716" t="s">
        <v>226</v>
      </c>
      <c r="F294" s="684">
        <v>3.2</v>
      </c>
      <c r="G294" s="716" t="s">
        <v>226</v>
      </c>
      <c r="H294" s="715"/>
      <c r="I294" s="716"/>
      <c r="J294" s="716"/>
      <c r="K294" s="716"/>
      <c r="L294" s="716"/>
      <c r="M294" s="721"/>
      <c r="N294" s="715"/>
      <c r="O294" s="716"/>
      <c r="P294" s="716"/>
      <c r="Q294" s="721"/>
      <c r="R294" s="715"/>
      <c r="S294" s="716"/>
      <c r="T294" s="716"/>
      <c r="U294" s="716"/>
      <c r="V294" s="721"/>
      <c r="W294" s="716"/>
      <c r="X294" s="716"/>
      <c r="Y294" s="716"/>
      <c r="Z294" s="715"/>
      <c r="AA294" s="716"/>
      <c r="AB294" s="716"/>
      <c r="AC294" s="716"/>
      <c r="AD294" s="721"/>
      <c r="AE294" s="715"/>
      <c r="AF294" s="684"/>
      <c r="AG294" s="716"/>
      <c r="AH294" s="716"/>
      <c r="AI294" s="716"/>
      <c r="AJ294" s="716"/>
      <c r="AK294" s="716"/>
      <c r="AL294" s="715"/>
      <c r="AM294" s="716"/>
      <c r="AN294" s="716"/>
      <c r="AO294" s="716"/>
      <c r="AP294" s="716"/>
      <c r="AQ294" s="721"/>
      <c r="AR294" s="676"/>
      <c r="AS294" s="684" t="b">
        <f t="array" ref="AS294">AND(D294:AQ294=inp_used,A294=inp_used_usersel)</f>
        <v>0</v>
      </c>
      <c r="AT294" s="716" t="b">
        <f t="array" ref="AT294">AND(D294:G294=inp_used_minimal,A294=inp_used_usersel)</f>
        <v>0</v>
      </c>
    </row>
    <row r="295" spans="1:46" s="674" customFormat="1">
      <c r="A295" s="674">
        <v>18</v>
      </c>
      <c r="B295" s="716">
        <v>2</v>
      </c>
      <c r="C295" s="537">
        <v>7</v>
      </c>
      <c r="D295" s="682">
        <v>22.614000000000001</v>
      </c>
      <c r="E295" s="716" t="s">
        <v>226</v>
      </c>
      <c r="F295" s="684">
        <v>11.066000000000001</v>
      </c>
      <c r="G295" s="716" t="s">
        <v>226</v>
      </c>
      <c r="H295" s="715"/>
      <c r="I295" s="716"/>
      <c r="J295" s="716"/>
      <c r="K295" s="716"/>
      <c r="L295" s="716"/>
      <c r="M295" s="721"/>
      <c r="N295" s="715"/>
      <c r="O295" s="716"/>
      <c r="P295" s="716"/>
      <c r="Q295" s="721"/>
      <c r="R295" s="715"/>
      <c r="S295" s="716"/>
      <c r="T295" s="716"/>
      <c r="U295" s="716"/>
      <c r="V295" s="721"/>
      <c r="W295" s="716"/>
      <c r="X295" s="716"/>
      <c r="Y295" s="716"/>
      <c r="Z295" s="715"/>
      <c r="AA295" s="716"/>
      <c r="AB295" s="716"/>
      <c r="AC295" s="716"/>
      <c r="AD295" s="721"/>
      <c r="AE295" s="715"/>
      <c r="AF295" s="684"/>
      <c r="AG295" s="716"/>
      <c r="AH295" s="716"/>
      <c r="AI295" s="716"/>
      <c r="AJ295" s="716"/>
      <c r="AK295" s="716"/>
      <c r="AL295" s="715"/>
      <c r="AM295" s="716"/>
      <c r="AN295" s="716"/>
      <c r="AO295" s="716"/>
      <c r="AP295" s="716"/>
      <c r="AQ295" s="721"/>
      <c r="AR295" s="676"/>
      <c r="AS295" s="684" t="b">
        <f t="array" ref="AS295">AND(D295:AQ295=inp_used,A295=inp_used_usersel)</f>
        <v>0</v>
      </c>
      <c r="AT295" s="716" t="b">
        <f t="array" ref="AT295">AND(D295:G295=inp_used_minimal,A295=inp_used_usersel)</f>
        <v>0</v>
      </c>
    </row>
    <row r="296" spans="1:46" s="674" customFormat="1">
      <c r="A296" s="724">
        <v>18</v>
      </c>
      <c r="B296" s="724">
        <v>2</v>
      </c>
      <c r="C296" s="726">
        <v>8</v>
      </c>
      <c r="D296" s="725">
        <v>75.072000000000003</v>
      </c>
      <c r="E296" s="724" t="s">
        <v>226</v>
      </c>
      <c r="F296" s="726">
        <v>37.536000000000001</v>
      </c>
      <c r="G296" s="724" t="s">
        <v>226</v>
      </c>
      <c r="H296" s="727"/>
      <c r="I296" s="724"/>
      <c r="J296" s="724"/>
      <c r="K296" s="724"/>
      <c r="L296" s="724"/>
      <c r="M296" s="729"/>
      <c r="N296" s="727"/>
      <c r="O296" s="724"/>
      <c r="P296" s="724"/>
      <c r="Q296" s="729"/>
      <c r="R296" s="727"/>
      <c r="S296" s="724"/>
      <c r="T296" s="724"/>
      <c r="U296" s="724"/>
      <c r="V296" s="729"/>
      <c r="W296" s="724"/>
      <c r="X296" s="724"/>
      <c r="Y296" s="724"/>
      <c r="Z296" s="727"/>
      <c r="AA296" s="724"/>
      <c r="AB296" s="724"/>
      <c r="AC296" s="724"/>
      <c r="AD296" s="729"/>
      <c r="AE296" s="727"/>
      <c r="AF296" s="726"/>
      <c r="AG296" s="724"/>
      <c r="AH296" s="724"/>
      <c r="AI296" s="724"/>
      <c r="AJ296" s="724"/>
      <c r="AK296" s="729"/>
      <c r="AL296" s="727"/>
      <c r="AM296" s="724"/>
      <c r="AN296" s="724"/>
      <c r="AO296" s="724"/>
      <c r="AP296" s="724"/>
      <c r="AQ296" s="729"/>
      <c r="AR296" s="676"/>
      <c r="AS296" s="537" t="b">
        <f t="array" ref="AS296">AND(D296:AQ296=inp_used,A296=inp_used_usersel)</f>
        <v>0</v>
      </c>
      <c r="AT296" s="674" t="b">
        <f t="array" ref="AT296">AND(D296:G296=inp_used_minimal,A296=inp_used_usersel)</f>
        <v>0</v>
      </c>
    </row>
    <row r="297" spans="1:46">
      <c r="AS297" s="537" t="b">
        <f t="array" ref="AS297">AND(D297:AQ297=inp_used,A297=inp_used_usersel)</f>
        <v>0</v>
      </c>
      <c r="AT297" s="674" t="b">
        <f t="array" ref="AT297">AND(D297:G297=inp_used_minimal,A297=inp_used_usersel)</f>
        <v>0</v>
      </c>
    </row>
    <row r="298" spans="1:46">
      <c r="A298" s="288">
        <f>IF(LEN(contam_type)=0,"",contam_type)</f>
        <v>17</v>
      </c>
      <c r="B298" s="288">
        <f>IF(LEN(design_type)=0,"",design_type)</f>
        <v>1</v>
      </c>
      <c r="C298" s="288" t="s">
        <v>1965</v>
      </c>
      <c r="D298" s="288">
        <f>IF(LEN(design_flow_I)=0,"",design_flow_I)</f>
        <v>0.74</v>
      </c>
      <c r="E298" s="288" t="str">
        <f>IF(LEN(df_units)=0,"",df_units)</f>
        <v>MGD</v>
      </c>
      <c r="F298" s="288">
        <f>IF(LEN(average_flow_I)=0,"",average_flow_I)</f>
        <v>0.251</v>
      </c>
      <c r="G298" s="288" t="str">
        <f>IF(LEN(af_units)=0,"",af_units)</f>
        <v>MGD</v>
      </c>
      <c r="H298" s="288" t="str">
        <f>IF(LEN(regen_type_I)=0,"",regen_type_I)</f>
        <v>regeneration off-site (non-hazardous)</v>
      </c>
      <c r="I298" s="288" t="str">
        <f>IF(LEN(freund_type_I)=0,"",freund_type_I)</f>
        <v>carbon life value- months</v>
      </c>
      <c r="J298" s="288">
        <f>IF(LEN(freund_1)=0,"",freund_1)</f>
        <v>12</v>
      </c>
      <c r="K298" s="288" t="str">
        <f>IF(LEN(freund_2)=0,"",freund_2)</f>
        <v/>
      </c>
      <c r="L298" s="288" t="str">
        <f>IF(LEN(C_0)=0,"",C_0)</f>
        <v/>
      </c>
      <c r="M298" s="288" t="str">
        <f>IF(LEN(C_b)=0,"",C_b)</f>
        <v/>
      </c>
      <c r="N298" s="288" t="str">
        <f>IF(LEN(EBCT_type_I)=0,"",EBCT_type_I)</f>
        <v>EBCT</v>
      </c>
      <c r="O298" s="288">
        <f>IF(LEN(EBCT_I)=0,"",EBCT_I)</f>
        <v>4</v>
      </c>
      <c r="P298" s="288" t="str">
        <f>IF(LEN(EBCT_O)=0,"",af_unitsEBCT_O)</f>
        <v/>
      </c>
      <c r="Q298" s="288" t="str">
        <f>IF(LEN(Kss)=0,"",Kss)</f>
        <v/>
      </c>
      <c r="R298" s="288">
        <f>IF(LEN(Num_tanks_I)=0,"",Num_tanks_I)</f>
        <v>1</v>
      </c>
      <c r="S298" s="288">
        <f>IF(LEN(bed_depth)=0,"",bed_depth)</f>
        <v>4.9000000000000004</v>
      </c>
      <c r="T298" s="288" t="str">
        <f>IF(LEN(tank_geom_I)=0,"",tank_geom_I)</f>
        <v>upright</v>
      </c>
      <c r="U298" s="288">
        <f>IF(LEN(comm_height_length)=0,"",comm_height_length)</f>
        <v>8</v>
      </c>
      <c r="V298" s="288">
        <f>IF(LEN(comm_diam)=0,"",comm_diam)</f>
        <v>8.5</v>
      </c>
      <c r="W298" s="288" t="str">
        <f>IF(LEN(basin_width)=0,"",basin_width)</f>
        <v/>
      </c>
      <c r="X298" s="288" t="str">
        <f>IF(LEN(basin_length)=0,"",basin_length)</f>
        <v/>
      </c>
      <c r="Y298" s="288" t="str">
        <f>IF(LEN(basin_op_depth)=0,"",basin_op_depth)</f>
        <v/>
      </c>
      <c r="Z298" s="288">
        <f>IF(LEN(back_interval_I)=0,"",back_interval_I)</f>
        <v>168</v>
      </c>
      <c r="AA298" s="288" t="str">
        <f>IF(LEN(res_s2_opt_I)=0,"",res_s2_opt_I)</f>
        <v>POTW</v>
      </c>
      <c r="AB298" s="288" t="str">
        <f>IF(LEN(res_s1_opt_I)=0,"",res_s1_opt_I)</f>
        <v>none</v>
      </c>
      <c r="AC298" s="288" t="str">
        <f>IF(LEN(transfer_method_I)=0,"",transfer_method_I)</f>
        <v>manual transfer</v>
      </c>
      <c r="AD298" s="288" t="str">
        <f>IF(LEN(solids_haz_I)=0,"",solids_haz_I)</f>
        <v/>
      </c>
      <c r="AE298" s="288">
        <f>IF(LEN(NRD_I)=0,"",NRD_I)</f>
        <v>0</v>
      </c>
      <c r="AF298" s="288">
        <f>IF(LEN(lines_pump_I)=0,"",lines_pump_I)</f>
        <v>0</v>
      </c>
      <c r="AG298" s="288" t="str">
        <f>IF(LEN(no_backwash_I)=0,"",no_backwash_I)</f>
        <v>existing pumps</v>
      </c>
      <c r="AH298" s="288" t="str">
        <f>IF(LEN(no_back_tank_I)=0,"",no_back_tank_I)</f>
        <v>existing storage</v>
      </c>
      <c r="AI298" s="288" t="str">
        <f>IF(LEN(manual_I)=0,"",manual_I)</f>
        <v>fully automated</v>
      </c>
      <c r="AJ298" s="288" t="str">
        <f>IF(LEN(component_level_I)=0,"",component_level_I)</f>
        <v/>
      </c>
      <c r="AK298" s="288" t="str">
        <f>IF(LEN(addon_I)=0,"",addon_I)</f>
        <v>add-on</v>
      </c>
      <c r="AL298" s="288" t="str">
        <f>IF(LEN(retrofit_I)=0,"",retrofit_I)</f>
        <v/>
      </c>
      <c r="AM298" s="288" t="str">
        <f>IF(LEN(r_freund_type_I)=0,"",r_freund_type_I)</f>
        <v/>
      </c>
      <c r="AN298" s="288" t="str">
        <f>IF(LEN(r_freund_1)=0,"",r_freund_1)</f>
        <v/>
      </c>
      <c r="AO298" s="288" t="str">
        <f>IF(LEN(r_freund_2)=0,"",r_freund_2)</f>
        <v/>
      </c>
      <c r="AP298" s="288" t="str">
        <f>IF(LEN(r_C_0)=0,"",r_C_0)</f>
        <v/>
      </c>
      <c r="AQ298" s="288" t="str">
        <f>IF(LEN(r_C_b)=0,"",r_C_b)</f>
        <v/>
      </c>
      <c r="AR298" s="676" t="s">
        <v>2570</v>
      </c>
    </row>
    <row r="299" spans="1:46">
      <c r="A299" s="288"/>
      <c r="B299" s="288"/>
      <c r="C299" s="288"/>
      <c r="D299" s="288">
        <v>0.74</v>
      </c>
      <c r="E299" s="288" t="s">
        <v>226</v>
      </c>
      <c r="F299" s="288">
        <v>0.251</v>
      </c>
      <c r="G299" s="288" t="s">
        <v>226</v>
      </c>
      <c r="H299" s="288" t="s">
        <v>3263</v>
      </c>
      <c r="I299" s="288" t="s">
        <v>440</v>
      </c>
      <c r="J299" s="288">
        <v>12</v>
      </c>
      <c r="K299" s="288"/>
      <c r="L299" s="288"/>
      <c r="M299" s="288"/>
      <c r="N299" s="288" t="s">
        <v>232</v>
      </c>
      <c r="O299" s="288">
        <v>4</v>
      </c>
      <c r="P299" s="288"/>
      <c r="Q299" s="288"/>
      <c r="R299" s="288">
        <v>1</v>
      </c>
      <c r="S299" s="288">
        <v>4.9000000000000004</v>
      </c>
      <c r="T299" s="288" t="s">
        <v>2139</v>
      </c>
      <c r="U299" s="288">
        <v>8</v>
      </c>
      <c r="V299" s="288">
        <v>8.5</v>
      </c>
      <c r="W299" s="288"/>
      <c r="X299" s="288"/>
      <c r="Y299" s="288"/>
      <c r="Z299" s="288">
        <v>168</v>
      </c>
      <c r="AA299" s="288" t="s">
        <v>2140</v>
      </c>
      <c r="AB299" s="288" t="s">
        <v>1441</v>
      </c>
      <c r="AC299" s="288" t="s">
        <v>541</v>
      </c>
      <c r="AD299" s="288"/>
      <c r="AE299" s="288">
        <v>0</v>
      </c>
      <c r="AF299" s="288">
        <v>0</v>
      </c>
      <c r="AG299" s="288" t="s">
        <v>1870</v>
      </c>
      <c r="AH299" s="288" t="s">
        <v>1871</v>
      </c>
      <c r="AI299" s="288" t="s">
        <v>2004</v>
      </c>
      <c r="AJ299" s="288"/>
      <c r="AK299" s="288" t="s">
        <v>2257</v>
      </c>
      <c r="AL299" s="288"/>
      <c r="AM299" s="288"/>
      <c r="AN299" s="288"/>
      <c r="AO299" s="288"/>
      <c r="AP299" s="288"/>
      <c r="AQ299" s="288"/>
      <c r="AR299" s="745" t="s">
        <v>2571</v>
      </c>
      <c r="AS299" s="537" t="b">
        <f t="array" ref="AS299">AND(D299:AQ299=inp_used)</f>
        <v>1</v>
      </c>
    </row>
  </sheetData>
  <mergeCells count="10">
    <mergeCell ref="AS7:AW7"/>
    <mergeCell ref="A6:C6"/>
    <mergeCell ref="AL6:AQ6"/>
    <mergeCell ref="AE6:AK6"/>
    <mergeCell ref="H6:M6"/>
    <mergeCell ref="D6:G6"/>
    <mergeCell ref="N6:Q6"/>
    <mergeCell ref="R6:V6"/>
    <mergeCell ref="Z6:AD6"/>
    <mergeCell ref="W6:Y6"/>
  </mergeCells>
  <phoneticPr fontId="0" type="noConversion"/>
  <conditionalFormatting sqref="A8">
    <cfRule type="expression" dxfId="12426" priority="54615" stopIfTrue="1">
      <formula>NOT(ISBLANK($A$8))</formula>
    </cfRule>
  </conditionalFormatting>
  <conditionalFormatting sqref="B8">
    <cfRule type="expression" dxfId="12425" priority="54616" stopIfTrue="1">
      <formula>NOT(ISBLANK($B$8))</formula>
    </cfRule>
  </conditionalFormatting>
  <conditionalFormatting sqref="C8">
    <cfRule type="expression" dxfId="12424" priority="54617" stopIfTrue="1">
      <formula>NOT(ISBLANK($C$8))</formula>
    </cfRule>
  </conditionalFormatting>
  <conditionalFormatting sqref="D8">
    <cfRule type="cellIs" dxfId="12423" priority="54618" stopIfTrue="1" operator="notEqual">
      <formula>"design_flow_I"</formula>
    </cfRule>
  </conditionalFormatting>
  <conditionalFormatting sqref="E8">
    <cfRule type="cellIs" dxfId="12422" priority="54619" stopIfTrue="1" operator="notEqual">
      <formula>"df_units"</formula>
    </cfRule>
  </conditionalFormatting>
  <conditionalFormatting sqref="F8">
    <cfRule type="cellIs" dxfId="12421" priority="54620" stopIfTrue="1" operator="notEqual">
      <formula>"average_flow_I"</formula>
    </cfRule>
  </conditionalFormatting>
  <conditionalFormatting sqref="G8">
    <cfRule type="cellIs" dxfId="12420" priority="54621" stopIfTrue="1" operator="notEqual">
      <formula>"af_units"</formula>
    </cfRule>
  </conditionalFormatting>
  <conditionalFormatting sqref="H8">
    <cfRule type="cellIs" dxfId="12419" priority="54622" stopIfTrue="1" operator="notEqual">
      <formula>"regen_type_I"</formula>
    </cfRule>
  </conditionalFormatting>
  <conditionalFormatting sqref="I8">
    <cfRule type="cellIs" dxfId="12418" priority="54623" stopIfTrue="1" operator="notEqual">
      <formula>"freund_type_I"</formula>
    </cfRule>
  </conditionalFormatting>
  <conditionalFormatting sqref="J8">
    <cfRule type="cellIs" dxfId="12417" priority="54624" stopIfTrue="1" operator="notEqual">
      <formula>"freund_1"</formula>
    </cfRule>
  </conditionalFormatting>
  <conditionalFormatting sqref="K8">
    <cfRule type="cellIs" dxfId="12416" priority="54625" stopIfTrue="1" operator="notEqual">
      <formula>"freund_2"</formula>
    </cfRule>
  </conditionalFormatting>
  <conditionalFormatting sqref="L8">
    <cfRule type="cellIs" dxfId="12415" priority="54626" stopIfTrue="1" operator="notEqual">
      <formula>"C_0"</formula>
    </cfRule>
  </conditionalFormatting>
  <conditionalFormatting sqref="M8">
    <cfRule type="cellIs" dxfId="12414" priority="54627" stopIfTrue="1" operator="notEqual">
      <formula>"C_b"</formula>
    </cfRule>
  </conditionalFormatting>
  <conditionalFormatting sqref="N8">
    <cfRule type="cellIs" dxfId="12413" priority="54628" stopIfTrue="1" operator="notEqual">
      <formula>"EBCT_type_I"</formula>
    </cfRule>
  </conditionalFormatting>
  <conditionalFormatting sqref="O8">
    <cfRule type="cellIs" dxfId="12412" priority="54629" stopIfTrue="1" operator="notEqual">
      <formula>"EBCT_I"</formula>
    </cfRule>
  </conditionalFormatting>
  <conditionalFormatting sqref="P8">
    <cfRule type="cellIs" dxfId="12411" priority="54630" stopIfTrue="1" operator="notEqual">
      <formula>"EBCT_O"</formula>
    </cfRule>
  </conditionalFormatting>
  <conditionalFormatting sqref="Q8">
    <cfRule type="cellIs" dxfId="12410" priority="54631" stopIfTrue="1" operator="notEqual">
      <formula>"Kss"</formula>
    </cfRule>
  </conditionalFormatting>
  <conditionalFormatting sqref="R8">
    <cfRule type="cellIs" dxfId="12409" priority="54632" stopIfTrue="1" operator="notEqual">
      <formula>"num_tanks_I"</formula>
    </cfRule>
  </conditionalFormatting>
  <conditionalFormatting sqref="S8">
    <cfRule type="cellIs" dxfId="12408" priority="54633" stopIfTrue="1" operator="notEqual">
      <formula>"bed_depth"</formula>
    </cfRule>
  </conditionalFormatting>
  <conditionalFormatting sqref="T8">
    <cfRule type="cellIs" dxfId="12407" priority="54634" stopIfTrue="1" operator="notEqual">
      <formula>"tank_geom_I"</formula>
    </cfRule>
  </conditionalFormatting>
  <conditionalFormatting sqref="U8">
    <cfRule type="cellIs" dxfId="12406" priority="54635" stopIfTrue="1" operator="notEqual">
      <formula>"comm_height_length"</formula>
    </cfRule>
  </conditionalFormatting>
  <conditionalFormatting sqref="V8">
    <cfRule type="cellIs" dxfId="12405" priority="54636" stopIfTrue="1" operator="notEqual">
      <formula>"comm_diam"</formula>
    </cfRule>
  </conditionalFormatting>
  <conditionalFormatting sqref="W8">
    <cfRule type="cellIs" dxfId="12404" priority="54637" stopIfTrue="1" operator="notEqual">
      <formula>"basin_width"</formula>
    </cfRule>
  </conditionalFormatting>
  <conditionalFormatting sqref="X8">
    <cfRule type="cellIs" dxfId="12403" priority="54638" stopIfTrue="1" operator="notEqual">
      <formula>"basin_length"</formula>
    </cfRule>
  </conditionalFormatting>
  <conditionalFormatting sqref="Y8">
    <cfRule type="cellIs" dxfId="12402" priority="54639" stopIfTrue="1" operator="notEqual">
      <formula>"basin_op_depth"</formula>
    </cfRule>
  </conditionalFormatting>
  <conditionalFormatting sqref="Z8">
    <cfRule type="cellIs" dxfId="12401" priority="54640" stopIfTrue="1" operator="notEqual">
      <formula>"back_interval_I"</formula>
    </cfRule>
  </conditionalFormatting>
  <conditionalFormatting sqref="AA8">
    <cfRule type="cellIs" dxfId="12400" priority="54641" stopIfTrue="1" operator="notEqual">
      <formula>"res_s2_opt_I"</formula>
    </cfRule>
  </conditionalFormatting>
  <conditionalFormatting sqref="AB8">
    <cfRule type="cellIs" dxfId="12399" priority="54642" stopIfTrue="1" operator="notEqual">
      <formula>"res_s1_opt_I"</formula>
    </cfRule>
  </conditionalFormatting>
  <conditionalFormatting sqref="AC8">
    <cfRule type="cellIs" dxfId="12398" priority="54643" stopIfTrue="1" operator="notEqual">
      <formula>"transfer_method_I"</formula>
    </cfRule>
  </conditionalFormatting>
  <conditionalFormatting sqref="AD8">
    <cfRule type="cellIs" dxfId="12397" priority="54644" stopIfTrue="1" operator="notEqual">
      <formula>"solids_haz_I"</formula>
    </cfRule>
  </conditionalFormatting>
  <conditionalFormatting sqref="AE8">
    <cfRule type="cellIs" dxfId="12396" priority="54645" stopIfTrue="1" operator="notEqual">
      <formula>"NRD_I"</formula>
    </cfRule>
  </conditionalFormatting>
  <conditionalFormatting sqref="AF8">
    <cfRule type="cellIs" dxfId="12395" priority="54646" stopIfTrue="1" operator="notEqual">
      <formula>"lines_pump_I"</formula>
    </cfRule>
  </conditionalFormatting>
  <conditionalFormatting sqref="AG8">
    <cfRule type="cellIs" dxfId="12394" priority="54647" stopIfTrue="1" operator="notEqual">
      <formula>"no_backwash_I"</formula>
    </cfRule>
  </conditionalFormatting>
  <conditionalFormatting sqref="AH8">
    <cfRule type="cellIs" dxfId="12393" priority="54648" stopIfTrue="1" operator="notEqual">
      <formula>"no_back_tank_I"</formula>
    </cfRule>
  </conditionalFormatting>
  <conditionalFormatting sqref="AI8">
    <cfRule type="cellIs" dxfId="12392" priority="54649" stopIfTrue="1" operator="notEqual">
      <formula>"manual_I"</formula>
    </cfRule>
  </conditionalFormatting>
  <conditionalFormatting sqref="AJ8">
    <cfRule type="cellIs" dxfId="12391" priority="54650" stopIfTrue="1" operator="notEqual">
      <formula>"component_level_I"</formula>
    </cfRule>
  </conditionalFormatting>
  <conditionalFormatting sqref="AK8">
    <cfRule type="cellIs" dxfId="12390" priority="54651" stopIfTrue="1" operator="notEqual">
      <formula>"addon_I"</formula>
    </cfRule>
  </conditionalFormatting>
  <conditionalFormatting sqref="AL8">
    <cfRule type="cellIs" dxfId="12389" priority="54652" stopIfTrue="1" operator="notEqual">
      <formula>"retrofit_I"</formula>
    </cfRule>
  </conditionalFormatting>
  <conditionalFormatting sqref="AM8">
    <cfRule type="cellIs" dxfId="12388" priority="54653" stopIfTrue="1" operator="notEqual">
      <formula>"r_freund_type_I"</formula>
    </cfRule>
  </conditionalFormatting>
  <conditionalFormatting sqref="AN8">
    <cfRule type="cellIs" dxfId="12387" priority="54654" stopIfTrue="1" operator="notEqual">
      <formula>"r_freund_1"</formula>
    </cfRule>
  </conditionalFormatting>
  <conditionalFormatting sqref="AO8">
    <cfRule type="cellIs" dxfId="12386" priority="54655" stopIfTrue="1" operator="notEqual">
      <formula>"r_freund_2"</formula>
    </cfRule>
  </conditionalFormatting>
  <conditionalFormatting sqref="AP8">
    <cfRule type="cellIs" dxfId="12385" priority="54656" stopIfTrue="1" operator="notEqual">
      <formula>"r_C_0"</formula>
    </cfRule>
  </conditionalFormatting>
  <conditionalFormatting sqref="AQ8">
    <cfRule type="cellIs" dxfId="12384" priority="54657" stopIfTrue="1" operator="notEqual">
      <formula>"r_C_b"</formula>
    </cfRule>
  </conditionalFormatting>
  <conditionalFormatting sqref="A9">
    <cfRule type="cellIs" dxfId="12383" priority="54658" stopIfTrue="1" operator="notEqual">
      <formula>1</formula>
    </cfRule>
  </conditionalFormatting>
  <conditionalFormatting sqref="B9">
    <cfRule type="cellIs" dxfId="12382" priority="54659" stopIfTrue="1" operator="notEqual">
      <formula>1</formula>
    </cfRule>
  </conditionalFormatting>
  <conditionalFormatting sqref="C9">
    <cfRule type="cellIs" dxfId="12381" priority="54660" stopIfTrue="1" operator="notEqual">
      <formula>1</formula>
    </cfRule>
  </conditionalFormatting>
  <conditionalFormatting sqref="D9">
    <cfRule type="cellIs" dxfId="12380" priority="54661" stopIfTrue="1" operator="notEqual">
      <formula>0.03</formula>
    </cfRule>
  </conditionalFormatting>
  <conditionalFormatting sqref="E9">
    <cfRule type="cellIs" dxfId="12379" priority="54662" stopIfTrue="1" operator="notEqual">
      <formula>"MGD"</formula>
    </cfRule>
  </conditionalFormatting>
  <conditionalFormatting sqref="F9">
    <cfRule type="cellIs" dxfId="12378" priority="54663" stopIfTrue="1" operator="notEqual">
      <formula>0.007</formula>
    </cfRule>
  </conditionalFormatting>
  <conditionalFormatting sqref="G9">
    <cfRule type="cellIs" dxfId="12377" priority="54664" stopIfTrue="1" operator="notEqual">
      <formula>"MGD"</formula>
    </cfRule>
  </conditionalFormatting>
  <conditionalFormatting sqref="H9">
    <cfRule type="expression" dxfId="12376" priority="54665" stopIfTrue="1">
      <formula>NOT(ISBLANK($H$9))</formula>
    </cfRule>
  </conditionalFormatting>
  <conditionalFormatting sqref="I9">
    <cfRule type="expression" dxfId="12375" priority="54666" stopIfTrue="1">
      <formula>NOT(ISBLANK($I$9))</formula>
    </cfRule>
  </conditionalFormatting>
  <conditionalFormatting sqref="J9">
    <cfRule type="expression" dxfId="12374" priority="54667" stopIfTrue="1">
      <formula>NOT(ISBLANK($J$9))</formula>
    </cfRule>
  </conditionalFormatting>
  <conditionalFormatting sqref="K9">
    <cfRule type="expression" dxfId="12373" priority="54668" stopIfTrue="1">
      <formula>NOT(ISBLANK($K$9))</formula>
    </cfRule>
  </conditionalFormatting>
  <conditionalFormatting sqref="L9">
    <cfRule type="expression" dxfId="12372" priority="54669" stopIfTrue="1">
      <formula>NOT(ISBLANK($L$9))</formula>
    </cfRule>
  </conditionalFormatting>
  <conditionalFormatting sqref="M9">
    <cfRule type="expression" dxfId="12371" priority="54670" stopIfTrue="1">
      <formula>NOT(ISBLANK($M$9))</formula>
    </cfRule>
  </conditionalFormatting>
  <conditionalFormatting sqref="N9">
    <cfRule type="expression" dxfId="12370" priority="54671" stopIfTrue="1">
      <formula>NOT(ISBLANK($N$9))</formula>
    </cfRule>
  </conditionalFormatting>
  <conditionalFormatting sqref="O9">
    <cfRule type="expression" dxfId="12369" priority="54672" stopIfTrue="1">
      <formula>NOT(ISBLANK($O$9))</formula>
    </cfRule>
  </conditionalFormatting>
  <conditionalFormatting sqref="P9">
    <cfRule type="expression" dxfId="12368" priority="54673" stopIfTrue="1">
      <formula>NOT(ISBLANK($P$9))</formula>
    </cfRule>
  </conditionalFormatting>
  <conditionalFormatting sqref="Q9">
    <cfRule type="expression" dxfId="12367" priority="54674" stopIfTrue="1">
      <formula>NOT(ISBLANK($Q$9))</formula>
    </cfRule>
  </conditionalFormatting>
  <conditionalFormatting sqref="R9">
    <cfRule type="expression" dxfId="12366" priority="54675" stopIfTrue="1">
      <formula>NOT(ISBLANK($R$9))</formula>
    </cfRule>
  </conditionalFormatting>
  <conditionalFormatting sqref="S9">
    <cfRule type="expression" dxfId="12365" priority="54676" stopIfTrue="1">
      <formula>NOT(ISBLANK($S$9))</formula>
    </cfRule>
  </conditionalFormatting>
  <conditionalFormatting sqref="T9">
    <cfRule type="expression" dxfId="12364" priority="54677" stopIfTrue="1">
      <formula>NOT(ISBLANK($T$9))</formula>
    </cfRule>
  </conditionalFormatting>
  <conditionalFormatting sqref="U9">
    <cfRule type="expression" dxfId="12363" priority="54678" stopIfTrue="1">
      <formula>NOT(ISBLANK($U$9))</formula>
    </cfRule>
  </conditionalFormatting>
  <conditionalFormatting sqref="V9">
    <cfRule type="expression" dxfId="12362" priority="54679" stopIfTrue="1">
      <formula>NOT(ISBLANK($V$9))</formula>
    </cfRule>
  </conditionalFormatting>
  <conditionalFormatting sqref="W9">
    <cfRule type="expression" dxfId="12361" priority="54680" stopIfTrue="1">
      <formula>NOT(ISBLANK($W$9))</formula>
    </cfRule>
  </conditionalFormatting>
  <conditionalFormatting sqref="X9">
    <cfRule type="expression" dxfId="12360" priority="54681" stopIfTrue="1">
      <formula>NOT(ISBLANK($X$9))</formula>
    </cfRule>
  </conditionalFormatting>
  <conditionalFormatting sqref="Y9">
    <cfRule type="expression" dxfId="12359" priority="54682" stopIfTrue="1">
      <formula>NOT(ISBLANK($Y$9))</formula>
    </cfRule>
  </conditionalFormatting>
  <conditionalFormatting sqref="Z9">
    <cfRule type="expression" dxfId="12358" priority="54683" stopIfTrue="1">
      <formula>NOT(ISBLANK($Z$9))</formula>
    </cfRule>
  </conditionalFormatting>
  <conditionalFormatting sqref="AA9">
    <cfRule type="expression" dxfId="12357" priority="54684" stopIfTrue="1">
      <formula>NOT(ISBLANK($AA$9))</formula>
    </cfRule>
  </conditionalFormatting>
  <conditionalFormatting sqref="AB9">
    <cfRule type="expression" dxfId="12356" priority="54685" stopIfTrue="1">
      <formula>NOT(ISBLANK($AB$9))</formula>
    </cfRule>
  </conditionalFormatting>
  <conditionalFormatting sqref="AC9">
    <cfRule type="expression" dxfId="12355" priority="54686" stopIfTrue="1">
      <formula>NOT(ISBLANK($AC$9))</formula>
    </cfRule>
  </conditionalFormatting>
  <conditionalFormatting sqref="AD9">
    <cfRule type="expression" dxfId="12354" priority="54687" stopIfTrue="1">
      <formula>NOT(ISBLANK($AD$9))</formula>
    </cfRule>
  </conditionalFormatting>
  <conditionalFormatting sqref="AE9">
    <cfRule type="expression" dxfId="12353" priority="54688" stopIfTrue="1">
      <formula>NOT(ISBLANK($AE$9))</formula>
    </cfRule>
  </conditionalFormatting>
  <conditionalFormatting sqref="AF9">
    <cfRule type="expression" dxfId="12352" priority="54689" stopIfTrue="1">
      <formula>NOT(ISBLANK($AF$9))</formula>
    </cfRule>
  </conditionalFormatting>
  <conditionalFormatting sqref="AG9">
    <cfRule type="expression" dxfId="12351" priority="54690" stopIfTrue="1">
      <formula>NOT(ISBLANK($AG$9))</formula>
    </cfRule>
  </conditionalFormatting>
  <conditionalFormatting sqref="AH9">
    <cfRule type="expression" dxfId="12350" priority="54691" stopIfTrue="1">
      <formula>NOT(ISBLANK($AH$9))</formula>
    </cfRule>
  </conditionalFormatting>
  <conditionalFormatting sqref="AI9">
    <cfRule type="expression" dxfId="12349" priority="54692" stopIfTrue="1">
      <formula>NOT(ISBLANK($AI$9))</formula>
    </cfRule>
  </conditionalFormatting>
  <conditionalFormatting sqref="AJ9">
    <cfRule type="expression" dxfId="12348" priority="54693" stopIfTrue="1">
      <formula>NOT(ISBLANK($AJ$9))</formula>
    </cfRule>
  </conditionalFormatting>
  <conditionalFormatting sqref="AK9">
    <cfRule type="expression" dxfId="12347" priority="54694" stopIfTrue="1">
      <formula>NOT(ISBLANK($AK$9))</formula>
    </cfRule>
  </conditionalFormatting>
  <conditionalFormatting sqref="AL9">
    <cfRule type="expression" dxfId="12346" priority="54695" stopIfTrue="1">
      <formula>NOT(ISBLANK($AL$9))</formula>
    </cfRule>
  </conditionalFormatting>
  <conditionalFormatting sqref="AM9">
    <cfRule type="expression" dxfId="12345" priority="54696" stopIfTrue="1">
      <formula>NOT(ISBLANK($AM$9))</formula>
    </cfRule>
  </conditionalFormatting>
  <conditionalFormatting sqref="AN9">
    <cfRule type="expression" dxfId="12344" priority="54697" stopIfTrue="1">
      <formula>NOT(ISBLANK($AN$9))</formula>
    </cfRule>
  </conditionalFormatting>
  <conditionalFormatting sqref="AO9">
    <cfRule type="expression" dxfId="12343" priority="54698" stopIfTrue="1">
      <formula>NOT(ISBLANK($AO$9))</formula>
    </cfRule>
  </conditionalFormatting>
  <conditionalFormatting sqref="AP9">
    <cfRule type="expression" dxfId="12342" priority="54699" stopIfTrue="1">
      <formula>NOT(ISBLANK($AP$9))</formula>
    </cfRule>
  </conditionalFormatting>
  <conditionalFormatting sqref="AQ9">
    <cfRule type="expression" dxfId="12341" priority="54700" stopIfTrue="1">
      <formula>NOT(ISBLANK($AQ$9))</formula>
    </cfRule>
  </conditionalFormatting>
  <conditionalFormatting sqref="A10">
    <cfRule type="cellIs" dxfId="12340" priority="54701" stopIfTrue="1" operator="notEqual">
      <formula>1</formula>
    </cfRule>
  </conditionalFormatting>
  <conditionalFormatting sqref="B10">
    <cfRule type="cellIs" dxfId="12339" priority="54702" stopIfTrue="1" operator="notEqual">
      <formula>1</formula>
    </cfRule>
  </conditionalFormatting>
  <conditionalFormatting sqref="C10">
    <cfRule type="cellIs" dxfId="12338" priority="54703" stopIfTrue="1" operator="notEqual">
      <formula>2</formula>
    </cfRule>
  </conditionalFormatting>
  <conditionalFormatting sqref="D10">
    <cfRule type="cellIs" dxfId="12337" priority="54704" stopIfTrue="1" operator="notEqual">
      <formula>0.124</formula>
    </cfRule>
  </conditionalFormatting>
  <conditionalFormatting sqref="E10">
    <cfRule type="cellIs" dxfId="12336" priority="54705" stopIfTrue="1" operator="notEqual">
      <formula>"MGD"</formula>
    </cfRule>
  </conditionalFormatting>
  <conditionalFormatting sqref="F10">
    <cfRule type="cellIs" dxfId="12335" priority="54706" stopIfTrue="1" operator="notEqual">
      <formula>0.035</formula>
    </cfRule>
  </conditionalFormatting>
  <conditionalFormatting sqref="G10">
    <cfRule type="cellIs" dxfId="12334" priority="54707" stopIfTrue="1" operator="notEqual">
      <formula>"MGD"</formula>
    </cfRule>
  </conditionalFormatting>
  <conditionalFormatting sqref="H10">
    <cfRule type="expression" dxfId="12333" priority="54708" stopIfTrue="1">
      <formula>NOT(ISBLANK($H$10))</formula>
    </cfRule>
  </conditionalFormatting>
  <conditionalFormatting sqref="I10">
    <cfRule type="expression" dxfId="12332" priority="54709" stopIfTrue="1">
      <formula>NOT(ISBLANK($I$10))</formula>
    </cfRule>
  </conditionalFormatting>
  <conditionalFormatting sqref="J10">
    <cfRule type="expression" dxfId="12331" priority="54710" stopIfTrue="1">
      <formula>NOT(ISBLANK($J$10))</formula>
    </cfRule>
  </conditionalFormatting>
  <conditionalFormatting sqref="K10">
    <cfRule type="expression" dxfId="12330" priority="54711" stopIfTrue="1">
      <formula>NOT(ISBLANK($K$10))</formula>
    </cfRule>
  </conditionalFormatting>
  <conditionalFormatting sqref="L10">
    <cfRule type="expression" dxfId="12329" priority="54712" stopIfTrue="1">
      <formula>NOT(ISBLANK($L$10))</formula>
    </cfRule>
  </conditionalFormatting>
  <conditionalFormatting sqref="M10">
    <cfRule type="expression" dxfId="12328" priority="54713" stopIfTrue="1">
      <formula>NOT(ISBLANK($M$10))</formula>
    </cfRule>
  </conditionalFormatting>
  <conditionalFormatting sqref="N10">
    <cfRule type="expression" dxfId="12327" priority="54714" stopIfTrue="1">
      <formula>NOT(ISBLANK($N$10))</formula>
    </cfRule>
  </conditionalFormatting>
  <conditionalFormatting sqref="O10">
    <cfRule type="expression" dxfId="12326" priority="54715" stopIfTrue="1">
      <formula>NOT(ISBLANK($O$10))</formula>
    </cfRule>
  </conditionalFormatting>
  <conditionalFormatting sqref="P10">
    <cfRule type="expression" dxfId="12325" priority="54716" stopIfTrue="1">
      <formula>NOT(ISBLANK($P$10))</formula>
    </cfRule>
  </conditionalFormatting>
  <conditionalFormatting sqref="Q10">
    <cfRule type="expression" dxfId="12324" priority="54717" stopIfTrue="1">
      <formula>NOT(ISBLANK($Q$10))</formula>
    </cfRule>
  </conditionalFormatting>
  <conditionalFormatting sqref="R10">
    <cfRule type="expression" dxfId="12323" priority="54718" stopIfTrue="1">
      <formula>NOT(ISBLANK($R$10))</formula>
    </cfRule>
  </conditionalFormatting>
  <conditionalFormatting sqref="S10">
    <cfRule type="expression" dxfId="12322" priority="54719" stopIfTrue="1">
      <formula>NOT(ISBLANK($S$10))</formula>
    </cfRule>
  </conditionalFormatting>
  <conditionalFormatting sqref="T10">
    <cfRule type="expression" dxfId="12321" priority="54720" stopIfTrue="1">
      <formula>NOT(ISBLANK($T$10))</formula>
    </cfRule>
  </conditionalFormatting>
  <conditionalFormatting sqref="U10">
    <cfRule type="expression" dxfId="12320" priority="54721" stopIfTrue="1">
      <formula>NOT(ISBLANK($U$10))</formula>
    </cfRule>
  </conditionalFormatting>
  <conditionalFormatting sqref="V10">
    <cfRule type="expression" dxfId="12319" priority="54722" stopIfTrue="1">
      <formula>NOT(ISBLANK($V$10))</formula>
    </cfRule>
  </conditionalFormatting>
  <conditionalFormatting sqref="W10">
    <cfRule type="expression" dxfId="12318" priority="54723" stopIfTrue="1">
      <formula>NOT(ISBLANK($W$10))</formula>
    </cfRule>
  </conditionalFormatting>
  <conditionalFormatting sqref="X10">
    <cfRule type="expression" dxfId="12317" priority="54724" stopIfTrue="1">
      <formula>NOT(ISBLANK($X$10))</formula>
    </cfRule>
  </conditionalFormatting>
  <conditionalFormatting sqref="Y10">
    <cfRule type="expression" dxfId="12316" priority="54725" stopIfTrue="1">
      <formula>NOT(ISBLANK($Y$10))</formula>
    </cfRule>
  </conditionalFormatting>
  <conditionalFormatting sqref="Z10">
    <cfRule type="expression" dxfId="12315" priority="54726" stopIfTrue="1">
      <formula>NOT(ISBLANK($Z$10))</formula>
    </cfRule>
  </conditionalFormatting>
  <conditionalFormatting sqref="AA10">
    <cfRule type="expression" dxfId="12314" priority="54727" stopIfTrue="1">
      <formula>NOT(ISBLANK($AA$10))</formula>
    </cfRule>
  </conditionalFormatting>
  <conditionalFormatting sqref="AB10">
    <cfRule type="expression" dxfId="12313" priority="54728" stopIfTrue="1">
      <formula>NOT(ISBLANK($AB$10))</formula>
    </cfRule>
  </conditionalFormatting>
  <conditionalFormatting sqref="AC10">
    <cfRule type="expression" dxfId="12312" priority="54729" stopIfTrue="1">
      <formula>NOT(ISBLANK($AC$10))</formula>
    </cfRule>
  </conditionalFormatting>
  <conditionalFormatting sqref="AD10">
    <cfRule type="expression" dxfId="12311" priority="54730" stopIfTrue="1">
      <formula>NOT(ISBLANK($AD$10))</formula>
    </cfRule>
  </conditionalFormatting>
  <conditionalFormatting sqref="AE10">
    <cfRule type="expression" dxfId="12310" priority="54731" stopIfTrue="1">
      <formula>NOT(ISBLANK($AE$10))</formula>
    </cfRule>
  </conditionalFormatting>
  <conditionalFormatting sqref="AF10">
    <cfRule type="expression" dxfId="12309" priority="54732" stopIfTrue="1">
      <formula>NOT(ISBLANK($AF$10))</formula>
    </cfRule>
  </conditionalFormatting>
  <conditionalFormatting sqref="AG10">
    <cfRule type="expression" dxfId="12308" priority="54733" stopIfTrue="1">
      <formula>NOT(ISBLANK($AG$10))</formula>
    </cfRule>
  </conditionalFormatting>
  <conditionalFormatting sqref="AH10">
    <cfRule type="expression" dxfId="12307" priority="54734" stopIfTrue="1">
      <formula>NOT(ISBLANK($AH$10))</formula>
    </cfRule>
  </conditionalFormatting>
  <conditionalFormatting sqref="AI10">
    <cfRule type="expression" dxfId="12306" priority="54735" stopIfTrue="1">
      <formula>NOT(ISBLANK($AI$10))</formula>
    </cfRule>
  </conditionalFormatting>
  <conditionalFormatting sqref="AJ10">
    <cfRule type="expression" dxfId="12305" priority="54736" stopIfTrue="1">
      <formula>NOT(ISBLANK($AJ$10))</formula>
    </cfRule>
  </conditionalFormatting>
  <conditionalFormatting sqref="AK10">
    <cfRule type="expression" dxfId="12304" priority="54737" stopIfTrue="1">
      <formula>NOT(ISBLANK($AK$10))</formula>
    </cfRule>
  </conditionalFormatting>
  <conditionalFormatting sqref="AL10">
    <cfRule type="expression" dxfId="12303" priority="54738" stopIfTrue="1">
      <formula>NOT(ISBLANK($AL$10))</formula>
    </cfRule>
  </conditionalFormatting>
  <conditionalFormatting sqref="AM10">
    <cfRule type="expression" dxfId="12302" priority="54739" stopIfTrue="1">
      <formula>NOT(ISBLANK($AM$10))</formula>
    </cfRule>
  </conditionalFormatting>
  <conditionalFormatting sqref="AN10">
    <cfRule type="expression" dxfId="12301" priority="54740" stopIfTrue="1">
      <formula>NOT(ISBLANK($AN$10))</formula>
    </cfRule>
  </conditionalFormatting>
  <conditionalFormatting sqref="AO10">
    <cfRule type="expression" dxfId="12300" priority="54741" stopIfTrue="1">
      <formula>NOT(ISBLANK($AO$10))</formula>
    </cfRule>
  </conditionalFormatting>
  <conditionalFormatting sqref="AP10">
    <cfRule type="expression" dxfId="12299" priority="54742" stopIfTrue="1">
      <formula>NOT(ISBLANK($AP$10))</formula>
    </cfRule>
  </conditionalFormatting>
  <conditionalFormatting sqref="AQ10">
    <cfRule type="expression" dxfId="12298" priority="54743" stopIfTrue="1">
      <formula>NOT(ISBLANK($AQ$10))</formula>
    </cfRule>
  </conditionalFormatting>
  <conditionalFormatting sqref="A11">
    <cfRule type="cellIs" dxfId="12297" priority="54744" stopIfTrue="1" operator="notEqual">
      <formula>1</formula>
    </cfRule>
  </conditionalFormatting>
  <conditionalFormatting sqref="B11">
    <cfRule type="cellIs" dxfId="12296" priority="54745" stopIfTrue="1" operator="notEqual">
      <formula>1</formula>
    </cfRule>
  </conditionalFormatting>
  <conditionalFormatting sqref="C11">
    <cfRule type="cellIs" dxfId="12295" priority="54746" stopIfTrue="1" operator="notEqual">
      <formula>3</formula>
    </cfRule>
  </conditionalFormatting>
  <conditionalFormatting sqref="D11">
    <cfRule type="cellIs" dxfId="12294" priority="54747" stopIfTrue="1" operator="notEqual">
      <formula>0.305</formula>
    </cfRule>
  </conditionalFormatting>
  <conditionalFormatting sqref="E11">
    <cfRule type="cellIs" dxfId="12293" priority="54748" stopIfTrue="1" operator="notEqual">
      <formula>"MGD"</formula>
    </cfRule>
  </conditionalFormatting>
  <conditionalFormatting sqref="F11">
    <cfRule type="cellIs" dxfId="12292" priority="54749" stopIfTrue="1" operator="notEqual">
      <formula>0.094</formula>
    </cfRule>
  </conditionalFormatting>
  <conditionalFormatting sqref="G11">
    <cfRule type="cellIs" dxfId="12291" priority="54750" stopIfTrue="1" operator="notEqual">
      <formula>"MGD"</formula>
    </cfRule>
  </conditionalFormatting>
  <conditionalFormatting sqref="H11">
    <cfRule type="expression" dxfId="12290" priority="54751" stopIfTrue="1">
      <formula>NOT(ISBLANK($H$11))</formula>
    </cfRule>
  </conditionalFormatting>
  <conditionalFormatting sqref="I11">
    <cfRule type="expression" dxfId="12289" priority="54752" stopIfTrue="1">
      <formula>NOT(ISBLANK($I$11))</formula>
    </cfRule>
  </conditionalFormatting>
  <conditionalFormatting sqref="J11">
    <cfRule type="expression" dxfId="12288" priority="54753" stopIfTrue="1">
      <formula>NOT(ISBLANK($J$11))</formula>
    </cfRule>
  </conditionalFormatting>
  <conditionalFormatting sqref="K11">
    <cfRule type="expression" dxfId="12287" priority="54754" stopIfTrue="1">
      <formula>NOT(ISBLANK($K$11))</formula>
    </cfRule>
  </conditionalFormatting>
  <conditionalFormatting sqref="L11">
    <cfRule type="expression" dxfId="12286" priority="54755" stopIfTrue="1">
      <formula>NOT(ISBLANK($L$11))</formula>
    </cfRule>
  </conditionalFormatting>
  <conditionalFormatting sqref="M11">
    <cfRule type="expression" dxfId="12285" priority="54756" stopIfTrue="1">
      <formula>NOT(ISBLANK($M$11))</formula>
    </cfRule>
  </conditionalFormatting>
  <conditionalFormatting sqref="N11">
    <cfRule type="expression" dxfId="12284" priority="54757" stopIfTrue="1">
      <formula>NOT(ISBLANK($N$11))</formula>
    </cfRule>
  </conditionalFormatting>
  <conditionalFormatting sqref="O11">
    <cfRule type="expression" dxfId="12283" priority="54758" stopIfTrue="1">
      <formula>NOT(ISBLANK($O$11))</formula>
    </cfRule>
  </conditionalFormatting>
  <conditionalFormatting sqref="P11">
    <cfRule type="expression" dxfId="12282" priority="54759" stopIfTrue="1">
      <formula>NOT(ISBLANK($P$11))</formula>
    </cfRule>
  </conditionalFormatting>
  <conditionalFormatting sqref="Q11">
    <cfRule type="expression" dxfId="12281" priority="54760" stopIfTrue="1">
      <formula>NOT(ISBLANK($Q$11))</formula>
    </cfRule>
  </conditionalFormatting>
  <conditionalFormatting sqref="R11">
    <cfRule type="expression" dxfId="12280" priority="54761" stopIfTrue="1">
      <formula>NOT(ISBLANK($R$11))</formula>
    </cfRule>
  </conditionalFormatting>
  <conditionalFormatting sqref="S11">
    <cfRule type="expression" dxfId="12279" priority="54762" stopIfTrue="1">
      <formula>NOT(ISBLANK($S$11))</formula>
    </cfRule>
  </conditionalFormatting>
  <conditionalFormatting sqref="T11">
    <cfRule type="expression" dxfId="12278" priority="54763" stopIfTrue="1">
      <formula>NOT(ISBLANK($T$11))</formula>
    </cfRule>
  </conditionalFormatting>
  <conditionalFormatting sqref="U11">
    <cfRule type="expression" dxfId="12277" priority="54764" stopIfTrue="1">
      <formula>NOT(ISBLANK($U$11))</formula>
    </cfRule>
  </conditionalFormatting>
  <conditionalFormatting sqref="V11">
    <cfRule type="expression" dxfId="12276" priority="54765" stopIfTrue="1">
      <formula>NOT(ISBLANK($V$11))</formula>
    </cfRule>
  </conditionalFormatting>
  <conditionalFormatting sqref="W11">
    <cfRule type="expression" dxfId="12275" priority="54766" stopIfTrue="1">
      <formula>NOT(ISBLANK($W$11))</formula>
    </cfRule>
  </conditionalFormatting>
  <conditionalFormatting sqref="X11">
    <cfRule type="expression" dxfId="12274" priority="54767" stopIfTrue="1">
      <formula>NOT(ISBLANK($X$11))</formula>
    </cfRule>
  </conditionalFormatting>
  <conditionalFormatting sqref="Y11">
    <cfRule type="expression" dxfId="12273" priority="54768" stopIfTrue="1">
      <formula>NOT(ISBLANK($Y$11))</formula>
    </cfRule>
  </conditionalFormatting>
  <conditionalFormatting sqref="Z11">
    <cfRule type="expression" dxfId="12272" priority="54769" stopIfTrue="1">
      <formula>NOT(ISBLANK($Z$11))</formula>
    </cfRule>
  </conditionalFormatting>
  <conditionalFormatting sqref="AA11">
    <cfRule type="expression" dxfId="12271" priority="54770" stopIfTrue="1">
      <formula>NOT(ISBLANK($AA$11))</formula>
    </cfRule>
  </conditionalFormatting>
  <conditionalFormatting sqref="AB11">
    <cfRule type="expression" dxfId="12270" priority="54771" stopIfTrue="1">
      <formula>NOT(ISBLANK($AB$11))</formula>
    </cfRule>
  </conditionalFormatting>
  <conditionalFormatting sqref="AC11">
    <cfRule type="expression" dxfId="12269" priority="54772" stopIfTrue="1">
      <formula>NOT(ISBLANK($AC$11))</formula>
    </cfRule>
  </conditionalFormatting>
  <conditionalFormatting sqref="AD11">
    <cfRule type="expression" dxfId="12268" priority="54773" stopIfTrue="1">
      <formula>NOT(ISBLANK($AD$11))</formula>
    </cfRule>
  </conditionalFormatting>
  <conditionalFormatting sqref="AE11">
    <cfRule type="expression" dxfId="12267" priority="54774" stopIfTrue="1">
      <formula>NOT(ISBLANK($AE$11))</formula>
    </cfRule>
  </conditionalFormatting>
  <conditionalFormatting sqref="AF11">
    <cfRule type="expression" dxfId="12266" priority="54775" stopIfTrue="1">
      <formula>NOT(ISBLANK($AF$11))</formula>
    </cfRule>
  </conditionalFormatting>
  <conditionalFormatting sqref="AG11">
    <cfRule type="expression" dxfId="12265" priority="54776" stopIfTrue="1">
      <formula>NOT(ISBLANK($AG$11))</formula>
    </cfRule>
  </conditionalFormatting>
  <conditionalFormatting sqref="AH11">
    <cfRule type="expression" dxfId="12264" priority="54777" stopIfTrue="1">
      <formula>NOT(ISBLANK($AH$11))</formula>
    </cfRule>
  </conditionalFormatting>
  <conditionalFormatting sqref="AI11">
    <cfRule type="expression" dxfId="12263" priority="54778" stopIfTrue="1">
      <formula>NOT(ISBLANK($AI$11))</formula>
    </cfRule>
  </conditionalFormatting>
  <conditionalFormatting sqref="AJ11">
    <cfRule type="expression" dxfId="12262" priority="54779" stopIfTrue="1">
      <formula>NOT(ISBLANK($AJ$11))</formula>
    </cfRule>
  </conditionalFormatting>
  <conditionalFormatting sqref="AK11">
    <cfRule type="expression" dxfId="12261" priority="54780" stopIfTrue="1">
      <formula>NOT(ISBLANK($AK$11))</formula>
    </cfRule>
  </conditionalFormatting>
  <conditionalFormatting sqref="AL11">
    <cfRule type="expression" dxfId="12260" priority="54781" stopIfTrue="1">
      <formula>NOT(ISBLANK($AL$11))</formula>
    </cfRule>
  </conditionalFormatting>
  <conditionalFormatting sqref="AM11">
    <cfRule type="expression" dxfId="12259" priority="54782" stopIfTrue="1">
      <formula>NOT(ISBLANK($AM$11))</formula>
    </cfRule>
  </conditionalFormatting>
  <conditionalFormatting sqref="AN11">
    <cfRule type="expression" dxfId="12258" priority="54783" stopIfTrue="1">
      <formula>NOT(ISBLANK($AN$11))</formula>
    </cfRule>
  </conditionalFormatting>
  <conditionalFormatting sqref="AO11">
    <cfRule type="expression" dxfId="12257" priority="54784" stopIfTrue="1">
      <formula>NOT(ISBLANK($AO$11))</formula>
    </cfRule>
  </conditionalFormatting>
  <conditionalFormatting sqref="AP11">
    <cfRule type="expression" dxfId="12256" priority="54785" stopIfTrue="1">
      <formula>NOT(ISBLANK($AP$11))</formula>
    </cfRule>
  </conditionalFormatting>
  <conditionalFormatting sqref="AQ11">
    <cfRule type="expression" dxfId="12255" priority="54786" stopIfTrue="1">
      <formula>NOT(ISBLANK($AQ$11))</formula>
    </cfRule>
  </conditionalFormatting>
  <conditionalFormatting sqref="A12">
    <cfRule type="cellIs" dxfId="12254" priority="54787" stopIfTrue="1" operator="notEqual">
      <formula>1</formula>
    </cfRule>
  </conditionalFormatting>
  <conditionalFormatting sqref="B12">
    <cfRule type="cellIs" dxfId="12253" priority="54788" stopIfTrue="1" operator="notEqual">
      <formula>1</formula>
    </cfRule>
  </conditionalFormatting>
  <conditionalFormatting sqref="C12">
    <cfRule type="cellIs" dxfId="12252" priority="54789" stopIfTrue="1" operator="notEqual">
      <formula>4</formula>
    </cfRule>
  </conditionalFormatting>
  <conditionalFormatting sqref="D12">
    <cfRule type="cellIs" dxfId="12251" priority="54790" stopIfTrue="1" operator="notEqual">
      <formula>0.74</formula>
    </cfRule>
  </conditionalFormatting>
  <conditionalFormatting sqref="E12">
    <cfRule type="cellIs" dxfId="12250" priority="54791" stopIfTrue="1" operator="notEqual">
      <formula>"MGD"</formula>
    </cfRule>
  </conditionalFormatting>
  <conditionalFormatting sqref="F12">
    <cfRule type="cellIs" dxfId="12249" priority="54792" stopIfTrue="1" operator="notEqual">
      <formula>0.251</formula>
    </cfRule>
  </conditionalFormatting>
  <conditionalFormatting sqref="G12">
    <cfRule type="cellIs" dxfId="12248" priority="54793" stopIfTrue="1" operator="notEqual">
      <formula>"MGD"</formula>
    </cfRule>
  </conditionalFormatting>
  <conditionalFormatting sqref="H12">
    <cfRule type="expression" dxfId="12247" priority="54794" stopIfTrue="1">
      <formula>NOT(ISBLANK($H$12))</formula>
    </cfRule>
  </conditionalFormatting>
  <conditionalFormatting sqref="I12">
    <cfRule type="expression" dxfId="12246" priority="54795" stopIfTrue="1">
      <formula>NOT(ISBLANK($I$12))</formula>
    </cfRule>
  </conditionalFormatting>
  <conditionalFormatting sqref="J12">
    <cfRule type="expression" dxfId="12245" priority="54796" stopIfTrue="1">
      <formula>NOT(ISBLANK($J$12))</formula>
    </cfRule>
  </conditionalFormatting>
  <conditionalFormatting sqref="K12">
    <cfRule type="expression" dxfId="12244" priority="54797" stopIfTrue="1">
      <formula>NOT(ISBLANK($K$12))</formula>
    </cfRule>
  </conditionalFormatting>
  <conditionalFormatting sqref="L12">
    <cfRule type="expression" dxfId="12243" priority="54798" stopIfTrue="1">
      <formula>NOT(ISBLANK($L$12))</formula>
    </cfRule>
  </conditionalFormatting>
  <conditionalFormatting sqref="M12">
    <cfRule type="expression" dxfId="12242" priority="54799" stopIfTrue="1">
      <formula>NOT(ISBLANK($M$12))</formula>
    </cfRule>
  </conditionalFormatting>
  <conditionalFormatting sqref="N12">
    <cfRule type="expression" dxfId="12241" priority="54800" stopIfTrue="1">
      <formula>NOT(ISBLANK($N$12))</formula>
    </cfRule>
  </conditionalFormatting>
  <conditionalFormatting sqref="O12">
    <cfRule type="expression" dxfId="12240" priority="54801" stopIfTrue="1">
      <formula>NOT(ISBLANK($O$12))</formula>
    </cfRule>
  </conditionalFormatting>
  <conditionalFormatting sqref="P12">
    <cfRule type="expression" dxfId="12239" priority="54802" stopIfTrue="1">
      <formula>NOT(ISBLANK($P$12))</formula>
    </cfRule>
  </conditionalFormatting>
  <conditionalFormatting sqref="Q12">
    <cfRule type="expression" dxfId="12238" priority="54803" stopIfTrue="1">
      <formula>NOT(ISBLANK($Q$12))</formula>
    </cfRule>
  </conditionalFormatting>
  <conditionalFormatting sqref="R12">
    <cfRule type="expression" dxfId="12237" priority="54804" stopIfTrue="1">
      <formula>NOT(ISBLANK($R$12))</formula>
    </cfRule>
  </conditionalFormatting>
  <conditionalFormatting sqref="S12">
    <cfRule type="expression" dxfId="12236" priority="54805" stopIfTrue="1">
      <formula>NOT(ISBLANK($S$12))</formula>
    </cfRule>
  </conditionalFormatting>
  <conditionalFormatting sqref="T12">
    <cfRule type="expression" dxfId="12235" priority="54806" stopIfTrue="1">
      <formula>NOT(ISBLANK($T$12))</formula>
    </cfRule>
  </conditionalFormatting>
  <conditionalFormatting sqref="U12">
    <cfRule type="expression" dxfId="12234" priority="54807" stopIfTrue="1">
      <formula>NOT(ISBLANK($U$12))</formula>
    </cfRule>
  </conditionalFormatting>
  <conditionalFormatting sqref="V12">
    <cfRule type="expression" dxfId="12233" priority="54808" stopIfTrue="1">
      <formula>NOT(ISBLANK($V$12))</formula>
    </cfRule>
  </conditionalFormatting>
  <conditionalFormatting sqref="W12">
    <cfRule type="expression" dxfId="12232" priority="54809" stopIfTrue="1">
      <formula>NOT(ISBLANK($W$12))</formula>
    </cfRule>
  </conditionalFormatting>
  <conditionalFormatting sqref="X12">
    <cfRule type="expression" dxfId="12231" priority="54810" stopIfTrue="1">
      <formula>NOT(ISBLANK($X$12))</formula>
    </cfRule>
  </conditionalFormatting>
  <conditionalFormatting sqref="Y12">
    <cfRule type="expression" dxfId="12230" priority="54811" stopIfTrue="1">
      <formula>NOT(ISBLANK($Y$12))</formula>
    </cfRule>
  </conditionalFormatting>
  <conditionalFormatting sqref="Z12">
    <cfRule type="expression" dxfId="12229" priority="54812" stopIfTrue="1">
      <formula>NOT(ISBLANK($Z$12))</formula>
    </cfRule>
  </conditionalFormatting>
  <conditionalFormatting sqref="AA12">
    <cfRule type="expression" dxfId="12228" priority="54813" stopIfTrue="1">
      <formula>NOT(ISBLANK($AA$12))</formula>
    </cfRule>
  </conditionalFormatting>
  <conditionalFormatting sqref="AB12">
    <cfRule type="expression" dxfId="12227" priority="54814" stopIfTrue="1">
      <formula>NOT(ISBLANK($AB$12))</formula>
    </cfRule>
  </conditionalFormatting>
  <conditionalFormatting sqref="AC12">
    <cfRule type="expression" dxfId="12226" priority="54815" stopIfTrue="1">
      <formula>NOT(ISBLANK($AC$12))</formula>
    </cfRule>
  </conditionalFormatting>
  <conditionalFormatting sqref="AD12">
    <cfRule type="expression" dxfId="12225" priority="54816" stopIfTrue="1">
      <formula>NOT(ISBLANK($AD$12))</formula>
    </cfRule>
  </conditionalFormatting>
  <conditionalFormatting sqref="AE12">
    <cfRule type="expression" dxfId="12224" priority="54817" stopIfTrue="1">
      <formula>NOT(ISBLANK($AE$12))</formula>
    </cfRule>
  </conditionalFormatting>
  <conditionalFormatting sqref="AF12">
    <cfRule type="expression" dxfId="12223" priority="54818" stopIfTrue="1">
      <formula>NOT(ISBLANK($AF$12))</formula>
    </cfRule>
  </conditionalFormatting>
  <conditionalFormatting sqref="AG12">
    <cfRule type="expression" dxfId="12222" priority="54819" stopIfTrue="1">
      <formula>NOT(ISBLANK($AG$12))</formula>
    </cfRule>
  </conditionalFormatting>
  <conditionalFormatting sqref="AH12">
    <cfRule type="expression" dxfId="12221" priority="54820" stopIfTrue="1">
      <formula>NOT(ISBLANK($AH$12))</formula>
    </cfRule>
  </conditionalFormatting>
  <conditionalFormatting sqref="AI12">
    <cfRule type="expression" dxfId="12220" priority="54821" stopIfTrue="1">
      <formula>NOT(ISBLANK($AI$12))</formula>
    </cfRule>
  </conditionalFormatting>
  <conditionalFormatting sqref="AJ12">
    <cfRule type="expression" dxfId="12219" priority="54822" stopIfTrue="1">
      <formula>NOT(ISBLANK($AJ$12))</formula>
    </cfRule>
  </conditionalFormatting>
  <conditionalFormatting sqref="AK12">
    <cfRule type="expression" dxfId="12218" priority="54823" stopIfTrue="1">
      <formula>NOT(ISBLANK($AK$12))</formula>
    </cfRule>
  </conditionalFormatting>
  <conditionalFormatting sqref="AL12">
    <cfRule type="expression" dxfId="12217" priority="54824" stopIfTrue="1">
      <formula>NOT(ISBLANK($AL$12))</formula>
    </cfRule>
  </conditionalFormatting>
  <conditionalFormatting sqref="AM12">
    <cfRule type="expression" dxfId="12216" priority="54825" stopIfTrue="1">
      <formula>NOT(ISBLANK($AM$12))</formula>
    </cfRule>
  </conditionalFormatting>
  <conditionalFormatting sqref="AN12">
    <cfRule type="expression" dxfId="12215" priority="54826" stopIfTrue="1">
      <formula>NOT(ISBLANK($AN$12))</formula>
    </cfRule>
  </conditionalFormatting>
  <conditionalFormatting sqref="AO12">
    <cfRule type="expression" dxfId="12214" priority="54827" stopIfTrue="1">
      <formula>NOT(ISBLANK($AO$12))</formula>
    </cfRule>
  </conditionalFormatting>
  <conditionalFormatting sqref="AP12">
    <cfRule type="expression" dxfId="12213" priority="54828" stopIfTrue="1">
      <formula>NOT(ISBLANK($AP$12))</formula>
    </cfRule>
  </conditionalFormatting>
  <conditionalFormatting sqref="AQ12">
    <cfRule type="expression" dxfId="12212" priority="54829" stopIfTrue="1">
      <formula>NOT(ISBLANK($AQ$12))</formula>
    </cfRule>
  </conditionalFormatting>
  <conditionalFormatting sqref="A13">
    <cfRule type="cellIs" dxfId="12211" priority="54830" stopIfTrue="1" operator="notEqual">
      <formula>1</formula>
    </cfRule>
  </conditionalFormatting>
  <conditionalFormatting sqref="B13">
    <cfRule type="cellIs" dxfId="12210" priority="54831" stopIfTrue="1" operator="notEqual">
      <formula>1</formula>
    </cfRule>
  </conditionalFormatting>
  <conditionalFormatting sqref="C13">
    <cfRule type="cellIs" dxfId="12209" priority="54832" stopIfTrue="1" operator="notEqual">
      <formula>5</formula>
    </cfRule>
  </conditionalFormatting>
  <conditionalFormatting sqref="D13">
    <cfRule type="cellIs" dxfId="12208" priority="54833" stopIfTrue="1" operator="notEqual">
      <formula>2.152</formula>
    </cfRule>
  </conditionalFormatting>
  <conditionalFormatting sqref="E13">
    <cfRule type="cellIs" dxfId="12207" priority="54834" stopIfTrue="1" operator="notEqual">
      <formula>"MGD"</formula>
    </cfRule>
  </conditionalFormatting>
  <conditionalFormatting sqref="F13">
    <cfRule type="cellIs" dxfId="12206" priority="54835" stopIfTrue="1" operator="notEqual">
      <formula>0.819</formula>
    </cfRule>
  </conditionalFormatting>
  <conditionalFormatting sqref="G13">
    <cfRule type="cellIs" dxfId="12205" priority="54836" stopIfTrue="1" operator="notEqual">
      <formula>"MGD"</formula>
    </cfRule>
  </conditionalFormatting>
  <conditionalFormatting sqref="H13">
    <cfRule type="expression" dxfId="12204" priority="54837" stopIfTrue="1">
      <formula>NOT(ISBLANK($H$13))</formula>
    </cfRule>
  </conditionalFormatting>
  <conditionalFormatting sqref="I13">
    <cfRule type="expression" dxfId="12203" priority="54838" stopIfTrue="1">
      <formula>NOT(ISBLANK($I$13))</formula>
    </cfRule>
  </conditionalFormatting>
  <conditionalFormatting sqref="J13">
    <cfRule type="expression" dxfId="12202" priority="54839" stopIfTrue="1">
      <formula>NOT(ISBLANK($J$13))</formula>
    </cfRule>
  </conditionalFormatting>
  <conditionalFormatting sqref="K13">
    <cfRule type="expression" dxfId="12201" priority="54840" stopIfTrue="1">
      <formula>NOT(ISBLANK($K$13))</formula>
    </cfRule>
  </conditionalFormatting>
  <conditionalFormatting sqref="L13">
    <cfRule type="expression" dxfId="12200" priority="54841" stopIfTrue="1">
      <formula>NOT(ISBLANK($L$13))</formula>
    </cfRule>
  </conditionalFormatting>
  <conditionalFormatting sqref="M13">
    <cfRule type="expression" dxfId="12199" priority="54842" stopIfTrue="1">
      <formula>NOT(ISBLANK($M$13))</formula>
    </cfRule>
  </conditionalFormatting>
  <conditionalFormatting sqref="N13">
    <cfRule type="expression" dxfId="12198" priority="54843" stopIfTrue="1">
      <formula>NOT(ISBLANK($N$13))</formula>
    </cfRule>
  </conditionalFormatting>
  <conditionalFormatting sqref="O13">
    <cfRule type="expression" dxfId="12197" priority="54844" stopIfTrue="1">
      <formula>NOT(ISBLANK($O$13))</formula>
    </cfRule>
  </conditionalFormatting>
  <conditionalFormatting sqref="P13">
    <cfRule type="expression" dxfId="12196" priority="54845" stopIfTrue="1">
      <formula>NOT(ISBLANK($P$13))</formula>
    </cfRule>
  </conditionalFormatting>
  <conditionalFormatting sqref="Q13">
    <cfRule type="expression" dxfId="12195" priority="54846" stopIfTrue="1">
      <formula>NOT(ISBLANK($Q$13))</formula>
    </cfRule>
  </conditionalFormatting>
  <conditionalFormatting sqref="R13">
    <cfRule type="expression" dxfId="12194" priority="54847" stopIfTrue="1">
      <formula>NOT(ISBLANK($R$13))</formula>
    </cfRule>
  </conditionalFormatting>
  <conditionalFormatting sqref="S13">
    <cfRule type="expression" dxfId="12193" priority="54848" stopIfTrue="1">
      <formula>NOT(ISBLANK($S$13))</formula>
    </cfRule>
  </conditionalFormatting>
  <conditionalFormatting sqref="T13">
    <cfRule type="expression" dxfId="12192" priority="54849" stopIfTrue="1">
      <formula>NOT(ISBLANK($T$13))</formula>
    </cfRule>
  </conditionalFormatting>
  <conditionalFormatting sqref="U13">
    <cfRule type="expression" dxfId="12191" priority="54850" stopIfTrue="1">
      <formula>NOT(ISBLANK($U$13))</formula>
    </cfRule>
  </conditionalFormatting>
  <conditionalFormatting sqref="V13">
    <cfRule type="expression" dxfId="12190" priority="54851" stopIfTrue="1">
      <formula>NOT(ISBLANK($V$13))</formula>
    </cfRule>
  </conditionalFormatting>
  <conditionalFormatting sqref="W13">
    <cfRule type="expression" dxfId="12189" priority="54852" stopIfTrue="1">
      <formula>NOT(ISBLANK($W$13))</formula>
    </cfRule>
  </conditionalFormatting>
  <conditionalFormatting sqref="X13">
    <cfRule type="expression" dxfId="12188" priority="54853" stopIfTrue="1">
      <formula>NOT(ISBLANK($X$13))</formula>
    </cfRule>
  </conditionalFormatting>
  <conditionalFormatting sqref="Y13">
    <cfRule type="expression" dxfId="12187" priority="54854" stopIfTrue="1">
      <formula>NOT(ISBLANK($Y$13))</formula>
    </cfRule>
  </conditionalFormatting>
  <conditionalFormatting sqref="Z13">
    <cfRule type="expression" dxfId="12186" priority="54855" stopIfTrue="1">
      <formula>NOT(ISBLANK($Z$13))</formula>
    </cfRule>
  </conditionalFormatting>
  <conditionalFormatting sqref="AA13">
    <cfRule type="expression" dxfId="12185" priority="54856" stopIfTrue="1">
      <formula>NOT(ISBLANK($AA$13))</formula>
    </cfRule>
  </conditionalFormatting>
  <conditionalFormatting sqref="AB13">
    <cfRule type="expression" dxfId="12184" priority="54857" stopIfTrue="1">
      <formula>NOT(ISBLANK($AB$13))</formula>
    </cfRule>
  </conditionalFormatting>
  <conditionalFormatting sqref="AC13">
    <cfRule type="expression" dxfId="12183" priority="54858" stopIfTrue="1">
      <formula>NOT(ISBLANK($AC$13))</formula>
    </cfRule>
  </conditionalFormatting>
  <conditionalFormatting sqref="AD13">
    <cfRule type="expression" dxfId="12182" priority="54859" stopIfTrue="1">
      <formula>NOT(ISBLANK($AD$13))</formula>
    </cfRule>
  </conditionalFormatting>
  <conditionalFormatting sqref="AE13">
    <cfRule type="expression" dxfId="12181" priority="54860" stopIfTrue="1">
      <formula>NOT(ISBLANK($AE$13))</formula>
    </cfRule>
  </conditionalFormatting>
  <conditionalFormatting sqref="AF13">
    <cfRule type="expression" dxfId="12180" priority="54861" stopIfTrue="1">
      <formula>NOT(ISBLANK($AF$13))</formula>
    </cfRule>
  </conditionalFormatting>
  <conditionalFormatting sqref="AG13">
    <cfRule type="expression" dxfId="12179" priority="54862" stopIfTrue="1">
      <formula>NOT(ISBLANK($AG$13))</formula>
    </cfRule>
  </conditionalFormatting>
  <conditionalFormatting sqref="AH13">
    <cfRule type="expression" dxfId="12178" priority="54863" stopIfTrue="1">
      <formula>NOT(ISBLANK($AH$13))</formula>
    </cfRule>
  </conditionalFormatting>
  <conditionalFormatting sqref="AI13">
    <cfRule type="expression" dxfId="12177" priority="54864" stopIfTrue="1">
      <formula>NOT(ISBLANK($AI$13))</formula>
    </cfRule>
  </conditionalFormatting>
  <conditionalFormatting sqref="AJ13">
    <cfRule type="expression" dxfId="12176" priority="54865" stopIfTrue="1">
      <formula>NOT(ISBLANK($AJ$13))</formula>
    </cfRule>
  </conditionalFormatting>
  <conditionalFormatting sqref="AK13">
    <cfRule type="expression" dxfId="12175" priority="54866" stopIfTrue="1">
      <formula>NOT(ISBLANK($AK$13))</formula>
    </cfRule>
  </conditionalFormatting>
  <conditionalFormatting sqref="AL13">
    <cfRule type="expression" dxfId="12174" priority="54867" stopIfTrue="1">
      <formula>NOT(ISBLANK($AL$13))</formula>
    </cfRule>
  </conditionalFormatting>
  <conditionalFormatting sqref="AM13">
    <cfRule type="expression" dxfId="12173" priority="54868" stopIfTrue="1">
      <formula>NOT(ISBLANK($AM$13))</formula>
    </cfRule>
  </conditionalFormatting>
  <conditionalFormatting sqref="AN13">
    <cfRule type="expression" dxfId="12172" priority="54869" stopIfTrue="1">
      <formula>NOT(ISBLANK($AN$13))</formula>
    </cfRule>
  </conditionalFormatting>
  <conditionalFormatting sqref="AO13">
    <cfRule type="expression" dxfId="12171" priority="54870" stopIfTrue="1">
      <formula>NOT(ISBLANK($AO$13))</formula>
    </cfRule>
  </conditionalFormatting>
  <conditionalFormatting sqref="AP13">
    <cfRule type="expression" dxfId="12170" priority="54871" stopIfTrue="1">
      <formula>NOT(ISBLANK($AP$13))</formula>
    </cfRule>
  </conditionalFormatting>
  <conditionalFormatting sqref="AQ13">
    <cfRule type="expression" dxfId="12169" priority="54872" stopIfTrue="1">
      <formula>NOT(ISBLANK($AQ$13))</formula>
    </cfRule>
  </conditionalFormatting>
  <conditionalFormatting sqref="A14">
    <cfRule type="cellIs" dxfId="12168" priority="54873" stopIfTrue="1" operator="notEqual">
      <formula>1</formula>
    </cfRule>
  </conditionalFormatting>
  <conditionalFormatting sqref="B14">
    <cfRule type="cellIs" dxfId="12167" priority="54874" stopIfTrue="1" operator="notEqual">
      <formula>1</formula>
    </cfRule>
  </conditionalFormatting>
  <conditionalFormatting sqref="C14">
    <cfRule type="cellIs" dxfId="12166" priority="54875" stopIfTrue="1" operator="notEqual">
      <formula>6</formula>
    </cfRule>
  </conditionalFormatting>
  <conditionalFormatting sqref="D14">
    <cfRule type="cellIs" dxfId="12165" priority="54876" stopIfTrue="1" operator="notEqual">
      <formula>7.365</formula>
    </cfRule>
  </conditionalFormatting>
  <conditionalFormatting sqref="E14">
    <cfRule type="cellIs" dxfId="12164" priority="54877" stopIfTrue="1" operator="notEqual">
      <formula>"MGD"</formula>
    </cfRule>
  </conditionalFormatting>
  <conditionalFormatting sqref="F14">
    <cfRule type="cellIs" dxfId="12163" priority="54878" stopIfTrue="1" operator="notEqual">
      <formula>3.2</formula>
    </cfRule>
  </conditionalFormatting>
  <conditionalFormatting sqref="G14">
    <cfRule type="cellIs" dxfId="12162" priority="54879" stopIfTrue="1" operator="notEqual">
      <formula>"MGD"</formula>
    </cfRule>
  </conditionalFormatting>
  <conditionalFormatting sqref="H14">
    <cfRule type="expression" dxfId="12161" priority="54880" stopIfTrue="1">
      <formula>NOT(ISBLANK($H$14))</formula>
    </cfRule>
  </conditionalFormatting>
  <conditionalFormatting sqref="I14">
    <cfRule type="expression" dxfId="12160" priority="54881" stopIfTrue="1">
      <formula>NOT(ISBLANK($I$14))</formula>
    </cfRule>
  </conditionalFormatting>
  <conditionalFormatting sqref="J14">
    <cfRule type="expression" dxfId="12159" priority="54882" stopIfTrue="1">
      <formula>NOT(ISBLANK($J$14))</formula>
    </cfRule>
  </conditionalFormatting>
  <conditionalFormatting sqref="K14">
    <cfRule type="expression" dxfId="12158" priority="54883" stopIfTrue="1">
      <formula>NOT(ISBLANK($K$14))</formula>
    </cfRule>
  </conditionalFormatting>
  <conditionalFormatting sqref="L14">
    <cfRule type="expression" dxfId="12157" priority="54884" stopIfTrue="1">
      <formula>NOT(ISBLANK($L$14))</formula>
    </cfRule>
  </conditionalFormatting>
  <conditionalFormatting sqref="M14">
    <cfRule type="expression" dxfId="12156" priority="54885" stopIfTrue="1">
      <formula>NOT(ISBLANK($M$14))</formula>
    </cfRule>
  </conditionalFormatting>
  <conditionalFormatting sqref="N14">
    <cfRule type="expression" dxfId="12155" priority="54886" stopIfTrue="1">
      <formula>NOT(ISBLANK($N$14))</formula>
    </cfRule>
  </conditionalFormatting>
  <conditionalFormatting sqref="O14">
    <cfRule type="expression" dxfId="12154" priority="54887" stopIfTrue="1">
      <formula>NOT(ISBLANK($O$14))</formula>
    </cfRule>
  </conditionalFormatting>
  <conditionalFormatting sqref="P14">
    <cfRule type="expression" dxfId="12153" priority="54888" stopIfTrue="1">
      <formula>NOT(ISBLANK($P$14))</formula>
    </cfRule>
  </conditionalFormatting>
  <conditionalFormatting sqref="Q14">
    <cfRule type="expression" dxfId="12152" priority="54889" stopIfTrue="1">
      <formula>NOT(ISBLANK($Q$14))</formula>
    </cfRule>
  </conditionalFormatting>
  <conditionalFormatting sqref="R14">
    <cfRule type="expression" dxfId="12151" priority="54890" stopIfTrue="1">
      <formula>NOT(ISBLANK($R$14))</formula>
    </cfRule>
  </conditionalFormatting>
  <conditionalFormatting sqref="S14">
    <cfRule type="expression" dxfId="12150" priority="54891" stopIfTrue="1">
      <formula>NOT(ISBLANK($S$14))</formula>
    </cfRule>
  </conditionalFormatting>
  <conditionalFormatting sqref="T14">
    <cfRule type="expression" dxfId="12149" priority="54892" stopIfTrue="1">
      <formula>NOT(ISBLANK($T$14))</formula>
    </cfRule>
  </conditionalFormatting>
  <conditionalFormatting sqref="U14">
    <cfRule type="expression" dxfId="12148" priority="54893" stopIfTrue="1">
      <formula>NOT(ISBLANK($U$14))</formula>
    </cfRule>
  </conditionalFormatting>
  <conditionalFormatting sqref="V14">
    <cfRule type="expression" dxfId="12147" priority="54894" stopIfTrue="1">
      <formula>NOT(ISBLANK($V$14))</formula>
    </cfRule>
  </conditionalFormatting>
  <conditionalFormatting sqref="W14">
    <cfRule type="expression" dxfId="12146" priority="54895" stopIfTrue="1">
      <formula>NOT(ISBLANK($W$14))</formula>
    </cfRule>
  </conditionalFormatting>
  <conditionalFormatting sqref="X14">
    <cfRule type="expression" dxfId="12145" priority="54896" stopIfTrue="1">
      <formula>NOT(ISBLANK($X$14))</formula>
    </cfRule>
  </conditionalFormatting>
  <conditionalFormatting sqref="Y14">
    <cfRule type="expression" dxfId="12144" priority="54897" stopIfTrue="1">
      <formula>NOT(ISBLANK($Y$14))</formula>
    </cfRule>
  </conditionalFormatting>
  <conditionalFormatting sqref="Z14">
    <cfRule type="expression" dxfId="12143" priority="54898" stopIfTrue="1">
      <formula>NOT(ISBLANK($Z$14))</formula>
    </cfRule>
  </conditionalFormatting>
  <conditionalFormatting sqref="AA14">
    <cfRule type="expression" dxfId="12142" priority="54899" stopIfTrue="1">
      <formula>NOT(ISBLANK($AA$14))</formula>
    </cfRule>
  </conditionalFormatting>
  <conditionalFormatting sqref="AB14">
    <cfRule type="expression" dxfId="12141" priority="54900" stopIfTrue="1">
      <formula>NOT(ISBLANK($AB$14))</formula>
    </cfRule>
  </conditionalFormatting>
  <conditionalFormatting sqref="AC14">
    <cfRule type="expression" dxfId="12140" priority="54901" stopIfTrue="1">
      <formula>NOT(ISBLANK($AC$14))</formula>
    </cfRule>
  </conditionalFormatting>
  <conditionalFormatting sqref="AD14">
    <cfRule type="expression" dxfId="12139" priority="54902" stopIfTrue="1">
      <formula>NOT(ISBLANK($AD$14))</formula>
    </cfRule>
  </conditionalFormatting>
  <conditionalFormatting sqref="AE14">
    <cfRule type="expression" dxfId="12138" priority="54903" stopIfTrue="1">
      <formula>NOT(ISBLANK($AE$14))</formula>
    </cfRule>
  </conditionalFormatting>
  <conditionalFormatting sqref="AF14">
    <cfRule type="expression" dxfId="12137" priority="54904" stopIfTrue="1">
      <formula>NOT(ISBLANK($AF$14))</formula>
    </cfRule>
  </conditionalFormatting>
  <conditionalFormatting sqref="AG14">
    <cfRule type="expression" dxfId="12136" priority="54905" stopIfTrue="1">
      <formula>NOT(ISBLANK($AG$14))</formula>
    </cfRule>
  </conditionalFormatting>
  <conditionalFormatting sqref="AH14">
    <cfRule type="expression" dxfId="12135" priority="54906" stopIfTrue="1">
      <formula>NOT(ISBLANK($AH$14))</formula>
    </cfRule>
  </conditionalFormatting>
  <conditionalFormatting sqref="AI14">
    <cfRule type="expression" dxfId="12134" priority="54907" stopIfTrue="1">
      <formula>NOT(ISBLANK($AI$14))</formula>
    </cfRule>
  </conditionalFormatting>
  <conditionalFormatting sqref="AJ14">
    <cfRule type="expression" dxfId="12133" priority="54908" stopIfTrue="1">
      <formula>NOT(ISBLANK($AJ$14))</formula>
    </cfRule>
  </conditionalFormatting>
  <conditionalFormatting sqref="AK14">
    <cfRule type="expression" dxfId="12132" priority="54909" stopIfTrue="1">
      <formula>NOT(ISBLANK($AK$14))</formula>
    </cfRule>
  </conditionalFormatting>
  <conditionalFormatting sqref="AL14">
    <cfRule type="expression" dxfId="12131" priority="54910" stopIfTrue="1">
      <formula>NOT(ISBLANK($AL$14))</formula>
    </cfRule>
  </conditionalFormatting>
  <conditionalFormatting sqref="AM14">
    <cfRule type="expression" dxfId="12130" priority="54911" stopIfTrue="1">
      <formula>NOT(ISBLANK($AM$14))</formula>
    </cfRule>
  </conditionalFormatting>
  <conditionalFormatting sqref="AN14">
    <cfRule type="expression" dxfId="12129" priority="54912" stopIfTrue="1">
      <formula>NOT(ISBLANK($AN$14))</formula>
    </cfRule>
  </conditionalFormatting>
  <conditionalFormatting sqref="AO14">
    <cfRule type="expression" dxfId="12128" priority="54913" stopIfTrue="1">
      <formula>NOT(ISBLANK($AO$14))</formula>
    </cfRule>
  </conditionalFormatting>
  <conditionalFormatting sqref="AP14">
    <cfRule type="expression" dxfId="12127" priority="54914" stopIfTrue="1">
      <formula>NOT(ISBLANK($AP$14))</formula>
    </cfRule>
  </conditionalFormatting>
  <conditionalFormatting sqref="AQ14">
    <cfRule type="expression" dxfId="12126" priority="54915" stopIfTrue="1">
      <formula>NOT(ISBLANK($AQ$14))</formula>
    </cfRule>
  </conditionalFormatting>
  <conditionalFormatting sqref="A15">
    <cfRule type="cellIs" dxfId="12125" priority="54916" stopIfTrue="1" operator="notEqual">
      <formula>1</formula>
    </cfRule>
  </conditionalFormatting>
  <conditionalFormatting sqref="B15">
    <cfRule type="cellIs" dxfId="12124" priority="54917" stopIfTrue="1" operator="notEqual">
      <formula>1</formula>
    </cfRule>
  </conditionalFormatting>
  <conditionalFormatting sqref="C15">
    <cfRule type="cellIs" dxfId="12123" priority="54918" stopIfTrue="1" operator="notEqual">
      <formula>7</formula>
    </cfRule>
  </conditionalFormatting>
  <conditionalFormatting sqref="D15">
    <cfRule type="cellIs" dxfId="12122" priority="54919" stopIfTrue="1" operator="notEqual">
      <formula>22.614</formula>
    </cfRule>
  </conditionalFormatting>
  <conditionalFormatting sqref="E15">
    <cfRule type="cellIs" dxfId="12121" priority="54920" stopIfTrue="1" operator="notEqual">
      <formula>"MGD"</formula>
    </cfRule>
  </conditionalFormatting>
  <conditionalFormatting sqref="F15">
    <cfRule type="cellIs" dxfId="12120" priority="54921" stopIfTrue="1" operator="notEqual">
      <formula>11.066</formula>
    </cfRule>
  </conditionalFormatting>
  <conditionalFormatting sqref="G15">
    <cfRule type="cellIs" dxfId="12119" priority="54922" stopIfTrue="1" operator="notEqual">
      <formula>"MGD"</formula>
    </cfRule>
  </conditionalFormatting>
  <conditionalFormatting sqref="H15">
    <cfRule type="expression" dxfId="12118" priority="54923" stopIfTrue="1">
      <formula>NOT(ISBLANK($H$15))</formula>
    </cfRule>
  </conditionalFormatting>
  <conditionalFormatting sqref="I15">
    <cfRule type="expression" dxfId="12117" priority="54924" stopIfTrue="1">
      <formula>NOT(ISBLANK($I$15))</formula>
    </cfRule>
  </conditionalFormatting>
  <conditionalFormatting sqref="J15">
    <cfRule type="expression" dxfId="12116" priority="54925" stopIfTrue="1">
      <formula>NOT(ISBLANK($J$15))</formula>
    </cfRule>
  </conditionalFormatting>
  <conditionalFormatting sqref="K15">
    <cfRule type="expression" dxfId="12115" priority="54926" stopIfTrue="1">
      <formula>NOT(ISBLANK($K$15))</formula>
    </cfRule>
  </conditionalFormatting>
  <conditionalFormatting sqref="L15">
    <cfRule type="expression" dxfId="12114" priority="54927" stopIfTrue="1">
      <formula>NOT(ISBLANK($L$15))</formula>
    </cfRule>
  </conditionalFormatting>
  <conditionalFormatting sqref="M15">
    <cfRule type="expression" dxfId="12113" priority="54928" stopIfTrue="1">
      <formula>NOT(ISBLANK($M$15))</formula>
    </cfRule>
  </conditionalFormatting>
  <conditionalFormatting sqref="N15">
    <cfRule type="expression" dxfId="12112" priority="54929" stopIfTrue="1">
      <formula>NOT(ISBLANK($N$15))</formula>
    </cfRule>
  </conditionalFormatting>
  <conditionalFormatting sqref="O15">
    <cfRule type="expression" dxfId="12111" priority="54930" stopIfTrue="1">
      <formula>NOT(ISBLANK($O$15))</formula>
    </cfRule>
  </conditionalFormatting>
  <conditionalFormatting sqref="P15">
    <cfRule type="expression" dxfId="12110" priority="54931" stopIfTrue="1">
      <formula>NOT(ISBLANK($P$15))</formula>
    </cfRule>
  </conditionalFormatting>
  <conditionalFormatting sqref="Q15">
    <cfRule type="expression" dxfId="12109" priority="54932" stopIfTrue="1">
      <formula>NOT(ISBLANK($Q$15))</formula>
    </cfRule>
  </conditionalFormatting>
  <conditionalFormatting sqref="R15">
    <cfRule type="expression" dxfId="12108" priority="54933" stopIfTrue="1">
      <formula>NOT(ISBLANK($R$15))</formula>
    </cfRule>
  </conditionalFormatting>
  <conditionalFormatting sqref="S15">
    <cfRule type="expression" dxfId="12107" priority="54934" stopIfTrue="1">
      <formula>NOT(ISBLANK($S$15))</formula>
    </cfRule>
  </conditionalFormatting>
  <conditionalFormatting sqref="T15">
    <cfRule type="expression" dxfId="12106" priority="54935" stopIfTrue="1">
      <formula>NOT(ISBLANK($T$15))</formula>
    </cfRule>
  </conditionalFormatting>
  <conditionalFormatting sqref="U15">
    <cfRule type="expression" dxfId="12105" priority="54936" stopIfTrue="1">
      <formula>NOT(ISBLANK($U$15))</formula>
    </cfRule>
  </conditionalFormatting>
  <conditionalFormatting sqref="V15">
    <cfRule type="expression" dxfId="12104" priority="54937" stopIfTrue="1">
      <formula>NOT(ISBLANK($V$15))</formula>
    </cfRule>
  </conditionalFormatting>
  <conditionalFormatting sqref="W15">
    <cfRule type="expression" dxfId="12103" priority="54938" stopIfTrue="1">
      <formula>NOT(ISBLANK($W$15))</formula>
    </cfRule>
  </conditionalFormatting>
  <conditionalFormatting sqref="X15">
    <cfRule type="expression" dxfId="12102" priority="54939" stopIfTrue="1">
      <formula>NOT(ISBLANK($X$15))</formula>
    </cfRule>
  </conditionalFormatting>
  <conditionalFormatting sqref="Y15">
    <cfRule type="expression" dxfId="12101" priority="54940" stopIfTrue="1">
      <formula>NOT(ISBLANK($Y$15))</formula>
    </cfRule>
  </conditionalFormatting>
  <conditionalFormatting sqref="Z15">
    <cfRule type="expression" dxfId="12100" priority="54941" stopIfTrue="1">
      <formula>NOT(ISBLANK($Z$15))</formula>
    </cfRule>
  </conditionalFormatting>
  <conditionalFormatting sqref="AA15">
    <cfRule type="expression" dxfId="12099" priority="54942" stopIfTrue="1">
      <formula>NOT(ISBLANK($AA$15))</formula>
    </cfRule>
  </conditionalFormatting>
  <conditionalFormatting sqref="AB15">
    <cfRule type="expression" dxfId="12098" priority="54943" stopIfTrue="1">
      <formula>NOT(ISBLANK($AB$15))</formula>
    </cfRule>
  </conditionalFormatting>
  <conditionalFormatting sqref="AC15">
    <cfRule type="expression" dxfId="12097" priority="54944" stopIfTrue="1">
      <formula>NOT(ISBLANK($AC$15))</formula>
    </cfRule>
  </conditionalFormatting>
  <conditionalFormatting sqref="AD15">
    <cfRule type="expression" dxfId="12096" priority="54945" stopIfTrue="1">
      <formula>NOT(ISBLANK($AD$15))</formula>
    </cfRule>
  </conditionalFormatting>
  <conditionalFormatting sqref="AE15">
    <cfRule type="expression" dxfId="12095" priority="54946" stopIfTrue="1">
      <formula>NOT(ISBLANK($AE$15))</formula>
    </cfRule>
  </conditionalFormatting>
  <conditionalFormatting sqref="AF15">
    <cfRule type="expression" dxfId="12094" priority="54947" stopIfTrue="1">
      <formula>NOT(ISBLANK($AF$15))</formula>
    </cfRule>
  </conditionalFormatting>
  <conditionalFormatting sqref="AG15">
    <cfRule type="expression" dxfId="12093" priority="54948" stopIfTrue="1">
      <formula>NOT(ISBLANK($AG$15))</formula>
    </cfRule>
  </conditionalFormatting>
  <conditionalFormatting sqref="AH15">
    <cfRule type="expression" dxfId="12092" priority="54949" stopIfTrue="1">
      <formula>NOT(ISBLANK($AH$15))</formula>
    </cfRule>
  </conditionalFormatting>
  <conditionalFormatting sqref="AI15">
    <cfRule type="expression" dxfId="12091" priority="54950" stopIfTrue="1">
      <formula>NOT(ISBLANK($AI$15))</formula>
    </cfRule>
  </conditionalFormatting>
  <conditionalFormatting sqref="AJ15">
    <cfRule type="expression" dxfId="12090" priority="54951" stopIfTrue="1">
      <formula>NOT(ISBLANK($AJ$15))</formula>
    </cfRule>
  </conditionalFormatting>
  <conditionalFormatting sqref="AK15">
    <cfRule type="expression" dxfId="12089" priority="54952" stopIfTrue="1">
      <formula>NOT(ISBLANK($AK$15))</formula>
    </cfRule>
  </conditionalFormatting>
  <conditionalFormatting sqref="AL15">
    <cfRule type="expression" dxfId="12088" priority="54953" stopIfTrue="1">
      <formula>NOT(ISBLANK($AL$15))</formula>
    </cfRule>
  </conditionalFormatting>
  <conditionalFormatting sqref="AM15">
    <cfRule type="expression" dxfId="12087" priority="54954" stopIfTrue="1">
      <formula>NOT(ISBLANK($AM$15))</formula>
    </cfRule>
  </conditionalFormatting>
  <conditionalFormatting sqref="AN15">
    <cfRule type="expression" dxfId="12086" priority="54955" stopIfTrue="1">
      <formula>NOT(ISBLANK($AN$15))</formula>
    </cfRule>
  </conditionalFormatting>
  <conditionalFormatting sqref="AO15">
    <cfRule type="expression" dxfId="12085" priority="54956" stopIfTrue="1">
      <formula>NOT(ISBLANK($AO$15))</formula>
    </cfRule>
  </conditionalFormatting>
  <conditionalFormatting sqref="AP15">
    <cfRule type="expression" dxfId="12084" priority="54957" stopIfTrue="1">
      <formula>NOT(ISBLANK($AP$15))</formula>
    </cfRule>
  </conditionalFormatting>
  <conditionalFormatting sqref="AQ15">
    <cfRule type="expression" dxfId="12083" priority="54958" stopIfTrue="1">
      <formula>NOT(ISBLANK($AQ$15))</formula>
    </cfRule>
  </conditionalFormatting>
  <conditionalFormatting sqref="A16">
    <cfRule type="cellIs" dxfId="12082" priority="54959" stopIfTrue="1" operator="notEqual">
      <formula>1</formula>
    </cfRule>
  </conditionalFormatting>
  <conditionalFormatting sqref="B16">
    <cfRule type="cellIs" dxfId="12081" priority="54960" stopIfTrue="1" operator="notEqual">
      <formula>1</formula>
    </cfRule>
  </conditionalFormatting>
  <conditionalFormatting sqref="C16">
    <cfRule type="cellIs" dxfId="12080" priority="54961" stopIfTrue="1" operator="notEqual">
      <formula>8</formula>
    </cfRule>
  </conditionalFormatting>
  <conditionalFormatting sqref="D16">
    <cfRule type="cellIs" dxfId="12079" priority="54962" stopIfTrue="1" operator="notEqual">
      <formula>75.072</formula>
    </cfRule>
  </conditionalFormatting>
  <conditionalFormatting sqref="E16">
    <cfRule type="cellIs" dxfId="12078" priority="54963" stopIfTrue="1" operator="notEqual">
      <formula>"MGD"</formula>
    </cfRule>
  </conditionalFormatting>
  <conditionalFormatting sqref="F16">
    <cfRule type="cellIs" dxfId="12077" priority="54964" stopIfTrue="1" operator="notEqual">
      <formula>37.536</formula>
    </cfRule>
  </conditionalFormatting>
  <conditionalFormatting sqref="G16">
    <cfRule type="cellIs" dxfId="12076" priority="54965" stopIfTrue="1" operator="notEqual">
      <formula>"MGD"</formula>
    </cfRule>
  </conditionalFormatting>
  <conditionalFormatting sqref="H16">
    <cfRule type="expression" dxfId="12075" priority="54966" stopIfTrue="1">
      <formula>NOT(ISBLANK($H$16))</formula>
    </cfRule>
  </conditionalFormatting>
  <conditionalFormatting sqref="I16">
    <cfRule type="expression" dxfId="12074" priority="54967" stopIfTrue="1">
      <formula>NOT(ISBLANK($I$16))</formula>
    </cfRule>
  </conditionalFormatting>
  <conditionalFormatting sqref="J16">
    <cfRule type="expression" dxfId="12073" priority="54968" stopIfTrue="1">
      <formula>NOT(ISBLANK($J$16))</formula>
    </cfRule>
  </conditionalFormatting>
  <conditionalFormatting sqref="K16">
    <cfRule type="expression" dxfId="12072" priority="54969" stopIfTrue="1">
      <formula>NOT(ISBLANK($K$16))</formula>
    </cfRule>
  </conditionalFormatting>
  <conditionalFormatting sqref="L16">
    <cfRule type="expression" dxfId="12071" priority="54970" stopIfTrue="1">
      <formula>NOT(ISBLANK($L$16))</formula>
    </cfRule>
  </conditionalFormatting>
  <conditionalFormatting sqref="M16">
    <cfRule type="expression" dxfId="12070" priority="54971" stopIfTrue="1">
      <formula>NOT(ISBLANK($M$16))</formula>
    </cfRule>
  </conditionalFormatting>
  <conditionalFormatting sqref="N16">
    <cfRule type="expression" dxfId="12069" priority="54972" stopIfTrue="1">
      <formula>NOT(ISBLANK($N$16))</formula>
    </cfRule>
  </conditionalFormatting>
  <conditionalFormatting sqref="O16">
    <cfRule type="expression" dxfId="12068" priority="54973" stopIfTrue="1">
      <formula>NOT(ISBLANK($O$16))</formula>
    </cfRule>
  </conditionalFormatting>
  <conditionalFormatting sqref="P16">
    <cfRule type="expression" dxfId="12067" priority="54974" stopIfTrue="1">
      <formula>NOT(ISBLANK($P$16))</formula>
    </cfRule>
  </conditionalFormatting>
  <conditionalFormatting sqref="Q16">
    <cfRule type="expression" dxfId="12066" priority="54975" stopIfTrue="1">
      <formula>NOT(ISBLANK($Q$16))</formula>
    </cfRule>
  </conditionalFormatting>
  <conditionalFormatting sqref="R16">
    <cfRule type="expression" dxfId="12065" priority="54976" stopIfTrue="1">
      <formula>NOT(ISBLANK($R$16))</formula>
    </cfRule>
  </conditionalFormatting>
  <conditionalFormatting sqref="S16">
    <cfRule type="expression" dxfId="12064" priority="54977" stopIfTrue="1">
      <formula>NOT(ISBLANK($S$16))</formula>
    </cfRule>
  </conditionalFormatting>
  <conditionalFormatting sqref="T16">
    <cfRule type="expression" dxfId="12063" priority="54978" stopIfTrue="1">
      <formula>NOT(ISBLANK($T$16))</formula>
    </cfRule>
  </conditionalFormatting>
  <conditionalFormatting sqref="U16">
    <cfRule type="expression" dxfId="12062" priority="54979" stopIfTrue="1">
      <formula>NOT(ISBLANK($U$16))</formula>
    </cfRule>
  </conditionalFormatting>
  <conditionalFormatting sqref="V16">
    <cfRule type="expression" dxfId="12061" priority="54980" stopIfTrue="1">
      <formula>NOT(ISBLANK($V$16))</formula>
    </cfRule>
  </conditionalFormatting>
  <conditionalFormatting sqref="W16">
    <cfRule type="expression" dxfId="12060" priority="54981" stopIfTrue="1">
      <formula>NOT(ISBLANK($W$16))</formula>
    </cfRule>
  </conditionalFormatting>
  <conditionalFormatting sqref="X16">
    <cfRule type="expression" dxfId="12059" priority="54982" stopIfTrue="1">
      <formula>NOT(ISBLANK($X$16))</formula>
    </cfRule>
  </conditionalFormatting>
  <conditionalFormatting sqref="Y16">
    <cfRule type="expression" dxfId="12058" priority="54983" stopIfTrue="1">
      <formula>NOT(ISBLANK($Y$16))</formula>
    </cfRule>
  </conditionalFormatting>
  <conditionalFormatting sqref="Z16">
    <cfRule type="expression" dxfId="12057" priority="54984" stopIfTrue="1">
      <formula>NOT(ISBLANK($Z$16))</formula>
    </cfRule>
  </conditionalFormatting>
  <conditionalFormatting sqref="AA16">
    <cfRule type="expression" dxfId="12056" priority="54985" stopIfTrue="1">
      <formula>NOT(ISBLANK($AA$16))</formula>
    </cfRule>
  </conditionalFormatting>
  <conditionalFormatting sqref="AB16">
    <cfRule type="expression" dxfId="12055" priority="54986" stopIfTrue="1">
      <formula>NOT(ISBLANK($AB$16))</formula>
    </cfRule>
  </conditionalFormatting>
  <conditionalFormatting sqref="AC16">
    <cfRule type="expression" dxfId="12054" priority="54987" stopIfTrue="1">
      <formula>NOT(ISBLANK($AC$16))</formula>
    </cfRule>
  </conditionalFormatting>
  <conditionalFormatting sqref="AD16">
    <cfRule type="expression" dxfId="12053" priority="54988" stopIfTrue="1">
      <formula>NOT(ISBLANK($AD$16))</formula>
    </cfRule>
  </conditionalFormatting>
  <conditionalFormatting sqref="AE16">
    <cfRule type="expression" dxfId="12052" priority="54989" stopIfTrue="1">
      <formula>NOT(ISBLANK($AE$16))</formula>
    </cfRule>
  </conditionalFormatting>
  <conditionalFormatting sqref="AF16">
    <cfRule type="expression" dxfId="12051" priority="54990" stopIfTrue="1">
      <formula>NOT(ISBLANK($AF$16))</formula>
    </cfRule>
  </conditionalFormatting>
  <conditionalFormatting sqref="AG16">
    <cfRule type="expression" dxfId="12050" priority="54991" stopIfTrue="1">
      <formula>NOT(ISBLANK($AG$16))</formula>
    </cfRule>
  </conditionalFormatting>
  <conditionalFormatting sqref="AH16">
    <cfRule type="expression" dxfId="12049" priority="54992" stopIfTrue="1">
      <formula>NOT(ISBLANK($AH$16))</formula>
    </cfRule>
  </conditionalFormatting>
  <conditionalFormatting sqref="AI16">
    <cfRule type="expression" dxfId="12048" priority="54993" stopIfTrue="1">
      <formula>NOT(ISBLANK($AI$16))</formula>
    </cfRule>
  </conditionalFormatting>
  <conditionalFormatting sqref="AJ16">
    <cfRule type="expression" dxfId="12047" priority="54994" stopIfTrue="1">
      <formula>NOT(ISBLANK($AJ$16))</formula>
    </cfRule>
  </conditionalFormatting>
  <conditionalFormatting sqref="AK16">
    <cfRule type="expression" dxfId="12046" priority="54995" stopIfTrue="1">
      <formula>NOT(ISBLANK($AK$16))</formula>
    </cfRule>
  </conditionalFormatting>
  <conditionalFormatting sqref="AL16">
    <cfRule type="expression" dxfId="12045" priority="54996" stopIfTrue="1">
      <formula>NOT(ISBLANK($AL$16))</formula>
    </cfRule>
  </conditionalFormatting>
  <conditionalFormatting sqref="AM16">
    <cfRule type="expression" dxfId="12044" priority="54997" stopIfTrue="1">
      <formula>NOT(ISBLANK($AM$16))</formula>
    </cfRule>
  </conditionalFormatting>
  <conditionalFormatting sqref="AN16">
    <cfRule type="expression" dxfId="12043" priority="54998" stopIfTrue="1">
      <formula>NOT(ISBLANK($AN$16))</formula>
    </cfRule>
  </conditionalFormatting>
  <conditionalFormatting sqref="AO16">
    <cfRule type="expression" dxfId="12042" priority="54999" stopIfTrue="1">
      <formula>NOT(ISBLANK($AO$16))</formula>
    </cfRule>
  </conditionalFormatting>
  <conditionalFormatting sqref="AP16">
    <cfRule type="expression" dxfId="12041" priority="55000" stopIfTrue="1">
      <formula>NOT(ISBLANK($AP$16))</formula>
    </cfRule>
  </conditionalFormatting>
  <conditionalFormatting sqref="AQ16">
    <cfRule type="expression" dxfId="12040" priority="55001" stopIfTrue="1">
      <formula>NOT(ISBLANK($AQ$16))</formula>
    </cfRule>
  </conditionalFormatting>
  <conditionalFormatting sqref="A17">
    <cfRule type="cellIs" dxfId="12039" priority="55002" stopIfTrue="1" operator="notEqual">
      <formula>1</formula>
    </cfRule>
  </conditionalFormatting>
  <conditionalFormatting sqref="B17">
    <cfRule type="cellIs" dxfId="12038" priority="55003" stopIfTrue="1" operator="notEqual">
      <formula>2</formula>
    </cfRule>
  </conditionalFormatting>
  <conditionalFormatting sqref="C17">
    <cfRule type="cellIs" dxfId="12037" priority="55004" stopIfTrue="1" operator="notEqual">
      <formula>1</formula>
    </cfRule>
  </conditionalFormatting>
  <conditionalFormatting sqref="D17">
    <cfRule type="cellIs" dxfId="12036" priority="55005" stopIfTrue="1" operator="notEqual">
      <formula>0.03</formula>
    </cfRule>
  </conditionalFormatting>
  <conditionalFormatting sqref="E17">
    <cfRule type="cellIs" dxfId="12035" priority="55006" stopIfTrue="1" operator="notEqual">
      <formula>"MGD"</formula>
    </cfRule>
  </conditionalFormatting>
  <conditionalFormatting sqref="F17">
    <cfRule type="cellIs" dxfId="12034" priority="55007" stopIfTrue="1" operator="notEqual">
      <formula>0.007</formula>
    </cfRule>
  </conditionalFormatting>
  <conditionalFormatting sqref="G17">
    <cfRule type="cellIs" dxfId="12033" priority="55008" stopIfTrue="1" operator="notEqual">
      <formula>"MGD"</formula>
    </cfRule>
  </conditionalFormatting>
  <conditionalFormatting sqref="H17">
    <cfRule type="expression" dxfId="12032" priority="55009" stopIfTrue="1">
      <formula>NOT(ISBLANK($H$17))</formula>
    </cfRule>
  </conditionalFormatting>
  <conditionalFormatting sqref="I17">
    <cfRule type="expression" dxfId="12031" priority="55010" stopIfTrue="1">
      <formula>NOT(ISBLANK($I$17))</formula>
    </cfRule>
  </conditionalFormatting>
  <conditionalFormatting sqref="J17">
    <cfRule type="expression" dxfId="12030" priority="55011" stopIfTrue="1">
      <formula>NOT(ISBLANK($J$17))</formula>
    </cfRule>
  </conditionalFormatting>
  <conditionalFormatting sqref="K17">
    <cfRule type="expression" dxfId="12029" priority="55012" stopIfTrue="1">
      <formula>NOT(ISBLANK($K$17))</formula>
    </cfRule>
  </conditionalFormatting>
  <conditionalFormatting sqref="L17">
    <cfRule type="expression" dxfId="12028" priority="55013" stopIfTrue="1">
      <formula>NOT(ISBLANK($L$17))</formula>
    </cfRule>
  </conditionalFormatting>
  <conditionalFormatting sqref="M17">
    <cfRule type="expression" dxfId="12027" priority="55014" stopIfTrue="1">
      <formula>NOT(ISBLANK($M$17))</formula>
    </cfRule>
  </conditionalFormatting>
  <conditionalFormatting sqref="N17">
    <cfRule type="expression" dxfId="12026" priority="55015" stopIfTrue="1">
      <formula>NOT(ISBLANK($N$17))</formula>
    </cfRule>
  </conditionalFormatting>
  <conditionalFormatting sqref="O17">
    <cfRule type="expression" dxfId="12025" priority="55016" stopIfTrue="1">
      <formula>NOT(ISBLANK($O$17))</formula>
    </cfRule>
  </conditionalFormatting>
  <conditionalFormatting sqref="P17">
    <cfRule type="expression" dxfId="12024" priority="55017" stopIfTrue="1">
      <formula>NOT(ISBLANK($P$17))</formula>
    </cfRule>
  </conditionalFormatting>
  <conditionalFormatting sqref="Q17">
    <cfRule type="expression" dxfId="12023" priority="55018" stopIfTrue="1">
      <formula>NOT(ISBLANK($Q$17))</formula>
    </cfRule>
  </conditionalFormatting>
  <conditionalFormatting sqref="R17">
    <cfRule type="expression" dxfId="12022" priority="55019" stopIfTrue="1">
      <formula>NOT(ISBLANK($R$17))</formula>
    </cfRule>
  </conditionalFormatting>
  <conditionalFormatting sqref="S17">
    <cfRule type="expression" dxfId="12021" priority="55020" stopIfTrue="1">
      <formula>NOT(ISBLANK($S$17))</formula>
    </cfRule>
  </conditionalFormatting>
  <conditionalFormatting sqref="T17">
    <cfRule type="expression" dxfId="12020" priority="55021" stopIfTrue="1">
      <formula>NOT(ISBLANK($T$17))</formula>
    </cfRule>
  </conditionalFormatting>
  <conditionalFormatting sqref="U17">
    <cfRule type="expression" dxfId="12019" priority="55022" stopIfTrue="1">
      <formula>NOT(ISBLANK($U$17))</formula>
    </cfRule>
  </conditionalFormatting>
  <conditionalFormatting sqref="V17">
    <cfRule type="expression" dxfId="12018" priority="55023" stopIfTrue="1">
      <formula>NOT(ISBLANK($V$17))</formula>
    </cfRule>
  </conditionalFormatting>
  <conditionalFormatting sqref="W17">
    <cfRule type="expression" dxfId="12017" priority="55024" stopIfTrue="1">
      <formula>NOT(ISBLANK($W$17))</formula>
    </cfRule>
  </conditionalFormatting>
  <conditionalFormatting sqref="X17">
    <cfRule type="expression" dxfId="12016" priority="55025" stopIfTrue="1">
      <formula>NOT(ISBLANK($X$17))</formula>
    </cfRule>
  </conditionalFormatting>
  <conditionalFormatting sqref="Y17">
    <cfRule type="expression" dxfId="12015" priority="55026" stopIfTrue="1">
      <formula>NOT(ISBLANK($Y$17))</formula>
    </cfRule>
  </conditionalFormatting>
  <conditionalFormatting sqref="Z17">
    <cfRule type="expression" dxfId="12014" priority="55027" stopIfTrue="1">
      <formula>NOT(ISBLANK($Z$17))</formula>
    </cfRule>
  </conditionalFormatting>
  <conditionalFormatting sqref="AA17">
    <cfRule type="expression" dxfId="12013" priority="55028" stopIfTrue="1">
      <formula>NOT(ISBLANK($AA$17))</formula>
    </cfRule>
  </conditionalFormatting>
  <conditionalFormatting sqref="AB17">
    <cfRule type="expression" dxfId="12012" priority="55029" stopIfTrue="1">
      <formula>NOT(ISBLANK($AB$17))</formula>
    </cfRule>
  </conditionalFormatting>
  <conditionalFormatting sqref="AC17">
    <cfRule type="expression" dxfId="12011" priority="55030" stopIfTrue="1">
      <formula>NOT(ISBLANK($AC$17))</formula>
    </cfRule>
  </conditionalFormatting>
  <conditionalFormatting sqref="AD17">
    <cfRule type="expression" dxfId="12010" priority="55031" stopIfTrue="1">
      <formula>NOT(ISBLANK($AD$17))</formula>
    </cfRule>
  </conditionalFormatting>
  <conditionalFormatting sqref="AE17">
    <cfRule type="expression" dxfId="12009" priority="55032" stopIfTrue="1">
      <formula>NOT(ISBLANK($AE$17))</formula>
    </cfRule>
  </conditionalFormatting>
  <conditionalFormatting sqref="AF17">
    <cfRule type="expression" dxfId="12008" priority="55033" stopIfTrue="1">
      <formula>NOT(ISBLANK($AF$17))</formula>
    </cfRule>
  </conditionalFormatting>
  <conditionalFormatting sqref="AG17">
    <cfRule type="expression" dxfId="12007" priority="55034" stopIfTrue="1">
      <formula>NOT(ISBLANK($AG$17))</formula>
    </cfRule>
  </conditionalFormatting>
  <conditionalFormatting sqref="AH17">
    <cfRule type="expression" dxfId="12006" priority="55035" stopIfTrue="1">
      <formula>NOT(ISBLANK($AH$17))</formula>
    </cfRule>
  </conditionalFormatting>
  <conditionalFormatting sqref="AI17">
    <cfRule type="expression" dxfId="12005" priority="55036" stopIfTrue="1">
      <formula>NOT(ISBLANK($AI$17))</formula>
    </cfRule>
  </conditionalFormatting>
  <conditionalFormatting sqref="AJ17">
    <cfRule type="expression" dxfId="12004" priority="55037" stopIfTrue="1">
      <formula>NOT(ISBLANK($AJ$17))</formula>
    </cfRule>
  </conditionalFormatting>
  <conditionalFormatting sqref="AK17">
    <cfRule type="expression" dxfId="12003" priority="55038" stopIfTrue="1">
      <formula>NOT(ISBLANK($AK$17))</formula>
    </cfRule>
  </conditionalFormatting>
  <conditionalFormatting sqref="AL17">
    <cfRule type="expression" dxfId="12002" priority="55039" stopIfTrue="1">
      <formula>NOT(ISBLANK($AL$17))</formula>
    </cfRule>
  </conditionalFormatting>
  <conditionalFormatting sqref="AM17">
    <cfRule type="expression" dxfId="12001" priority="55040" stopIfTrue="1">
      <formula>NOT(ISBLANK($AM$17))</formula>
    </cfRule>
  </conditionalFormatting>
  <conditionalFormatting sqref="AN17">
    <cfRule type="expression" dxfId="12000" priority="55041" stopIfTrue="1">
      <formula>NOT(ISBLANK($AN$17))</formula>
    </cfRule>
  </conditionalFormatting>
  <conditionalFormatting sqref="AO17">
    <cfRule type="expression" dxfId="11999" priority="55042" stopIfTrue="1">
      <formula>NOT(ISBLANK($AO$17))</formula>
    </cfRule>
  </conditionalFormatting>
  <conditionalFormatting sqref="AP17">
    <cfRule type="expression" dxfId="11998" priority="55043" stopIfTrue="1">
      <formula>NOT(ISBLANK($AP$17))</formula>
    </cfRule>
  </conditionalFormatting>
  <conditionalFormatting sqref="AQ17">
    <cfRule type="expression" dxfId="11997" priority="55044" stopIfTrue="1">
      <formula>NOT(ISBLANK($AQ$17))</formula>
    </cfRule>
  </conditionalFormatting>
  <conditionalFormatting sqref="A18">
    <cfRule type="cellIs" dxfId="11996" priority="55045" stopIfTrue="1" operator="notEqual">
      <formula>1</formula>
    </cfRule>
  </conditionalFormatting>
  <conditionalFormatting sqref="B18">
    <cfRule type="cellIs" dxfId="11995" priority="55046" stopIfTrue="1" operator="notEqual">
      <formula>2</formula>
    </cfRule>
  </conditionalFormatting>
  <conditionalFormatting sqref="C18">
    <cfRule type="cellIs" dxfId="11994" priority="55047" stopIfTrue="1" operator="notEqual">
      <formula>2</formula>
    </cfRule>
  </conditionalFormatting>
  <conditionalFormatting sqref="D18">
    <cfRule type="cellIs" dxfId="11993" priority="55048" stopIfTrue="1" operator="notEqual">
      <formula>0.124</formula>
    </cfRule>
  </conditionalFormatting>
  <conditionalFormatting sqref="E18">
    <cfRule type="cellIs" dxfId="11992" priority="55049" stopIfTrue="1" operator="notEqual">
      <formula>"MGD"</formula>
    </cfRule>
  </conditionalFormatting>
  <conditionalFormatting sqref="F18">
    <cfRule type="cellIs" dxfId="11991" priority="55050" stopIfTrue="1" operator="notEqual">
      <formula>0.035</formula>
    </cfRule>
  </conditionalFormatting>
  <conditionalFormatting sqref="G18">
    <cfRule type="cellIs" dxfId="11990" priority="55051" stopIfTrue="1" operator="notEqual">
      <formula>"MGD"</formula>
    </cfRule>
  </conditionalFormatting>
  <conditionalFormatting sqref="H18">
    <cfRule type="expression" dxfId="11989" priority="55052" stopIfTrue="1">
      <formula>NOT(ISBLANK($H$18))</formula>
    </cfRule>
  </conditionalFormatting>
  <conditionalFormatting sqref="I18">
    <cfRule type="expression" dxfId="11988" priority="55053" stopIfTrue="1">
      <formula>NOT(ISBLANK($I$18))</formula>
    </cfRule>
  </conditionalFormatting>
  <conditionalFormatting sqref="J18">
    <cfRule type="expression" dxfId="11987" priority="55054" stopIfTrue="1">
      <formula>NOT(ISBLANK($J$18))</formula>
    </cfRule>
  </conditionalFormatting>
  <conditionalFormatting sqref="K18">
    <cfRule type="expression" dxfId="11986" priority="55055" stopIfTrue="1">
      <formula>NOT(ISBLANK($K$18))</formula>
    </cfRule>
  </conditionalFormatting>
  <conditionalFormatting sqref="L18">
    <cfRule type="expression" dxfId="11985" priority="55056" stopIfTrue="1">
      <formula>NOT(ISBLANK($L$18))</formula>
    </cfRule>
  </conditionalFormatting>
  <conditionalFormatting sqref="M18">
    <cfRule type="expression" dxfId="11984" priority="55057" stopIfTrue="1">
      <formula>NOT(ISBLANK($M$18))</formula>
    </cfRule>
  </conditionalFormatting>
  <conditionalFormatting sqref="N18">
    <cfRule type="expression" dxfId="11983" priority="55058" stopIfTrue="1">
      <formula>NOT(ISBLANK($N$18))</formula>
    </cfRule>
  </conditionalFormatting>
  <conditionalFormatting sqref="O18">
    <cfRule type="expression" dxfId="11982" priority="55059" stopIfTrue="1">
      <formula>NOT(ISBLANK($O$18))</formula>
    </cfRule>
  </conditionalFormatting>
  <conditionalFormatting sqref="P18">
    <cfRule type="expression" dxfId="11981" priority="55060" stopIfTrue="1">
      <formula>NOT(ISBLANK($P$18))</formula>
    </cfRule>
  </conditionalFormatting>
  <conditionalFormatting sqref="Q18">
    <cfRule type="expression" dxfId="11980" priority="55061" stopIfTrue="1">
      <formula>NOT(ISBLANK($Q$18))</formula>
    </cfRule>
  </conditionalFormatting>
  <conditionalFormatting sqref="R18">
    <cfRule type="expression" dxfId="11979" priority="55062" stopIfTrue="1">
      <formula>NOT(ISBLANK($R$18))</formula>
    </cfRule>
  </conditionalFormatting>
  <conditionalFormatting sqref="S18">
    <cfRule type="expression" dxfId="11978" priority="55063" stopIfTrue="1">
      <formula>NOT(ISBLANK($S$18))</formula>
    </cfRule>
  </conditionalFormatting>
  <conditionalFormatting sqref="T18">
    <cfRule type="expression" dxfId="11977" priority="55064" stopIfTrue="1">
      <formula>NOT(ISBLANK($T$18))</formula>
    </cfRule>
  </conditionalFormatting>
  <conditionalFormatting sqref="U18">
    <cfRule type="expression" dxfId="11976" priority="55065" stopIfTrue="1">
      <formula>NOT(ISBLANK($U$18))</formula>
    </cfRule>
  </conditionalFormatting>
  <conditionalFormatting sqref="V18">
    <cfRule type="expression" dxfId="11975" priority="55066" stopIfTrue="1">
      <formula>NOT(ISBLANK($V$18))</formula>
    </cfRule>
  </conditionalFormatting>
  <conditionalFormatting sqref="W18">
    <cfRule type="expression" dxfId="11974" priority="55067" stopIfTrue="1">
      <formula>NOT(ISBLANK($W$18))</formula>
    </cfRule>
  </conditionalFormatting>
  <conditionalFormatting sqref="X18">
    <cfRule type="expression" dxfId="11973" priority="55068" stopIfTrue="1">
      <formula>NOT(ISBLANK($X$18))</formula>
    </cfRule>
  </conditionalFormatting>
  <conditionalFormatting sqref="Y18">
    <cfRule type="expression" dxfId="11972" priority="55069" stopIfTrue="1">
      <formula>NOT(ISBLANK($Y$18))</formula>
    </cfRule>
  </conditionalFormatting>
  <conditionalFormatting sqref="Z18">
    <cfRule type="expression" dxfId="11971" priority="55070" stopIfTrue="1">
      <formula>NOT(ISBLANK($Z$18))</formula>
    </cfRule>
  </conditionalFormatting>
  <conditionalFormatting sqref="AA18">
    <cfRule type="expression" dxfId="11970" priority="55071" stopIfTrue="1">
      <formula>NOT(ISBLANK($AA$18))</formula>
    </cfRule>
  </conditionalFormatting>
  <conditionalFormatting sqref="AB18">
    <cfRule type="expression" dxfId="11969" priority="55072" stopIfTrue="1">
      <formula>NOT(ISBLANK($AB$18))</formula>
    </cfRule>
  </conditionalFormatting>
  <conditionalFormatting sqref="AC18">
    <cfRule type="expression" dxfId="11968" priority="55073" stopIfTrue="1">
      <formula>NOT(ISBLANK($AC$18))</formula>
    </cfRule>
  </conditionalFormatting>
  <conditionalFormatting sqref="AD18">
    <cfRule type="expression" dxfId="11967" priority="55074" stopIfTrue="1">
      <formula>NOT(ISBLANK($AD$18))</formula>
    </cfRule>
  </conditionalFormatting>
  <conditionalFormatting sqref="AE18">
    <cfRule type="expression" dxfId="11966" priority="55075" stopIfTrue="1">
      <formula>NOT(ISBLANK($AE$18))</formula>
    </cfRule>
  </conditionalFormatting>
  <conditionalFormatting sqref="AF18">
    <cfRule type="expression" dxfId="11965" priority="55076" stopIfTrue="1">
      <formula>NOT(ISBLANK($AF$18))</formula>
    </cfRule>
  </conditionalFormatting>
  <conditionalFormatting sqref="AG18">
    <cfRule type="expression" dxfId="11964" priority="55077" stopIfTrue="1">
      <formula>NOT(ISBLANK($AG$18))</formula>
    </cfRule>
  </conditionalFormatting>
  <conditionalFormatting sqref="AH18">
    <cfRule type="expression" dxfId="11963" priority="55078" stopIfTrue="1">
      <formula>NOT(ISBLANK($AH$18))</formula>
    </cfRule>
  </conditionalFormatting>
  <conditionalFormatting sqref="AI18">
    <cfRule type="expression" dxfId="11962" priority="55079" stopIfTrue="1">
      <formula>NOT(ISBLANK($AI$18))</formula>
    </cfRule>
  </conditionalFormatting>
  <conditionalFormatting sqref="AJ18">
    <cfRule type="expression" dxfId="11961" priority="55080" stopIfTrue="1">
      <formula>NOT(ISBLANK($AJ$18))</formula>
    </cfRule>
  </conditionalFormatting>
  <conditionalFormatting sqref="AK18">
    <cfRule type="expression" dxfId="11960" priority="55081" stopIfTrue="1">
      <formula>NOT(ISBLANK($AK$18))</formula>
    </cfRule>
  </conditionalFormatting>
  <conditionalFormatting sqref="AL18">
    <cfRule type="expression" dxfId="11959" priority="55082" stopIfTrue="1">
      <formula>NOT(ISBLANK($AL$18))</formula>
    </cfRule>
  </conditionalFormatting>
  <conditionalFormatting sqref="AM18">
    <cfRule type="expression" dxfId="11958" priority="55083" stopIfTrue="1">
      <formula>NOT(ISBLANK($AM$18))</formula>
    </cfRule>
  </conditionalFormatting>
  <conditionalFormatting sqref="AN18">
    <cfRule type="expression" dxfId="11957" priority="55084" stopIfTrue="1">
      <formula>NOT(ISBLANK($AN$18))</formula>
    </cfRule>
  </conditionalFormatting>
  <conditionalFormatting sqref="AO18">
    <cfRule type="expression" dxfId="11956" priority="55085" stopIfTrue="1">
      <formula>NOT(ISBLANK($AO$18))</formula>
    </cfRule>
  </conditionalFormatting>
  <conditionalFormatting sqref="AP18">
    <cfRule type="expression" dxfId="11955" priority="55086" stopIfTrue="1">
      <formula>NOT(ISBLANK($AP$18))</formula>
    </cfRule>
  </conditionalFormatting>
  <conditionalFormatting sqref="AQ18">
    <cfRule type="expression" dxfId="11954" priority="55087" stopIfTrue="1">
      <formula>NOT(ISBLANK($AQ$18))</formula>
    </cfRule>
  </conditionalFormatting>
  <conditionalFormatting sqref="A19">
    <cfRule type="cellIs" dxfId="11953" priority="55088" stopIfTrue="1" operator="notEqual">
      <formula>1</formula>
    </cfRule>
  </conditionalFormatting>
  <conditionalFormatting sqref="B19">
    <cfRule type="cellIs" dxfId="11952" priority="55089" stopIfTrue="1" operator="notEqual">
      <formula>2</formula>
    </cfRule>
  </conditionalFormatting>
  <conditionalFormatting sqref="C19">
    <cfRule type="cellIs" dxfId="11951" priority="55090" stopIfTrue="1" operator="notEqual">
      <formula>3</formula>
    </cfRule>
  </conditionalFormatting>
  <conditionalFormatting sqref="D19">
    <cfRule type="cellIs" dxfId="11950" priority="55091" stopIfTrue="1" operator="notEqual">
      <formula>0.305</formula>
    </cfRule>
  </conditionalFormatting>
  <conditionalFormatting sqref="E19">
    <cfRule type="cellIs" dxfId="11949" priority="55092" stopIfTrue="1" operator="notEqual">
      <formula>"MGD"</formula>
    </cfRule>
  </conditionalFormatting>
  <conditionalFormatting sqref="F19">
    <cfRule type="cellIs" dxfId="11948" priority="55093" stopIfTrue="1" operator="notEqual">
      <formula>0.094</formula>
    </cfRule>
  </conditionalFormatting>
  <conditionalFormatting sqref="G19">
    <cfRule type="cellIs" dxfId="11947" priority="55094" stopIfTrue="1" operator="notEqual">
      <formula>"MGD"</formula>
    </cfRule>
  </conditionalFormatting>
  <conditionalFormatting sqref="H19">
    <cfRule type="expression" dxfId="11946" priority="55095" stopIfTrue="1">
      <formula>NOT(ISBLANK($H$19))</formula>
    </cfRule>
  </conditionalFormatting>
  <conditionalFormatting sqref="I19">
    <cfRule type="expression" dxfId="11945" priority="55096" stopIfTrue="1">
      <formula>NOT(ISBLANK($I$19))</formula>
    </cfRule>
  </conditionalFormatting>
  <conditionalFormatting sqref="J19">
    <cfRule type="expression" dxfId="11944" priority="55097" stopIfTrue="1">
      <formula>NOT(ISBLANK($J$19))</formula>
    </cfRule>
  </conditionalFormatting>
  <conditionalFormatting sqref="K19">
    <cfRule type="expression" dxfId="11943" priority="55098" stopIfTrue="1">
      <formula>NOT(ISBLANK($K$19))</formula>
    </cfRule>
  </conditionalFormatting>
  <conditionalFormatting sqref="L19">
    <cfRule type="expression" dxfId="11942" priority="55099" stopIfTrue="1">
      <formula>NOT(ISBLANK($L$19))</formula>
    </cfRule>
  </conditionalFormatting>
  <conditionalFormatting sqref="M19">
    <cfRule type="expression" dxfId="11941" priority="55100" stopIfTrue="1">
      <formula>NOT(ISBLANK($M$19))</formula>
    </cfRule>
  </conditionalFormatting>
  <conditionalFormatting sqref="N19">
    <cfRule type="expression" dxfId="11940" priority="55101" stopIfTrue="1">
      <formula>NOT(ISBLANK($N$19))</formula>
    </cfRule>
  </conditionalFormatting>
  <conditionalFormatting sqref="O19">
    <cfRule type="expression" dxfId="11939" priority="55102" stopIfTrue="1">
      <formula>NOT(ISBLANK($O$19))</formula>
    </cfRule>
  </conditionalFormatting>
  <conditionalFormatting sqref="P19">
    <cfRule type="expression" dxfId="11938" priority="55103" stopIfTrue="1">
      <formula>NOT(ISBLANK($P$19))</formula>
    </cfRule>
  </conditionalFormatting>
  <conditionalFormatting sqref="Q19">
    <cfRule type="expression" dxfId="11937" priority="55104" stopIfTrue="1">
      <formula>NOT(ISBLANK($Q$19))</formula>
    </cfRule>
  </conditionalFormatting>
  <conditionalFormatting sqref="R19">
    <cfRule type="expression" dxfId="11936" priority="55105" stopIfTrue="1">
      <formula>NOT(ISBLANK($R$19))</formula>
    </cfRule>
  </conditionalFormatting>
  <conditionalFormatting sqref="S19">
    <cfRule type="expression" dxfId="11935" priority="55106" stopIfTrue="1">
      <formula>NOT(ISBLANK($S$19))</formula>
    </cfRule>
  </conditionalFormatting>
  <conditionalFormatting sqref="T19">
    <cfRule type="expression" dxfId="11934" priority="55107" stopIfTrue="1">
      <formula>NOT(ISBLANK($T$19))</formula>
    </cfRule>
  </conditionalFormatting>
  <conditionalFormatting sqref="U19">
    <cfRule type="expression" dxfId="11933" priority="55108" stopIfTrue="1">
      <formula>NOT(ISBLANK($U$19))</formula>
    </cfRule>
  </conditionalFormatting>
  <conditionalFormatting sqref="V19">
    <cfRule type="expression" dxfId="11932" priority="55109" stopIfTrue="1">
      <formula>NOT(ISBLANK($V$19))</formula>
    </cfRule>
  </conditionalFormatting>
  <conditionalFormatting sqref="W19">
    <cfRule type="expression" dxfId="11931" priority="55110" stopIfTrue="1">
      <formula>NOT(ISBLANK($W$19))</formula>
    </cfRule>
  </conditionalFormatting>
  <conditionalFormatting sqref="X19">
    <cfRule type="expression" dxfId="11930" priority="55111" stopIfTrue="1">
      <formula>NOT(ISBLANK($X$19))</formula>
    </cfRule>
  </conditionalFormatting>
  <conditionalFormatting sqref="Y19">
    <cfRule type="expression" dxfId="11929" priority="55112" stopIfTrue="1">
      <formula>NOT(ISBLANK($Y$19))</formula>
    </cfRule>
  </conditionalFormatting>
  <conditionalFormatting sqref="Z19">
    <cfRule type="expression" dxfId="11928" priority="55113" stopIfTrue="1">
      <formula>NOT(ISBLANK($Z$19))</formula>
    </cfRule>
  </conditionalFormatting>
  <conditionalFormatting sqref="AA19">
    <cfRule type="expression" dxfId="11927" priority="55114" stopIfTrue="1">
      <formula>NOT(ISBLANK($AA$19))</formula>
    </cfRule>
  </conditionalFormatting>
  <conditionalFormatting sqref="AB19">
    <cfRule type="expression" dxfId="11926" priority="55115" stopIfTrue="1">
      <formula>NOT(ISBLANK($AB$19))</formula>
    </cfRule>
  </conditionalFormatting>
  <conditionalFormatting sqref="AC19">
    <cfRule type="expression" dxfId="11925" priority="55116" stopIfTrue="1">
      <formula>NOT(ISBLANK($AC$19))</formula>
    </cfRule>
  </conditionalFormatting>
  <conditionalFormatting sqref="AD19">
    <cfRule type="expression" dxfId="11924" priority="55117" stopIfTrue="1">
      <formula>NOT(ISBLANK($AD$19))</formula>
    </cfRule>
  </conditionalFormatting>
  <conditionalFormatting sqref="AE19">
    <cfRule type="expression" dxfId="11923" priority="55118" stopIfTrue="1">
      <formula>NOT(ISBLANK($AE$19))</formula>
    </cfRule>
  </conditionalFormatting>
  <conditionalFormatting sqref="AF19">
    <cfRule type="expression" dxfId="11922" priority="55119" stopIfTrue="1">
      <formula>NOT(ISBLANK($AF$19))</formula>
    </cfRule>
  </conditionalFormatting>
  <conditionalFormatting sqref="AG19">
    <cfRule type="expression" dxfId="11921" priority="55120" stopIfTrue="1">
      <formula>NOT(ISBLANK($AG$19))</formula>
    </cfRule>
  </conditionalFormatting>
  <conditionalFormatting sqref="AH19">
    <cfRule type="expression" dxfId="11920" priority="55121" stopIfTrue="1">
      <formula>NOT(ISBLANK($AH$19))</formula>
    </cfRule>
  </conditionalFormatting>
  <conditionalFormatting sqref="AI19">
    <cfRule type="expression" dxfId="11919" priority="55122" stopIfTrue="1">
      <formula>NOT(ISBLANK($AI$19))</formula>
    </cfRule>
  </conditionalFormatting>
  <conditionalFormatting sqref="AJ19">
    <cfRule type="expression" dxfId="11918" priority="55123" stopIfTrue="1">
      <formula>NOT(ISBLANK($AJ$19))</formula>
    </cfRule>
  </conditionalFormatting>
  <conditionalFormatting sqref="AK19">
    <cfRule type="expression" dxfId="11917" priority="55124" stopIfTrue="1">
      <formula>NOT(ISBLANK($AK$19))</formula>
    </cfRule>
  </conditionalFormatting>
  <conditionalFormatting sqref="AL19">
    <cfRule type="expression" dxfId="11916" priority="55125" stopIfTrue="1">
      <formula>NOT(ISBLANK($AL$19))</formula>
    </cfRule>
  </conditionalFormatting>
  <conditionalFormatting sqref="AM19">
    <cfRule type="expression" dxfId="11915" priority="55126" stopIfTrue="1">
      <formula>NOT(ISBLANK($AM$19))</formula>
    </cfRule>
  </conditionalFormatting>
  <conditionalFormatting sqref="AN19">
    <cfRule type="expression" dxfId="11914" priority="55127" stopIfTrue="1">
      <formula>NOT(ISBLANK($AN$19))</formula>
    </cfRule>
  </conditionalFormatting>
  <conditionalFormatting sqref="AO19">
    <cfRule type="expression" dxfId="11913" priority="55128" stopIfTrue="1">
      <formula>NOT(ISBLANK($AO$19))</formula>
    </cfRule>
  </conditionalFormatting>
  <conditionalFormatting sqref="AP19">
    <cfRule type="expression" dxfId="11912" priority="55129" stopIfTrue="1">
      <formula>NOT(ISBLANK($AP$19))</formula>
    </cfRule>
  </conditionalFormatting>
  <conditionalFormatting sqref="AQ19">
    <cfRule type="expression" dxfId="11911" priority="55130" stopIfTrue="1">
      <formula>NOT(ISBLANK($AQ$19))</formula>
    </cfRule>
  </conditionalFormatting>
  <conditionalFormatting sqref="A20">
    <cfRule type="cellIs" dxfId="11910" priority="55131" stopIfTrue="1" operator="notEqual">
      <formula>1</formula>
    </cfRule>
  </conditionalFormatting>
  <conditionalFormatting sqref="B20">
    <cfRule type="cellIs" dxfId="11909" priority="55132" stopIfTrue="1" operator="notEqual">
      <formula>2</formula>
    </cfRule>
  </conditionalFormatting>
  <conditionalFormatting sqref="C20">
    <cfRule type="cellIs" dxfId="11908" priority="55133" stopIfTrue="1" operator="notEqual">
      <formula>4</formula>
    </cfRule>
  </conditionalFormatting>
  <conditionalFormatting sqref="D20">
    <cfRule type="cellIs" dxfId="11907" priority="55134" stopIfTrue="1" operator="notEqual">
      <formula>0.74</formula>
    </cfRule>
  </conditionalFormatting>
  <conditionalFormatting sqref="E20">
    <cfRule type="cellIs" dxfId="11906" priority="55135" stopIfTrue="1" operator="notEqual">
      <formula>"MGD"</formula>
    </cfRule>
  </conditionalFormatting>
  <conditionalFormatting sqref="F20">
    <cfRule type="cellIs" dxfId="11905" priority="55136" stopIfTrue="1" operator="notEqual">
      <formula>0.251</formula>
    </cfRule>
  </conditionalFormatting>
  <conditionalFormatting sqref="G20">
    <cfRule type="cellIs" dxfId="11904" priority="55137" stopIfTrue="1" operator="notEqual">
      <formula>"MGD"</formula>
    </cfRule>
  </conditionalFormatting>
  <conditionalFormatting sqref="H20">
    <cfRule type="expression" dxfId="11903" priority="55138" stopIfTrue="1">
      <formula>NOT(ISBLANK($H$20))</formula>
    </cfRule>
  </conditionalFormatting>
  <conditionalFormatting sqref="I20">
    <cfRule type="expression" dxfId="11902" priority="55139" stopIfTrue="1">
      <formula>NOT(ISBLANK($I$20))</formula>
    </cfRule>
  </conditionalFormatting>
  <conditionalFormatting sqref="J20">
    <cfRule type="expression" dxfId="11901" priority="55140" stopIfTrue="1">
      <formula>NOT(ISBLANK($J$20))</formula>
    </cfRule>
  </conditionalFormatting>
  <conditionalFormatting sqref="K20">
    <cfRule type="expression" dxfId="11900" priority="55141" stopIfTrue="1">
      <formula>NOT(ISBLANK($K$20))</formula>
    </cfRule>
  </conditionalFormatting>
  <conditionalFormatting sqref="L20">
    <cfRule type="expression" dxfId="11899" priority="55142" stopIfTrue="1">
      <formula>NOT(ISBLANK($L$20))</formula>
    </cfRule>
  </conditionalFormatting>
  <conditionalFormatting sqref="M20">
    <cfRule type="expression" dxfId="11898" priority="55143" stopIfTrue="1">
      <formula>NOT(ISBLANK($M$20))</formula>
    </cfRule>
  </conditionalFormatting>
  <conditionalFormatting sqref="N20">
    <cfRule type="expression" dxfId="11897" priority="55144" stopIfTrue="1">
      <formula>NOT(ISBLANK($N$20))</formula>
    </cfRule>
  </conditionalFormatting>
  <conditionalFormatting sqref="O20">
    <cfRule type="expression" dxfId="11896" priority="55145" stopIfTrue="1">
      <formula>NOT(ISBLANK($O$20))</formula>
    </cfRule>
  </conditionalFormatting>
  <conditionalFormatting sqref="P20">
    <cfRule type="expression" dxfId="11895" priority="55146" stopIfTrue="1">
      <formula>NOT(ISBLANK($P$20))</formula>
    </cfRule>
  </conditionalFormatting>
  <conditionalFormatting sqref="Q20">
    <cfRule type="expression" dxfId="11894" priority="55147" stopIfTrue="1">
      <formula>NOT(ISBLANK($Q$20))</formula>
    </cfRule>
  </conditionalFormatting>
  <conditionalFormatting sqref="R20">
    <cfRule type="expression" dxfId="11893" priority="55148" stopIfTrue="1">
      <formula>NOT(ISBLANK($R$20))</formula>
    </cfRule>
  </conditionalFormatting>
  <conditionalFormatting sqref="S20">
    <cfRule type="expression" dxfId="11892" priority="55149" stopIfTrue="1">
      <formula>NOT(ISBLANK($S$20))</formula>
    </cfRule>
  </conditionalFormatting>
  <conditionalFormatting sqref="T20">
    <cfRule type="expression" dxfId="11891" priority="55150" stopIfTrue="1">
      <formula>NOT(ISBLANK($T$20))</formula>
    </cfRule>
  </conditionalFormatting>
  <conditionalFormatting sqref="U20">
    <cfRule type="expression" dxfId="11890" priority="55151" stopIfTrue="1">
      <formula>NOT(ISBLANK($U$20))</formula>
    </cfRule>
  </conditionalFormatting>
  <conditionalFormatting sqref="V20">
    <cfRule type="expression" dxfId="11889" priority="55152" stopIfTrue="1">
      <formula>NOT(ISBLANK($V$20))</formula>
    </cfRule>
  </conditionalFormatting>
  <conditionalFormatting sqref="W20">
    <cfRule type="expression" dxfId="11888" priority="55153" stopIfTrue="1">
      <formula>NOT(ISBLANK($W$20))</formula>
    </cfRule>
  </conditionalFormatting>
  <conditionalFormatting sqref="X20">
    <cfRule type="expression" dxfId="11887" priority="55154" stopIfTrue="1">
      <formula>NOT(ISBLANK($X$20))</formula>
    </cfRule>
  </conditionalFormatting>
  <conditionalFormatting sqref="Y20">
    <cfRule type="expression" dxfId="11886" priority="55155" stopIfTrue="1">
      <formula>NOT(ISBLANK($Y$20))</formula>
    </cfRule>
  </conditionalFormatting>
  <conditionalFormatting sqref="Z20">
    <cfRule type="expression" dxfId="11885" priority="55156" stopIfTrue="1">
      <formula>NOT(ISBLANK($Z$20))</formula>
    </cfRule>
  </conditionalFormatting>
  <conditionalFormatting sqref="AA20">
    <cfRule type="expression" dxfId="11884" priority="55157" stopIfTrue="1">
      <formula>NOT(ISBLANK($AA$20))</formula>
    </cfRule>
  </conditionalFormatting>
  <conditionalFormatting sqref="AB20">
    <cfRule type="expression" dxfId="11883" priority="55158" stopIfTrue="1">
      <formula>NOT(ISBLANK($AB$20))</formula>
    </cfRule>
  </conditionalFormatting>
  <conditionalFormatting sqref="AC20">
    <cfRule type="expression" dxfId="11882" priority="55159" stopIfTrue="1">
      <formula>NOT(ISBLANK($AC$20))</formula>
    </cfRule>
  </conditionalFormatting>
  <conditionalFormatting sqref="AD20">
    <cfRule type="expression" dxfId="11881" priority="55160" stopIfTrue="1">
      <formula>NOT(ISBLANK($AD$20))</formula>
    </cfRule>
  </conditionalFormatting>
  <conditionalFormatting sqref="AE20">
    <cfRule type="expression" dxfId="11880" priority="55161" stopIfTrue="1">
      <formula>NOT(ISBLANK($AE$20))</formula>
    </cfRule>
  </conditionalFormatting>
  <conditionalFormatting sqref="AF20">
    <cfRule type="expression" dxfId="11879" priority="55162" stopIfTrue="1">
      <formula>NOT(ISBLANK($AF$20))</formula>
    </cfRule>
  </conditionalFormatting>
  <conditionalFormatting sqref="AG20">
    <cfRule type="expression" dxfId="11878" priority="55163" stopIfTrue="1">
      <formula>NOT(ISBLANK($AG$20))</formula>
    </cfRule>
  </conditionalFormatting>
  <conditionalFormatting sqref="AH20">
    <cfRule type="expression" dxfId="11877" priority="55164" stopIfTrue="1">
      <formula>NOT(ISBLANK($AH$20))</formula>
    </cfRule>
  </conditionalFormatting>
  <conditionalFormatting sqref="AI20">
    <cfRule type="expression" dxfId="11876" priority="55165" stopIfTrue="1">
      <formula>NOT(ISBLANK($AI$20))</formula>
    </cfRule>
  </conditionalFormatting>
  <conditionalFormatting sqref="AJ20">
    <cfRule type="expression" dxfId="11875" priority="55166" stopIfTrue="1">
      <formula>NOT(ISBLANK($AJ$20))</formula>
    </cfRule>
  </conditionalFormatting>
  <conditionalFormatting sqref="AK20">
    <cfRule type="expression" dxfId="11874" priority="55167" stopIfTrue="1">
      <formula>NOT(ISBLANK($AK$20))</formula>
    </cfRule>
  </conditionalFormatting>
  <conditionalFormatting sqref="AL20">
    <cfRule type="expression" dxfId="11873" priority="55168" stopIfTrue="1">
      <formula>NOT(ISBLANK($AL$20))</formula>
    </cfRule>
  </conditionalFormatting>
  <conditionalFormatting sqref="AM20">
    <cfRule type="expression" dxfId="11872" priority="55169" stopIfTrue="1">
      <formula>NOT(ISBLANK($AM$20))</formula>
    </cfRule>
  </conditionalFormatting>
  <conditionalFormatting sqref="AN20">
    <cfRule type="expression" dxfId="11871" priority="55170" stopIfTrue="1">
      <formula>NOT(ISBLANK($AN$20))</formula>
    </cfRule>
  </conditionalFormatting>
  <conditionalFormatting sqref="AO20">
    <cfRule type="expression" dxfId="11870" priority="55171" stopIfTrue="1">
      <formula>NOT(ISBLANK($AO$20))</formula>
    </cfRule>
  </conditionalFormatting>
  <conditionalFormatting sqref="AP20">
    <cfRule type="expression" dxfId="11869" priority="55172" stopIfTrue="1">
      <formula>NOT(ISBLANK($AP$20))</formula>
    </cfRule>
  </conditionalFormatting>
  <conditionalFormatting sqref="AQ20">
    <cfRule type="expression" dxfId="11868" priority="55173" stopIfTrue="1">
      <formula>NOT(ISBLANK($AQ$20))</formula>
    </cfRule>
  </conditionalFormatting>
  <conditionalFormatting sqref="A21">
    <cfRule type="cellIs" dxfId="11867" priority="55174" stopIfTrue="1" operator="notEqual">
      <formula>1</formula>
    </cfRule>
  </conditionalFormatting>
  <conditionalFormatting sqref="B21">
    <cfRule type="cellIs" dxfId="11866" priority="55175" stopIfTrue="1" operator="notEqual">
      <formula>2</formula>
    </cfRule>
  </conditionalFormatting>
  <conditionalFormatting sqref="C21">
    <cfRule type="cellIs" dxfId="11865" priority="55176" stopIfTrue="1" operator="notEqual">
      <formula>5</formula>
    </cfRule>
  </conditionalFormatting>
  <conditionalFormatting sqref="D21">
    <cfRule type="cellIs" dxfId="11864" priority="55177" stopIfTrue="1" operator="notEqual">
      <formula>2.152</formula>
    </cfRule>
  </conditionalFormatting>
  <conditionalFormatting sqref="E21">
    <cfRule type="cellIs" dxfId="11863" priority="55178" stopIfTrue="1" operator="notEqual">
      <formula>"MGD"</formula>
    </cfRule>
  </conditionalFormatting>
  <conditionalFormatting sqref="F21">
    <cfRule type="cellIs" dxfId="11862" priority="55179" stopIfTrue="1" operator="notEqual">
      <formula>0.819</formula>
    </cfRule>
  </conditionalFormatting>
  <conditionalFormatting sqref="G21">
    <cfRule type="cellIs" dxfId="11861" priority="55180" stopIfTrue="1" operator="notEqual">
      <formula>"MGD"</formula>
    </cfRule>
  </conditionalFormatting>
  <conditionalFormatting sqref="H21">
    <cfRule type="expression" dxfId="11860" priority="55181" stopIfTrue="1">
      <formula>NOT(ISBLANK($H$21))</formula>
    </cfRule>
  </conditionalFormatting>
  <conditionalFormatting sqref="I21">
    <cfRule type="expression" dxfId="11859" priority="55182" stopIfTrue="1">
      <formula>NOT(ISBLANK($I$21))</formula>
    </cfRule>
  </conditionalFormatting>
  <conditionalFormatting sqref="J21">
    <cfRule type="expression" dxfId="11858" priority="55183" stopIfTrue="1">
      <formula>NOT(ISBLANK($J$21))</formula>
    </cfRule>
  </conditionalFormatting>
  <conditionalFormatting sqref="K21">
    <cfRule type="expression" dxfId="11857" priority="55184" stopIfTrue="1">
      <formula>NOT(ISBLANK($K$21))</formula>
    </cfRule>
  </conditionalFormatting>
  <conditionalFormatting sqref="L21">
    <cfRule type="expression" dxfId="11856" priority="55185" stopIfTrue="1">
      <formula>NOT(ISBLANK($L$21))</formula>
    </cfRule>
  </conditionalFormatting>
  <conditionalFormatting sqref="M21">
    <cfRule type="expression" dxfId="11855" priority="55186" stopIfTrue="1">
      <formula>NOT(ISBLANK($M$21))</formula>
    </cfRule>
  </conditionalFormatting>
  <conditionalFormatting sqref="N21">
    <cfRule type="expression" dxfId="11854" priority="55187" stopIfTrue="1">
      <formula>NOT(ISBLANK($N$21))</formula>
    </cfRule>
  </conditionalFormatting>
  <conditionalFormatting sqref="O21">
    <cfRule type="expression" dxfId="11853" priority="55188" stopIfTrue="1">
      <formula>NOT(ISBLANK($O$21))</formula>
    </cfRule>
  </conditionalFormatting>
  <conditionalFormatting sqref="P21">
    <cfRule type="expression" dxfId="11852" priority="55189" stopIfTrue="1">
      <formula>NOT(ISBLANK($P$21))</formula>
    </cfRule>
  </conditionalFormatting>
  <conditionalFormatting sqref="Q21">
    <cfRule type="expression" dxfId="11851" priority="55190" stopIfTrue="1">
      <formula>NOT(ISBLANK($Q$21))</formula>
    </cfRule>
  </conditionalFormatting>
  <conditionalFormatting sqref="R21">
    <cfRule type="expression" dxfId="11850" priority="55191" stopIfTrue="1">
      <formula>NOT(ISBLANK($R$21))</formula>
    </cfRule>
  </conditionalFormatting>
  <conditionalFormatting sqref="S21">
    <cfRule type="expression" dxfId="11849" priority="55192" stopIfTrue="1">
      <formula>NOT(ISBLANK($S$21))</formula>
    </cfRule>
  </conditionalFormatting>
  <conditionalFormatting sqref="T21">
    <cfRule type="expression" dxfId="11848" priority="55193" stopIfTrue="1">
      <formula>NOT(ISBLANK($T$21))</formula>
    </cfRule>
  </conditionalFormatting>
  <conditionalFormatting sqref="U21">
    <cfRule type="expression" dxfId="11847" priority="55194" stopIfTrue="1">
      <formula>NOT(ISBLANK($U$21))</formula>
    </cfRule>
  </conditionalFormatting>
  <conditionalFormatting sqref="V21">
    <cfRule type="expression" dxfId="11846" priority="55195" stopIfTrue="1">
      <formula>NOT(ISBLANK($V$21))</formula>
    </cfRule>
  </conditionalFormatting>
  <conditionalFormatting sqref="W21">
    <cfRule type="expression" dxfId="11845" priority="55196" stopIfTrue="1">
      <formula>NOT(ISBLANK($W$21))</formula>
    </cfRule>
  </conditionalFormatting>
  <conditionalFormatting sqref="X21">
    <cfRule type="expression" dxfId="11844" priority="55197" stopIfTrue="1">
      <formula>NOT(ISBLANK($X$21))</formula>
    </cfRule>
  </conditionalFormatting>
  <conditionalFormatting sqref="Y21">
    <cfRule type="expression" dxfId="11843" priority="55198" stopIfTrue="1">
      <formula>NOT(ISBLANK($Y$21))</formula>
    </cfRule>
  </conditionalFormatting>
  <conditionalFormatting sqref="Z21">
    <cfRule type="expression" dxfId="11842" priority="55199" stopIfTrue="1">
      <formula>NOT(ISBLANK($Z$21))</formula>
    </cfRule>
  </conditionalFormatting>
  <conditionalFormatting sqref="AA21">
    <cfRule type="expression" dxfId="11841" priority="55200" stopIfTrue="1">
      <formula>NOT(ISBLANK($AA$21))</formula>
    </cfRule>
  </conditionalFormatting>
  <conditionalFormatting sqref="AB21">
    <cfRule type="expression" dxfId="11840" priority="55201" stopIfTrue="1">
      <formula>NOT(ISBLANK($AB$21))</formula>
    </cfRule>
  </conditionalFormatting>
  <conditionalFormatting sqref="AC21">
    <cfRule type="expression" dxfId="11839" priority="55202" stopIfTrue="1">
      <formula>NOT(ISBLANK($AC$21))</formula>
    </cfRule>
  </conditionalFormatting>
  <conditionalFormatting sqref="AD21">
    <cfRule type="expression" dxfId="11838" priority="55203" stopIfTrue="1">
      <formula>NOT(ISBLANK($AD$21))</formula>
    </cfRule>
  </conditionalFormatting>
  <conditionalFormatting sqref="AE21">
    <cfRule type="expression" dxfId="11837" priority="55204" stopIfTrue="1">
      <formula>NOT(ISBLANK($AE$21))</formula>
    </cfRule>
  </conditionalFormatting>
  <conditionalFormatting sqref="AF21">
    <cfRule type="expression" dxfId="11836" priority="55205" stopIfTrue="1">
      <formula>NOT(ISBLANK($AF$21))</formula>
    </cfRule>
  </conditionalFormatting>
  <conditionalFormatting sqref="AG21">
    <cfRule type="expression" dxfId="11835" priority="55206" stopIfTrue="1">
      <formula>NOT(ISBLANK($AG$21))</formula>
    </cfRule>
  </conditionalFormatting>
  <conditionalFormatting sqref="AH21">
    <cfRule type="expression" dxfId="11834" priority="55207" stopIfTrue="1">
      <formula>NOT(ISBLANK($AH$21))</formula>
    </cfRule>
  </conditionalFormatting>
  <conditionalFormatting sqref="AI21">
    <cfRule type="expression" dxfId="11833" priority="55208" stopIfTrue="1">
      <formula>NOT(ISBLANK($AI$21))</formula>
    </cfRule>
  </conditionalFormatting>
  <conditionalFormatting sqref="AJ21">
    <cfRule type="expression" dxfId="11832" priority="55209" stopIfTrue="1">
      <formula>NOT(ISBLANK($AJ$21))</formula>
    </cfRule>
  </conditionalFormatting>
  <conditionalFormatting sqref="AK21">
    <cfRule type="expression" dxfId="11831" priority="55210" stopIfTrue="1">
      <formula>NOT(ISBLANK($AK$21))</formula>
    </cfRule>
  </conditionalFormatting>
  <conditionalFormatting sqref="AL21">
    <cfRule type="expression" dxfId="11830" priority="55211" stopIfTrue="1">
      <formula>NOT(ISBLANK($AL$21))</formula>
    </cfRule>
  </conditionalFormatting>
  <conditionalFormatting sqref="AM21">
    <cfRule type="expression" dxfId="11829" priority="55212" stopIfTrue="1">
      <formula>NOT(ISBLANK($AM$21))</formula>
    </cfRule>
  </conditionalFormatting>
  <conditionalFormatting sqref="AN21">
    <cfRule type="expression" dxfId="11828" priority="55213" stopIfTrue="1">
      <formula>NOT(ISBLANK($AN$21))</formula>
    </cfRule>
  </conditionalFormatting>
  <conditionalFormatting sqref="AO21">
    <cfRule type="expression" dxfId="11827" priority="55214" stopIfTrue="1">
      <formula>NOT(ISBLANK($AO$21))</formula>
    </cfRule>
  </conditionalFormatting>
  <conditionalFormatting sqref="AP21">
    <cfRule type="expression" dxfId="11826" priority="55215" stopIfTrue="1">
      <formula>NOT(ISBLANK($AP$21))</formula>
    </cfRule>
  </conditionalFormatting>
  <conditionalFormatting sqref="AQ21">
    <cfRule type="expression" dxfId="11825" priority="55216" stopIfTrue="1">
      <formula>NOT(ISBLANK($AQ$21))</formula>
    </cfRule>
  </conditionalFormatting>
  <conditionalFormatting sqref="A22">
    <cfRule type="cellIs" dxfId="11824" priority="55217" stopIfTrue="1" operator="notEqual">
      <formula>1</formula>
    </cfRule>
  </conditionalFormatting>
  <conditionalFormatting sqref="B22">
    <cfRule type="cellIs" dxfId="11823" priority="55218" stopIfTrue="1" operator="notEqual">
      <formula>2</formula>
    </cfRule>
  </conditionalFormatting>
  <conditionalFormatting sqref="C22">
    <cfRule type="cellIs" dxfId="11822" priority="55219" stopIfTrue="1" operator="notEqual">
      <formula>6</formula>
    </cfRule>
  </conditionalFormatting>
  <conditionalFormatting sqref="D22">
    <cfRule type="cellIs" dxfId="11821" priority="55220" stopIfTrue="1" operator="notEqual">
      <formula>7.365</formula>
    </cfRule>
  </conditionalFormatting>
  <conditionalFormatting sqref="E22">
    <cfRule type="cellIs" dxfId="11820" priority="55221" stopIfTrue="1" operator="notEqual">
      <formula>"MGD"</formula>
    </cfRule>
  </conditionalFormatting>
  <conditionalFormatting sqref="F22">
    <cfRule type="cellIs" dxfId="11819" priority="55222" stopIfTrue="1" operator="notEqual">
      <formula>3.2</formula>
    </cfRule>
  </conditionalFormatting>
  <conditionalFormatting sqref="G22">
    <cfRule type="cellIs" dxfId="11818" priority="55223" stopIfTrue="1" operator="notEqual">
      <formula>"MGD"</formula>
    </cfRule>
  </conditionalFormatting>
  <conditionalFormatting sqref="H22">
    <cfRule type="expression" dxfId="11817" priority="55224" stopIfTrue="1">
      <formula>NOT(ISBLANK($H$22))</formula>
    </cfRule>
  </conditionalFormatting>
  <conditionalFormatting sqref="I22">
    <cfRule type="expression" dxfId="11816" priority="55225" stopIfTrue="1">
      <formula>NOT(ISBLANK($I$22))</formula>
    </cfRule>
  </conditionalFormatting>
  <conditionalFormatting sqref="J22">
    <cfRule type="expression" dxfId="11815" priority="55226" stopIfTrue="1">
      <formula>NOT(ISBLANK($J$22))</formula>
    </cfRule>
  </conditionalFormatting>
  <conditionalFormatting sqref="K22">
    <cfRule type="expression" dxfId="11814" priority="55227" stopIfTrue="1">
      <formula>NOT(ISBLANK($K$22))</formula>
    </cfRule>
  </conditionalFormatting>
  <conditionalFormatting sqref="L22">
    <cfRule type="expression" dxfId="11813" priority="55228" stopIfTrue="1">
      <formula>NOT(ISBLANK($L$22))</formula>
    </cfRule>
  </conditionalFormatting>
  <conditionalFormatting sqref="M22">
    <cfRule type="expression" dxfId="11812" priority="55229" stopIfTrue="1">
      <formula>NOT(ISBLANK($M$22))</formula>
    </cfRule>
  </conditionalFormatting>
  <conditionalFormatting sqref="N22">
    <cfRule type="expression" dxfId="11811" priority="55230" stopIfTrue="1">
      <formula>NOT(ISBLANK($N$22))</formula>
    </cfRule>
  </conditionalFormatting>
  <conditionalFormatting sqref="O22">
    <cfRule type="expression" dxfId="11810" priority="55231" stopIfTrue="1">
      <formula>NOT(ISBLANK($O$22))</formula>
    </cfRule>
  </conditionalFormatting>
  <conditionalFormatting sqref="P22">
    <cfRule type="expression" dxfId="11809" priority="55232" stopIfTrue="1">
      <formula>NOT(ISBLANK($P$22))</formula>
    </cfRule>
  </conditionalFormatting>
  <conditionalFormatting sqref="Q22">
    <cfRule type="expression" dxfId="11808" priority="55233" stopIfTrue="1">
      <formula>NOT(ISBLANK($Q$22))</formula>
    </cfRule>
  </conditionalFormatting>
  <conditionalFormatting sqref="R22">
    <cfRule type="expression" dxfId="11807" priority="55234" stopIfTrue="1">
      <formula>NOT(ISBLANK($R$22))</formula>
    </cfRule>
  </conditionalFormatting>
  <conditionalFormatting sqref="S22">
    <cfRule type="expression" dxfId="11806" priority="55235" stopIfTrue="1">
      <formula>NOT(ISBLANK($S$22))</formula>
    </cfRule>
  </conditionalFormatting>
  <conditionalFormatting sqref="T22">
    <cfRule type="expression" dxfId="11805" priority="55236" stopIfTrue="1">
      <formula>NOT(ISBLANK($T$22))</formula>
    </cfRule>
  </conditionalFormatting>
  <conditionalFormatting sqref="U22">
    <cfRule type="expression" dxfId="11804" priority="55237" stopIfTrue="1">
      <formula>NOT(ISBLANK($U$22))</formula>
    </cfRule>
  </conditionalFormatting>
  <conditionalFormatting sqref="V22">
    <cfRule type="expression" dxfId="11803" priority="55238" stopIfTrue="1">
      <formula>NOT(ISBLANK($V$22))</formula>
    </cfRule>
  </conditionalFormatting>
  <conditionalFormatting sqref="W22">
    <cfRule type="expression" dxfId="11802" priority="55239" stopIfTrue="1">
      <formula>NOT(ISBLANK($W$22))</formula>
    </cfRule>
  </conditionalFormatting>
  <conditionalFormatting sqref="X22">
    <cfRule type="expression" dxfId="11801" priority="55240" stopIfTrue="1">
      <formula>NOT(ISBLANK($X$22))</formula>
    </cfRule>
  </conditionalFormatting>
  <conditionalFormatting sqref="Y22">
    <cfRule type="expression" dxfId="11800" priority="55241" stopIfTrue="1">
      <formula>NOT(ISBLANK($Y$22))</formula>
    </cfRule>
  </conditionalFormatting>
  <conditionalFormatting sqref="Z22">
    <cfRule type="expression" dxfId="11799" priority="55242" stopIfTrue="1">
      <formula>NOT(ISBLANK($Z$22))</formula>
    </cfRule>
  </conditionalFormatting>
  <conditionalFormatting sqref="AA22">
    <cfRule type="expression" dxfId="11798" priority="55243" stopIfTrue="1">
      <formula>NOT(ISBLANK($AA$22))</formula>
    </cfRule>
  </conditionalFormatting>
  <conditionalFormatting sqref="AB22">
    <cfRule type="expression" dxfId="11797" priority="55244" stopIfTrue="1">
      <formula>NOT(ISBLANK($AB$22))</formula>
    </cfRule>
  </conditionalFormatting>
  <conditionalFormatting sqref="AC22">
    <cfRule type="expression" dxfId="11796" priority="55245" stopIfTrue="1">
      <formula>NOT(ISBLANK($AC$22))</formula>
    </cfRule>
  </conditionalFormatting>
  <conditionalFormatting sqref="AD22">
    <cfRule type="expression" dxfId="11795" priority="55246" stopIfTrue="1">
      <formula>NOT(ISBLANK($AD$22))</formula>
    </cfRule>
  </conditionalFormatting>
  <conditionalFormatting sqref="AE22">
    <cfRule type="expression" dxfId="11794" priority="55247" stopIfTrue="1">
      <formula>NOT(ISBLANK($AE$22))</formula>
    </cfRule>
  </conditionalFormatting>
  <conditionalFormatting sqref="AF22">
    <cfRule type="expression" dxfId="11793" priority="55248" stopIfTrue="1">
      <formula>NOT(ISBLANK($AF$22))</formula>
    </cfRule>
  </conditionalFormatting>
  <conditionalFormatting sqref="AG22">
    <cfRule type="expression" dxfId="11792" priority="55249" stopIfTrue="1">
      <formula>NOT(ISBLANK($AG$22))</formula>
    </cfRule>
  </conditionalFormatting>
  <conditionalFormatting sqref="AH22">
    <cfRule type="expression" dxfId="11791" priority="55250" stopIfTrue="1">
      <formula>NOT(ISBLANK($AH$22))</formula>
    </cfRule>
  </conditionalFormatting>
  <conditionalFormatting sqref="AI22">
    <cfRule type="expression" dxfId="11790" priority="55251" stopIfTrue="1">
      <formula>NOT(ISBLANK($AI$22))</formula>
    </cfRule>
  </conditionalFormatting>
  <conditionalFormatting sqref="AJ22">
    <cfRule type="expression" dxfId="11789" priority="55252" stopIfTrue="1">
      <formula>NOT(ISBLANK($AJ$22))</formula>
    </cfRule>
  </conditionalFormatting>
  <conditionalFormatting sqref="AK22">
    <cfRule type="expression" dxfId="11788" priority="55253" stopIfTrue="1">
      <formula>NOT(ISBLANK($AK$22))</formula>
    </cfRule>
  </conditionalFormatting>
  <conditionalFormatting sqref="AL22">
    <cfRule type="expression" dxfId="11787" priority="55254" stopIfTrue="1">
      <formula>NOT(ISBLANK($AL$22))</formula>
    </cfRule>
  </conditionalFormatting>
  <conditionalFormatting sqref="AM22">
    <cfRule type="expression" dxfId="11786" priority="55255" stopIfTrue="1">
      <formula>NOT(ISBLANK($AM$22))</formula>
    </cfRule>
  </conditionalFormatting>
  <conditionalFormatting sqref="AN22">
    <cfRule type="expression" dxfId="11785" priority="55256" stopIfTrue="1">
      <formula>NOT(ISBLANK($AN$22))</formula>
    </cfRule>
  </conditionalFormatting>
  <conditionalFormatting sqref="AO22">
    <cfRule type="expression" dxfId="11784" priority="55257" stopIfTrue="1">
      <formula>NOT(ISBLANK($AO$22))</formula>
    </cfRule>
  </conditionalFormatting>
  <conditionalFormatting sqref="AP22">
    <cfRule type="expression" dxfId="11783" priority="55258" stopIfTrue="1">
      <formula>NOT(ISBLANK($AP$22))</formula>
    </cfRule>
  </conditionalFormatting>
  <conditionalFormatting sqref="AQ22">
    <cfRule type="expression" dxfId="11782" priority="55259" stopIfTrue="1">
      <formula>NOT(ISBLANK($AQ$22))</formula>
    </cfRule>
  </conditionalFormatting>
  <conditionalFormatting sqref="A23">
    <cfRule type="cellIs" dxfId="11781" priority="55260" stopIfTrue="1" operator="notEqual">
      <formula>1</formula>
    </cfRule>
  </conditionalFormatting>
  <conditionalFormatting sqref="B23">
    <cfRule type="cellIs" dxfId="11780" priority="55261" stopIfTrue="1" operator="notEqual">
      <formula>2</formula>
    </cfRule>
  </conditionalFormatting>
  <conditionalFormatting sqref="C23">
    <cfRule type="cellIs" dxfId="11779" priority="55262" stopIfTrue="1" operator="notEqual">
      <formula>7</formula>
    </cfRule>
  </conditionalFormatting>
  <conditionalFormatting sqref="D23">
    <cfRule type="cellIs" dxfId="11778" priority="55263" stopIfTrue="1" operator="notEqual">
      <formula>22.614</formula>
    </cfRule>
  </conditionalFormatting>
  <conditionalFormatting sqref="E23">
    <cfRule type="cellIs" dxfId="11777" priority="55264" stopIfTrue="1" operator="notEqual">
      <formula>"MGD"</formula>
    </cfRule>
  </conditionalFormatting>
  <conditionalFormatting sqref="F23">
    <cfRule type="cellIs" dxfId="11776" priority="55265" stopIfTrue="1" operator="notEqual">
      <formula>11.066</formula>
    </cfRule>
  </conditionalFormatting>
  <conditionalFormatting sqref="G23">
    <cfRule type="cellIs" dxfId="11775" priority="55266" stopIfTrue="1" operator="notEqual">
      <formula>"MGD"</formula>
    </cfRule>
  </conditionalFormatting>
  <conditionalFormatting sqref="H23">
    <cfRule type="expression" dxfId="11774" priority="55267" stopIfTrue="1">
      <formula>NOT(ISBLANK($H$23))</formula>
    </cfRule>
  </conditionalFormatting>
  <conditionalFormatting sqref="I23">
    <cfRule type="expression" dxfId="11773" priority="55268" stopIfTrue="1">
      <formula>NOT(ISBLANK($I$23))</formula>
    </cfRule>
  </conditionalFormatting>
  <conditionalFormatting sqref="J23">
    <cfRule type="expression" dxfId="11772" priority="55269" stopIfTrue="1">
      <formula>NOT(ISBLANK($J$23))</formula>
    </cfRule>
  </conditionalFormatting>
  <conditionalFormatting sqref="K23">
    <cfRule type="expression" dxfId="11771" priority="55270" stopIfTrue="1">
      <formula>NOT(ISBLANK($K$23))</formula>
    </cfRule>
  </conditionalFormatting>
  <conditionalFormatting sqref="L23">
    <cfRule type="expression" dxfId="11770" priority="55271" stopIfTrue="1">
      <formula>NOT(ISBLANK($L$23))</formula>
    </cfRule>
  </conditionalFormatting>
  <conditionalFormatting sqref="M23">
    <cfRule type="expression" dxfId="11769" priority="55272" stopIfTrue="1">
      <formula>NOT(ISBLANK($M$23))</formula>
    </cfRule>
  </conditionalFormatting>
  <conditionalFormatting sqref="N23">
    <cfRule type="expression" dxfId="11768" priority="55273" stopIfTrue="1">
      <formula>NOT(ISBLANK($N$23))</formula>
    </cfRule>
  </conditionalFormatting>
  <conditionalFormatting sqref="O23">
    <cfRule type="expression" dxfId="11767" priority="55274" stopIfTrue="1">
      <formula>NOT(ISBLANK($O$23))</formula>
    </cfRule>
  </conditionalFormatting>
  <conditionalFormatting sqref="P23">
    <cfRule type="expression" dxfId="11766" priority="55275" stopIfTrue="1">
      <formula>NOT(ISBLANK($P$23))</formula>
    </cfRule>
  </conditionalFormatting>
  <conditionalFormatting sqref="Q23">
    <cfRule type="expression" dxfId="11765" priority="55276" stopIfTrue="1">
      <formula>NOT(ISBLANK($Q$23))</formula>
    </cfRule>
  </conditionalFormatting>
  <conditionalFormatting sqref="R23">
    <cfRule type="expression" dxfId="11764" priority="55277" stopIfTrue="1">
      <formula>NOT(ISBLANK($R$23))</formula>
    </cfRule>
  </conditionalFormatting>
  <conditionalFormatting sqref="S23">
    <cfRule type="expression" dxfId="11763" priority="55278" stopIfTrue="1">
      <formula>NOT(ISBLANK($S$23))</formula>
    </cfRule>
  </conditionalFormatting>
  <conditionalFormatting sqref="T23">
    <cfRule type="expression" dxfId="11762" priority="55279" stopIfTrue="1">
      <formula>NOT(ISBLANK($T$23))</formula>
    </cfRule>
  </conditionalFormatting>
  <conditionalFormatting sqref="U23">
    <cfRule type="expression" dxfId="11761" priority="55280" stopIfTrue="1">
      <formula>NOT(ISBLANK($U$23))</formula>
    </cfRule>
  </conditionalFormatting>
  <conditionalFormatting sqref="V23">
    <cfRule type="expression" dxfId="11760" priority="55281" stopIfTrue="1">
      <formula>NOT(ISBLANK($V$23))</formula>
    </cfRule>
  </conditionalFormatting>
  <conditionalFormatting sqref="W23">
    <cfRule type="expression" dxfId="11759" priority="55282" stopIfTrue="1">
      <formula>NOT(ISBLANK($W$23))</formula>
    </cfRule>
  </conditionalFormatting>
  <conditionalFormatting sqref="X23">
    <cfRule type="expression" dxfId="11758" priority="55283" stopIfTrue="1">
      <formula>NOT(ISBLANK($X$23))</formula>
    </cfRule>
  </conditionalFormatting>
  <conditionalFormatting sqref="Y23">
    <cfRule type="expression" dxfId="11757" priority="55284" stopIfTrue="1">
      <formula>NOT(ISBLANK($Y$23))</formula>
    </cfRule>
  </conditionalFormatting>
  <conditionalFormatting sqref="Z23">
    <cfRule type="expression" dxfId="11756" priority="55285" stopIfTrue="1">
      <formula>NOT(ISBLANK($Z$23))</formula>
    </cfRule>
  </conditionalFormatting>
  <conditionalFormatting sqref="AA23">
    <cfRule type="expression" dxfId="11755" priority="55286" stopIfTrue="1">
      <formula>NOT(ISBLANK($AA$23))</formula>
    </cfRule>
  </conditionalFormatting>
  <conditionalFormatting sqref="AB23">
    <cfRule type="expression" dxfId="11754" priority="55287" stopIfTrue="1">
      <formula>NOT(ISBLANK($AB$23))</formula>
    </cfRule>
  </conditionalFormatting>
  <conditionalFormatting sqref="AC23">
    <cfRule type="expression" dxfId="11753" priority="55288" stopIfTrue="1">
      <formula>NOT(ISBLANK($AC$23))</formula>
    </cfRule>
  </conditionalFormatting>
  <conditionalFormatting sqref="AD23">
    <cfRule type="expression" dxfId="11752" priority="55289" stopIfTrue="1">
      <formula>NOT(ISBLANK($AD$23))</formula>
    </cfRule>
  </conditionalFormatting>
  <conditionalFormatting sqref="AE23">
    <cfRule type="expression" dxfId="11751" priority="55290" stopIfTrue="1">
      <formula>NOT(ISBLANK($AE$23))</formula>
    </cfRule>
  </conditionalFormatting>
  <conditionalFormatting sqref="AF23">
    <cfRule type="expression" dxfId="11750" priority="55291" stopIfTrue="1">
      <formula>NOT(ISBLANK($AF$23))</formula>
    </cfRule>
  </conditionalFormatting>
  <conditionalFormatting sqref="AG23">
    <cfRule type="expression" dxfId="11749" priority="55292" stopIfTrue="1">
      <formula>NOT(ISBLANK($AG$23))</formula>
    </cfRule>
  </conditionalFormatting>
  <conditionalFormatting sqref="AH23">
    <cfRule type="expression" dxfId="11748" priority="55293" stopIfTrue="1">
      <formula>NOT(ISBLANK($AH$23))</formula>
    </cfRule>
  </conditionalFormatting>
  <conditionalFormatting sqref="AI23">
    <cfRule type="expression" dxfId="11747" priority="55294" stopIfTrue="1">
      <formula>NOT(ISBLANK($AI$23))</formula>
    </cfRule>
  </conditionalFormatting>
  <conditionalFormatting sqref="AJ23">
    <cfRule type="expression" dxfId="11746" priority="55295" stopIfTrue="1">
      <formula>NOT(ISBLANK($AJ$23))</formula>
    </cfRule>
  </conditionalFormatting>
  <conditionalFormatting sqref="AK23">
    <cfRule type="expression" dxfId="11745" priority="55296" stopIfTrue="1">
      <formula>NOT(ISBLANK($AK$23))</formula>
    </cfRule>
  </conditionalFormatting>
  <conditionalFormatting sqref="AL23">
    <cfRule type="expression" dxfId="11744" priority="55297" stopIfTrue="1">
      <formula>NOT(ISBLANK($AL$23))</formula>
    </cfRule>
  </conditionalFormatting>
  <conditionalFormatting sqref="AM23">
    <cfRule type="expression" dxfId="11743" priority="55298" stopIfTrue="1">
      <formula>NOT(ISBLANK($AM$23))</formula>
    </cfRule>
  </conditionalFormatting>
  <conditionalFormatting sqref="AN23">
    <cfRule type="expression" dxfId="11742" priority="55299" stopIfTrue="1">
      <formula>NOT(ISBLANK($AN$23))</formula>
    </cfRule>
  </conditionalFormatting>
  <conditionalFormatting sqref="AO23">
    <cfRule type="expression" dxfId="11741" priority="55300" stopIfTrue="1">
      <formula>NOT(ISBLANK($AO$23))</formula>
    </cfRule>
  </conditionalFormatting>
  <conditionalFormatting sqref="AP23">
    <cfRule type="expression" dxfId="11740" priority="55301" stopIfTrue="1">
      <formula>NOT(ISBLANK($AP$23))</formula>
    </cfRule>
  </conditionalFormatting>
  <conditionalFormatting sqref="AQ23">
    <cfRule type="expression" dxfId="11739" priority="55302" stopIfTrue="1">
      <formula>NOT(ISBLANK($AQ$23))</formula>
    </cfRule>
  </conditionalFormatting>
  <conditionalFormatting sqref="A24">
    <cfRule type="cellIs" dxfId="11738" priority="55303" stopIfTrue="1" operator="notEqual">
      <formula>1</formula>
    </cfRule>
  </conditionalFormatting>
  <conditionalFormatting sqref="B24">
    <cfRule type="cellIs" dxfId="11737" priority="55304" stopIfTrue="1" operator="notEqual">
      <formula>2</formula>
    </cfRule>
  </conditionalFormatting>
  <conditionalFormatting sqref="C24">
    <cfRule type="cellIs" dxfId="11736" priority="55305" stopIfTrue="1" operator="notEqual">
      <formula>8</formula>
    </cfRule>
  </conditionalFormatting>
  <conditionalFormatting sqref="D24">
    <cfRule type="cellIs" dxfId="11735" priority="55306" stopIfTrue="1" operator="notEqual">
      <formula>75.072</formula>
    </cfRule>
  </conditionalFormatting>
  <conditionalFormatting sqref="E24">
    <cfRule type="cellIs" dxfId="11734" priority="55307" stopIfTrue="1" operator="notEqual">
      <formula>"MGD"</formula>
    </cfRule>
  </conditionalFormatting>
  <conditionalFormatting sqref="F24">
    <cfRule type="cellIs" dxfId="11733" priority="55308" stopIfTrue="1" operator="notEqual">
      <formula>37.536</formula>
    </cfRule>
  </conditionalFormatting>
  <conditionalFormatting sqref="G24">
    <cfRule type="cellIs" dxfId="11732" priority="55309" stopIfTrue="1" operator="notEqual">
      <formula>"MGD"</formula>
    </cfRule>
  </conditionalFormatting>
  <conditionalFormatting sqref="H24">
    <cfRule type="expression" dxfId="11731" priority="55310" stopIfTrue="1">
      <formula>NOT(ISBLANK($H$24))</formula>
    </cfRule>
  </conditionalFormatting>
  <conditionalFormatting sqref="I24">
    <cfRule type="expression" dxfId="11730" priority="55311" stopIfTrue="1">
      <formula>NOT(ISBLANK($I$24))</formula>
    </cfRule>
  </conditionalFormatting>
  <conditionalFormatting sqref="J24">
    <cfRule type="expression" dxfId="11729" priority="55312" stopIfTrue="1">
      <formula>NOT(ISBLANK($J$24))</formula>
    </cfRule>
  </conditionalFormatting>
  <conditionalFormatting sqref="K24">
    <cfRule type="expression" dxfId="11728" priority="55313" stopIfTrue="1">
      <formula>NOT(ISBLANK($K$24))</formula>
    </cfRule>
  </conditionalFormatting>
  <conditionalFormatting sqref="L24">
    <cfRule type="expression" dxfId="11727" priority="55314" stopIfTrue="1">
      <formula>NOT(ISBLANK($L$24))</formula>
    </cfRule>
  </conditionalFormatting>
  <conditionalFormatting sqref="M24">
    <cfRule type="expression" dxfId="11726" priority="55315" stopIfTrue="1">
      <formula>NOT(ISBLANK($M$24))</formula>
    </cfRule>
  </conditionalFormatting>
  <conditionalFormatting sqref="N24">
    <cfRule type="expression" dxfId="11725" priority="55316" stopIfTrue="1">
      <formula>NOT(ISBLANK($N$24))</formula>
    </cfRule>
  </conditionalFormatting>
  <conditionalFormatting sqref="O24">
    <cfRule type="expression" dxfId="11724" priority="55317" stopIfTrue="1">
      <formula>NOT(ISBLANK($O$24))</formula>
    </cfRule>
  </conditionalFormatting>
  <conditionalFormatting sqref="P24">
    <cfRule type="expression" dxfId="11723" priority="55318" stopIfTrue="1">
      <formula>NOT(ISBLANK($P$24))</formula>
    </cfRule>
  </conditionalFormatting>
  <conditionalFormatting sqref="Q24">
    <cfRule type="expression" dxfId="11722" priority="55319" stopIfTrue="1">
      <formula>NOT(ISBLANK($Q$24))</formula>
    </cfRule>
  </conditionalFormatting>
  <conditionalFormatting sqref="R24">
    <cfRule type="expression" dxfId="11721" priority="55320" stopIfTrue="1">
      <formula>NOT(ISBLANK($R$24))</formula>
    </cfRule>
  </conditionalFormatting>
  <conditionalFormatting sqref="S24">
    <cfRule type="expression" dxfId="11720" priority="55321" stopIfTrue="1">
      <formula>NOT(ISBLANK($S$24))</formula>
    </cfRule>
  </conditionalFormatting>
  <conditionalFormatting sqref="T24">
    <cfRule type="expression" dxfId="11719" priority="55322" stopIfTrue="1">
      <formula>NOT(ISBLANK($T$24))</formula>
    </cfRule>
  </conditionalFormatting>
  <conditionalFormatting sqref="U24">
    <cfRule type="expression" dxfId="11718" priority="55323" stopIfTrue="1">
      <formula>NOT(ISBLANK($U$24))</formula>
    </cfRule>
  </conditionalFormatting>
  <conditionalFormatting sqref="V24">
    <cfRule type="expression" dxfId="11717" priority="55324" stopIfTrue="1">
      <formula>NOT(ISBLANK($V$24))</formula>
    </cfRule>
  </conditionalFormatting>
  <conditionalFormatting sqref="W24">
    <cfRule type="expression" dxfId="11716" priority="55325" stopIfTrue="1">
      <formula>NOT(ISBLANK($W$24))</formula>
    </cfRule>
  </conditionalFormatting>
  <conditionalFormatting sqref="X24">
    <cfRule type="expression" dxfId="11715" priority="55326" stopIfTrue="1">
      <formula>NOT(ISBLANK($X$24))</formula>
    </cfRule>
  </conditionalFormatting>
  <conditionalFormatting sqref="Y24">
    <cfRule type="expression" dxfId="11714" priority="55327" stopIfTrue="1">
      <formula>NOT(ISBLANK($Y$24))</formula>
    </cfRule>
  </conditionalFormatting>
  <conditionalFormatting sqref="Z24">
    <cfRule type="expression" dxfId="11713" priority="55328" stopIfTrue="1">
      <formula>NOT(ISBLANK($Z$24))</formula>
    </cfRule>
  </conditionalFormatting>
  <conditionalFormatting sqref="AA24">
    <cfRule type="expression" dxfId="11712" priority="55329" stopIfTrue="1">
      <formula>NOT(ISBLANK($AA$24))</formula>
    </cfRule>
  </conditionalFormatting>
  <conditionalFormatting sqref="AB24">
    <cfRule type="expression" dxfId="11711" priority="55330" stopIfTrue="1">
      <formula>NOT(ISBLANK($AB$24))</formula>
    </cfRule>
  </conditionalFormatting>
  <conditionalFormatting sqref="AC24">
    <cfRule type="expression" dxfId="11710" priority="55331" stopIfTrue="1">
      <formula>NOT(ISBLANK($AC$24))</formula>
    </cfRule>
  </conditionalFormatting>
  <conditionalFormatting sqref="AD24">
    <cfRule type="expression" dxfId="11709" priority="55332" stopIfTrue="1">
      <formula>NOT(ISBLANK($AD$24))</formula>
    </cfRule>
  </conditionalFormatting>
  <conditionalFormatting sqref="AE24">
    <cfRule type="expression" dxfId="11708" priority="55333" stopIfTrue="1">
      <formula>NOT(ISBLANK($AE$24))</formula>
    </cfRule>
  </conditionalFormatting>
  <conditionalFormatting sqref="AF24">
    <cfRule type="expression" dxfId="11707" priority="55334" stopIfTrue="1">
      <formula>NOT(ISBLANK($AF$24))</formula>
    </cfRule>
  </conditionalFormatting>
  <conditionalFormatting sqref="AG24">
    <cfRule type="expression" dxfId="11706" priority="55335" stopIfTrue="1">
      <formula>NOT(ISBLANK($AG$24))</formula>
    </cfRule>
  </conditionalFormatting>
  <conditionalFormatting sqref="AH24">
    <cfRule type="expression" dxfId="11705" priority="55336" stopIfTrue="1">
      <formula>NOT(ISBLANK($AH$24))</formula>
    </cfRule>
  </conditionalFormatting>
  <conditionalFormatting sqref="AI24">
    <cfRule type="expression" dxfId="11704" priority="55337" stopIfTrue="1">
      <formula>NOT(ISBLANK($AI$24))</formula>
    </cfRule>
  </conditionalFormatting>
  <conditionalFormatting sqref="AJ24">
    <cfRule type="expression" dxfId="11703" priority="55338" stopIfTrue="1">
      <formula>NOT(ISBLANK($AJ$24))</formula>
    </cfRule>
  </conditionalFormatting>
  <conditionalFormatting sqref="AK24">
    <cfRule type="expression" dxfId="11702" priority="55339" stopIfTrue="1">
      <formula>NOT(ISBLANK($AK$24))</formula>
    </cfRule>
  </conditionalFormatting>
  <conditionalFormatting sqref="AL24">
    <cfRule type="expression" dxfId="11701" priority="55340" stopIfTrue="1">
      <formula>NOT(ISBLANK($AL$24))</formula>
    </cfRule>
  </conditionalFormatting>
  <conditionalFormatting sqref="AM24">
    <cfRule type="expression" dxfId="11700" priority="55341" stopIfTrue="1">
      <formula>NOT(ISBLANK($AM$24))</formula>
    </cfRule>
  </conditionalFormatting>
  <conditionalFormatting sqref="AN24">
    <cfRule type="expression" dxfId="11699" priority="55342" stopIfTrue="1">
      <formula>NOT(ISBLANK($AN$24))</formula>
    </cfRule>
  </conditionalFormatting>
  <conditionalFormatting sqref="AO24">
    <cfRule type="expression" dxfId="11698" priority="55343" stopIfTrue="1">
      <formula>NOT(ISBLANK($AO$24))</formula>
    </cfRule>
  </conditionalFormatting>
  <conditionalFormatting sqref="AP24">
    <cfRule type="expression" dxfId="11697" priority="55344" stopIfTrue="1">
      <formula>NOT(ISBLANK($AP$24))</formula>
    </cfRule>
  </conditionalFormatting>
  <conditionalFormatting sqref="AQ24">
    <cfRule type="expression" dxfId="11696" priority="55345" stopIfTrue="1">
      <formula>NOT(ISBLANK($AQ$24))</formula>
    </cfRule>
  </conditionalFormatting>
  <conditionalFormatting sqref="A25">
    <cfRule type="cellIs" dxfId="11695" priority="55346" stopIfTrue="1" operator="notEqual">
      <formula>2</formula>
    </cfRule>
  </conditionalFormatting>
  <conditionalFormatting sqref="B25">
    <cfRule type="cellIs" dxfId="11694" priority="55347" stopIfTrue="1" operator="notEqual">
      <formula>1</formula>
    </cfRule>
  </conditionalFormatting>
  <conditionalFormatting sqref="C25">
    <cfRule type="cellIs" dxfId="11693" priority="55348" stopIfTrue="1" operator="notEqual">
      <formula>1</formula>
    </cfRule>
  </conditionalFormatting>
  <conditionalFormatting sqref="D25">
    <cfRule type="cellIs" dxfId="11692" priority="55349" stopIfTrue="1" operator="notEqual">
      <formula>0.03</formula>
    </cfRule>
  </conditionalFormatting>
  <conditionalFormatting sqref="E25">
    <cfRule type="cellIs" dxfId="11691" priority="55350" stopIfTrue="1" operator="notEqual">
      <formula>"MGD"</formula>
    </cfRule>
  </conditionalFormatting>
  <conditionalFormatting sqref="F25">
    <cfRule type="cellIs" dxfId="11690" priority="55351" stopIfTrue="1" operator="notEqual">
      <formula>0.007</formula>
    </cfRule>
  </conditionalFormatting>
  <conditionalFormatting sqref="G25">
    <cfRule type="cellIs" dxfId="11689" priority="55352" stopIfTrue="1" operator="notEqual">
      <formula>"MGD"</formula>
    </cfRule>
  </conditionalFormatting>
  <conditionalFormatting sqref="H25">
    <cfRule type="cellIs" dxfId="11688" priority="55353" stopIfTrue="1" operator="notEqual">
      <formula>"throwaway (non-hazardous)"</formula>
    </cfRule>
  </conditionalFormatting>
  <conditionalFormatting sqref="I25">
    <cfRule type="cellIs" dxfId="11687" priority="55354" stopIfTrue="1" operator="notEqual">
      <formula>"carbon life value- months"</formula>
    </cfRule>
  </conditionalFormatting>
  <conditionalFormatting sqref="J25">
    <cfRule type="cellIs" dxfId="11686" priority="55355" stopIfTrue="1" operator="notEqual">
      <formula>12</formula>
    </cfRule>
  </conditionalFormatting>
  <conditionalFormatting sqref="K25">
    <cfRule type="expression" dxfId="11685" priority="55356" stopIfTrue="1">
      <formula>NOT(ISBLANK($K$25))</formula>
    </cfRule>
  </conditionalFormatting>
  <conditionalFormatting sqref="L25">
    <cfRule type="expression" dxfId="11684" priority="55357" stopIfTrue="1">
      <formula>NOT(ISBLANK($L$25))</formula>
    </cfRule>
  </conditionalFormatting>
  <conditionalFormatting sqref="M25">
    <cfRule type="expression" dxfId="11683" priority="55358" stopIfTrue="1">
      <formula>NOT(ISBLANK($M$25))</formula>
    </cfRule>
  </conditionalFormatting>
  <conditionalFormatting sqref="N25">
    <cfRule type="cellIs" dxfId="11682" priority="55359" stopIfTrue="1" operator="notEqual">
      <formula>"EBCT"</formula>
    </cfRule>
  </conditionalFormatting>
  <conditionalFormatting sqref="O25">
    <cfRule type="cellIs" dxfId="11681" priority="55360" stopIfTrue="1" operator="notEqual">
      <formula>15</formula>
    </cfRule>
  </conditionalFormatting>
  <conditionalFormatting sqref="P25">
    <cfRule type="expression" dxfId="11680" priority="55361" stopIfTrue="1">
      <formula>NOT(ISBLANK($P$25))</formula>
    </cfRule>
  </conditionalFormatting>
  <conditionalFormatting sqref="Q25">
    <cfRule type="expression" dxfId="11679" priority="55362" stopIfTrue="1">
      <formula>NOT(ISBLANK($Q$25))</formula>
    </cfRule>
  </conditionalFormatting>
  <conditionalFormatting sqref="R25">
    <cfRule type="cellIs" dxfId="11678" priority="55363" stopIfTrue="1" operator="notEqual">
      <formula>3</formula>
    </cfRule>
  </conditionalFormatting>
  <conditionalFormatting sqref="S25">
    <cfRule type="cellIs" dxfId="11677" priority="55364" stopIfTrue="1" operator="notEqual">
      <formula>2.9</formula>
    </cfRule>
  </conditionalFormatting>
  <conditionalFormatting sqref="T25">
    <cfRule type="cellIs" dxfId="11676" priority="55365" stopIfTrue="1" operator="notEqual">
      <formula>"upright"</formula>
    </cfRule>
  </conditionalFormatting>
  <conditionalFormatting sqref="U25">
    <cfRule type="cellIs" dxfId="11675" priority="55366" stopIfTrue="1" operator="notEqual">
      <formula>5</formula>
    </cfRule>
  </conditionalFormatting>
  <conditionalFormatting sqref="V25">
    <cfRule type="cellIs" dxfId="11674" priority="55367" stopIfTrue="1" operator="notEqual">
      <formula>2.5</formula>
    </cfRule>
  </conditionalFormatting>
  <conditionalFormatting sqref="W25">
    <cfRule type="expression" dxfId="11673" priority="55368" stopIfTrue="1">
      <formula>NOT(ISBLANK($W$25))</formula>
    </cfRule>
  </conditionalFormatting>
  <conditionalFormatting sqref="X25">
    <cfRule type="expression" dxfId="11672" priority="55369" stopIfTrue="1">
      <formula>NOT(ISBLANK($X$25))</formula>
    </cfRule>
  </conditionalFormatting>
  <conditionalFormatting sqref="Y25">
    <cfRule type="expression" dxfId="11671" priority="55370" stopIfTrue="1">
      <formula>NOT(ISBLANK($Y$25))</formula>
    </cfRule>
  </conditionalFormatting>
  <conditionalFormatting sqref="Z25">
    <cfRule type="cellIs" dxfId="11670" priority="55371" stopIfTrue="1" operator="notEqual">
      <formula>48</formula>
    </cfRule>
  </conditionalFormatting>
  <conditionalFormatting sqref="AA25">
    <cfRule type="cellIs" dxfId="11669" priority="55372" stopIfTrue="1" operator="notEqual">
      <formula>"POTW"</formula>
    </cfRule>
  </conditionalFormatting>
  <conditionalFormatting sqref="AB25">
    <cfRule type="cellIs" dxfId="11668" priority="55373" stopIfTrue="1" operator="notEqual">
      <formula>"no holding tank"</formula>
    </cfRule>
  </conditionalFormatting>
  <conditionalFormatting sqref="AC25">
    <cfRule type="cellIs" dxfId="11667" priority="55374" stopIfTrue="1" operator="notEqual">
      <formula>"manual transfer"</formula>
    </cfRule>
  </conditionalFormatting>
  <conditionalFormatting sqref="AD25">
    <cfRule type="expression" dxfId="11666" priority="55375" stopIfTrue="1">
      <formula>NOT(ISBLANK($AD$25))</formula>
    </cfRule>
  </conditionalFormatting>
  <conditionalFormatting sqref="AE25">
    <cfRule type="expression" dxfId="11665" priority="55376" stopIfTrue="1">
      <formula>NOT(ISBLANK($AE$25))</formula>
    </cfRule>
  </conditionalFormatting>
  <conditionalFormatting sqref="AF25">
    <cfRule type="expression" dxfId="11664" priority="55377" stopIfTrue="1">
      <formula>NOT(ISBLANK($AF$25))</formula>
    </cfRule>
  </conditionalFormatting>
  <conditionalFormatting sqref="AG25">
    <cfRule type="expression" dxfId="11663" priority="55378" stopIfTrue="1">
      <formula>NOT(ISBLANK($AG$25))</formula>
    </cfRule>
  </conditionalFormatting>
  <conditionalFormatting sqref="AH25">
    <cfRule type="expression" dxfId="11662" priority="55379" stopIfTrue="1">
      <formula>NOT(ISBLANK($AH$25))</formula>
    </cfRule>
  </conditionalFormatting>
  <conditionalFormatting sqref="AI25">
    <cfRule type="expression" dxfId="11661" priority="55380" stopIfTrue="1">
      <formula>NOT(ISBLANK($AI$25))</formula>
    </cfRule>
  </conditionalFormatting>
  <conditionalFormatting sqref="AJ25">
    <cfRule type="expression" dxfId="11660" priority="55381" stopIfTrue="1">
      <formula>NOT(ISBLANK($AJ$25))</formula>
    </cfRule>
  </conditionalFormatting>
  <conditionalFormatting sqref="AK25">
    <cfRule type="expression" dxfId="11659" priority="55382" stopIfTrue="1">
      <formula>NOT(ISBLANK($AK$25))</formula>
    </cfRule>
  </conditionalFormatting>
  <conditionalFormatting sqref="AL25">
    <cfRule type="expression" dxfId="11658" priority="55383" stopIfTrue="1">
      <formula>NOT(ISBLANK($AL$25))</formula>
    </cfRule>
  </conditionalFormatting>
  <conditionalFormatting sqref="AM25">
    <cfRule type="expression" dxfId="11657" priority="55384" stopIfTrue="1">
      <formula>NOT(ISBLANK($AM$25))</formula>
    </cfRule>
  </conditionalFormatting>
  <conditionalFormatting sqref="AN25">
    <cfRule type="expression" dxfId="11656" priority="55385" stopIfTrue="1">
      <formula>NOT(ISBLANK($AN$25))</formula>
    </cfRule>
  </conditionalFormatting>
  <conditionalFormatting sqref="AO25">
    <cfRule type="expression" dxfId="11655" priority="55386" stopIfTrue="1">
      <formula>NOT(ISBLANK($AO$25))</formula>
    </cfRule>
  </conditionalFormatting>
  <conditionalFormatting sqref="AP25">
    <cfRule type="expression" dxfId="11654" priority="55387" stopIfTrue="1">
      <formula>NOT(ISBLANK($AP$25))</formula>
    </cfRule>
  </conditionalFormatting>
  <conditionalFormatting sqref="AQ25">
    <cfRule type="expression" dxfId="11653" priority="55388" stopIfTrue="1">
      <formula>NOT(ISBLANK($AQ$25))</formula>
    </cfRule>
  </conditionalFormatting>
  <conditionalFormatting sqref="A26">
    <cfRule type="cellIs" dxfId="11652" priority="55389" stopIfTrue="1" operator="notEqual">
      <formula>2</formula>
    </cfRule>
  </conditionalFormatting>
  <conditionalFormatting sqref="B26">
    <cfRule type="cellIs" dxfId="11651" priority="55390" stopIfTrue="1" operator="notEqual">
      <formula>1</formula>
    </cfRule>
  </conditionalFormatting>
  <conditionalFormatting sqref="C26">
    <cfRule type="cellIs" dxfId="11650" priority="55391" stopIfTrue="1" operator="notEqual">
      <formula>2</formula>
    </cfRule>
  </conditionalFormatting>
  <conditionalFormatting sqref="D26">
    <cfRule type="cellIs" dxfId="11649" priority="55392" stopIfTrue="1" operator="notEqual">
      <formula>0.124</formula>
    </cfRule>
  </conditionalFormatting>
  <conditionalFormatting sqref="E26">
    <cfRule type="cellIs" dxfId="11648" priority="55393" stopIfTrue="1" operator="notEqual">
      <formula>"MGD"</formula>
    </cfRule>
  </conditionalFormatting>
  <conditionalFormatting sqref="F26">
    <cfRule type="cellIs" dxfId="11647" priority="55394" stopIfTrue="1" operator="notEqual">
      <formula>0.035</formula>
    </cfRule>
  </conditionalFormatting>
  <conditionalFormatting sqref="G26">
    <cfRule type="cellIs" dxfId="11646" priority="55395" stopIfTrue="1" operator="notEqual">
      <formula>"MGD"</formula>
    </cfRule>
  </conditionalFormatting>
  <conditionalFormatting sqref="H26">
    <cfRule type="cellIs" dxfId="11645" priority="55396" stopIfTrue="1" operator="notEqual">
      <formula>"regeneration off-site (non-hazardous)"</formula>
    </cfRule>
  </conditionalFormatting>
  <conditionalFormatting sqref="I26">
    <cfRule type="cellIs" dxfId="11644" priority="55397" stopIfTrue="1" operator="notEqual">
      <formula>"carbon life value- months"</formula>
    </cfRule>
  </conditionalFormatting>
  <conditionalFormatting sqref="J26">
    <cfRule type="cellIs" dxfId="11643" priority="55398" stopIfTrue="1" operator="notEqual">
      <formula>12</formula>
    </cfRule>
  </conditionalFormatting>
  <conditionalFormatting sqref="K26">
    <cfRule type="expression" dxfId="11642" priority="55399" stopIfTrue="1">
      <formula>NOT(ISBLANK($K$26))</formula>
    </cfRule>
  </conditionalFormatting>
  <conditionalFormatting sqref="L26">
    <cfRule type="expression" dxfId="11641" priority="55400" stopIfTrue="1">
      <formula>NOT(ISBLANK($L$26))</formula>
    </cfRule>
  </conditionalFormatting>
  <conditionalFormatting sqref="M26">
    <cfRule type="expression" dxfId="11640" priority="55401" stopIfTrue="1">
      <formula>NOT(ISBLANK($M$26))</formula>
    </cfRule>
  </conditionalFormatting>
  <conditionalFormatting sqref="N26">
    <cfRule type="cellIs" dxfId="11639" priority="55402" stopIfTrue="1" operator="notEqual">
      <formula>"EBCT"</formula>
    </cfRule>
  </conditionalFormatting>
  <conditionalFormatting sqref="O26">
    <cfRule type="cellIs" dxfId="11638" priority="55403" stopIfTrue="1" operator="notEqual">
      <formula>15</formula>
    </cfRule>
  </conditionalFormatting>
  <conditionalFormatting sqref="P26">
    <cfRule type="expression" dxfId="11637" priority="55404" stopIfTrue="1">
      <formula>NOT(ISBLANK($P$26))</formula>
    </cfRule>
  </conditionalFormatting>
  <conditionalFormatting sqref="Q26">
    <cfRule type="expression" dxfId="11636" priority="55405" stopIfTrue="1">
      <formula>NOT(ISBLANK($Q$26))</formula>
    </cfRule>
  </conditionalFormatting>
  <conditionalFormatting sqref="R26">
    <cfRule type="cellIs" dxfId="11635" priority="55406" stopIfTrue="1" operator="notEqual">
      <formula>3</formula>
    </cfRule>
  </conditionalFormatting>
  <conditionalFormatting sqref="S26">
    <cfRule type="cellIs" dxfId="11634" priority="55407" stopIfTrue="1" operator="notEqual">
      <formula>6</formula>
    </cfRule>
  </conditionalFormatting>
  <conditionalFormatting sqref="T26">
    <cfRule type="cellIs" dxfId="11633" priority="55408" stopIfTrue="1" operator="notEqual">
      <formula>"upright"</formula>
    </cfRule>
  </conditionalFormatting>
  <conditionalFormatting sqref="U26">
    <cfRule type="cellIs" dxfId="11632" priority="55409" stopIfTrue="1" operator="notEqual">
      <formula>9.5</formula>
    </cfRule>
  </conditionalFormatting>
  <conditionalFormatting sqref="V26">
    <cfRule type="cellIs" dxfId="11631" priority="55410" stopIfTrue="1" operator="notEqual">
      <formula>3.5</formula>
    </cfRule>
  </conditionalFormatting>
  <conditionalFormatting sqref="W26">
    <cfRule type="expression" dxfId="11630" priority="55411" stopIfTrue="1">
      <formula>NOT(ISBLANK($W$26))</formula>
    </cfRule>
  </conditionalFormatting>
  <conditionalFormatting sqref="X26">
    <cfRule type="expression" dxfId="11629" priority="55412" stopIfTrue="1">
      <formula>NOT(ISBLANK($X$26))</formula>
    </cfRule>
  </conditionalFormatting>
  <conditionalFormatting sqref="Y26">
    <cfRule type="expression" dxfId="11628" priority="55413" stopIfTrue="1">
      <formula>NOT(ISBLANK($Y$26))</formula>
    </cfRule>
  </conditionalFormatting>
  <conditionalFormatting sqref="Z26">
    <cfRule type="cellIs" dxfId="11627" priority="55414" stopIfTrue="1" operator="notEqual">
      <formula>48</formula>
    </cfRule>
  </conditionalFormatting>
  <conditionalFormatting sqref="AA26">
    <cfRule type="cellIs" dxfId="11626" priority="55415" stopIfTrue="1" operator="notEqual">
      <formula>"POTW"</formula>
    </cfRule>
  </conditionalFormatting>
  <conditionalFormatting sqref="AB26">
    <cfRule type="cellIs" dxfId="11625" priority="55416" stopIfTrue="1" operator="notEqual">
      <formula>"Holding tank"</formula>
    </cfRule>
  </conditionalFormatting>
  <conditionalFormatting sqref="AC26">
    <cfRule type="cellIs" dxfId="11624" priority="55417" stopIfTrue="1" operator="notEqual">
      <formula>"manual transfer"</formula>
    </cfRule>
  </conditionalFormatting>
  <conditionalFormatting sqref="AD26">
    <cfRule type="cellIs" dxfId="11623" priority="55418" stopIfTrue="1" operator="notEqual">
      <formula>"non-hazardous"</formula>
    </cfRule>
  </conditionalFormatting>
  <conditionalFormatting sqref="AE26">
    <cfRule type="expression" dxfId="11622" priority="55419" stopIfTrue="1">
      <formula>NOT(ISBLANK($AE$26))</formula>
    </cfRule>
  </conditionalFormatting>
  <conditionalFormatting sqref="AF26">
    <cfRule type="expression" dxfId="11621" priority="55420" stopIfTrue="1">
      <formula>NOT(ISBLANK($AF$26))</formula>
    </cfRule>
  </conditionalFormatting>
  <conditionalFormatting sqref="AG26">
    <cfRule type="expression" dxfId="11620" priority="55421" stopIfTrue="1">
      <formula>NOT(ISBLANK($AG$26))</formula>
    </cfRule>
  </conditionalFormatting>
  <conditionalFormatting sqref="AH26">
    <cfRule type="expression" dxfId="11619" priority="55422" stopIfTrue="1">
      <formula>NOT(ISBLANK($AH$26))</formula>
    </cfRule>
  </conditionalFormatting>
  <conditionalFormatting sqref="AI26">
    <cfRule type="expression" dxfId="11618" priority="55423" stopIfTrue="1">
      <formula>NOT(ISBLANK($AI$26))</formula>
    </cfRule>
  </conditionalFormatting>
  <conditionalFormatting sqref="AJ26">
    <cfRule type="expression" dxfId="11617" priority="55424" stopIfTrue="1">
      <formula>NOT(ISBLANK($AJ$26))</formula>
    </cfRule>
  </conditionalFormatting>
  <conditionalFormatting sqref="AK26">
    <cfRule type="expression" dxfId="11616" priority="55425" stopIfTrue="1">
      <formula>NOT(ISBLANK($AK$26))</formula>
    </cfRule>
  </conditionalFormatting>
  <conditionalFormatting sqref="AL26">
    <cfRule type="expression" dxfId="11615" priority="55426" stopIfTrue="1">
      <formula>NOT(ISBLANK($AL$26))</formula>
    </cfRule>
  </conditionalFormatting>
  <conditionalFormatting sqref="AM26">
    <cfRule type="expression" dxfId="11614" priority="55427" stopIfTrue="1">
      <formula>NOT(ISBLANK($AM$26))</formula>
    </cfRule>
  </conditionalFormatting>
  <conditionalFormatting sqref="AN26">
    <cfRule type="expression" dxfId="11613" priority="55428" stopIfTrue="1">
      <formula>NOT(ISBLANK($AN$26))</formula>
    </cfRule>
  </conditionalFormatting>
  <conditionalFormatting sqref="AO26">
    <cfRule type="expression" dxfId="11612" priority="55429" stopIfTrue="1">
      <formula>NOT(ISBLANK($AO$26))</formula>
    </cfRule>
  </conditionalFormatting>
  <conditionalFormatting sqref="AP26">
    <cfRule type="expression" dxfId="11611" priority="55430" stopIfTrue="1">
      <formula>NOT(ISBLANK($AP$26))</formula>
    </cfRule>
  </conditionalFormatting>
  <conditionalFormatting sqref="AQ26">
    <cfRule type="expression" dxfId="11610" priority="55431" stopIfTrue="1">
      <formula>NOT(ISBLANK($AQ$26))</formula>
    </cfRule>
  </conditionalFormatting>
  <conditionalFormatting sqref="A27">
    <cfRule type="cellIs" dxfId="11609" priority="55432" stopIfTrue="1" operator="notEqual">
      <formula>2</formula>
    </cfRule>
  </conditionalFormatting>
  <conditionalFormatting sqref="B27">
    <cfRule type="cellIs" dxfId="11608" priority="55433" stopIfTrue="1" operator="notEqual">
      <formula>1</formula>
    </cfRule>
  </conditionalFormatting>
  <conditionalFormatting sqref="C27">
    <cfRule type="cellIs" dxfId="11607" priority="55434" stopIfTrue="1" operator="notEqual">
      <formula>3</formula>
    </cfRule>
  </conditionalFormatting>
  <conditionalFormatting sqref="D27">
    <cfRule type="cellIs" dxfId="11606" priority="55435" stopIfTrue="1" operator="notEqual">
      <formula>0.305</formula>
    </cfRule>
  </conditionalFormatting>
  <conditionalFormatting sqref="E27">
    <cfRule type="cellIs" dxfId="11605" priority="55436" stopIfTrue="1" operator="notEqual">
      <formula>"MGD"</formula>
    </cfRule>
  </conditionalFormatting>
  <conditionalFormatting sqref="F27">
    <cfRule type="cellIs" dxfId="11604" priority="55437" stopIfTrue="1" operator="notEqual">
      <formula>0.094</formula>
    </cfRule>
  </conditionalFormatting>
  <conditionalFormatting sqref="G27">
    <cfRule type="cellIs" dxfId="11603" priority="55438" stopIfTrue="1" operator="notEqual">
      <formula>"MGD"</formula>
    </cfRule>
  </conditionalFormatting>
  <conditionalFormatting sqref="H27">
    <cfRule type="cellIs" dxfId="11602" priority="55439" stopIfTrue="1" operator="notEqual">
      <formula>"regeneration off-site (non-hazardous)"</formula>
    </cfRule>
  </conditionalFormatting>
  <conditionalFormatting sqref="I27">
    <cfRule type="cellIs" dxfId="11601" priority="55440" stopIfTrue="1" operator="notEqual">
      <formula>"carbon life value- months"</formula>
    </cfRule>
  </conditionalFormatting>
  <conditionalFormatting sqref="J27">
    <cfRule type="cellIs" dxfId="11600" priority="55441" stopIfTrue="1" operator="notEqual">
      <formula>12</formula>
    </cfRule>
  </conditionalFormatting>
  <conditionalFormatting sqref="K27">
    <cfRule type="expression" dxfId="11599" priority="55442" stopIfTrue="1">
      <formula>NOT(ISBLANK($K$27))</formula>
    </cfRule>
  </conditionalFormatting>
  <conditionalFormatting sqref="L27">
    <cfRule type="expression" dxfId="11598" priority="55443" stopIfTrue="1">
      <formula>NOT(ISBLANK($L$27))</formula>
    </cfRule>
  </conditionalFormatting>
  <conditionalFormatting sqref="M27">
    <cfRule type="expression" dxfId="11597" priority="55444" stopIfTrue="1">
      <formula>NOT(ISBLANK($M$27))</formula>
    </cfRule>
  </conditionalFormatting>
  <conditionalFormatting sqref="N27">
    <cfRule type="cellIs" dxfId="11596" priority="55445" stopIfTrue="1" operator="notEqual">
      <formula>"EBCT"</formula>
    </cfRule>
  </conditionalFormatting>
  <conditionalFormatting sqref="O27">
    <cfRule type="cellIs" dxfId="11595" priority="55446" stopIfTrue="1" operator="notEqual">
      <formula>15</formula>
    </cfRule>
  </conditionalFormatting>
  <conditionalFormatting sqref="P27">
    <cfRule type="expression" dxfId="11594" priority="55447" stopIfTrue="1">
      <formula>NOT(ISBLANK($P$27))</formula>
    </cfRule>
  </conditionalFormatting>
  <conditionalFormatting sqref="Q27">
    <cfRule type="expression" dxfId="11593" priority="55448" stopIfTrue="1">
      <formula>NOT(ISBLANK($Q$27))</formula>
    </cfRule>
  </conditionalFormatting>
  <conditionalFormatting sqref="R27">
    <cfRule type="cellIs" dxfId="11592" priority="55449" stopIfTrue="1" operator="notEqual">
      <formula>3</formula>
    </cfRule>
  </conditionalFormatting>
  <conditionalFormatting sqref="S27">
    <cfRule type="cellIs" dxfId="11591" priority="55450" stopIfTrue="1" operator="notEqual">
      <formula>6</formula>
    </cfRule>
  </conditionalFormatting>
  <conditionalFormatting sqref="T27">
    <cfRule type="cellIs" dxfId="11590" priority="55451" stopIfTrue="1" operator="notEqual">
      <formula>"upright"</formula>
    </cfRule>
  </conditionalFormatting>
  <conditionalFormatting sqref="U27">
    <cfRule type="cellIs" dxfId="11589" priority="55452" stopIfTrue="1" operator="notEqual">
      <formula>9.5</formula>
    </cfRule>
  </conditionalFormatting>
  <conditionalFormatting sqref="V27">
    <cfRule type="cellIs" dxfId="11588" priority="55453" stopIfTrue="1" operator="notEqual">
      <formula>5.5</formula>
    </cfRule>
  </conditionalFormatting>
  <conditionalFormatting sqref="W27">
    <cfRule type="expression" dxfId="11587" priority="55454" stopIfTrue="1">
      <formula>NOT(ISBLANK($W$27))</formula>
    </cfRule>
  </conditionalFormatting>
  <conditionalFormatting sqref="X27">
    <cfRule type="expression" dxfId="11586" priority="55455" stopIfTrue="1">
      <formula>NOT(ISBLANK($X$27))</formula>
    </cfRule>
  </conditionalFormatting>
  <conditionalFormatting sqref="Y27">
    <cfRule type="expression" dxfId="11585" priority="55456" stopIfTrue="1">
      <formula>NOT(ISBLANK($Y$27))</formula>
    </cfRule>
  </conditionalFormatting>
  <conditionalFormatting sqref="Z27">
    <cfRule type="cellIs" dxfId="11584" priority="55457" stopIfTrue="1" operator="notEqual">
      <formula>48</formula>
    </cfRule>
  </conditionalFormatting>
  <conditionalFormatting sqref="AA27">
    <cfRule type="cellIs" dxfId="11583" priority="55458" stopIfTrue="1" operator="notEqual">
      <formula>"POTW"</formula>
    </cfRule>
  </conditionalFormatting>
  <conditionalFormatting sqref="AB27">
    <cfRule type="cellIs" dxfId="11582" priority="55459" stopIfTrue="1" operator="notEqual">
      <formula>"Holding tank"</formula>
    </cfRule>
  </conditionalFormatting>
  <conditionalFormatting sqref="AC27">
    <cfRule type="cellIs" dxfId="11581" priority="55460" stopIfTrue="1" operator="notEqual">
      <formula>"eductors"</formula>
    </cfRule>
  </conditionalFormatting>
  <conditionalFormatting sqref="AD27">
    <cfRule type="cellIs" dxfId="11580" priority="55461" stopIfTrue="1" operator="notEqual">
      <formula>"non-hazardous"</formula>
    </cfRule>
  </conditionalFormatting>
  <conditionalFormatting sqref="AE27">
    <cfRule type="expression" dxfId="11579" priority="55462" stopIfTrue="1">
      <formula>NOT(ISBLANK($AE$27))</formula>
    </cfRule>
  </conditionalFormatting>
  <conditionalFormatting sqref="AF27">
    <cfRule type="expression" dxfId="11578" priority="55463" stopIfTrue="1">
      <formula>NOT(ISBLANK($AF$27))</formula>
    </cfRule>
  </conditionalFormatting>
  <conditionalFormatting sqref="AG27">
    <cfRule type="expression" dxfId="11577" priority="55464" stopIfTrue="1">
      <formula>NOT(ISBLANK($AG$27))</formula>
    </cfRule>
  </conditionalFormatting>
  <conditionalFormatting sqref="AH27">
    <cfRule type="expression" dxfId="11576" priority="55465" stopIfTrue="1">
      <formula>NOT(ISBLANK($AH$27))</formula>
    </cfRule>
  </conditionalFormatting>
  <conditionalFormatting sqref="AI27">
    <cfRule type="expression" dxfId="11575" priority="55466" stopIfTrue="1">
      <formula>NOT(ISBLANK($AI$27))</formula>
    </cfRule>
  </conditionalFormatting>
  <conditionalFormatting sqref="AJ27">
    <cfRule type="expression" dxfId="11574" priority="55467" stopIfTrue="1">
      <formula>NOT(ISBLANK($AJ$27))</formula>
    </cfRule>
  </conditionalFormatting>
  <conditionalFormatting sqref="AK27">
    <cfRule type="expression" dxfId="11573" priority="55468" stopIfTrue="1">
      <formula>NOT(ISBLANK($AK$27))</formula>
    </cfRule>
  </conditionalFormatting>
  <conditionalFormatting sqref="AL27">
    <cfRule type="expression" dxfId="11572" priority="55469" stopIfTrue="1">
      <formula>NOT(ISBLANK($AL$27))</formula>
    </cfRule>
  </conditionalFormatting>
  <conditionalFormatting sqref="AM27">
    <cfRule type="expression" dxfId="11571" priority="55470" stopIfTrue="1">
      <formula>NOT(ISBLANK($AM$27))</formula>
    </cfRule>
  </conditionalFormatting>
  <conditionalFormatting sqref="AN27">
    <cfRule type="expression" dxfId="11570" priority="55471" stopIfTrue="1">
      <formula>NOT(ISBLANK($AN$27))</formula>
    </cfRule>
  </conditionalFormatting>
  <conditionalFormatting sqref="AO27">
    <cfRule type="expression" dxfId="11569" priority="55472" stopIfTrue="1">
      <formula>NOT(ISBLANK($AO$27))</formula>
    </cfRule>
  </conditionalFormatting>
  <conditionalFormatting sqref="AP27">
    <cfRule type="expression" dxfId="11568" priority="55473" stopIfTrue="1">
      <formula>NOT(ISBLANK($AP$27))</formula>
    </cfRule>
  </conditionalFormatting>
  <conditionalFormatting sqref="AQ27">
    <cfRule type="expression" dxfId="11567" priority="55474" stopIfTrue="1">
      <formula>NOT(ISBLANK($AQ$27))</formula>
    </cfRule>
  </conditionalFormatting>
  <conditionalFormatting sqref="A28">
    <cfRule type="cellIs" dxfId="11566" priority="55475" stopIfTrue="1" operator="notEqual">
      <formula>2</formula>
    </cfRule>
  </conditionalFormatting>
  <conditionalFormatting sqref="B28">
    <cfRule type="cellIs" dxfId="11565" priority="55476" stopIfTrue="1" operator="notEqual">
      <formula>1</formula>
    </cfRule>
  </conditionalFormatting>
  <conditionalFormatting sqref="C28">
    <cfRule type="cellIs" dxfId="11564" priority="55477" stopIfTrue="1" operator="notEqual">
      <formula>4</formula>
    </cfRule>
  </conditionalFormatting>
  <conditionalFormatting sqref="D28">
    <cfRule type="cellIs" dxfId="11563" priority="55478" stopIfTrue="1" operator="notEqual">
      <formula>0.74</formula>
    </cfRule>
  </conditionalFormatting>
  <conditionalFormatting sqref="E28">
    <cfRule type="cellIs" dxfId="11562" priority="55479" stopIfTrue="1" operator="notEqual">
      <formula>"MGD"</formula>
    </cfRule>
  </conditionalFormatting>
  <conditionalFormatting sqref="F28">
    <cfRule type="cellIs" dxfId="11561" priority="55480" stopIfTrue="1" operator="notEqual">
      <formula>0.251</formula>
    </cfRule>
  </conditionalFormatting>
  <conditionalFormatting sqref="G28">
    <cfRule type="cellIs" dxfId="11560" priority="55481" stopIfTrue="1" operator="notEqual">
      <formula>"MGD"</formula>
    </cfRule>
  </conditionalFormatting>
  <conditionalFormatting sqref="H28">
    <cfRule type="cellIs" dxfId="11559" priority="55482" stopIfTrue="1" operator="notEqual">
      <formula>"regeneration off-site (non-hazardous)"</formula>
    </cfRule>
  </conditionalFormatting>
  <conditionalFormatting sqref="I28">
    <cfRule type="cellIs" dxfId="11558" priority="55483" stopIfTrue="1" operator="notEqual">
      <formula>"carbon life value- months"</formula>
    </cfRule>
  </conditionalFormatting>
  <conditionalFormatting sqref="J28">
    <cfRule type="cellIs" dxfId="11557" priority="55484" stopIfTrue="1" operator="notEqual">
      <formula>12</formula>
    </cfRule>
  </conditionalFormatting>
  <conditionalFormatting sqref="K28">
    <cfRule type="expression" dxfId="11556" priority="55485" stopIfTrue="1">
      <formula>NOT(ISBLANK($K$28))</formula>
    </cfRule>
  </conditionalFormatting>
  <conditionalFormatting sqref="L28">
    <cfRule type="expression" dxfId="11555" priority="55486" stopIfTrue="1">
      <formula>NOT(ISBLANK($L$28))</formula>
    </cfRule>
  </conditionalFormatting>
  <conditionalFormatting sqref="M28">
    <cfRule type="expression" dxfId="11554" priority="55487" stopIfTrue="1">
      <formula>NOT(ISBLANK($M$28))</formula>
    </cfRule>
  </conditionalFormatting>
  <conditionalFormatting sqref="N28">
    <cfRule type="cellIs" dxfId="11553" priority="55488" stopIfTrue="1" operator="notEqual">
      <formula>"EBCT"</formula>
    </cfRule>
  </conditionalFormatting>
  <conditionalFormatting sqref="O28">
    <cfRule type="cellIs" dxfId="11552" priority="55489" stopIfTrue="1" operator="notEqual">
      <formula>15</formula>
    </cfRule>
  </conditionalFormatting>
  <conditionalFormatting sqref="P28">
    <cfRule type="expression" dxfId="11551" priority="55490" stopIfTrue="1">
      <formula>NOT(ISBLANK($P$28))</formula>
    </cfRule>
  </conditionalFormatting>
  <conditionalFormatting sqref="Q28">
    <cfRule type="expression" dxfId="11550" priority="55491" stopIfTrue="1">
      <formula>NOT(ISBLANK($Q$28))</formula>
    </cfRule>
  </conditionalFormatting>
  <conditionalFormatting sqref="R28">
    <cfRule type="cellIs" dxfId="11549" priority="55492" stopIfTrue="1" operator="notEqual">
      <formula>3</formula>
    </cfRule>
  </conditionalFormatting>
  <conditionalFormatting sqref="S28">
    <cfRule type="cellIs" dxfId="11548" priority="55493" stopIfTrue="1" operator="notEqual">
      <formula>6.1</formula>
    </cfRule>
  </conditionalFormatting>
  <conditionalFormatting sqref="T28">
    <cfRule type="cellIs" dxfId="11547" priority="55494" stopIfTrue="1" operator="notEqual">
      <formula>"upright"</formula>
    </cfRule>
  </conditionalFormatting>
  <conditionalFormatting sqref="U28">
    <cfRule type="cellIs" dxfId="11546" priority="55495" stopIfTrue="1" operator="notEqual">
      <formula>10</formula>
    </cfRule>
  </conditionalFormatting>
  <conditionalFormatting sqref="V28">
    <cfRule type="cellIs" dxfId="11545" priority="55496" stopIfTrue="1" operator="notEqual">
      <formula>8.5</formula>
    </cfRule>
  </conditionalFormatting>
  <conditionalFormatting sqref="W28">
    <cfRule type="expression" dxfId="11544" priority="55497" stopIfTrue="1">
      <formula>NOT(ISBLANK($W$28))</formula>
    </cfRule>
  </conditionalFormatting>
  <conditionalFormatting sqref="X28">
    <cfRule type="expression" dxfId="11543" priority="55498" stopIfTrue="1">
      <formula>NOT(ISBLANK($X$28))</formula>
    </cfRule>
  </conditionalFormatting>
  <conditionalFormatting sqref="Y28">
    <cfRule type="expression" dxfId="11542" priority="55499" stopIfTrue="1">
      <formula>NOT(ISBLANK($Y$28))</formula>
    </cfRule>
  </conditionalFormatting>
  <conditionalFormatting sqref="Z28">
    <cfRule type="cellIs" dxfId="11541" priority="55500" stopIfTrue="1" operator="notEqual">
      <formula>48</formula>
    </cfRule>
  </conditionalFormatting>
  <conditionalFormatting sqref="AA28">
    <cfRule type="cellIs" dxfId="11540" priority="55501" stopIfTrue="1" operator="notEqual">
      <formula>"POTW"</formula>
    </cfRule>
  </conditionalFormatting>
  <conditionalFormatting sqref="AB28">
    <cfRule type="cellIs" dxfId="11539" priority="55502" stopIfTrue="1" operator="notEqual">
      <formula>"Holding tank"</formula>
    </cfRule>
  </conditionalFormatting>
  <conditionalFormatting sqref="AC28">
    <cfRule type="cellIs" dxfId="11538" priority="55503" stopIfTrue="1" operator="notEqual">
      <formula>"eductors"</formula>
    </cfRule>
  </conditionalFormatting>
  <conditionalFormatting sqref="AD28">
    <cfRule type="cellIs" dxfId="11537" priority="55504" stopIfTrue="1" operator="notEqual">
      <formula>"non-hazardous"</formula>
    </cfRule>
  </conditionalFormatting>
  <conditionalFormatting sqref="AE28">
    <cfRule type="expression" dxfId="11536" priority="55505" stopIfTrue="1">
      <formula>NOT(ISBLANK($AE$28))</formula>
    </cfRule>
  </conditionalFormatting>
  <conditionalFormatting sqref="AF28">
    <cfRule type="expression" dxfId="11535" priority="55506" stopIfTrue="1">
      <formula>NOT(ISBLANK($AF$28))</formula>
    </cfRule>
  </conditionalFormatting>
  <conditionalFormatting sqref="AG28">
    <cfRule type="expression" dxfId="11534" priority="55507" stopIfTrue="1">
      <formula>NOT(ISBLANK($AG$28))</formula>
    </cfRule>
  </conditionalFormatting>
  <conditionalFormatting sqref="AH28">
    <cfRule type="expression" dxfId="11533" priority="55508" stopIfTrue="1">
      <formula>NOT(ISBLANK($AH$28))</formula>
    </cfRule>
  </conditionalFormatting>
  <conditionalFormatting sqref="AI28">
    <cfRule type="expression" dxfId="11532" priority="55509" stopIfTrue="1">
      <formula>NOT(ISBLANK($AI$28))</formula>
    </cfRule>
  </conditionalFormatting>
  <conditionalFormatting sqref="AJ28">
    <cfRule type="expression" dxfId="11531" priority="55510" stopIfTrue="1">
      <formula>NOT(ISBLANK($AJ$28))</formula>
    </cfRule>
  </conditionalFormatting>
  <conditionalFormatting sqref="AK28">
    <cfRule type="expression" dxfId="11530" priority="55511" stopIfTrue="1">
      <formula>NOT(ISBLANK($AK$28))</formula>
    </cfRule>
  </conditionalFormatting>
  <conditionalFormatting sqref="AL28">
    <cfRule type="expression" dxfId="11529" priority="55512" stopIfTrue="1">
      <formula>NOT(ISBLANK($AL$28))</formula>
    </cfRule>
  </conditionalFormatting>
  <conditionalFormatting sqref="AM28">
    <cfRule type="expression" dxfId="11528" priority="55513" stopIfTrue="1">
      <formula>NOT(ISBLANK($AM$28))</formula>
    </cfRule>
  </conditionalFormatting>
  <conditionalFormatting sqref="AN28">
    <cfRule type="expression" dxfId="11527" priority="55514" stopIfTrue="1">
      <formula>NOT(ISBLANK($AN$28))</formula>
    </cfRule>
  </conditionalFormatting>
  <conditionalFormatting sqref="AO28">
    <cfRule type="expression" dxfId="11526" priority="55515" stopIfTrue="1">
      <formula>NOT(ISBLANK($AO$28))</formula>
    </cfRule>
  </conditionalFormatting>
  <conditionalFormatting sqref="AP28">
    <cfRule type="expression" dxfId="11525" priority="55516" stopIfTrue="1">
      <formula>NOT(ISBLANK($AP$28))</formula>
    </cfRule>
  </conditionalFormatting>
  <conditionalFormatting sqref="AQ28">
    <cfRule type="expression" dxfId="11524" priority="55517" stopIfTrue="1">
      <formula>NOT(ISBLANK($AQ$28))</formula>
    </cfRule>
  </conditionalFormatting>
  <conditionalFormatting sqref="A29">
    <cfRule type="cellIs" dxfId="11523" priority="55518" stopIfTrue="1" operator="notEqual">
      <formula>2</formula>
    </cfRule>
  </conditionalFormatting>
  <conditionalFormatting sqref="B29">
    <cfRule type="cellIs" dxfId="11522" priority="55519" stopIfTrue="1" operator="notEqual">
      <formula>1</formula>
    </cfRule>
  </conditionalFormatting>
  <conditionalFormatting sqref="C29">
    <cfRule type="cellIs" dxfId="11521" priority="55520" stopIfTrue="1" operator="notEqual">
      <formula>5</formula>
    </cfRule>
  </conditionalFormatting>
  <conditionalFormatting sqref="D29">
    <cfRule type="cellIs" dxfId="11520" priority="55521" stopIfTrue="1" operator="notEqual">
      <formula>2.152</formula>
    </cfRule>
  </conditionalFormatting>
  <conditionalFormatting sqref="E29">
    <cfRule type="cellIs" dxfId="11519" priority="55522" stopIfTrue="1" operator="notEqual">
      <formula>"MGD"</formula>
    </cfRule>
  </conditionalFormatting>
  <conditionalFormatting sqref="F29">
    <cfRule type="cellIs" dxfId="11518" priority="55523" stopIfTrue="1" operator="notEqual">
      <formula>0.819</formula>
    </cfRule>
  </conditionalFormatting>
  <conditionalFormatting sqref="G29">
    <cfRule type="cellIs" dxfId="11517" priority="55524" stopIfTrue="1" operator="notEqual">
      <formula>"MGD"</formula>
    </cfRule>
  </conditionalFormatting>
  <conditionalFormatting sqref="H29">
    <cfRule type="cellIs" dxfId="11516" priority="55525" stopIfTrue="1" operator="notEqual">
      <formula>"regeneration off-site (non-hazardous)"</formula>
    </cfRule>
  </conditionalFormatting>
  <conditionalFormatting sqref="I29">
    <cfRule type="cellIs" dxfId="11515" priority="55526" stopIfTrue="1" operator="notEqual">
      <formula>"carbon life value- months"</formula>
    </cfRule>
  </conditionalFormatting>
  <conditionalFormatting sqref="J29">
    <cfRule type="cellIs" dxfId="11514" priority="55527" stopIfTrue="1" operator="notEqual">
      <formula>12</formula>
    </cfRule>
  </conditionalFormatting>
  <conditionalFormatting sqref="K29">
    <cfRule type="expression" dxfId="11513" priority="55528" stopIfTrue="1">
      <formula>NOT(ISBLANK($K$29))</formula>
    </cfRule>
  </conditionalFormatting>
  <conditionalFormatting sqref="L29">
    <cfRule type="expression" dxfId="11512" priority="55529" stopIfTrue="1">
      <formula>NOT(ISBLANK($L$29))</formula>
    </cfRule>
  </conditionalFormatting>
  <conditionalFormatting sqref="M29">
    <cfRule type="expression" dxfId="11511" priority="55530" stopIfTrue="1">
      <formula>NOT(ISBLANK($M$29))</formula>
    </cfRule>
  </conditionalFormatting>
  <conditionalFormatting sqref="N29">
    <cfRule type="cellIs" dxfId="11510" priority="55531" stopIfTrue="1" operator="notEqual">
      <formula>"EBCT"</formula>
    </cfRule>
  </conditionalFormatting>
  <conditionalFormatting sqref="O29">
    <cfRule type="cellIs" dxfId="11509" priority="55532" stopIfTrue="1" operator="notEqual">
      <formula>15</formula>
    </cfRule>
  </conditionalFormatting>
  <conditionalFormatting sqref="P29">
    <cfRule type="expression" dxfId="11508" priority="55533" stopIfTrue="1">
      <formula>NOT(ISBLANK($P$29))</formula>
    </cfRule>
  </conditionalFormatting>
  <conditionalFormatting sqref="Q29">
    <cfRule type="expression" dxfId="11507" priority="55534" stopIfTrue="1">
      <formula>NOT(ISBLANK($Q$29))</formula>
    </cfRule>
  </conditionalFormatting>
  <conditionalFormatting sqref="R29">
    <cfRule type="cellIs" dxfId="11506" priority="55535" stopIfTrue="1" operator="notEqual">
      <formula>3</formula>
    </cfRule>
  </conditionalFormatting>
  <conditionalFormatting sqref="S29">
    <cfRule type="cellIs" dxfId="11505" priority="55536" stopIfTrue="1" operator="notEqual">
      <formula>6.5</formula>
    </cfRule>
  </conditionalFormatting>
  <conditionalFormatting sqref="T29">
    <cfRule type="cellIs" dxfId="11504" priority="55537" stopIfTrue="1" operator="notEqual">
      <formula>"upright"</formula>
    </cfRule>
  </conditionalFormatting>
  <conditionalFormatting sqref="U29">
    <cfRule type="cellIs" dxfId="11503" priority="55538" stopIfTrue="1" operator="notEqual">
      <formula>10.5</formula>
    </cfRule>
  </conditionalFormatting>
  <conditionalFormatting sqref="V29">
    <cfRule type="cellIs" dxfId="11502" priority="55539" stopIfTrue="1" operator="notEqual">
      <formula>14</formula>
    </cfRule>
  </conditionalFormatting>
  <conditionalFormatting sqref="W29">
    <cfRule type="expression" dxfId="11501" priority="55540" stopIfTrue="1">
      <formula>NOT(ISBLANK($W$29))</formula>
    </cfRule>
  </conditionalFormatting>
  <conditionalFormatting sqref="X29">
    <cfRule type="expression" dxfId="11500" priority="55541" stopIfTrue="1">
      <formula>NOT(ISBLANK($X$29))</formula>
    </cfRule>
  </conditionalFormatting>
  <conditionalFormatting sqref="Y29">
    <cfRule type="expression" dxfId="11499" priority="55542" stopIfTrue="1">
      <formula>NOT(ISBLANK($Y$29))</formula>
    </cfRule>
  </conditionalFormatting>
  <conditionalFormatting sqref="Z29">
    <cfRule type="cellIs" dxfId="11498" priority="55543" stopIfTrue="1" operator="notEqual">
      <formula>48</formula>
    </cfRule>
  </conditionalFormatting>
  <conditionalFormatting sqref="AA29">
    <cfRule type="cellIs" dxfId="11497" priority="55544" stopIfTrue="1" operator="notEqual">
      <formula>"POTW"</formula>
    </cfRule>
  </conditionalFormatting>
  <conditionalFormatting sqref="AB29">
    <cfRule type="cellIs" dxfId="11496" priority="55545" stopIfTrue="1" operator="notEqual">
      <formula>"Holding tank"</formula>
    </cfRule>
  </conditionalFormatting>
  <conditionalFormatting sqref="AC29">
    <cfRule type="cellIs" dxfId="11495" priority="55546" stopIfTrue="1" operator="notEqual">
      <formula>"eductors"</formula>
    </cfRule>
  </conditionalFormatting>
  <conditionalFormatting sqref="AD29">
    <cfRule type="cellIs" dxfId="11494" priority="55547" stopIfTrue="1" operator="notEqual">
      <formula>"non-hazardous"</formula>
    </cfRule>
  </conditionalFormatting>
  <conditionalFormatting sqref="AE29">
    <cfRule type="expression" dxfId="11493" priority="55548" stopIfTrue="1">
      <formula>NOT(ISBLANK($AE$29))</formula>
    </cfRule>
  </conditionalFormatting>
  <conditionalFormatting sqref="AF29">
    <cfRule type="expression" dxfId="11492" priority="55549" stopIfTrue="1">
      <formula>NOT(ISBLANK($AF$29))</formula>
    </cfRule>
  </conditionalFormatting>
  <conditionalFormatting sqref="AG29">
    <cfRule type="expression" dxfId="11491" priority="55550" stopIfTrue="1">
      <formula>NOT(ISBLANK($AG$29))</formula>
    </cfRule>
  </conditionalFormatting>
  <conditionalFormatting sqref="AH29">
    <cfRule type="expression" dxfId="11490" priority="55551" stopIfTrue="1">
      <formula>NOT(ISBLANK($AH$29))</formula>
    </cfRule>
  </conditionalFormatting>
  <conditionalFormatting sqref="AI29">
    <cfRule type="expression" dxfId="11489" priority="55552" stopIfTrue="1">
      <formula>NOT(ISBLANK($AI$29))</formula>
    </cfRule>
  </conditionalFormatting>
  <conditionalFormatting sqref="AJ29">
    <cfRule type="expression" dxfId="11488" priority="55553" stopIfTrue="1">
      <formula>NOT(ISBLANK($AJ$29))</formula>
    </cfRule>
  </conditionalFormatting>
  <conditionalFormatting sqref="AK29">
    <cfRule type="expression" dxfId="11487" priority="55554" stopIfTrue="1">
      <formula>NOT(ISBLANK($AK$29))</formula>
    </cfRule>
  </conditionalFormatting>
  <conditionalFormatting sqref="AL29">
    <cfRule type="expression" dxfId="11486" priority="55555" stopIfTrue="1">
      <formula>NOT(ISBLANK($AL$29))</formula>
    </cfRule>
  </conditionalFormatting>
  <conditionalFormatting sqref="AM29">
    <cfRule type="expression" dxfId="11485" priority="55556" stopIfTrue="1">
      <formula>NOT(ISBLANK($AM$29))</formula>
    </cfRule>
  </conditionalFormatting>
  <conditionalFormatting sqref="AN29">
    <cfRule type="expression" dxfId="11484" priority="55557" stopIfTrue="1">
      <formula>NOT(ISBLANK($AN$29))</formula>
    </cfRule>
  </conditionalFormatting>
  <conditionalFormatting sqref="AO29">
    <cfRule type="expression" dxfId="11483" priority="55558" stopIfTrue="1">
      <formula>NOT(ISBLANK($AO$29))</formula>
    </cfRule>
  </conditionalFormatting>
  <conditionalFormatting sqref="AP29">
    <cfRule type="expression" dxfId="11482" priority="55559" stopIfTrue="1">
      <formula>NOT(ISBLANK($AP$29))</formula>
    </cfRule>
  </conditionalFormatting>
  <conditionalFormatting sqref="AQ29">
    <cfRule type="expression" dxfId="11481" priority="55560" stopIfTrue="1">
      <formula>NOT(ISBLANK($AQ$29))</formula>
    </cfRule>
  </conditionalFormatting>
  <conditionalFormatting sqref="A30">
    <cfRule type="cellIs" dxfId="11480" priority="55561" stopIfTrue="1" operator="notEqual">
      <formula>2</formula>
    </cfRule>
  </conditionalFormatting>
  <conditionalFormatting sqref="B30">
    <cfRule type="cellIs" dxfId="11479" priority="55562" stopIfTrue="1" operator="notEqual">
      <formula>1</formula>
    </cfRule>
  </conditionalFormatting>
  <conditionalFormatting sqref="C30">
    <cfRule type="cellIs" dxfId="11478" priority="55563" stopIfTrue="1" operator="notEqual">
      <formula>6</formula>
    </cfRule>
  </conditionalFormatting>
  <conditionalFormatting sqref="D30">
    <cfRule type="cellIs" dxfId="11477" priority="55564" stopIfTrue="1" operator="notEqual">
      <formula>7.365</formula>
    </cfRule>
  </conditionalFormatting>
  <conditionalFormatting sqref="E30">
    <cfRule type="cellIs" dxfId="11476" priority="55565" stopIfTrue="1" operator="notEqual">
      <formula>"MGD"</formula>
    </cfRule>
  </conditionalFormatting>
  <conditionalFormatting sqref="F30">
    <cfRule type="cellIs" dxfId="11475" priority="55566" stopIfTrue="1" operator="notEqual">
      <formula>3.2</formula>
    </cfRule>
  </conditionalFormatting>
  <conditionalFormatting sqref="G30">
    <cfRule type="cellIs" dxfId="11474" priority="55567" stopIfTrue="1" operator="notEqual">
      <formula>"MGD"</formula>
    </cfRule>
  </conditionalFormatting>
  <conditionalFormatting sqref="H30">
    <cfRule type="cellIs" dxfId="11473" priority="55568" stopIfTrue="1" operator="notEqual">
      <formula>"regeneration off-site (non-hazardous)"</formula>
    </cfRule>
  </conditionalFormatting>
  <conditionalFormatting sqref="I30">
    <cfRule type="cellIs" dxfId="11472" priority="55569" stopIfTrue="1" operator="notEqual">
      <formula>"carbon life value- months"</formula>
    </cfRule>
  </conditionalFormatting>
  <conditionalFormatting sqref="J30">
    <cfRule type="cellIs" dxfId="11471" priority="55570" stopIfTrue="1" operator="notEqual">
      <formula>12</formula>
    </cfRule>
  </conditionalFormatting>
  <conditionalFormatting sqref="K30">
    <cfRule type="expression" dxfId="11470" priority="55571" stopIfTrue="1">
      <formula>NOT(ISBLANK($K$30))</formula>
    </cfRule>
  </conditionalFormatting>
  <conditionalFormatting sqref="L30">
    <cfRule type="expression" dxfId="11469" priority="55572" stopIfTrue="1">
      <formula>NOT(ISBLANK($L$30))</formula>
    </cfRule>
  </conditionalFormatting>
  <conditionalFormatting sqref="M30">
    <cfRule type="expression" dxfId="11468" priority="55573" stopIfTrue="1">
      <formula>NOT(ISBLANK($M$30))</formula>
    </cfRule>
  </conditionalFormatting>
  <conditionalFormatting sqref="N30">
    <cfRule type="cellIs" dxfId="11467" priority="55574" stopIfTrue="1" operator="notEqual">
      <formula>"EBCT"</formula>
    </cfRule>
  </conditionalFormatting>
  <conditionalFormatting sqref="O30">
    <cfRule type="cellIs" dxfId="11466" priority="55575" stopIfTrue="1" operator="notEqual">
      <formula>15</formula>
    </cfRule>
  </conditionalFormatting>
  <conditionalFormatting sqref="P30">
    <cfRule type="expression" dxfId="11465" priority="55576" stopIfTrue="1">
      <formula>NOT(ISBLANK($P$30))</formula>
    </cfRule>
  </conditionalFormatting>
  <conditionalFormatting sqref="Q30">
    <cfRule type="expression" dxfId="11464" priority="55577" stopIfTrue="1">
      <formula>NOT(ISBLANK($Q$30))</formula>
    </cfRule>
  </conditionalFormatting>
  <conditionalFormatting sqref="R30">
    <cfRule type="cellIs" dxfId="11463" priority="55578" stopIfTrue="1" operator="notEqual">
      <formula>3</formula>
    </cfRule>
  </conditionalFormatting>
  <conditionalFormatting sqref="S30">
    <cfRule type="cellIs" dxfId="11462" priority="55579" stopIfTrue="1" operator="notEqual">
      <formula>6.5</formula>
    </cfRule>
  </conditionalFormatting>
  <conditionalFormatting sqref="T30">
    <cfRule type="cellIs" dxfId="11461" priority="55580" stopIfTrue="1" operator="notEqual">
      <formula>"upright"</formula>
    </cfRule>
  </conditionalFormatting>
  <conditionalFormatting sqref="U30">
    <cfRule type="cellIs" dxfId="11460" priority="55581" stopIfTrue="1" operator="notEqual">
      <formula>10.5</formula>
    </cfRule>
  </conditionalFormatting>
  <conditionalFormatting sqref="V30">
    <cfRule type="cellIs" dxfId="11459" priority="55582" stopIfTrue="1" operator="notEqual">
      <formula>13</formula>
    </cfRule>
  </conditionalFormatting>
  <conditionalFormatting sqref="W30">
    <cfRule type="expression" dxfId="11458" priority="55583" stopIfTrue="1">
      <formula>NOT(ISBLANK($W$30))</formula>
    </cfRule>
  </conditionalFormatting>
  <conditionalFormatting sqref="X30">
    <cfRule type="expression" dxfId="11457" priority="55584" stopIfTrue="1">
      <formula>NOT(ISBLANK($X$30))</formula>
    </cfRule>
  </conditionalFormatting>
  <conditionalFormatting sqref="Y30">
    <cfRule type="expression" dxfId="11456" priority="55585" stopIfTrue="1">
      <formula>NOT(ISBLANK($Y$30))</formula>
    </cfRule>
  </conditionalFormatting>
  <conditionalFormatting sqref="Z30">
    <cfRule type="cellIs" dxfId="11455" priority="55586" stopIfTrue="1" operator="notEqual">
      <formula>48</formula>
    </cfRule>
  </conditionalFormatting>
  <conditionalFormatting sqref="AA30">
    <cfRule type="cellIs" dxfId="11454" priority="55587" stopIfTrue="1" operator="notEqual">
      <formula>"POTW"</formula>
    </cfRule>
  </conditionalFormatting>
  <conditionalFormatting sqref="AB30">
    <cfRule type="cellIs" dxfId="11453" priority="55588" stopIfTrue="1" operator="notEqual">
      <formula>"Holding tank"</formula>
    </cfRule>
  </conditionalFormatting>
  <conditionalFormatting sqref="AC30">
    <cfRule type="cellIs" dxfId="11452" priority="55589" stopIfTrue="1" operator="notEqual">
      <formula>"eductors"</formula>
    </cfRule>
  </conditionalFormatting>
  <conditionalFormatting sqref="AD30">
    <cfRule type="cellIs" dxfId="11451" priority="55590" stopIfTrue="1" operator="notEqual">
      <formula>"non-hazardous"</formula>
    </cfRule>
  </conditionalFormatting>
  <conditionalFormatting sqref="AE30">
    <cfRule type="expression" dxfId="11450" priority="55591" stopIfTrue="1">
      <formula>NOT(ISBLANK($AE$30))</formula>
    </cfRule>
  </conditionalFormatting>
  <conditionalFormatting sqref="AF30">
    <cfRule type="expression" dxfId="11449" priority="55592" stopIfTrue="1">
      <formula>NOT(ISBLANK($AF$30))</formula>
    </cfRule>
  </conditionalFormatting>
  <conditionalFormatting sqref="AG30">
    <cfRule type="expression" dxfId="11448" priority="55593" stopIfTrue="1">
      <formula>NOT(ISBLANK($AG$30))</formula>
    </cfRule>
  </conditionalFormatting>
  <conditionalFormatting sqref="AH30">
    <cfRule type="expression" dxfId="11447" priority="55594" stopIfTrue="1">
      <formula>NOT(ISBLANK($AH$30))</formula>
    </cfRule>
  </conditionalFormatting>
  <conditionalFormatting sqref="AI30">
    <cfRule type="expression" dxfId="11446" priority="55595" stopIfTrue="1">
      <formula>NOT(ISBLANK($AI$30))</formula>
    </cfRule>
  </conditionalFormatting>
  <conditionalFormatting sqref="AJ30">
    <cfRule type="expression" dxfId="11445" priority="55596" stopIfTrue="1">
      <formula>NOT(ISBLANK($AJ$30))</formula>
    </cfRule>
  </conditionalFormatting>
  <conditionalFormatting sqref="AK30">
    <cfRule type="expression" dxfId="11444" priority="55597" stopIfTrue="1">
      <formula>NOT(ISBLANK($AK$30))</formula>
    </cfRule>
  </conditionalFormatting>
  <conditionalFormatting sqref="AL30">
    <cfRule type="expression" dxfId="11443" priority="55598" stopIfTrue="1">
      <formula>NOT(ISBLANK($AL$30))</formula>
    </cfRule>
  </conditionalFormatting>
  <conditionalFormatting sqref="AM30">
    <cfRule type="expression" dxfId="11442" priority="55599" stopIfTrue="1">
      <formula>NOT(ISBLANK($AM$30))</formula>
    </cfRule>
  </conditionalFormatting>
  <conditionalFormatting sqref="AN30">
    <cfRule type="expression" dxfId="11441" priority="55600" stopIfTrue="1">
      <formula>NOT(ISBLANK($AN$30))</formula>
    </cfRule>
  </conditionalFormatting>
  <conditionalFormatting sqref="AO30">
    <cfRule type="expression" dxfId="11440" priority="55601" stopIfTrue="1">
      <formula>NOT(ISBLANK($AO$30))</formula>
    </cfRule>
  </conditionalFormatting>
  <conditionalFormatting sqref="AP30">
    <cfRule type="expression" dxfId="11439" priority="55602" stopIfTrue="1">
      <formula>NOT(ISBLANK($AP$30))</formula>
    </cfRule>
  </conditionalFormatting>
  <conditionalFormatting sqref="AQ30">
    <cfRule type="expression" dxfId="11438" priority="55603" stopIfTrue="1">
      <formula>NOT(ISBLANK($AQ$30))</formula>
    </cfRule>
  </conditionalFormatting>
  <conditionalFormatting sqref="A31">
    <cfRule type="cellIs" dxfId="11437" priority="55604" stopIfTrue="1" operator="notEqual">
      <formula>2</formula>
    </cfRule>
  </conditionalFormatting>
  <conditionalFormatting sqref="B31">
    <cfRule type="cellIs" dxfId="11436" priority="55605" stopIfTrue="1" operator="notEqual">
      <formula>1</formula>
    </cfRule>
  </conditionalFormatting>
  <conditionalFormatting sqref="C31">
    <cfRule type="cellIs" dxfId="11435" priority="55606" stopIfTrue="1" operator="notEqual">
      <formula>7</formula>
    </cfRule>
  </conditionalFormatting>
  <conditionalFormatting sqref="D31">
    <cfRule type="cellIs" dxfId="11434" priority="55607" stopIfTrue="1" operator="notEqual">
      <formula>22.614</formula>
    </cfRule>
  </conditionalFormatting>
  <conditionalFormatting sqref="E31">
    <cfRule type="cellIs" dxfId="11433" priority="55608" stopIfTrue="1" operator="notEqual">
      <formula>"MGD"</formula>
    </cfRule>
  </conditionalFormatting>
  <conditionalFormatting sqref="F31">
    <cfRule type="cellIs" dxfId="11432" priority="55609" stopIfTrue="1" operator="notEqual">
      <formula>11.066</formula>
    </cfRule>
  </conditionalFormatting>
  <conditionalFormatting sqref="G31">
    <cfRule type="cellIs" dxfId="11431" priority="55610" stopIfTrue="1" operator="notEqual">
      <formula>"MGD"</formula>
    </cfRule>
  </conditionalFormatting>
  <conditionalFormatting sqref="H31">
    <cfRule type="cellIs" dxfId="11430" priority="55611" stopIfTrue="1" operator="notEqual">
      <formula>"regeneration off-site (non-hazardous)"</formula>
    </cfRule>
  </conditionalFormatting>
  <conditionalFormatting sqref="I31">
    <cfRule type="cellIs" dxfId="11429" priority="55612" stopIfTrue="1" operator="notEqual">
      <formula>"carbon life value- months"</formula>
    </cfRule>
  </conditionalFormatting>
  <conditionalFormatting sqref="J31">
    <cfRule type="cellIs" dxfId="11428" priority="55613" stopIfTrue="1" operator="notEqual">
      <formula>12</formula>
    </cfRule>
  </conditionalFormatting>
  <conditionalFormatting sqref="K31">
    <cfRule type="expression" dxfId="11427" priority="55614" stopIfTrue="1">
      <formula>NOT(ISBLANK($K$31))</formula>
    </cfRule>
  </conditionalFormatting>
  <conditionalFormatting sqref="L31">
    <cfRule type="expression" dxfId="11426" priority="55615" stopIfTrue="1">
      <formula>NOT(ISBLANK($L$31))</formula>
    </cfRule>
  </conditionalFormatting>
  <conditionalFormatting sqref="M31">
    <cfRule type="expression" dxfId="11425" priority="55616" stopIfTrue="1">
      <formula>NOT(ISBLANK($M$31))</formula>
    </cfRule>
  </conditionalFormatting>
  <conditionalFormatting sqref="N31">
    <cfRule type="cellIs" dxfId="11424" priority="55617" stopIfTrue="1" operator="notEqual">
      <formula>"EBCT"</formula>
    </cfRule>
  </conditionalFormatting>
  <conditionalFormatting sqref="O31">
    <cfRule type="cellIs" dxfId="11423" priority="55618" stopIfTrue="1" operator="notEqual">
      <formula>15</formula>
    </cfRule>
  </conditionalFormatting>
  <conditionalFormatting sqref="P31">
    <cfRule type="expression" dxfId="11422" priority="55619" stopIfTrue="1">
      <formula>NOT(ISBLANK($P$31))</formula>
    </cfRule>
  </conditionalFormatting>
  <conditionalFormatting sqref="Q31">
    <cfRule type="expression" dxfId="11421" priority="55620" stopIfTrue="1">
      <formula>NOT(ISBLANK($Q$31))</formula>
    </cfRule>
  </conditionalFormatting>
  <conditionalFormatting sqref="R31">
    <cfRule type="cellIs" dxfId="11420" priority="55621" stopIfTrue="1" operator="notEqual">
      <formula>3</formula>
    </cfRule>
  </conditionalFormatting>
  <conditionalFormatting sqref="S31">
    <cfRule type="cellIs" dxfId="11419" priority="55622" stopIfTrue="1" operator="notEqual">
      <formula>6.7</formula>
    </cfRule>
  </conditionalFormatting>
  <conditionalFormatting sqref="T31">
    <cfRule type="cellIs" dxfId="11418" priority="55623" stopIfTrue="1" operator="notEqual">
      <formula>"upright"</formula>
    </cfRule>
  </conditionalFormatting>
  <conditionalFormatting sqref="U31">
    <cfRule type="cellIs" dxfId="11417" priority="55624" stopIfTrue="1" operator="notEqual">
      <formula>11</formula>
    </cfRule>
  </conditionalFormatting>
  <conditionalFormatting sqref="V31">
    <cfRule type="cellIs" dxfId="11416" priority="55625" stopIfTrue="1" operator="notEqual">
      <formula>13.5</formula>
    </cfRule>
  </conditionalFormatting>
  <conditionalFormatting sqref="W31">
    <cfRule type="expression" dxfId="11415" priority="55626" stopIfTrue="1">
      <formula>NOT(ISBLANK($W$31))</formula>
    </cfRule>
  </conditionalFormatting>
  <conditionalFormatting sqref="X31">
    <cfRule type="expression" dxfId="11414" priority="55627" stopIfTrue="1">
      <formula>NOT(ISBLANK($X$31))</formula>
    </cfRule>
  </conditionalFormatting>
  <conditionalFormatting sqref="Y31">
    <cfRule type="expression" dxfId="11413" priority="55628" stopIfTrue="1">
      <formula>NOT(ISBLANK($Y$31))</formula>
    </cfRule>
  </conditionalFormatting>
  <conditionalFormatting sqref="Z31">
    <cfRule type="cellIs" dxfId="11412" priority="55629" stopIfTrue="1" operator="notEqual">
      <formula>48</formula>
    </cfRule>
  </conditionalFormatting>
  <conditionalFormatting sqref="AA31">
    <cfRule type="cellIs" dxfId="11411" priority="55630" stopIfTrue="1" operator="notEqual">
      <formula>"POTW"</formula>
    </cfRule>
  </conditionalFormatting>
  <conditionalFormatting sqref="AB31">
    <cfRule type="cellIs" dxfId="11410" priority="55631" stopIfTrue="1" operator="notEqual">
      <formula>"Holding tank"</formula>
    </cfRule>
  </conditionalFormatting>
  <conditionalFormatting sqref="AC31">
    <cfRule type="cellIs" dxfId="11409" priority="55632" stopIfTrue="1" operator="notEqual">
      <formula>"eductors"</formula>
    </cfRule>
  </conditionalFormatting>
  <conditionalFormatting sqref="AD31">
    <cfRule type="cellIs" dxfId="11408" priority="55633" stopIfTrue="1" operator="notEqual">
      <formula>"non-hazardous"</formula>
    </cfRule>
  </conditionalFormatting>
  <conditionalFormatting sqref="AE31">
    <cfRule type="expression" dxfId="11407" priority="55634" stopIfTrue="1">
      <formula>NOT(ISBLANK($AE$31))</formula>
    </cfRule>
  </conditionalFormatting>
  <conditionalFormatting sqref="AF31">
    <cfRule type="expression" dxfId="11406" priority="55635" stopIfTrue="1">
      <formula>NOT(ISBLANK($AF$31))</formula>
    </cfRule>
  </conditionalFormatting>
  <conditionalFormatting sqref="AG31">
    <cfRule type="expression" dxfId="11405" priority="55636" stopIfTrue="1">
      <formula>NOT(ISBLANK($AG$31))</formula>
    </cfRule>
  </conditionalFormatting>
  <conditionalFormatting sqref="AH31">
    <cfRule type="expression" dxfId="11404" priority="55637" stopIfTrue="1">
      <formula>NOT(ISBLANK($AH$31))</formula>
    </cfRule>
  </conditionalFormatting>
  <conditionalFormatting sqref="AI31">
    <cfRule type="expression" dxfId="11403" priority="55638" stopIfTrue="1">
      <formula>NOT(ISBLANK($AI$31))</formula>
    </cfRule>
  </conditionalFormatting>
  <conditionalFormatting sqref="AJ31">
    <cfRule type="expression" dxfId="11402" priority="55639" stopIfTrue="1">
      <formula>NOT(ISBLANK($AJ$31))</formula>
    </cfRule>
  </conditionalFormatting>
  <conditionalFormatting sqref="AK31">
    <cfRule type="expression" dxfId="11401" priority="55640" stopIfTrue="1">
      <formula>NOT(ISBLANK($AK$31))</formula>
    </cfRule>
  </conditionalFormatting>
  <conditionalFormatting sqref="AL31">
    <cfRule type="expression" dxfId="11400" priority="55641" stopIfTrue="1">
      <formula>NOT(ISBLANK($AL$31))</formula>
    </cfRule>
  </conditionalFormatting>
  <conditionalFormatting sqref="AM31">
    <cfRule type="expression" dxfId="11399" priority="55642" stopIfTrue="1">
      <formula>NOT(ISBLANK($AM$31))</formula>
    </cfRule>
  </conditionalFormatting>
  <conditionalFormatting sqref="AN31">
    <cfRule type="expression" dxfId="11398" priority="55643" stopIfTrue="1">
      <formula>NOT(ISBLANK($AN$31))</formula>
    </cfRule>
  </conditionalFormatting>
  <conditionalFormatting sqref="AO31">
    <cfRule type="expression" dxfId="11397" priority="55644" stopIfTrue="1">
      <formula>NOT(ISBLANK($AO$31))</formula>
    </cfRule>
  </conditionalFormatting>
  <conditionalFormatting sqref="AP31">
    <cfRule type="expression" dxfId="11396" priority="55645" stopIfTrue="1">
      <formula>NOT(ISBLANK($AP$31))</formula>
    </cfRule>
  </conditionalFormatting>
  <conditionalFormatting sqref="AQ31">
    <cfRule type="expression" dxfId="11395" priority="55646" stopIfTrue="1">
      <formula>NOT(ISBLANK($AQ$31))</formula>
    </cfRule>
  </conditionalFormatting>
  <conditionalFormatting sqref="A32">
    <cfRule type="cellIs" dxfId="11394" priority="55647" stopIfTrue="1" operator="notEqual">
      <formula>2</formula>
    </cfRule>
  </conditionalFormatting>
  <conditionalFormatting sqref="B32">
    <cfRule type="cellIs" dxfId="11393" priority="55648" stopIfTrue="1" operator="notEqual">
      <formula>1</formula>
    </cfRule>
  </conditionalFormatting>
  <conditionalFormatting sqref="C32">
    <cfRule type="cellIs" dxfId="11392" priority="55649" stopIfTrue="1" operator="notEqual">
      <formula>8</formula>
    </cfRule>
  </conditionalFormatting>
  <conditionalFormatting sqref="D32">
    <cfRule type="cellIs" dxfId="11391" priority="55650" stopIfTrue="1" operator="notEqual">
      <formula>75.072</formula>
    </cfRule>
  </conditionalFormatting>
  <conditionalFormatting sqref="E32">
    <cfRule type="cellIs" dxfId="11390" priority="55651" stopIfTrue="1" operator="notEqual">
      <formula>"MGD"</formula>
    </cfRule>
  </conditionalFormatting>
  <conditionalFormatting sqref="F32">
    <cfRule type="cellIs" dxfId="11389" priority="55652" stopIfTrue="1" operator="notEqual">
      <formula>37.536</formula>
    </cfRule>
  </conditionalFormatting>
  <conditionalFormatting sqref="G32">
    <cfRule type="cellIs" dxfId="11388" priority="55653" stopIfTrue="1" operator="notEqual">
      <formula>"MGD"</formula>
    </cfRule>
  </conditionalFormatting>
  <conditionalFormatting sqref="H32">
    <cfRule type="cellIs" dxfId="11387" priority="55654" stopIfTrue="1" operator="notEqual">
      <formula>"regeneration off-site (non-hazardous)"</formula>
    </cfRule>
  </conditionalFormatting>
  <conditionalFormatting sqref="I32">
    <cfRule type="cellIs" dxfId="11386" priority="55655" stopIfTrue="1" operator="notEqual">
      <formula>"carbon life value- months"</formula>
    </cfRule>
  </conditionalFormatting>
  <conditionalFormatting sqref="J32">
    <cfRule type="cellIs" dxfId="11385" priority="55656" stopIfTrue="1" operator="notEqual">
      <formula>12</formula>
    </cfRule>
  </conditionalFormatting>
  <conditionalFormatting sqref="K32">
    <cfRule type="expression" dxfId="11384" priority="55657" stopIfTrue="1">
      <formula>NOT(ISBLANK($K$32))</formula>
    </cfRule>
  </conditionalFormatting>
  <conditionalFormatting sqref="L32">
    <cfRule type="expression" dxfId="11383" priority="55658" stopIfTrue="1">
      <formula>NOT(ISBLANK($L$32))</formula>
    </cfRule>
  </conditionalFormatting>
  <conditionalFormatting sqref="M32">
    <cfRule type="expression" dxfId="11382" priority="55659" stopIfTrue="1">
      <formula>NOT(ISBLANK($M$32))</formula>
    </cfRule>
  </conditionalFormatting>
  <conditionalFormatting sqref="N32">
    <cfRule type="cellIs" dxfId="11381" priority="55660" stopIfTrue="1" operator="notEqual">
      <formula>"EBCT"</formula>
    </cfRule>
  </conditionalFormatting>
  <conditionalFormatting sqref="O32">
    <cfRule type="cellIs" dxfId="11380" priority="55661" stopIfTrue="1" operator="notEqual">
      <formula>15</formula>
    </cfRule>
  </conditionalFormatting>
  <conditionalFormatting sqref="P32">
    <cfRule type="expression" dxfId="11379" priority="55662" stopIfTrue="1">
      <formula>NOT(ISBLANK($P$32))</formula>
    </cfRule>
  </conditionalFormatting>
  <conditionalFormatting sqref="Q32">
    <cfRule type="expression" dxfId="11378" priority="55663" stopIfTrue="1">
      <formula>NOT(ISBLANK($Q$32))</formula>
    </cfRule>
  </conditionalFormatting>
  <conditionalFormatting sqref="R32">
    <cfRule type="cellIs" dxfId="11377" priority="55664" stopIfTrue="1" operator="notEqual">
      <formula>3</formula>
    </cfRule>
  </conditionalFormatting>
  <conditionalFormatting sqref="S32">
    <cfRule type="cellIs" dxfId="11376" priority="55665" stopIfTrue="1" operator="notEqual">
      <formula>6.6</formula>
    </cfRule>
  </conditionalFormatting>
  <conditionalFormatting sqref="T32">
    <cfRule type="cellIs" dxfId="11375" priority="55666" stopIfTrue="1" operator="notEqual">
      <formula>"horizontal"</formula>
    </cfRule>
  </conditionalFormatting>
  <conditionalFormatting sqref="U32">
    <cfRule type="cellIs" dxfId="11374" priority="55667" stopIfTrue="1" operator="notEqual">
      <formula>21</formula>
    </cfRule>
  </conditionalFormatting>
  <conditionalFormatting sqref="V32">
    <cfRule type="cellIs" dxfId="11373" priority="55668" stopIfTrue="1" operator="notEqual">
      <formula>14</formula>
    </cfRule>
  </conditionalFormatting>
  <conditionalFormatting sqref="W32">
    <cfRule type="expression" dxfId="11372" priority="55669" stopIfTrue="1">
      <formula>NOT(ISBLANK($W$32))</formula>
    </cfRule>
  </conditionalFormatting>
  <conditionalFormatting sqref="X32">
    <cfRule type="expression" dxfId="11371" priority="55670" stopIfTrue="1">
      <formula>NOT(ISBLANK($X$32))</formula>
    </cfRule>
  </conditionalFormatting>
  <conditionalFormatting sqref="Y32">
    <cfRule type="expression" dxfId="11370" priority="55671" stopIfTrue="1">
      <formula>NOT(ISBLANK($Y$32))</formula>
    </cfRule>
  </conditionalFormatting>
  <conditionalFormatting sqref="Z32">
    <cfRule type="cellIs" dxfId="11369" priority="55672" stopIfTrue="1" operator="notEqual">
      <formula>48</formula>
    </cfRule>
  </conditionalFormatting>
  <conditionalFormatting sqref="AA32">
    <cfRule type="cellIs" dxfId="11368" priority="55673" stopIfTrue="1" operator="notEqual">
      <formula>"POTW"</formula>
    </cfRule>
  </conditionalFormatting>
  <conditionalFormatting sqref="AB32">
    <cfRule type="cellIs" dxfId="11367" priority="55674" stopIfTrue="1" operator="notEqual">
      <formula>"Holding tank"</formula>
    </cfRule>
  </conditionalFormatting>
  <conditionalFormatting sqref="AC32">
    <cfRule type="cellIs" dxfId="11366" priority="55675" stopIfTrue="1" operator="notEqual">
      <formula>"eductors"</formula>
    </cfRule>
  </conditionalFormatting>
  <conditionalFormatting sqref="AD32">
    <cfRule type="cellIs" dxfId="11365" priority="55676" stopIfTrue="1" operator="notEqual">
      <formula>"non-hazardous"</formula>
    </cfRule>
  </conditionalFormatting>
  <conditionalFormatting sqref="AE32">
    <cfRule type="expression" dxfId="11364" priority="55677" stopIfTrue="1">
      <formula>NOT(ISBLANK($AE$32))</formula>
    </cfRule>
  </conditionalFormatting>
  <conditionalFormatting sqref="AF32">
    <cfRule type="expression" dxfId="11363" priority="55678" stopIfTrue="1">
      <formula>NOT(ISBLANK($AF$32))</formula>
    </cfRule>
  </conditionalFormatting>
  <conditionalFormatting sqref="AG32">
    <cfRule type="expression" dxfId="11362" priority="55679" stopIfTrue="1">
      <formula>NOT(ISBLANK($AG$32))</formula>
    </cfRule>
  </conditionalFormatting>
  <conditionalFormatting sqref="AH32">
    <cfRule type="expression" dxfId="11361" priority="55680" stopIfTrue="1">
      <formula>NOT(ISBLANK($AH$32))</formula>
    </cfRule>
  </conditionalFormatting>
  <conditionalFormatting sqref="AI32">
    <cfRule type="expression" dxfId="11360" priority="55681" stopIfTrue="1">
      <formula>NOT(ISBLANK($AI$32))</formula>
    </cfRule>
  </conditionalFormatting>
  <conditionalFormatting sqref="AJ32">
    <cfRule type="expression" dxfId="11359" priority="55682" stopIfTrue="1">
      <formula>NOT(ISBLANK($AJ$32))</formula>
    </cfRule>
  </conditionalFormatting>
  <conditionalFormatting sqref="AK32">
    <cfRule type="expression" dxfId="11358" priority="55683" stopIfTrue="1">
      <formula>NOT(ISBLANK($AK$32))</formula>
    </cfRule>
  </conditionalFormatting>
  <conditionalFormatting sqref="AL32">
    <cfRule type="expression" dxfId="11357" priority="55684" stopIfTrue="1">
      <formula>NOT(ISBLANK($AL$32))</formula>
    </cfRule>
  </conditionalFormatting>
  <conditionalFormatting sqref="AM32">
    <cfRule type="expression" dxfId="11356" priority="55685" stopIfTrue="1">
      <formula>NOT(ISBLANK($AM$32))</formula>
    </cfRule>
  </conditionalFormatting>
  <conditionalFormatting sqref="AN32">
    <cfRule type="expression" dxfId="11355" priority="55686" stopIfTrue="1">
      <formula>NOT(ISBLANK($AN$32))</formula>
    </cfRule>
  </conditionalFormatting>
  <conditionalFormatting sqref="AO32">
    <cfRule type="expression" dxfId="11354" priority="55687" stopIfTrue="1">
      <formula>NOT(ISBLANK($AO$32))</formula>
    </cfRule>
  </conditionalFormatting>
  <conditionalFormatting sqref="AP32">
    <cfRule type="expression" dxfId="11353" priority="55688" stopIfTrue="1">
      <formula>NOT(ISBLANK($AP$32))</formula>
    </cfRule>
  </conditionalFormatting>
  <conditionalFormatting sqref="AQ32">
    <cfRule type="expression" dxfId="11352" priority="55689" stopIfTrue="1">
      <formula>NOT(ISBLANK($AQ$32))</formula>
    </cfRule>
  </conditionalFormatting>
  <conditionalFormatting sqref="A33">
    <cfRule type="cellIs" dxfId="11351" priority="55690" stopIfTrue="1" operator="notEqual">
      <formula>2</formula>
    </cfRule>
  </conditionalFormatting>
  <conditionalFormatting sqref="B33">
    <cfRule type="cellIs" dxfId="11350" priority="55691" stopIfTrue="1" operator="notEqual">
      <formula>2</formula>
    </cfRule>
  </conditionalFormatting>
  <conditionalFormatting sqref="C33">
    <cfRule type="cellIs" dxfId="11349" priority="55692" stopIfTrue="1" operator="notEqual">
      <formula>1</formula>
    </cfRule>
  </conditionalFormatting>
  <conditionalFormatting sqref="D33">
    <cfRule type="cellIs" dxfId="11348" priority="55693" stopIfTrue="1" operator="notEqual">
      <formula>0.03</formula>
    </cfRule>
  </conditionalFormatting>
  <conditionalFormatting sqref="E33">
    <cfRule type="cellIs" dxfId="11347" priority="55694" stopIfTrue="1" operator="notEqual">
      <formula>"MGD"</formula>
    </cfRule>
  </conditionalFormatting>
  <conditionalFormatting sqref="F33">
    <cfRule type="cellIs" dxfId="11346" priority="55695" stopIfTrue="1" operator="notEqual">
      <formula>0.007</formula>
    </cfRule>
  </conditionalFormatting>
  <conditionalFormatting sqref="G33">
    <cfRule type="cellIs" dxfId="11345" priority="55696" stopIfTrue="1" operator="notEqual">
      <formula>"MGD"</formula>
    </cfRule>
  </conditionalFormatting>
  <conditionalFormatting sqref="H33">
    <cfRule type="cellIs" dxfId="11344" priority="55697" stopIfTrue="1" operator="notEqual">
      <formula>"throwaway (non-hazardous)"</formula>
    </cfRule>
  </conditionalFormatting>
  <conditionalFormatting sqref="I33">
    <cfRule type="cellIs" dxfId="11343" priority="55698" stopIfTrue="1" operator="notEqual">
      <formula>"carbon life value- months"</formula>
    </cfRule>
  </conditionalFormatting>
  <conditionalFormatting sqref="J33">
    <cfRule type="cellIs" dxfId="11342" priority="55699" stopIfTrue="1" operator="notEqual">
      <formula>12</formula>
    </cfRule>
  </conditionalFormatting>
  <conditionalFormatting sqref="K33">
    <cfRule type="expression" dxfId="11341" priority="55700" stopIfTrue="1">
      <formula>NOT(ISBLANK($K$33))</formula>
    </cfRule>
  </conditionalFormatting>
  <conditionalFormatting sqref="L33">
    <cfRule type="expression" dxfId="11340" priority="55701" stopIfTrue="1">
      <formula>NOT(ISBLANK($L$33))</formula>
    </cfRule>
  </conditionalFormatting>
  <conditionalFormatting sqref="M33">
    <cfRule type="expression" dxfId="11339" priority="55702" stopIfTrue="1">
      <formula>NOT(ISBLANK($M$33))</formula>
    </cfRule>
  </conditionalFormatting>
  <conditionalFormatting sqref="N33">
    <cfRule type="cellIs" dxfId="11338" priority="55703" stopIfTrue="1" operator="notEqual">
      <formula>"EBCT"</formula>
    </cfRule>
  </conditionalFormatting>
  <conditionalFormatting sqref="O33">
    <cfRule type="cellIs" dxfId="11337" priority="55704" stopIfTrue="1" operator="notEqual">
      <formula>15</formula>
    </cfRule>
  </conditionalFormatting>
  <conditionalFormatting sqref="P33">
    <cfRule type="expression" dxfId="11336" priority="55705" stopIfTrue="1">
      <formula>NOT(ISBLANK($P$33))</formula>
    </cfRule>
  </conditionalFormatting>
  <conditionalFormatting sqref="Q33">
    <cfRule type="expression" dxfId="11335" priority="55706" stopIfTrue="1">
      <formula>NOT(ISBLANK($Q$33))</formula>
    </cfRule>
  </conditionalFormatting>
  <conditionalFormatting sqref="R33">
    <cfRule type="expression" dxfId="11334" priority="55707" stopIfTrue="1">
      <formula>NOT(ISBLANK($R$33))</formula>
    </cfRule>
  </conditionalFormatting>
  <conditionalFormatting sqref="S33">
    <cfRule type="expression" dxfId="11333" priority="55708" stopIfTrue="1">
      <formula>NOT(ISBLANK($S$33))</formula>
    </cfRule>
  </conditionalFormatting>
  <conditionalFormatting sqref="T33">
    <cfRule type="expression" dxfId="11332" priority="55709" stopIfTrue="1">
      <formula>NOT(ISBLANK($T$33))</formula>
    </cfRule>
  </conditionalFormatting>
  <conditionalFormatting sqref="U33">
    <cfRule type="expression" dxfId="11331" priority="55710" stopIfTrue="1">
      <formula>NOT(ISBLANK($U$33))</formula>
    </cfRule>
  </conditionalFormatting>
  <conditionalFormatting sqref="V33">
    <cfRule type="expression" dxfId="11330" priority="55711" stopIfTrue="1">
      <formula>NOT(ISBLANK($V$33))</formula>
    </cfRule>
  </conditionalFormatting>
  <conditionalFormatting sqref="W33">
    <cfRule type="cellIs" dxfId="11329" priority="55712" stopIfTrue="1" operator="notEqual">
      <formula>6</formula>
    </cfRule>
  </conditionalFormatting>
  <conditionalFormatting sqref="X33">
    <cfRule type="cellIs" dxfId="11328" priority="55713" stopIfTrue="1" operator="notEqual">
      <formula>6</formula>
    </cfRule>
  </conditionalFormatting>
  <conditionalFormatting sqref="Y33">
    <cfRule type="cellIs" dxfId="11327" priority="55714" stopIfTrue="1" operator="notEqual">
      <formula>3</formula>
    </cfRule>
  </conditionalFormatting>
  <conditionalFormatting sqref="Z33">
    <cfRule type="cellIs" dxfId="11326" priority="55715" stopIfTrue="1" operator="notEqual">
      <formula>48</formula>
    </cfRule>
  </conditionalFormatting>
  <conditionalFormatting sqref="AA33">
    <cfRule type="cellIs" dxfId="11325" priority="55716" stopIfTrue="1" operator="notEqual">
      <formula>"POTW"</formula>
    </cfRule>
  </conditionalFormatting>
  <conditionalFormatting sqref="AB33">
    <cfRule type="cellIs" dxfId="11324" priority="55717" stopIfTrue="1" operator="notEqual">
      <formula>"holding tank"</formula>
    </cfRule>
  </conditionalFormatting>
  <conditionalFormatting sqref="AC33">
    <cfRule type="cellIs" dxfId="11323" priority="55718" stopIfTrue="1" operator="notEqual">
      <formula>"manual transfer"</formula>
    </cfRule>
  </conditionalFormatting>
  <conditionalFormatting sqref="AD33">
    <cfRule type="cellIs" dxfId="11322" priority="55719" stopIfTrue="1" operator="notEqual">
      <formula>"non-hazardous"</formula>
    </cfRule>
  </conditionalFormatting>
  <conditionalFormatting sqref="AE33">
    <cfRule type="expression" dxfId="11321" priority="55720" stopIfTrue="1">
      <formula>NOT(ISBLANK($AE$33))</formula>
    </cfRule>
  </conditionalFormatting>
  <conditionalFormatting sqref="AF33">
    <cfRule type="expression" dxfId="11320" priority="55721" stopIfTrue="1">
      <formula>NOT(ISBLANK($AF$33))</formula>
    </cfRule>
  </conditionalFormatting>
  <conditionalFormatting sqref="AG33">
    <cfRule type="expression" dxfId="11319" priority="55722" stopIfTrue="1">
      <formula>NOT(ISBLANK($AG$33))</formula>
    </cfRule>
  </conditionalFormatting>
  <conditionalFormatting sqref="AH33">
    <cfRule type="expression" dxfId="11318" priority="55723" stopIfTrue="1">
      <formula>NOT(ISBLANK($AH$33))</formula>
    </cfRule>
  </conditionalFormatting>
  <conditionalFormatting sqref="AI33">
    <cfRule type="expression" dxfId="11317" priority="55724" stopIfTrue="1">
      <formula>NOT(ISBLANK($AI$33))</formula>
    </cfRule>
  </conditionalFormatting>
  <conditionalFormatting sqref="AJ33">
    <cfRule type="expression" dxfId="11316" priority="55725" stopIfTrue="1">
      <formula>NOT(ISBLANK($AJ$33))</formula>
    </cfRule>
  </conditionalFormatting>
  <conditionalFormatting sqref="AK33">
    <cfRule type="expression" dxfId="11315" priority="55726" stopIfTrue="1">
      <formula>NOT(ISBLANK($AK$33))</formula>
    </cfRule>
  </conditionalFormatting>
  <conditionalFormatting sqref="AL33">
    <cfRule type="expression" dxfId="11314" priority="55727" stopIfTrue="1">
      <formula>NOT(ISBLANK($AL$33))</formula>
    </cfRule>
  </conditionalFormatting>
  <conditionalFormatting sqref="AM33">
    <cfRule type="expression" dxfId="11313" priority="55728" stopIfTrue="1">
      <formula>NOT(ISBLANK($AM$33))</formula>
    </cfRule>
  </conditionalFormatting>
  <conditionalFormatting sqref="AN33">
    <cfRule type="expression" dxfId="11312" priority="55729" stopIfTrue="1">
      <formula>NOT(ISBLANK($AN$33))</formula>
    </cfRule>
  </conditionalFormatting>
  <conditionalFormatting sqref="AO33">
    <cfRule type="expression" dxfId="11311" priority="55730" stopIfTrue="1">
      <formula>NOT(ISBLANK($AO$33))</formula>
    </cfRule>
  </conditionalFormatting>
  <conditionalFormatting sqref="AP33">
    <cfRule type="expression" dxfId="11310" priority="55731" stopIfTrue="1">
      <formula>NOT(ISBLANK($AP$33))</formula>
    </cfRule>
  </conditionalFormatting>
  <conditionalFormatting sqref="AQ33">
    <cfRule type="expression" dxfId="11309" priority="55732" stopIfTrue="1">
      <formula>NOT(ISBLANK($AQ$33))</formula>
    </cfRule>
  </conditionalFormatting>
  <conditionalFormatting sqref="A34">
    <cfRule type="cellIs" dxfId="11308" priority="55733" stopIfTrue="1" operator="notEqual">
      <formula>2</formula>
    </cfRule>
  </conditionalFormatting>
  <conditionalFormatting sqref="B34">
    <cfRule type="cellIs" dxfId="11307" priority="55734" stopIfTrue="1" operator="notEqual">
      <formula>2</formula>
    </cfRule>
  </conditionalFormatting>
  <conditionalFormatting sqref="C34">
    <cfRule type="cellIs" dxfId="11306" priority="55735" stopIfTrue="1" operator="notEqual">
      <formula>2</formula>
    </cfRule>
  </conditionalFormatting>
  <conditionalFormatting sqref="D34">
    <cfRule type="cellIs" dxfId="11305" priority="55736" stopIfTrue="1" operator="notEqual">
      <formula>0.124</formula>
    </cfRule>
  </conditionalFormatting>
  <conditionalFormatting sqref="E34">
    <cfRule type="cellIs" dxfId="11304" priority="55737" stopIfTrue="1" operator="notEqual">
      <formula>"MGD"</formula>
    </cfRule>
  </conditionalFormatting>
  <conditionalFormatting sqref="F34">
    <cfRule type="cellIs" dxfId="11303" priority="55738" stopIfTrue="1" operator="notEqual">
      <formula>0.035</formula>
    </cfRule>
  </conditionalFormatting>
  <conditionalFormatting sqref="G34">
    <cfRule type="cellIs" dxfId="11302" priority="55739" stopIfTrue="1" operator="notEqual">
      <formula>"MGD"</formula>
    </cfRule>
  </conditionalFormatting>
  <conditionalFormatting sqref="H34">
    <cfRule type="cellIs" dxfId="11301" priority="55740" stopIfTrue="1" operator="notEqual">
      <formula>"regeneration off-site (non-hazardous)"</formula>
    </cfRule>
  </conditionalFormatting>
  <conditionalFormatting sqref="I34">
    <cfRule type="cellIs" dxfId="11300" priority="55741" stopIfTrue="1" operator="notEqual">
      <formula>"carbon life value- months"</formula>
    </cfRule>
  </conditionalFormatting>
  <conditionalFormatting sqref="J34">
    <cfRule type="cellIs" dxfId="11299" priority="55742" stopIfTrue="1" operator="notEqual">
      <formula>12</formula>
    </cfRule>
  </conditionalFormatting>
  <conditionalFormatting sqref="K34">
    <cfRule type="expression" dxfId="11298" priority="55743" stopIfTrue="1">
      <formula>NOT(ISBLANK($K$34))</formula>
    </cfRule>
  </conditionalFormatting>
  <conditionalFormatting sqref="L34">
    <cfRule type="expression" dxfId="11297" priority="55744" stopIfTrue="1">
      <formula>NOT(ISBLANK($L$34))</formula>
    </cfRule>
  </conditionalFormatting>
  <conditionalFormatting sqref="M34">
    <cfRule type="expression" dxfId="11296" priority="55745" stopIfTrue="1">
      <formula>NOT(ISBLANK($M$34))</formula>
    </cfRule>
  </conditionalFormatting>
  <conditionalFormatting sqref="N34">
    <cfRule type="cellIs" dxfId="11295" priority="55746" stopIfTrue="1" operator="notEqual">
      <formula>"EBCT"</formula>
    </cfRule>
  </conditionalFormatting>
  <conditionalFormatting sqref="O34">
    <cfRule type="cellIs" dxfId="11294" priority="55747" stopIfTrue="1" operator="notEqual">
      <formula>15</formula>
    </cfRule>
  </conditionalFormatting>
  <conditionalFormatting sqref="P34">
    <cfRule type="expression" dxfId="11293" priority="55748" stopIfTrue="1">
      <formula>NOT(ISBLANK($P$34))</formula>
    </cfRule>
  </conditionalFormatting>
  <conditionalFormatting sqref="Q34">
    <cfRule type="expression" dxfId="11292" priority="55749" stopIfTrue="1">
      <formula>NOT(ISBLANK($Q$34))</formula>
    </cfRule>
  </conditionalFormatting>
  <conditionalFormatting sqref="R34">
    <cfRule type="expression" dxfId="11291" priority="55750" stopIfTrue="1">
      <formula>NOT(ISBLANK($R$34))</formula>
    </cfRule>
  </conditionalFormatting>
  <conditionalFormatting sqref="S34">
    <cfRule type="expression" dxfId="11290" priority="55751" stopIfTrue="1">
      <formula>NOT(ISBLANK($S$34))</formula>
    </cfRule>
  </conditionalFormatting>
  <conditionalFormatting sqref="T34">
    <cfRule type="expression" dxfId="11289" priority="55752" stopIfTrue="1">
      <formula>NOT(ISBLANK($T$34))</formula>
    </cfRule>
  </conditionalFormatting>
  <conditionalFormatting sqref="U34">
    <cfRule type="expression" dxfId="11288" priority="55753" stopIfTrue="1">
      <formula>NOT(ISBLANK($U$34))</formula>
    </cfRule>
  </conditionalFormatting>
  <conditionalFormatting sqref="V34">
    <cfRule type="expression" dxfId="11287" priority="55754" stopIfTrue="1">
      <formula>NOT(ISBLANK($V$34))</formula>
    </cfRule>
  </conditionalFormatting>
  <conditionalFormatting sqref="W34">
    <cfRule type="cellIs" dxfId="11286" priority="55755" stopIfTrue="1" operator="notEqual">
      <formula>6</formula>
    </cfRule>
  </conditionalFormatting>
  <conditionalFormatting sqref="X34">
    <cfRule type="cellIs" dxfId="11285" priority="55756" stopIfTrue="1" operator="notEqual">
      <formula>6</formula>
    </cfRule>
  </conditionalFormatting>
  <conditionalFormatting sqref="Y34">
    <cfRule type="cellIs" dxfId="11284" priority="55757" stopIfTrue="1" operator="notEqual">
      <formula>4.8</formula>
    </cfRule>
  </conditionalFormatting>
  <conditionalFormatting sqref="Z34">
    <cfRule type="cellIs" dxfId="11283" priority="55758" stopIfTrue="1" operator="notEqual">
      <formula>48</formula>
    </cfRule>
  </conditionalFormatting>
  <conditionalFormatting sqref="AA34">
    <cfRule type="cellIs" dxfId="11282" priority="55759" stopIfTrue="1" operator="notEqual">
      <formula>"POTW"</formula>
    </cfRule>
  </conditionalFormatting>
  <conditionalFormatting sqref="AB34">
    <cfRule type="cellIs" dxfId="11281" priority="55760" stopIfTrue="1" operator="notEqual">
      <formula>"holding tank"</formula>
    </cfRule>
  </conditionalFormatting>
  <conditionalFormatting sqref="AC34">
    <cfRule type="cellIs" dxfId="11280" priority="55761" stopIfTrue="1" operator="notEqual">
      <formula>"manual transfer"</formula>
    </cfRule>
  </conditionalFormatting>
  <conditionalFormatting sqref="AD34">
    <cfRule type="cellIs" dxfId="11279" priority="55762" stopIfTrue="1" operator="notEqual">
      <formula>"non-hazardous"</formula>
    </cfRule>
  </conditionalFormatting>
  <conditionalFormatting sqref="AE34">
    <cfRule type="expression" dxfId="11278" priority="55763" stopIfTrue="1">
      <formula>NOT(ISBLANK($AE$34))</formula>
    </cfRule>
  </conditionalFormatting>
  <conditionalFormatting sqref="AF34">
    <cfRule type="expression" dxfId="11277" priority="55764" stopIfTrue="1">
      <formula>NOT(ISBLANK($AF$34))</formula>
    </cfRule>
  </conditionalFormatting>
  <conditionalFormatting sqref="AG34">
    <cfRule type="expression" dxfId="11276" priority="55765" stopIfTrue="1">
      <formula>NOT(ISBLANK($AG$34))</formula>
    </cfRule>
  </conditionalFormatting>
  <conditionalFormatting sqref="AH34">
    <cfRule type="expression" dxfId="11275" priority="55766" stopIfTrue="1">
      <formula>NOT(ISBLANK($AH$34))</formula>
    </cfRule>
  </conditionalFormatting>
  <conditionalFormatting sqref="AI34">
    <cfRule type="expression" dxfId="11274" priority="55767" stopIfTrue="1">
      <formula>NOT(ISBLANK($AI$34))</formula>
    </cfRule>
  </conditionalFormatting>
  <conditionalFormatting sqref="AJ34">
    <cfRule type="expression" dxfId="11273" priority="55768" stopIfTrue="1">
      <formula>NOT(ISBLANK($AJ$34))</formula>
    </cfRule>
  </conditionalFormatting>
  <conditionalFormatting sqref="AK34">
    <cfRule type="expression" dxfId="11272" priority="55769" stopIfTrue="1">
      <formula>NOT(ISBLANK($AK$34))</formula>
    </cfRule>
  </conditionalFormatting>
  <conditionalFormatting sqref="AL34">
    <cfRule type="expression" dxfId="11271" priority="55770" stopIfTrue="1">
      <formula>NOT(ISBLANK($AL$34))</formula>
    </cfRule>
  </conditionalFormatting>
  <conditionalFormatting sqref="AM34">
    <cfRule type="expression" dxfId="11270" priority="55771" stopIfTrue="1">
      <formula>NOT(ISBLANK($AM$34))</formula>
    </cfRule>
  </conditionalFormatting>
  <conditionalFormatting sqref="AN34">
    <cfRule type="expression" dxfId="11269" priority="55772" stopIfTrue="1">
      <formula>NOT(ISBLANK($AN$34))</formula>
    </cfRule>
  </conditionalFormatting>
  <conditionalFormatting sqref="AO34">
    <cfRule type="expression" dxfId="11268" priority="55773" stopIfTrue="1">
      <formula>NOT(ISBLANK($AO$34))</formula>
    </cfRule>
  </conditionalFormatting>
  <conditionalFormatting sqref="AP34">
    <cfRule type="expression" dxfId="11267" priority="55774" stopIfTrue="1">
      <formula>NOT(ISBLANK($AP$34))</formula>
    </cfRule>
  </conditionalFormatting>
  <conditionalFormatting sqref="AQ34">
    <cfRule type="expression" dxfId="11266" priority="55775" stopIfTrue="1">
      <formula>NOT(ISBLANK($AQ$34))</formula>
    </cfRule>
  </conditionalFormatting>
  <conditionalFormatting sqref="A35">
    <cfRule type="cellIs" dxfId="11265" priority="55776" stopIfTrue="1" operator="notEqual">
      <formula>2</formula>
    </cfRule>
  </conditionalFormatting>
  <conditionalFormatting sqref="B35">
    <cfRule type="cellIs" dxfId="11264" priority="55777" stopIfTrue="1" operator="notEqual">
      <formula>2</formula>
    </cfRule>
  </conditionalFormatting>
  <conditionalFormatting sqref="C35">
    <cfRule type="cellIs" dxfId="11263" priority="55778" stopIfTrue="1" operator="notEqual">
      <formula>3</formula>
    </cfRule>
  </conditionalFormatting>
  <conditionalFormatting sqref="D35">
    <cfRule type="cellIs" dxfId="11262" priority="55779" stopIfTrue="1" operator="notEqual">
      <formula>0.305</formula>
    </cfRule>
  </conditionalFormatting>
  <conditionalFormatting sqref="E35">
    <cfRule type="cellIs" dxfId="11261" priority="55780" stopIfTrue="1" operator="notEqual">
      <formula>"MGD"</formula>
    </cfRule>
  </conditionalFormatting>
  <conditionalFormatting sqref="F35">
    <cfRule type="cellIs" dxfId="11260" priority="55781" stopIfTrue="1" operator="notEqual">
      <formula>0.094</formula>
    </cfRule>
  </conditionalFormatting>
  <conditionalFormatting sqref="G35">
    <cfRule type="cellIs" dxfId="11259" priority="55782" stopIfTrue="1" operator="notEqual">
      <formula>"MGD"</formula>
    </cfRule>
  </conditionalFormatting>
  <conditionalFormatting sqref="H35">
    <cfRule type="cellIs" dxfId="11258" priority="55783" stopIfTrue="1" operator="notEqual">
      <formula>"regeneration off-site (non-hazardous)"</formula>
    </cfRule>
  </conditionalFormatting>
  <conditionalFormatting sqref="I35">
    <cfRule type="cellIs" dxfId="11257" priority="55784" stopIfTrue="1" operator="notEqual">
      <formula>"carbon life value- months"</formula>
    </cfRule>
  </conditionalFormatting>
  <conditionalFormatting sqref="J35">
    <cfRule type="cellIs" dxfId="11256" priority="55785" stopIfTrue="1" operator="notEqual">
      <formula>12</formula>
    </cfRule>
  </conditionalFormatting>
  <conditionalFormatting sqref="K35">
    <cfRule type="expression" dxfId="11255" priority="55786" stopIfTrue="1">
      <formula>NOT(ISBLANK($K$35))</formula>
    </cfRule>
  </conditionalFormatting>
  <conditionalFormatting sqref="L35">
    <cfRule type="expression" dxfId="11254" priority="55787" stopIfTrue="1">
      <formula>NOT(ISBLANK($L$35))</formula>
    </cfRule>
  </conditionalFormatting>
  <conditionalFormatting sqref="M35">
    <cfRule type="expression" dxfId="11253" priority="55788" stopIfTrue="1">
      <formula>NOT(ISBLANK($M$35))</formula>
    </cfRule>
  </conditionalFormatting>
  <conditionalFormatting sqref="N35">
    <cfRule type="cellIs" dxfId="11252" priority="55789" stopIfTrue="1" operator="notEqual">
      <formula>"EBCT"</formula>
    </cfRule>
  </conditionalFormatting>
  <conditionalFormatting sqref="O35">
    <cfRule type="cellIs" dxfId="11251" priority="55790" stopIfTrue="1" operator="notEqual">
      <formula>15</formula>
    </cfRule>
  </conditionalFormatting>
  <conditionalFormatting sqref="P35">
    <cfRule type="expression" dxfId="11250" priority="55791" stopIfTrue="1">
      <formula>NOT(ISBLANK($P$35))</formula>
    </cfRule>
  </conditionalFormatting>
  <conditionalFormatting sqref="Q35">
    <cfRule type="expression" dxfId="11249" priority="55792" stopIfTrue="1">
      <formula>NOT(ISBLANK($Q$35))</formula>
    </cfRule>
  </conditionalFormatting>
  <conditionalFormatting sqref="R35">
    <cfRule type="expression" dxfId="11248" priority="55793" stopIfTrue="1">
      <formula>NOT(ISBLANK($R$35))</formula>
    </cfRule>
  </conditionalFormatting>
  <conditionalFormatting sqref="S35">
    <cfRule type="expression" dxfId="11247" priority="55794" stopIfTrue="1">
      <formula>NOT(ISBLANK($S$35))</formula>
    </cfRule>
  </conditionalFormatting>
  <conditionalFormatting sqref="T35">
    <cfRule type="expression" dxfId="11246" priority="55795" stopIfTrue="1">
      <formula>NOT(ISBLANK($T$35))</formula>
    </cfRule>
  </conditionalFormatting>
  <conditionalFormatting sqref="U35">
    <cfRule type="expression" dxfId="11245" priority="55796" stopIfTrue="1">
      <formula>NOT(ISBLANK($U$35))</formula>
    </cfRule>
  </conditionalFormatting>
  <conditionalFormatting sqref="V35">
    <cfRule type="expression" dxfId="11244" priority="55797" stopIfTrue="1">
      <formula>NOT(ISBLANK($V$35))</formula>
    </cfRule>
  </conditionalFormatting>
  <conditionalFormatting sqref="W35">
    <cfRule type="cellIs" dxfId="11243" priority="55798" stopIfTrue="1" operator="notEqual">
      <formula>6</formula>
    </cfRule>
  </conditionalFormatting>
  <conditionalFormatting sqref="X35">
    <cfRule type="cellIs" dxfId="11242" priority="55799" stopIfTrue="1" operator="notEqual">
      <formula>6</formula>
    </cfRule>
  </conditionalFormatting>
  <conditionalFormatting sqref="Y35">
    <cfRule type="cellIs" dxfId="11241" priority="55800" stopIfTrue="1" operator="notEqual">
      <formula>5.9</formula>
    </cfRule>
  </conditionalFormatting>
  <conditionalFormatting sqref="Z35">
    <cfRule type="cellIs" dxfId="11240" priority="55801" stopIfTrue="1" operator="notEqual">
      <formula>48</formula>
    </cfRule>
  </conditionalFormatting>
  <conditionalFormatting sqref="AA35">
    <cfRule type="cellIs" dxfId="11239" priority="55802" stopIfTrue="1" operator="notEqual">
      <formula>"POTW"</formula>
    </cfRule>
  </conditionalFormatting>
  <conditionalFormatting sqref="AB35">
    <cfRule type="cellIs" dxfId="11238" priority="55803" stopIfTrue="1" operator="notEqual">
      <formula>"holding tank"</formula>
    </cfRule>
  </conditionalFormatting>
  <conditionalFormatting sqref="AC35">
    <cfRule type="cellIs" dxfId="11237" priority="55804" stopIfTrue="1" operator="notEqual">
      <formula>"eductors"</formula>
    </cfRule>
  </conditionalFormatting>
  <conditionalFormatting sqref="AD35">
    <cfRule type="cellIs" dxfId="11236" priority="55805" stopIfTrue="1" operator="notEqual">
      <formula>"non-hazardous"</formula>
    </cfRule>
  </conditionalFormatting>
  <conditionalFormatting sqref="AE35">
    <cfRule type="expression" dxfId="11235" priority="55806" stopIfTrue="1">
      <formula>NOT(ISBLANK($AE$35))</formula>
    </cfRule>
  </conditionalFormatting>
  <conditionalFormatting sqref="AF35">
    <cfRule type="expression" dxfId="11234" priority="55807" stopIfTrue="1">
      <formula>NOT(ISBLANK($AF$35))</formula>
    </cfRule>
  </conditionalFormatting>
  <conditionalFormatting sqref="AG35">
    <cfRule type="expression" dxfId="11233" priority="55808" stopIfTrue="1">
      <formula>NOT(ISBLANK($AG$35))</formula>
    </cfRule>
  </conditionalFormatting>
  <conditionalFormatting sqref="AH35">
    <cfRule type="expression" dxfId="11232" priority="55809" stopIfTrue="1">
      <formula>NOT(ISBLANK($AH$35))</formula>
    </cfRule>
  </conditionalFormatting>
  <conditionalFormatting sqref="AI35">
    <cfRule type="expression" dxfId="11231" priority="55810" stopIfTrue="1">
      <formula>NOT(ISBLANK($AI$35))</formula>
    </cfRule>
  </conditionalFormatting>
  <conditionalFormatting sqref="AJ35">
    <cfRule type="expression" dxfId="11230" priority="55811" stopIfTrue="1">
      <formula>NOT(ISBLANK($AJ$35))</formula>
    </cfRule>
  </conditionalFormatting>
  <conditionalFormatting sqref="AK35">
    <cfRule type="expression" dxfId="11229" priority="55812" stopIfTrue="1">
      <formula>NOT(ISBLANK($AK$35))</formula>
    </cfRule>
  </conditionalFormatting>
  <conditionalFormatting sqref="AL35">
    <cfRule type="expression" dxfId="11228" priority="55813" stopIfTrue="1">
      <formula>NOT(ISBLANK($AL$35))</formula>
    </cfRule>
  </conditionalFormatting>
  <conditionalFormatting sqref="AM35">
    <cfRule type="expression" dxfId="11227" priority="55814" stopIfTrue="1">
      <formula>NOT(ISBLANK($AM$35))</formula>
    </cfRule>
  </conditionalFormatting>
  <conditionalFormatting sqref="AN35">
    <cfRule type="expression" dxfId="11226" priority="55815" stopIfTrue="1">
      <formula>NOT(ISBLANK($AN$35))</formula>
    </cfRule>
  </conditionalFormatting>
  <conditionalFormatting sqref="AO35">
    <cfRule type="expression" dxfId="11225" priority="55816" stopIfTrue="1">
      <formula>NOT(ISBLANK($AO$35))</formula>
    </cfRule>
  </conditionalFormatting>
  <conditionalFormatting sqref="AP35">
    <cfRule type="expression" dxfId="11224" priority="55817" stopIfTrue="1">
      <formula>NOT(ISBLANK($AP$35))</formula>
    </cfRule>
  </conditionalFormatting>
  <conditionalFormatting sqref="AQ35">
    <cfRule type="expression" dxfId="11223" priority="55818" stopIfTrue="1">
      <formula>NOT(ISBLANK($AQ$35))</formula>
    </cfRule>
  </conditionalFormatting>
  <conditionalFormatting sqref="A36">
    <cfRule type="cellIs" dxfId="11222" priority="55819" stopIfTrue="1" operator="notEqual">
      <formula>2</formula>
    </cfRule>
  </conditionalFormatting>
  <conditionalFormatting sqref="B36">
    <cfRule type="cellIs" dxfId="11221" priority="55820" stopIfTrue="1" operator="notEqual">
      <formula>2</formula>
    </cfRule>
  </conditionalFormatting>
  <conditionalFormatting sqref="C36">
    <cfRule type="cellIs" dxfId="11220" priority="55821" stopIfTrue="1" operator="notEqual">
      <formula>4</formula>
    </cfRule>
  </conditionalFormatting>
  <conditionalFormatting sqref="D36">
    <cfRule type="cellIs" dxfId="11219" priority="55822" stopIfTrue="1" operator="notEqual">
      <formula>0.74</formula>
    </cfRule>
  </conditionalFormatting>
  <conditionalFormatting sqref="E36">
    <cfRule type="cellIs" dxfId="11218" priority="55823" stopIfTrue="1" operator="notEqual">
      <formula>"MGD"</formula>
    </cfRule>
  </conditionalFormatting>
  <conditionalFormatting sqref="F36">
    <cfRule type="cellIs" dxfId="11217" priority="55824" stopIfTrue="1" operator="notEqual">
      <formula>0.251</formula>
    </cfRule>
  </conditionalFormatting>
  <conditionalFormatting sqref="G36">
    <cfRule type="cellIs" dxfId="11216" priority="55825" stopIfTrue="1" operator="notEqual">
      <formula>"MGD"</formula>
    </cfRule>
  </conditionalFormatting>
  <conditionalFormatting sqref="H36">
    <cfRule type="cellIs" dxfId="11215" priority="55826" stopIfTrue="1" operator="notEqual">
      <formula>"regeneration off-site (non-hazardous)"</formula>
    </cfRule>
  </conditionalFormatting>
  <conditionalFormatting sqref="I36">
    <cfRule type="cellIs" dxfId="11214" priority="55827" stopIfTrue="1" operator="notEqual">
      <formula>"carbon life value- months"</formula>
    </cfRule>
  </conditionalFormatting>
  <conditionalFormatting sqref="J36">
    <cfRule type="cellIs" dxfId="11213" priority="55828" stopIfTrue="1" operator="notEqual">
      <formula>12</formula>
    </cfRule>
  </conditionalFormatting>
  <conditionalFormatting sqref="K36">
    <cfRule type="expression" dxfId="11212" priority="55829" stopIfTrue="1">
      <formula>NOT(ISBLANK($K$36))</formula>
    </cfRule>
  </conditionalFormatting>
  <conditionalFormatting sqref="L36">
    <cfRule type="expression" dxfId="11211" priority="55830" stopIfTrue="1">
      <formula>NOT(ISBLANK($L$36))</formula>
    </cfRule>
  </conditionalFormatting>
  <conditionalFormatting sqref="M36">
    <cfRule type="expression" dxfId="11210" priority="55831" stopIfTrue="1">
      <formula>NOT(ISBLANK($M$36))</formula>
    </cfRule>
  </conditionalFormatting>
  <conditionalFormatting sqref="N36">
    <cfRule type="cellIs" dxfId="11209" priority="55832" stopIfTrue="1" operator="notEqual">
      <formula>"EBCT"</formula>
    </cfRule>
  </conditionalFormatting>
  <conditionalFormatting sqref="O36">
    <cfRule type="cellIs" dxfId="11208" priority="55833" stopIfTrue="1" operator="notEqual">
      <formula>15</formula>
    </cfRule>
  </conditionalFormatting>
  <conditionalFormatting sqref="P36">
    <cfRule type="expression" dxfId="11207" priority="55834" stopIfTrue="1">
      <formula>NOT(ISBLANK($P$36))</formula>
    </cfRule>
  </conditionalFormatting>
  <conditionalFormatting sqref="Q36">
    <cfRule type="expression" dxfId="11206" priority="55835" stopIfTrue="1">
      <formula>NOT(ISBLANK($Q$36))</formula>
    </cfRule>
  </conditionalFormatting>
  <conditionalFormatting sqref="R36">
    <cfRule type="expression" dxfId="11205" priority="55836" stopIfTrue="1">
      <formula>NOT(ISBLANK($R$36))</formula>
    </cfRule>
  </conditionalFormatting>
  <conditionalFormatting sqref="S36">
    <cfRule type="expression" dxfId="11204" priority="55837" stopIfTrue="1">
      <formula>NOT(ISBLANK($S$36))</formula>
    </cfRule>
  </conditionalFormatting>
  <conditionalFormatting sqref="T36">
    <cfRule type="expression" dxfId="11203" priority="55838" stopIfTrue="1">
      <formula>NOT(ISBLANK($T$36))</formula>
    </cfRule>
  </conditionalFormatting>
  <conditionalFormatting sqref="U36">
    <cfRule type="expression" dxfId="11202" priority="55839" stopIfTrue="1">
      <formula>NOT(ISBLANK($U$36))</formula>
    </cfRule>
  </conditionalFormatting>
  <conditionalFormatting sqref="V36">
    <cfRule type="expression" dxfId="11201" priority="55840" stopIfTrue="1">
      <formula>NOT(ISBLANK($V$36))</formula>
    </cfRule>
  </conditionalFormatting>
  <conditionalFormatting sqref="W36">
    <cfRule type="cellIs" dxfId="11200" priority="55841" stopIfTrue="1" operator="notEqual">
      <formula>9.5</formula>
    </cfRule>
  </conditionalFormatting>
  <conditionalFormatting sqref="X36">
    <cfRule type="cellIs" dxfId="11199" priority="55842" stopIfTrue="1" operator="notEqual">
      <formula>9.5</formula>
    </cfRule>
  </conditionalFormatting>
  <conditionalFormatting sqref="Y36">
    <cfRule type="cellIs" dxfId="11198" priority="55843" stopIfTrue="1" operator="notEqual">
      <formula>5.8</formula>
    </cfRule>
  </conditionalFormatting>
  <conditionalFormatting sqref="Z36">
    <cfRule type="cellIs" dxfId="11197" priority="55844" stopIfTrue="1" operator="notEqual">
      <formula>48</formula>
    </cfRule>
  </conditionalFormatting>
  <conditionalFormatting sqref="AA36">
    <cfRule type="cellIs" dxfId="11196" priority="55845" stopIfTrue="1" operator="notEqual">
      <formula>"POTW"</formula>
    </cfRule>
  </conditionalFormatting>
  <conditionalFormatting sqref="AB36">
    <cfRule type="cellIs" dxfId="11195" priority="55846" stopIfTrue="1" operator="notEqual">
      <formula>"holding tank"</formula>
    </cfRule>
  </conditionalFormatting>
  <conditionalFormatting sqref="AC36">
    <cfRule type="cellIs" dxfId="11194" priority="55847" stopIfTrue="1" operator="notEqual">
      <formula>"eductors"</formula>
    </cfRule>
  </conditionalFormatting>
  <conditionalFormatting sqref="AD36">
    <cfRule type="cellIs" dxfId="11193" priority="55848" stopIfTrue="1" operator="notEqual">
      <formula>"non-hazardous"</formula>
    </cfRule>
  </conditionalFormatting>
  <conditionalFormatting sqref="AE36">
    <cfRule type="expression" dxfId="11192" priority="55849" stopIfTrue="1">
      <formula>NOT(ISBLANK($AE$36))</formula>
    </cfRule>
  </conditionalFormatting>
  <conditionalFormatting sqref="AF36">
    <cfRule type="expression" dxfId="11191" priority="55850" stopIfTrue="1">
      <formula>NOT(ISBLANK($AF$36))</formula>
    </cfRule>
  </conditionalFormatting>
  <conditionalFormatting sqref="AG36">
    <cfRule type="expression" dxfId="11190" priority="55851" stopIfTrue="1">
      <formula>NOT(ISBLANK($AG$36))</formula>
    </cfRule>
  </conditionalFormatting>
  <conditionalFormatting sqref="AH36">
    <cfRule type="expression" dxfId="11189" priority="55852" stopIfTrue="1">
      <formula>NOT(ISBLANK($AH$36))</formula>
    </cfRule>
  </conditionalFormatting>
  <conditionalFormatting sqref="AI36">
    <cfRule type="expression" dxfId="11188" priority="55853" stopIfTrue="1">
      <formula>NOT(ISBLANK($AI$36))</formula>
    </cfRule>
  </conditionalFormatting>
  <conditionalFormatting sqref="AJ36">
    <cfRule type="expression" dxfId="11187" priority="55854" stopIfTrue="1">
      <formula>NOT(ISBLANK($AJ$36))</formula>
    </cfRule>
  </conditionalFormatting>
  <conditionalFormatting sqref="AK36">
    <cfRule type="expression" dxfId="11186" priority="55855" stopIfTrue="1">
      <formula>NOT(ISBLANK($AK$36))</formula>
    </cfRule>
  </conditionalFormatting>
  <conditionalFormatting sqref="AL36">
    <cfRule type="expression" dxfId="11185" priority="55856" stopIfTrue="1">
      <formula>NOT(ISBLANK($AL$36))</formula>
    </cfRule>
  </conditionalFormatting>
  <conditionalFormatting sqref="AM36">
    <cfRule type="expression" dxfId="11184" priority="55857" stopIfTrue="1">
      <formula>NOT(ISBLANK($AM$36))</formula>
    </cfRule>
  </conditionalFormatting>
  <conditionalFormatting sqref="AN36">
    <cfRule type="expression" dxfId="11183" priority="55858" stopIfTrue="1">
      <formula>NOT(ISBLANK($AN$36))</formula>
    </cfRule>
  </conditionalFormatting>
  <conditionalFormatting sqref="AO36">
    <cfRule type="expression" dxfId="11182" priority="55859" stopIfTrue="1">
      <formula>NOT(ISBLANK($AO$36))</formula>
    </cfRule>
  </conditionalFormatting>
  <conditionalFormatting sqref="AP36">
    <cfRule type="expression" dxfId="11181" priority="55860" stopIfTrue="1">
      <formula>NOT(ISBLANK($AP$36))</formula>
    </cfRule>
  </conditionalFormatting>
  <conditionalFormatting sqref="AQ36">
    <cfRule type="expression" dxfId="11180" priority="55861" stopIfTrue="1">
      <formula>NOT(ISBLANK($AQ$36))</formula>
    </cfRule>
  </conditionalFormatting>
  <conditionalFormatting sqref="A37">
    <cfRule type="cellIs" dxfId="11179" priority="55862" stopIfTrue="1" operator="notEqual">
      <formula>2</formula>
    </cfRule>
  </conditionalFormatting>
  <conditionalFormatting sqref="B37">
    <cfRule type="cellIs" dxfId="11178" priority="55863" stopIfTrue="1" operator="notEqual">
      <formula>2</formula>
    </cfRule>
  </conditionalFormatting>
  <conditionalFormatting sqref="C37">
    <cfRule type="cellIs" dxfId="11177" priority="55864" stopIfTrue="1" operator="notEqual">
      <formula>5</formula>
    </cfRule>
  </conditionalFormatting>
  <conditionalFormatting sqref="D37">
    <cfRule type="cellIs" dxfId="11176" priority="55865" stopIfTrue="1" operator="notEqual">
      <formula>2.152</formula>
    </cfRule>
  </conditionalFormatting>
  <conditionalFormatting sqref="E37">
    <cfRule type="cellIs" dxfId="11175" priority="55866" stopIfTrue="1" operator="notEqual">
      <formula>"MGD"</formula>
    </cfRule>
  </conditionalFormatting>
  <conditionalFormatting sqref="F37">
    <cfRule type="cellIs" dxfId="11174" priority="55867" stopIfTrue="1" operator="notEqual">
      <formula>0.819</formula>
    </cfRule>
  </conditionalFormatting>
  <conditionalFormatting sqref="G37">
    <cfRule type="cellIs" dxfId="11173" priority="55868" stopIfTrue="1" operator="notEqual">
      <formula>"MGD"</formula>
    </cfRule>
  </conditionalFormatting>
  <conditionalFormatting sqref="H37">
    <cfRule type="cellIs" dxfId="11172" priority="55869" stopIfTrue="1" operator="notEqual">
      <formula>"regeneration off-site (non-hazardous)"</formula>
    </cfRule>
  </conditionalFormatting>
  <conditionalFormatting sqref="I37">
    <cfRule type="cellIs" dxfId="11171" priority="55870" stopIfTrue="1" operator="notEqual">
      <formula>"carbon life value- months"</formula>
    </cfRule>
  </conditionalFormatting>
  <conditionalFormatting sqref="J37">
    <cfRule type="cellIs" dxfId="11170" priority="55871" stopIfTrue="1" operator="notEqual">
      <formula>12</formula>
    </cfRule>
  </conditionalFormatting>
  <conditionalFormatting sqref="K37">
    <cfRule type="expression" dxfId="11169" priority="55872" stopIfTrue="1">
      <formula>NOT(ISBLANK($K$37))</formula>
    </cfRule>
  </conditionalFormatting>
  <conditionalFormatting sqref="L37">
    <cfRule type="expression" dxfId="11168" priority="55873" stopIfTrue="1">
      <formula>NOT(ISBLANK($L$37))</formula>
    </cfRule>
  </conditionalFormatting>
  <conditionalFormatting sqref="M37">
    <cfRule type="expression" dxfId="11167" priority="55874" stopIfTrue="1">
      <formula>NOT(ISBLANK($M$37))</formula>
    </cfRule>
  </conditionalFormatting>
  <conditionalFormatting sqref="N37">
    <cfRule type="cellIs" dxfId="11166" priority="55875" stopIfTrue="1" operator="notEqual">
      <formula>"EBCT"</formula>
    </cfRule>
  </conditionalFormatting>
  <conditionalFormatting sqref="O37">
    <cfRule type="cellIs" dxfId="11165" priority="55876" stopIfTrue="1" operator="notEqual">
      <formula>15</formula>
    </cfRule>
  </conditionalFormatting>
  <conditionalFormatting sqref="P37">
    <cfRule type="expression" dxfId="11164" priority="55877" stopIfTrue="1">
      <formula>NOT(ISBLANK($P$37))</formula>
    </cfRule>
  </conditionalFormatting>
  <conditionalFormatting sqref="Q37">
    <cfRule type="expression" dxfId="11163" priority="55878" stopIfTrue="1">
      <formula>NOT(ISBLANK($Q$37))</formula>
    </cfRule>
  </conditionalFormatting>
  <conditionalFormatting sqref="R37">
    <cfRule type="expression" dxfId="11162" priority="55879" stopIfTrue="1">
      <formula>NOT(ISBLANK($R$37))</formula>
    </cfRule>
  </conditionalFormatting>
  <conditionalFormatting sqref="S37">
    <cfRule type="expression" dxfId="11161" priority="55880" stopIfTrue="1">
      <formula>NOT(ISBLANK($S$37))</formula>
    </cfRule>
  </conditionalFormatting>
  <conditionalFormatting sqref="T37">
    <cfRule type="expression" dxfId="11160" priority="55881" stopIfTrue="1">
      <formula>NOT(ISBLANK($T$37))</formula>
    </cfRule>
  </conditionalFormatting>
  <conditionalFormatting sqref="U37">
    <cfRule type="expression" dxfId="11159" priority="55882" stopIfTrue="1">
      <formula>NOT(ISBLANK($U$37))</formula>
    </cfRule>
  </conditionalFormatting>
  <conditionalFormatting sqref="V37">
    <cfRule type="expression" dxfId="11158" priority="55883" stopIfTrue="1">
      <formula>NOT(ISBLANK($V$37))</formula>
    </cfRule>
  </conditionalFormatting>
  <conditionalFormatting sqref="W37">
    <cfRule type="cellIs" dxfId="11157" priority="55884" stopIfTrue="1" operator="notEqual">
      <formula>11.5</formula>
    </cfRule>
  </conditionalFormatting>
  <conditionalFormatting sqref="X37">
    <cfRule type="cellIs" dxfId="11156" priority="55885" stopIfTrue="1" operator="notEqual">
      <formula>11.5</formula>
    </cfRule>
  </conditionalFormatting>
  <conditionalFormatting sqref="Y37">
    <cfRule type="cellIs" dxfId="11155" priority="55886" stopIfTrue="1" operator="notEqual">
      <formula>7.6</formula>
    </cfRule>
  </conditionalFormatting>
  <conditionalFormatting sqref="Z37">
    <cfRule type="cellIs" dxfId="11154" priority="55887" stopIfTrue="1" operator="notEqual">
      <formula>48</formula>
    </cfRule>
  </conditionalFormatting>
  <conditionalFormatting sqref="AA37">
    <cfRule type="cellIs" dxfId="11153" priority="55888" stopIfTrue="1" operator="notEqual">
      <formula>"POTW"</formula>
    </cfRule>
  </conditionalFormatting>
  <conditionalFormatting sqref="AB37">
    <cfRule type="cellIs" dxfId="11152" priority="55889" stopIfTrue="1" operator="notEqual">
      <formula>"holding tank"</formula>
    </cfRule>
  </conditionalFormatting>
  <conditionalFormatting sqref="AC37">
    <cfRule type="cellIs" dxfId="11151" priority="55890" stopIfTrue="1" operator="notEqual">
      <formula>"eductors"</formula>
    </cfRule>
  </conditionalFormatting>
  <conditionalFormatting sqref="AD37">
    <cfRule type="cellIs" dxfId="11150" priority="55891" stopIfTrue="1" operator="notEqual">
      <formula>"non-hazardous"</formula>
    </cfRule>
  </conditionalFormatting>
  <conditionalFormatting sqref="AE37">
    <cfRule type="expression" dxfId="11149" priority="55892" stopIfTrue="1">
      <formula>NOT(ISBLANK($AE$37))</formula>
    </cfRule>
  </conditionalFormatting>
  <conditionalFormatting sqref="AF37">
    <cfRule type="expression" dxfId="11148" priority="55893" stopIfTrue="1">
      <formula>NOT(ISBLANK($AF$37))</formula>
    </cfRule>
  </conditionalFormatting>
  <conditionalFormatting sqref="AG37">
    <cfRule type="expression" dxfId="11147" priority="55894" stopIfTrue="1">
      <formula>NOT(ISBLANK($AG$37))</formula>
    </cfRule>
  </conditionalFormatting>
  <conditionalFormatting sqref="AH37">
    <cfRule type="expression" dxfId="11146" priority="55895" stopIfTrue="1">
      <formula>NOT(ISBLANK($AH$37))</formula>
    </cfRule>
  </conditionalFormatting>
  <conditionalFormatting sqref="AI37">
    <cfRule type="expression" dxfId="11145" priority="55896" stopIfTrue="1">
      <formula>NOT(ISBLANK($AI$37))</formula>
    </cfRule>
  </conditionalFormatting>
  <conditionalFormatting sqref="AJ37">
    <cfRule type="expression" dxfId="11144" priority="55897" stopIfTrue="1">
      <formula>NOT(ISBLANK($AJ$37))</formula>
    </cfRule>
  </conditionalFormatting>
  <conditionalFormatting sqref="AK37">
    <cfRule type="expression" dxfId="11143" priority="55898" stopIfTrue="1">
      <formula>NOT(ISBLANK($AK$37))</formula>
    </cfRule>
  </conditionalFormatting>
  <conditionalFormatting sqref="AL37">
    <cfRule type="expression" dxfId="11142" priority="55899" stopIfTrue="1">
      <formula>NOT(ISBLANK($AL$37))</formula>
    </cfRule>
  </conditionalFormatting>
  <conditionalFormatting sqref="AM37">
    <cfRule type="expression" dxfId="11141" priority="55900" stopIfTrue="1">
      <formula>NOT(ISBLANK($AM$37))</formula>
    </cfRule>
  </conditionalFormatting>
  <conditionalFormatting sqref="AN37">
    <cfRule type="expression" dxfId="11140" priority="55901" stopIfTrue="1">
      <formula>NOT(ISBLANK($AN$37))</formula>
    </cfRule>
  </conditionalFormatting>
  <conditionalFormatting sqref="AO37">
    <cfRule type="expression" dxfId="11139" priority="55902" stopIfTrue="1">
      <formula>NOT(ISBLANK($AO$37))</formula>
    </cfRule>
  </conditionalFormatting>
  <conditionalFormatting sqref="AP37">
    <cfRule type="expression" dxfId="11138" priority="55903" stopIfTrue="1">
      <formula>NOT(ISBLANK($AP$37))</formula>
    </cfRule>
  </conditionalFormatting>
  <conditionalFormatting sqref="AQ37">
    <cfRule type="expression" dxfId="11137" priority="55904" stopIfTrue="1">
      <formula>NOT(ISBLANK($AQ$37))</formula>
    </cfRule>
  </conditionalFormatting>
  <conditionalFormatting sqref="A38">
    <cfRule type="cellIs" dxfId="11136" priority="55905" stopIfTrue="1" operator="notEqual">
      <formula>2</formula>
    </cfRule>
  </conditionalFormatting>
  <conditionalFormatting sqref="B38">
    <cfRule type="cellIs" dxfId="11135" priority="55906" stopIfTrue="1" operator="notEqual">
      <formula>2</formula>
    </cfRule>
  </conditionalFormatting>
  <conditionalFormatting sqref="C38">
    <cfRule type="cellIs" dxfId="11134" priority="55907" stopIfTrue="1" operator="notEqual">
      <formula>6</formula>
    </cfRule>
  </conditionalFormatting>
  <conditionalFormatting sqref="D38">
    <cfRule type="cellIs" dxfId="11133" priority="55908" stopIfTrue="1" operator="notEqual">
      <formula>7.365</formula>
    </cfRule>
  </conditionalFormatting>
  <conditionalFormatting sqref="E38">
    <cfRule type="cellIs" dxfId="11132" priority="55909" stopIfTrue="1" operator="notEqual">
      <formula>"MGD"</formula>
    </cfRule>
  </conditionalFormatting>
  <conditionalFormatting sqref="F38">
    <cfRule type="cellIs" dxfId="11131" priority="55910" stopIfTrue="1" operator="notEqual">
      <formula>3.2</formula>
    </cfRule>
  </conditionalFormatting>
  <conditionalFormatting sqref="G38">
    <cfRule type="cellIs" dxfId="11130" priority="55911" stopIfTrue="1" operator="notEqual">
      <formula>"MGD"</formula>
    </cfRule>
  </conditionalFormatting>
  <conditionalFormatting sqref="H38">
    <cfRule type="cellIs" dxfId="11129" priority="55912" stopIfTrue="1" operator="notEqual">
      <formula>"regeneration off-site (non-hazardous)"</formula>
    </cfRule>
  </conditionalFormatting>
  <conditionalFormatting sqref="I38">
    <cfRule type="cellIs" dxfId="11128" priority="55913" stopIfTrue="1" operator="notEqual">
      <formula>"carbon life value- months"</formula>
    </cfRule>
  </conditionalFormatting>
  <conditionalFormatting sqref="J38">
    <cfRule type="cellIs" dxfId="11127" priority="55914" stopIfTrue="1" operator="notEqual">
      <formula>12</formula>
    </cfRule>
  </conditionalFormatting>
  <conditionalFormatting sqref="K38">
    <cfRule type="expression" dxfId="11126" priority="55915" stopIfTrue="1">
      <formula>NOT(ISBLANK($K$38))</formula>
    </cfRule>
  </conditionalFormatting>
  <conditionalFormatting sqref="L38">
    <cfRule type="expression" dxfId="11125" priority="55916" stopIfTrue="1">
      <formula>NOT(ISBLANK($L$38))</formula>
    </cfRule>
  </conditionalFormatting>
  <conditionalFormatting sqref="M38">
    <cfRule type="expression" dxfId="11124" priority="55917" stopIfTrue="1">
      <formula>NOT(ISBLANK($M$38))</formula>
    </cfRule>
  </conditionalFormatting>
  <conditionalFormatting sqref="N38">
    <cfRule type="cellIs" dxfId="11123" priority="55918" stopIfTrue="1" operator="notEqual">
      <formula>"EBCT"</formula>
    </cfRule>
  </conditionalFormatting>
  <conditionalFormatting sqref="O38">
    <cfRule type="cellIs" dxfId="11122" priority="55919" stopIfTrue="1" operator="notEqual">
      <formula>15</formula>
    </cfRule>
  </conditionalFormatting>
  <conditionalFormatting sqref="P38">
    <cfRule type="expression" dxfId="11121" priority="55920" stopIfTrue="1">
      <formula>NOT(ISBLANK($P$38))</formula>
    </cfRule>
  </conditionalFormatting>
  <conditionalFormatting sqref="Q38">
    <cfRule type="expression" dxfId="11120" priority="55921" stopIfTrue="1">
      <formula>NOT(ISBLANK($Q$38))</formula>
    </cfRule>
  </conditionalFormatting>
  <conditionalFormatting sqref="R38">
    <cfRule type="expression" dxfId="11119" priority="55922" stopIfTrue="1">
      <formula>NOT(ISBLANK($R$38))</formula>
    </cfRule>
  </conditionalFormatting>
  <conditionalFormatting sqref="S38">
    <cfRule type="expression" dxfId="11118" priority="55923" stopIfTrue="1">
      <formula>NOT(ISBLANK($S$38))</formula>
    </cfRule>
  </conditionalFormatting>
  <conditionalFormatting sqref="T38">
    <cfRule type="expression" dxfId="11117" priority="55924" stopIfTrue="1">
      <formula>NOT(ISBLANK($T$38))</formula>
    </cfRule>
  </conditionalFormatting>
  <conditionalFormatting sqref="U38">
    <cfRule type="expression" dxfId="11116" priority="55925" stopIfTrue="1">
      <formula>NOT(ISBLANK($U$38))</formula>
    </cfRule>
  </conditionalFormatting>
  <conditionalFormatting sqref="V38">
    <cfRule type="expression" dxfId="11115" priority="55926" stopIfTrue="1">
      <formula>NOT(ISBLANK($V$38))</formula>
    </cfRule>
  </conditionalFormatting>
  <conditionalFormatting sqref="W38">
    <cfRule type="cellIs" dxfId="11114" priority="55927" stopIfTrue="1" operator="notEqual">
      <formula>18</formula>
    </cfRule>
  </conditionalFormatting>
  <conditionalFormatting sqref="X38">
    <cfRule type="cellIs" dxfId="11113" priority="55928" stopIfTrue="1" operator="notEqual">
      <formula>18</formula>
    </cfRule>
  </conditionalFormatting>
  <conditionalFormatting sqref="Y38">
    <cfRule type="cellIs" dxfId="11112" priority="55929" stopIfTrue="1" operator="notEqual">
      <formula>8</formula>
    </cfRule>
  </conditionalFormatting>
  <conditionalFormatting sqref="Z38">
    <cfRule type="cellIs" dxfId="11111" priority="55930" stopIfTrue="1" operator="notEqual">
      <formula>48</formula>
    </cfRule>
  </conditionalFormatting>
  <conditionalFormatting sqref="AA38">
    <cfRule type="cellIs" dxfId="11110" priority="55931" stopIfTrue="1" operator="notEqual">
      <formula>"POTW"</formula>
    </cfRule>
  </conditionalFormatting>
  <conditionalFormatting sqref="AB38">
    <cfRule type="cellIs" dxfId="11109" priority="55932" stopIfTrue="1" operator="notEqual">
      <formula>"holding tank"</formula>
    </cfRule>
  </conditionalFormatting>
  <conditionalFormatting sqref="AC38">
    <cfRule type="cellIs" dxfId="11108" priority="55933" stopIfTrue="1" operator="notEqual">
      <formula>"eductors"</formula>
    </cfRule>
  </conditionalFormatting>
  <conditionalFormatting sqref="AD38">
    <cfRule type="cellIs" dxfId="11107" priority="55934" stopIfTrue="1" operator="notEqual">
      <formula>"non-hazardous"</formula>
    </cfRule>
  </conditionalFormatting>
  <conditionalFormatting sqref="AE38">
    <cfRule type="expression" dxfId="11106" priority="55935" stopIfTrue="1">
      <formula>NOT(ISBLANK($AE$38))</formula>
    </cfRule>
  </conditionalFormatting>
  <conditionalFormatting sqref="AF38">
    <cfRule type="expression" dxfId="11105" priority="55936" stopIfTrue="1">
      <formula>NOT(ISBLANK($AF$38))</formula>
    </cfRule>
  </conditionalFormatting>
  <conditionalFormatting sqref="AG38">
    <cfRule type="expression" dxfId="11104" priority="55937" stopIfTrue="1">
      <formula>NOT(ISBLANK($AG$38))</formula>
    </cfRule>
  </conditionalFormatting>
  <conditionalFormatting sqref="AH38">
    <cfRule type="expression" dxfId="11103" priority="55938" stopIfTrue="1">
      <formula>NOT(ISBLANK($AH$38))</formula>
    </cfRule>
  </conditionalFormatting>
  <conditionalFormatting sqref="AI38">
    <cfRule type="expression" dxfId="11102" priority="55939" stopIfTrue="1">
      <formula>NOT(ISBLANK($AI$38))</formula>
    </cfRule>
  </conditionalFormatting>
  <conditionalFormatting sqref="AJ38">
    <cfRule type="expression" dxfId="11101" priority="55940" stopIfTrue="1">
      <formula>NOT(ISBLANK($AJ$38))</formula>
    </cfRule>
  </conditionalFormatting>
  <conditionalFormatting sqref="AK38">
    <cfRule type="expression" dxfId="11100" priority="55941" stopIfTrue="1">
      <formula>NOT(ISBLANK($AK$38))</formula>
    </cfRule>
  </conditionalFormatting>
  <conditionalFormatting sqref="AL38">
    <cfRule type="expression" dxfId="11099" priority="55942" stopIfTrue="1">
      <formula>NOT(ISBLANK($AL$38))</formula>
    </cfRule>
  </conditionalFormatting>
  <conditionalFormatting sqref="AM38">
    <cfRule type="expression" dxfId="11098" priority="55943" stopIfTrue="1">
      <formula>NOT(ISBLANK($AM$38))</formula>
    </cfRule>
  </conditionalFormatting>
  <conditionalFormatting sqref="AN38">
    <cfRule type="expression" dxfId="11097" priority="55944" stopIfTrue="1">
      <formula>NOT(ISBLANK($AN$38))</formula>
    </cfRule>
  </conditionalFormatting>
  <conditionalFormatting sqref="AO38">
    <cfRule type="expression" dxfId="11096" priority="55945" stopIfTrue="1">
      <formula>NOT(ISBLANK($AO$38))</formula>
    </cfRule>
  </conditionalFormatting>
  <conditionalFormatting sqref="AP38">
    <cfRule type="expression" dxfId="11095" priority="55946" stopIfTrue="1">
      <formula>NOT(ISBLANK($AP$38))</formula>
    </cfRule>
  </conditionalFormatting>
  <conditionalFormatting sqref="AQ38">
    <cfRule type="expression" dxfId="11094" priority="55947" stopIfTrue="1">
      <formula>NOT(ISBLANK($AQ$38))</formula>
    </cfRule>
  </conditionalFormatting>
  <conditionalFormatting sqref="A39">
    <cfRule type="cellIs" dxfId="11093" priority="55948" stopIfTrue="1" operator="notEqual">
      <formula>2</formula>
    </cfRule>
  </conditionalFormatting>
  <conditionalFormatting sqref="B39">
    <cfRule type="cellIs" dxfId="11092" priority="55949" stopIfTrue="1" operator="notEqual">
      <formula>2</formula>
    </cfRule>
  </conditionalFormatting>
  <conditionalFormatting sqref="C39">
    <cfRule type="cellIs" dxfId="11091" priority="55950" stopIfTrue="1" operator="notEqual">
      <formula>7</formula>
    </cfRule>
  </conditionalFormatting>
  <conditionalFormatting sqref="D39">
    <cfRule type="cellIs" dxfId="11090" priority="55951" stopIfTrue="1" operator="notEqual">
      <formula>22.614</formula>
    </cfRule>
  </conditionalFormatting>
  <conditionalFormatting sqref="E39">
    <cfRule type="cellIs" dxfId="11089" priority="55952" stopIfTrue="1" operator="notEqual">
      <formula>"MGD"</formula>
    </cfRule>
  </conditionalFormatting>
  <conditionalFormatting sqref="F39">
    <cfRule type="cellIs" dxfId="11088" priority="55953" stopIfTrue="1" operator="notEqual">
      <formula>11.066</formula>
    </cfRule>
  </conditionalFormatting>
  <conditionalFormatting sqref="G39">
    <cfRule type="cellIs" dxfId="11087" priority="55954" stopIfTrue="1" operator="notEqual">
      <formula>"MGD"</formula>
    </cfRule>
  </conditionalFormatting>
  <conditionalFormatting sqref="H39">
    <cfRule type="cellIs" dxfId="11086" priority="55955" stopIfTrue="1" operator="notEqual">
      <formula>"regeneration off-site (non-hazardous)"</formula>
    </cfRule>
  </conditionalFormatting>
  <conditionalFormatting sqref="I39">
    <cfRule type="cellIs" dxfId="11085" priority="55956" stopIfTrue="1" operator="notEqual">
      <formula>"carbon life value- months"</formula>
    </cfRule>
  </conditionalFormatting>
  <conditionalFormatting sqref="J39">
    <cfRule type="cellIs" dxfId="11084" priority="55957" stopIfTrue="1" operator="notEqual">
      <formula>12</formula>
    </cfRule>
  </conditionalFormatting>
  <conditionalFormatting sqref="K39">
    <cfRule type="expression" dxfId="11083" priority="55958" stopIfTrue="1">
      <formula>NOT(ISBLANK($K$39))</formula>
    </cfRule>
  </conditionalFormatting>
  <conditionalFormatting sqref="L39">
    <cfRule type="expression" dxfId="11082" priority="55959" stopIfTrue="1">
      <formula>NOT(ISBLANK($L$39))</formula>
    </cfRule>
  </conditionalFormatting>
  <conditionalFormatting sqref="M39">
    <cfRule type="expression" dxfId="11081" priority="55960" stopIfTrue="1">
      <formula>NOT(ISBLANK($M$39))</formula>
    </cfRule>
  </conditionalFormatting>
  <conditionalFormatting sqref="N39">
    <cfRule type="cellIs" dxfId="11080" priority="55961" stopIfTrue="1" operator="notEqual">
      <formula>"EBCT"</formula>
    </cfRule>
  </conditionalFormatting>
  <conditionalFormatting sqref="O39">
    <cfRule type="cellIs" dxfId="11079" priority="55962" stopIfTrue="1" operator="notEqual">
      <formula>15</formula>
    </cfRule>
  </conditionalFormatting>
  <conditionalFormatting sqref="P39">
    <cfRule type="expression" dxfId="11078" priority="55963" stopIfTrue="1">
      <formula>NOT(ISBLANK($P$39))</formula>
    </cfRule>
  </conditionalFormatting>
  <conditionalFormatting sqref="Q39">
    <cfRule type="expression" dxfId="11077" priority="55964" stopIfTrue="1">
      <formula>NOT(ISBLANK($Q$39))</formula>
    </cfRule>
  </conditionalFormatting>
  <conditionalFormatting sqref="R39">
    <cfRule type="expression" dxfId="11076" priority="55965" stopIfTrue="1">
      <formula>NOT(ISBLANK($R$39))</formula>
    </cfRule>
  </conditionalFormatting>
  <conditionalFormatting sqref="S39">
    <cfRule type="expression" dxfId="11075" priority="55966" stopIfTrue="1">
      <formula>NOT(ISBLANK($S$39))</formula>
    </cfRule>
  </conditionalFormatting>
  <conditionalFormatting sqref="T39">
    <cfRule type="expression" dxfId="11074" priority="55967" stopIfTrue="1">
      <formula>NOT(ISBLANK($T$39))</formula>
    </cfRule>
  </conditionalFormatting>
  <conditionalFormatting sqref="U39">
    <cfRule type="expression" dxfId="11073" priority="55968" stopIfTrue="1">
      <formula>NOT(ISBLANK($U$39))</formula>
    </cfRule>
  </conditionalFormatting>
  <conditionalFormatting sqref="V39">
    <cfRule type="expression" dxfId="11072" priority="55969" stopIfTrue="1">
      <formula>NOT(ISBLANK($V$39))</formula>
    </cfRule>
  </conditionalFormatting>
  <conditionalFormatting sqref="W39">
    <cfRule type="cellIs" dxfId="11071" priority="55970" stopIfTrue="1" operator="notEqual">
      <formula>20</formula>
    </cfRule>
  </conditionalFormatting>
  <conditionalFormatting sqref="X39">
    <cfRule type="cellIs" dxfId="11070" priority="55971" stopIfTrue="1" operator="notEqual">
      <formula>20</formula>
    </cfRule>
  </conditionalFormatting>
  <conditionalFormatting sqref="Y39">
    <cfRule type="cellIs" dxfId="11069" priority="55972" stopIfTrue="1" operator="notEqual">
      <formula>7.9</formula>
    </cfRule>
  </conditionalFormatting>
  <conditionalFormatting sqref="Z39">
    <cfRule type="cellIs" dxfId="11068" priority="55973" stopIfTrue="1" operator="notEqual">
      <formula>48</formula>
    </cfRule>
  </conditionalFormatting>
  <conditionalFormatting sqref="AA39">
    <cfRule type="cellIs" dxfId="11067" priority="55974" stopIfTrue="1" operator="notEqual">
      <formula>"POTW"</formula>
    </cfRule>
  </conditionalFormatting>
  <conditionalFormatting sqref="AB39">
    <cfRule type="cellIs" dxfId="11066" priority="55975" stopIfTrue="1" operator="notEqual">
      <formula>"holding tank"</formula>
    </cfRule>
  </conditionalFormatting>
  <conditionalFormatting sqref="AC39">
    <cfRule type="cellIs" dxfId="11065" priority="55976" stopIfTrue="1" operator="notEqual">
      <formula>"eductors"</formula>
    </cfRule>
  </conditionalFormatting>
  <conditionalFormatting sqref="AD39">
    <cfRule type="cellIs" dxfId="11064" priority="55977" stopIfTrue="1" operator="notEqual">
      <formula>"non-hazardous"</formula>
    </cfRule>
  </conditionalFormatting>
  <conditionalFormatting sqref="AE39">
    <cfRule type="expression" dxfId="11063" priority="55978" stopIfTrue="1">
      <formula>NOT(ISBLANK($AE$39))</formula>
    </cfRule>
  </conditionalFormatting>
  <conditionalFormatting sqref="AF39">
    <cfRule type="expression" dxfId="11062" priority="55979" stopIfTrue="1">
      <formula>NOT(ISBLANK($AF$39))</formula>
    </cfRule>
  </conditionalFormatting>
  <conditionalFormatting sqref="AG39">
    <cfRule type="expression" dxfId="11061" priority="55980" stopIfTrue="1">
      <formula>NOT(ISBLANK($AG$39))</formula>
    </cfRule>
  </conditionalFormatting>
  <conditionalFormatting sqref="AH39">
    <cfRule type="expression" dxfId="11060" priority="55981" stopIfTrue="1">
      <formula>NOT(ISBLANK($AH$39))</formula>
    </cfRule>
  </conditionalFormatting>
  <conditionalFormatting sqref="AI39">
    <cfRule type="expression" dxfId="11059" priority="55982" stopIfTrue="1">
      <formula>NOT(ISBLANK($AI$39))</formula>
    </cfRule>
  </conditionalFormatting>
  <conditionalFormatting sqref="AJ39">
    <cfRule type="expression" dxfId="11058" priority="55983" stopIfTrue="1">
      <formula>NOT(ISBLANK($AJ$39))</formula>
    </cfRule>
  </conditionalFormatting>
  <conditionalFormatting sqref="AK39">
    <cfRule type="expression" dxfId="11057" priority="55984" stopIfTrue="1">
      <formula>NOT(ISBLANK($AK$39))</formula>
    </cfRule>
  </conditionalFormatting>
  <conditionalFormatting sqref="AL39">
    <cfRule type="expression" dxfId="11056" priority="55985" stopIfTrue="1">
      <formula>NOT(ISBLANK($AL$39))</formula>
    </cfRule>
  </conditionalFormatting>
  <conditionalFormatting sqref="AM39">
    <cfRule type="expression" dxfId="11055" priority="55986" stopIfTrue="1">
      <formula>NOT(ISBLANK($AM$39))</formula>
    </cfRule>
  </conditionalFormatting>
  <conditionalFormatting sqref="AN39">
    <cfRule type="expression" dxfId="11054" priority="55987" stopIfTrue="1">
      <formula>NOT(ISBLANK($AN$39))</formula>
    </cfRule>
  </conditionalFormatting>
  <conditionalFormatting sqref="AO39">
    <cfRule type="expression" dxfId="11053" priority="55988" stopIfTrue="1">
      <formula>NOT(ISBLANK($AO$39))</formula>
    </cfRule>
  </conditionalFormatting>
  <conditionalFormatting sqref="AP39">
    <cfRule type="expression" dxfId="11052" priority="55989" stopIfTrue="1">
      <formula>NOT(ISBLANK($AP$39))</formula>
    </cfRule>
  </conditionalFormatting>
  <conditionalFormatting sqref="AQ39">
    <cfRule type="expression" dxfId="11051" priority="55990" stopIfTrue="1">
      <formula>NOT(ISBLANK($AQ$39))</formula>
    </cfRule>
  </conditionalFormatting>
  <conditionalFormatting sqref="A40">
    <cfRule type="cellIs" dxfId="11050" priority="55991" stopIfTrue="1" operator="notEqual">
      <formula>2</formula>
    </cfRule>
  </conditionalFormatting>
  <conditionalFormatting sqref="B40">
    <cfRule type="cellIs" dxfId="11049" priority="55992" stopIfTrue="1" operator="notEqual">
      <formula>2</formula>
    </cfRule>
  </conditionalFormatting>
  <conditionalFormatting sqref="C40">
    <cfRule type="cellIs" dxfId="11048" priority="55993" stopIfTrue="1" operator="notEqual">
      <formula>8</formula>
    </cfRule>
  </conditionalFormatting>
  <conditionalFormatting sqref="D40">
    <cfRule type="cellIs" dxfId="11047" priority="55994" stopIfTrue="1" operator="notEqual">
      <formula>75.072</formula>
    </cfRule>
  </conditionalFormatting>
  <conditionalFormatting sqref="E40">
    <cfRule type="cellIs" dxfId="11046" priority="55995" stopIfTrue="1" operator="notEqual">
      <formula>"MGD"</formula>
    </cfRule>
  </conditionalFormatting>
  <conditionalFormatting sqref="F40">
    <cfRule type="cellIs" dxfId="11045" priority="55996" stopIfTrue="1" operator="notEqual">
      <formula>37.536</formula>
    </cfRule>
  </conditionalFormatting>
  <conditionalFormatting sqref="G40">
    <cfRule type="cellIs" dxfId="11044" priority="55997" stopIfTrue="1" operator="notEqual">
      <formula>"MGD"</formula>
    </cfRule>
  </conditionalFormatting>
  <conditionalFormatting sqref="H40">
    <cfRule type="cellIs" dxfId="11043" priority="55998" stopIfTrue="1" operator="notEqual">
      <formula>"regeneration off-site (non-hazardous)"</formula>
    </cfRule>
  </conditionalFormatting>
  <conditionalFormatting sqref="I40">
    <cfRule type="cellIs" dxfId="11042" priority="55999" stopIfTrue="1" operator="notEqual">
      <formula>"carbon life value- months"</formula>
    </cfRule>
  </conditionalFormatting>
  <conditionalFormatting sqref="J40">
    <cfRule type="cellIs" dxfId="11041" priority="56000" stopIfTrue="1" operator="notEqual">
      <formula>12</formula>
    </cfRule>
  </conditionalFormatting>
  <conditionalFormatting sqref="K40">
    <cfRule type="expression" dxfId="11040" priority="56001" stopIfTrue="1">
      <formula>NOT(ISBLANK($K$40))</formula>
    </cfRule>
  </conditionalFormatting>
  <conditionalFormatting sqref="L40">
    <cfRule type="expression" dxfId="11039" priority="56002" stopIfTrue="1">
      <formula>NOT(ISBLANK($L$40))</formula>
    </cfRule>
  </conditionalFormatting>
  <conditionalFormatting sqref="M40">
    <cfRule type="expression" dxfId="11038" priority="56003" stopIfTrue="1">
      <formula>NOT(ISBLANK($M$40))</formula>
    </cfRule>
  </conditionalFormatting>
  <conditionalFormatting sqref="N40">
    <cfRule type="cellIs" dxfId="11037" priority="56004" stopIfTrue="1" operator="notEqual">
      <formula>"EBCT"</formula>
    </cfRule>
  </conditionalFormatting>
  <conditionalFormatting sqref="O40">
    <cfRule type="cellIs" dxfId="11036" priority="56005" stopIfTrue="1" operator="notEqual">
      <formula>15</formula>
    </cfRule>
  </conditionalFormatting>
  <conditionalFormatting sqref="P40">
    <cfRule type="expression" dxfId="11035" priority="56006" stopIfTrue="1">
      <formula>NOT(ISBLANK($P$40))</formula>
    </cfRule>
  </conditionalFormatting>
  <conditionalFormatting sqref="Q40">
    <cfRule type="expression" dxfId="11034" priority="56007" stopIfTrue="1">
      <formula>NOT(ISBLANK($Q$40))</formula>
    </cfRule>
  </conditionalFormatting>
  <conditionalFormatting sqref="R40">
    <cfRule type="expression" dxfId="11033" priority="56008" stopIfTrue="1">
      <formula>NOT(ISBLANK($R$40))</formula>
    </cfRule>
  </conditionalFormatting>
  <conditionalFormatting sqref="S40">
    <cfRule type="expression" dxfId="11032" priority="56009" stopIfTrue="1">
      <formula>NOT(ISBLANK($S$40))</formula>
    </cfRule>
  </conditionalFormatting>
  <conditionalFormatting sqref="T40">
    <cfRule type="expression" dxfId="11031" priority="56010" stopIfTrue="1">
      <formula>NOT(ISBLANK($T$40))</formula>
    </cfRule>
  </conditionalFormatting>
  <conditionalFormatting sqref="U40">
    <cfRule type="expression" dxfId="11030" priority="56011" stopIfTrue="1">
      <formula>NOT(ISBLANK($U$40))</formula>
    </cfRule>
  </conditionalFormatting>
  <conditionalFormatting sqref="V40">
    <cfRule type="expression" dxfId="11029" priority="56012" stopIfTrue="1">
      <formula>NOT(ISBLANK($V$40))</formula>
    </cfRule>
  </conditionalFormatting>
  <conditionalFormatting sqref="W40">
    <cfRule type="cellIs" dxfId="11028" priority="56013" stopIfTrue="1" operator="notEqual">
      <formula>30</formula>
    </cfRule>
  </conditionalFormatting>
  <conditionalFormatting sqref="X40">
    <cfRule type="cellIs" dxfId="11027" priority="56014" stopIfTrue="1" operator="notEqual">
      <formula>30</formula>
    </cfRule>
  </conditionalFormatting>
  <conditionalFormatting sqref="Y40">
    <cfRule type="cellIs" dxfId="11026" priority="56015" stopIfTrue="1" operator="notEqual">
      <formula>9.7</formula>
    </cfRule>
  </conditionalFormatting>
  <conditionalFormatting sqref="Z40">
    <cfRule type="cellIs" dxfId="11025" priority="56016" stopIfTrue="1" operator="notEqual">
      <formula>48</formula>
    </cfRule>
  </conditionalFormatting>
  <conditionalFormatting sqref="AA40">
    <cfRule type="cellIs" dxfId="11024" priority="56017" stopIfTrue="1" operator="notEqual">
      <formula>"POTW"</formula>
    </cfRule>
  </conditionalFormatting>
  <conditionalFormatting sqref="AB40">
    <cfRule type="cellIs" dxfId="11023" priority="56018" stopIfTrue="1" operator="notEqual">
      <formula>"holding tank"</formula>
    </cfRule>
  </conditionalFormatting>
  <conditionalFormatting sqref="AC40">
    <cfRule type="cellIs" dxfId="11022" priority="56019" stopIfTrue="1" operator="notEqual">
      <formula>"eductors"</formula>
    </cfRule>
  </conditionalFormatting>
  <conditionalFormatting sqref="AD40">
    <cfRule type="cellIs" dxfId="11021" priority="56020" stopIfTrue="1" operator="notEqual">
      <formula>"non-hazardous"</formula>
    </cfRule>
  </conditionalFormatting>
  <conditionalFormatting sqref="AE40">
    <cfRule type="expression" dxfId="11020" priority="56021" stopIfTrue="1">
      <formula>NOT(ISBLANK($AE$40))</formula>
    </cfRule>
  </conditionalFormatting>
  <conditionalFormatting sqref="AF40">
    <cfRule type="expression" dxfId="11019" priority="56022" stopIfTrue="1">
      <formula>NOT(ISBLANK($AF$40))</formula>
    </cfRule>
  </conditionalFormatting>
  <conditionalFormatting sqref="AG40">
    <cfRule type="expression" dxfId="11018" priority="56023" stopIfTrue="1">
      <formula>NOT(ISBLANK($AG$40))</formula>
    </cfRule>
  </conditionalFormatting>
  <conditionalFormatting sqref="AH40">
    <cfRule type="expression" dxfId="11017" priority="56024" stopIfTrue="1">
      <formula>NOT(ISBLANK($AH$40))</formula>
    </cfRule>
  </conditionalFormatting>
  <conditionalFormatting sqref="AI40">
    <cfRule type="expression" dxfId="11016" priority="56025" stopIfTrue="1">
      <formula>NOT(ISBLANK($AI$40))</formula>
    </cfRule>
  </conditionalFormatting>
  <conditionalFormatting sqref="AJ40">
    <cfRule type="expression" dxfId="11015" priority="56026" stopIfTrue="1">
      <formula>NOT(ISBLANK($AJ$40))</formula>
    </cfRule>
  </conditionalFormatting>
  <conditionalFormatting sqref="AK40">
    <cfRule type="expression" dxfId="11014" priority="56027" stopIfTrue="1">
      <formula>NOT(ISBLANK($AK$40))</formula>
    </cfRule>
  </conditionalFormatting>
  <conditionalFormatting sqref="AL40">
    <cfRule type="expression" dxfId="11013" priority="56028" stopIfTrue="1">
      <formula>NOT(ISBLANK($AL$40))</formula>
    </cfRule>
  </conditionalFormatting>
  <conditionalFormatting sqref="AM40">
    <cfRule type="expression" dxfId="11012" priority="56029" stopIfTrue="1">
      <formula>NOT(ISBLANK($AM$40))</formula>
    </cfRule>
  </conditionalFormatting>
  <conditionalFormatting sqref="AN40">
    <cfRule type="expression" dxfId="11011" priority="56030" stopIfTrue="1">
      <formula>NOT(ISBLANK($AN$40))</formula>
    </cfRule>
  </conditionalFormatting>
  <conditionalFormatting sqref="AO40">
    <cfRule type="expression" dxfId="11010" priority="56031" stopIfTrue="1">
      <formula>NOT(ISBLANK($AO$40))</formula>
    </cfRule>
  </conditionalFormatting>
  <conditionalFormatting sqref="AP40">
    <cfRule type="expression" dxfId="11009" priority="56032" stopIfTrue="1">
      <formula>NOT(ISBLANK($AP$40))</formula>
    </cfRule>
  </conditionalFormatting>
  <conditionalFormatting sqref="AQ40">
    <cfRule type="expression" dxfId="11008" priority="56033" stopIfTrue="1">
      <formula>NOT(ISBLANK($AQ$40))</formula>
    </cfRule>
  </conditionalFormatting>
  <conditionalFormatting sqref="A41">
    <cfRule type="cellIs" dxfId="11007" priority="56034" stopIfTrue="1" operator="notEqual">
      <formula>3</formula>
    </cfRule>
  </conditionalFormatting>
  <conditionalFormatting sqref="B41">
    <cfRule type="cellIs" dxfId="11006" priority="56035" stopIfTrue="1" operator="notEqual">
      <formula>1</formula>
    </cfRule>
  </conditionalFormatting>
  <conditionalFormatting sqref="C41">
    <cfRule type="cellIs" dxfId="11005" priority="56036" stopIfTrue="1" operator="notEqual">
      <formula>1</formula>
    </cfRule>
  </conditionalFormatting>
  <conditionalFormatting sqref="D41">
    <cfRule type="cellIs" dxfId="11004" priority="56037" stopIfTrue="1" operator="notEqual">
      <formula>0.03</formula>
    </cfRule>
  </conditionalFormatting>
  <conditionalFormatting sqref="E41">
    <cfRule type="cellIs" dxfId="11003" priority="56038" stopIfTrue="1" operator="notEqual">
      <formula>"MGD"</formula>
    </cfRule>
  </conditionalFormatting>
  <conditionalFormatting sqref="F41">
    <cfRule type="cellIs" dxfId="11002" priority="56039" stopIfTrue="1" operator="notEqual">
      <formula>0.007</formula>
    </cfRule>
  </conditionalFormatting>
  <conditionalFormatting sqref="G41">
    <cfRule type="cellIs" dxfId="11001" priority="56040" stopIfTrue="1" operator="notEqual">
      <formula>"MGD"</formula>
    </cfRule>
  </conditionalFormatting>
  <conditionalFormatting sqref="H41">
    <cfRule type="cellIs" dxfId="11000" priority="56041" stopIfTrue="1" operator="notEqual">
      <formula>"throwaway (radioactive)"</formula>
    </cfRule>
  </conditionalFormatting>
  <conditionalFormatting sqref="I41">
    <cfRule type="cellIs" dxfId="10999" priority="56042" stopIfTrue="1" operator="notEqual">
      <formula>"carbon life value- months"</formula>
    </cfRule>
  </conditionalFormatting>
  <conditionalFormatting sqref="J41">
    <cfRule type="cellIs" dxfId="10998" priority="56043" stopIfTrue="1" operator="notEqual">
      <formula>24</formula>
    </cfRule>
  </conditionalFormatting>
  <conditionalFormatting sqref="K41">
    <cfRule type="expression" dxfId="10997" priority="56044" stopIfTrue="1">
      <formula>NOT(ISBLANK($K$41))</formula>
    </cfRule>
  </conditionalFormatting>
  <conditionalFormatting sqref="L41">
    <cfRule type="expression" dxfId="10996" priority="56045" stopIfTrue="1">
      <formula>NOT(ISBLANK($L$41))</formula>
    </cfRule>
  </conditionalFormatting>
  <conditionalFormatting sqref="M41">
    <cfRule type="expression" dxfId="10995" priority="56046" stopIfTrue="1">
      <formula>NOT(ISBLANK($M$41))</formula>
    </cfRule>
  </conditionalFormatting>
  <conditionalFormatting sqref="N41">
    <cfRule type="cellIs" dxfId="10994" priority="56047" stopIfTrue="1" operator="notEqual">
      <formula>"EBCT"</formula>
    </cfRule>
  </conditionalFormatting>
  <conditionalFormatting sqref="O41">
    <cfRule type="cellIs" dxfId="10993" priority="56048" stopIfTrue="1" operator="notEqual">
      <formula>30</formula>
    </cfRule>
  </conditionalFormatting>
  <conditionalFormatting sqref="P41">
    <cfRule type="expression" dxfId="10992" priority="56049" stopIfTrue="1">
      <formula>NOT(ISBLANK($P$41))</formula>
    </cfRule>
  </conditionalFormatting>
  <conditionalFormatting sqref="Q41">
    <cfRule type="expression" dxfId="10991" priority="56050" stopIfTrue="1">
      <formula>NOT(ISBLANK($Q$41))</formula>
    </cfRule>
  </conditionalFormatting>
  <conditionalFormatting sqref="R41">
    <cfRule type="cellIs" dxfId="10990" priority="56051" stopIfTrue="1" operator="notEqual">
      <formula>3</formula>
    </cfRule>
  </conditionalFormatting>
  <conditionalFormatting sqref="S41">
    <cfRule type="cellIs" dxfId="10989" priority="56052" stopIfTrue="1" operator="notEqual">
      <formula>4</formula>
    </cfRule>
  </conditionalFormatting>
  <conditionalFormatting sqref="T41">
    <cfRule type="cellIs" dxfId="10988" priority="56053" stopIfTrue="1" operator="notEqual">
      <formula>"upright"</formula>
    </cfRule>
  </conditionalFormatting>
  <conditionalFormatting sqref="U41">
    <cfRule type="cellIs" dxfId="10987" priority="56054" stopIfTrue="1" operator="notEqual">
      <formula>6.5</formula>
    </cfRule>
  </conditionalFormatting>
  <conditionalFormatting sqref="V41">
    <cfRule type="cellIs" dxfId="10986" priority="56055" stopIfTrue="1" operator="notEqual">
      <formula>3</formula>
    </cfRule>
  </conditionalFormatting>
  <conditionalFormatting sqref="W41">
    <cfRule type="expression" dxfId="10985" priority="56056" stopIfTrue="1">
      <formula>NOT(ISBLANK($W$41))</formula>
    </cfRule>
  </conditionalFormatting>
  <conditionalFormatting sqref="X41">
    <cfRule type="expression" dxfId="10984" priority="56057" stopIfTrue="1">
      <formula>NOT(ISBLANK($X$41))</formula>
    </cfRule>
  </conditionalFormatting>
  <conditionalFormatting sqref="Y41">
    <cfRule type="expression" dxfId="10983" priority="56058" stopIfTrue="1">
      <formula>NOT(ISBLANK($Y$41))</formula>
    </cfRule>
  </conditionalFormatting>
  <conditionalFormatting sqref="Z41">
    <cfRule type="cellIs" dxfId="10982" priority="56059" stopIfTrue="1" operator="notEqual">
      <formula>168</formula>
    </cfRule>
  </conditionalFormatting>
  <conditionalFormatting sqref="AA41">
    <cfRule type="cellIs" dxfId="10981" priority="56060" stopIfTrue="1" operator="notEqual">
      <formula>"POTW"</formula>
    </cfRule>
  </conditionalFormatting>
  <conditionalFormatting sqref="AB41">
    <cfRule type="cellIs" dxfId="10980" priority="56061" stopIfTrue="1" operator="notEqual">
      <formula>"no holding tank"</formula>
    </cfRule>
  </conditionalFormatting>
  <conditionalFormatting sqref="AC41">
    <cfRule type="cellIs" dxfId="10979" priority="56062" stopIfTrue="1" operator="notEqual">
      <formula>"manual transfer"</formula>
    </cfRule>
  </conditionalFormatting>
  <conditionalFormatting sqref="AD41">
    <cfRule type="expression" dxfId="10978" priority="56063" stopIfTrue="1">
      <formula>NOT(ISBLANK($AD$41))</formula>
    </cfRule>
  </conditionalFormatting>
  <conditionalFormatting sqref="AE41">
    <cfRule type="expression" dxfId="10977" priority="56064" stopIfTrue="1">
      <formula>NOT(ISBLANK($AE$41))</formula>
    </cfRule>
  </conditionalFormatting>
  <conditionalFormatting sqref="AF41">
    <cfRule type="cellIs" dxfId="10976" priority="56065" stopIfTrue="1" operator="notEqual">
      <formula>0</formula>
    </cfRule>
  </conditionalFormatting>
  <conditionalFormatting sqref="AG41">
    <cfRule type="expression" dxfId="10975" priority="56066" stopIfTrue="1">
      <formula>NOT(ISBLANK($AG$41))</formula>
    </cfRule>
  </conditionalFormatting>
  <conditionalFormatting sqref="AH41">
    <cfRule type="expression" dxfId="10974" priority="56067" stopIfTrue="1">
      <formula>NOT(ISBLANK($AH$41))</formula>
    </cfRule>
  </conditionalFormatting>
  <conditionalFormatting sqref="AI41">
    <cfRule type="expression" dxfId="10973" priority="56068" stopIfTrue="1">
      <formula>NOT(ISBLANK($AI$41))</formula>
    </cfRule>
  </conditionalFormatting>
  <conditionalFormatting sqref="AJ41">
    <cfRule type="expression" dxfId="10972" priority="56069" stopIfTrue="1">
      <formula>NOT(ISBLANK($AJ$41))</formula>
    </cfRule>
  </conditionalFormatting>
  <conditionalFormatting sqref="AK41">
    <cfRule type="expression" dxfId="10971" priority="56070" stopIfTrue="1">
      <formula>NOT(ISBLANK($AK$41))</formula>
    </cfRule>
  </conditionalFormatting>
  <conditionalFormatting sqref="AL41">
    <cfRule type="expression" dxfId="10970" priority="56071" stopIfTrue="1">
      <formula>NOT(ISBLANK($AL$41))</formula>
    </cfRule>
  </conditionalFormatting>
  <conditionalFormatting sqref="AM41">
    <cfRule type="expression" dxfId="10969" priority="56072" stopIfTrue="1">
      <formula>NOT(ISBLANK($AM$41))</formula>
    </cfRule>
  </conditionalFormatting>
  <conditionalFormatting sqref="AN41">
    <cfRule type="expression" dxfId="10968" priority="56073" stopIfTrue="1">
      <formula>NOT(ISBLANK($AN$41))</formula>
    </cfRule>
  </conditionalFormatting>
  <conditionalFormatting sqref="AO41">
    <cfRule type="expression" dxfId="10967" priority="56074" stopIfTrue="1">
      <formula>NOT(ISBLANK($AO$41))</formula>
    </cfRule>
  </conditionalFormatting>
  <conditionalFormatting sqref="AP41">
    <cfRule type="expression" dxfId="10966" priority="56075" stopIfTrue="1">
      <formula>NOT(ISBLANK($AP$41))</formula>
    </cfRule>
  </conditionalFormatting>
  <conditionalFormatting sqref="AQ41">
    <cfRule type="expression" dxfId="10965" priority="56076" stopIfTrue="1">
      <formula>NOT(ISBLANK($AQ$41))</formula>
    </cfRule>
  </conditionalFormatting>
  <conditionalFormatting sqref="A42">
    <cfRule type="cellIs" dxfId="10964" priority="56077" stopIfTrue="1" operator="notEqual">
      <formula>3</formula>
    </cfRule>
  </conditionalFormatting>
  <conditionalFormatting sqref="B42">
    <cfRule type="cellIs" dxfId="10963" priority="56078" stopIfTrue="1" operator="notEqual">
      <formula>1</formula>
    </cfRule>
  </conditionalFormatting>
  <conditionalFormatting sqref="C42">
    <cfRule type="cellIs" dxfId="10962" priority="56079" stopIfTrue="1" operator="notEqual">
      <formula>2</formula>
    </cfRule>
  </conditionalFormatting>
  <conditionalFormatting sqref="D42">
    <cfRule type="cellIs" dxfId="10961" priority="56080" stopIfTrue="1" operator="notEqual">
      <formula>0.124</formula>
    </cfRule>
  </conditionalFormatting>
  <conditionalFormatting sqref="E42">
    <cfRule type="cellIs" dxfId="10960" priority="56081" stopIfTrue="1" operator="notEqual">
      <formula>"MGD"</formula>
    </cfRule>
  </conditionalFormatting>
  <conditionalFormatting sqref="F42">
    <cfRule type="cellIs" dxfId="10959" priority="56082" stopIfTrue="1" operator="notEqual">
      <formula>0.035</formula>
    </cfRule>
  </conditionalFormatting>
  <conditionalFormatting sqref="G42">
    <cfRule type="cellIs" dxfId="10958" priority="56083" stopIfTrue="1" operator="notEqual">
      <formula>"MGD"</formula>
    </cfRule>
  </conditionalFormatting>
  <conditionalFormatting sqref="H42">
    <cfRule type="cellIs" dxfId="10957" priority="56084" stopIfTrue="1" operator="notEqual">
      <formula>"throwaway (radioactive)"</formula>
    </cfRule>
  </conditionalFormatting>
  <conditionalFormatting sqref="I42">
    <cfRule type="cellIs" dxfId="10956" priority="56085" stopIfTrue="1" operator="notEqual">
      <formula>"carbon life value- months"</formula>
    </cfRule>
  </conditionalFormatting>
  <conditionalFormatting sqref="J42">
    <cfRule type="cellIs" dxfId="10955" priority="56086" stopIfTrue="1" operator="notEqual">
      <formula>24</formula>
    </cfRule>
  </conditionalFormatting>
  <conditionalFormatting sqref="K42">
    <cfRule type="expression" dxfId="10954" priority="56087" stopIfTrue="1">
      <formula>NOT(ISBLANK($K$42))</formula>
    </cfRule>
  </conditionalFormatting>
  <conditionalFormatting sqref="L42">
    <cfRule type="expression" dxfId="10953" priority="56088" stopIfTrue="1">
      <formula>NOT(ISBLANK($L$42))</formula>
    </cfRule>
  </conditionalFormatting>
  <conditionalFormatting sqref="M42">
    <cfRule type="expression" dxfId="10952" priority="56089" stopIfTrue="1">
      <formula>NOT(ISBLANK($M$42))</formula>
    </cfRule>
  </conditionalFormatting>
  <conditionalFormatting sqref="N42">
    <cfRule type="cellIs" dxfId="10951" priority="56090" stopIfTrue="1" operator="notEqual">
      <formula>"EBCT"</formula>
    </cfRule>
  </conditionalFormatting>
  <conditionalFormatting sqref="O42">
    <cfRule type="cellIs" dxfId="10950" priority="56091" stopIfTrue="1" operator="notEqual">
      <formula>30</formula>
    </cfRule>
  </conditionalFormatting>
  <conditionalFormatting sqref="P42">
    <cfRule type="expression" dxfId="10949" priority="56092" stopIfTrue="1">
      <formula>NOT(ISBLANK($P$42))</formula>
    </cfRule>
  </conditionalFormatting>
  <conditionalFormatting sqref="Q42">
    <cfRule type="expression" dxfId="10948" priority="56093" stopIfTrue="1">
      <formula>NOT(ISBLANK($Q$42))</formula>
    </cfRule>
  </conditionalFormatting>
  <conditionalFormatting sqref="R42">
    <cfRule type="cellIs" dxfId="10947" priority="56094" stopIfTrue="1" operator="notEqual">
      <formula>3</formula>
    </cfRule>
  </conditionalFormatting>
  <conditionalFormatting sqref="S42">
    <cfRule type="cellIs" dxfId="10946" priority="56095" stopIfTrue="1" operator="notEqual">
      <formula>5.9</formula>
    </cfRule>
  </conditionalFormatting>
  <conditionalFormatting sqref="T42">
    <cfRule type="cellIs" dxfId="10945" priority="56096" stopIfTrue="1" operator="notEqual">
      <formula>"upright"</formula>
    </cfRule>
  </conditionalFormatting>
  <conditionalFormatting sqref="U42">
    <cfRule type="cellIs" dxfId="10944" priority="56097" stopIfTrue="1" operator="notEqual">
      <formula>9.5</formula>
    </cfRule>
  </conditionalFormatting>
  <conditionalFormatting sqref="V42">
    <cfRule type="cellIs" dxfId="10943" priority="56098" stopIfTrue="1" operator="notEqual">
      <formula>5</formula>
    </cfRule>
  </conditionalFormatting>
  <conditionalFormatting sqref="W42">
    <cfRule type="expression" dxfId="10942" priority="56099" stopIfTrue="1">
      <formula>NOT(ISBLANK($W$42))</formula>
    </cfRule>
  </conditionalFormatting>
  <conditionalFormatting sqref="X42">
    <cfRule type="expression" dxfId="10941" priority="56100" stopIfTrue="1">
      <formula>NOT(ISBLANK($X$42))</formula>
    </cfRule>
  </conditionalFormatting>
  <conditionalFormatting sqref="Y42">
    <cfRule type="expression" dxfId="10940" priority="56101" stopIfTrue="1">
      <formula>NOT(ISBLANK($Y$42))</formula>
    </cfRule>
  </conditionalFormatting>
  <conditionalFormatting sqref="Z42">
    <cfRule type="cellIs" dxfId="10939" priority="56102" stopIfTrue="1" operator="notEqual">
      <formula>168</formula>
    </cfRule>
  </conditionalFormatting>
  <conditionalFormatting sqref="AA42">
    <cfRule type="cellIs" dxfId="10938" priority="56103" stopIfTrue="1" operator="notEqual">
      <formula>"POTW"</formula>
    </cfRule>
  </conditionalFormatting>
  <conditionalFormatting sqref="AB42">
    <cfRule type="cellIs" dxfId="10937" priority="56104" stopIfTrue="1" operator="notEqual">
      <formula>"Holding tank"</formula>
    </cfRule>
  </conditionalFormatting>
  <conditionalFormatting sqref="AC42">
    <cfRule type="cellIs" dxfId="10936" priority="56105" stopIfTrue="1" operator="notEqual">
      <formula>"manual transfer"</formula>
    </cfRule>
  </conditionalFormatting>
  <conditionalFormatting sqref="AD42">
    <cfRule type="cellIs" dxfId="10935" priority="56106" stopIfTrue="1" operator="notEqual">
      <formula>"non-hazardous"</formula>
    </cfRule>
  </conditionalFormatting>
  <conditionalFormatting sqref="AE42">
    <cfRule type="expression" dxfId="10934" priority="56107" stopIfTrue="1">
      <formula>NOT(ISBLANK($AE$42))</formula>
    </cfRule>
  </conditionalFormatting>
  <conditionalFormatting sqref="AF42">
    <cfRule type="cellIs" dxfId="10933" priority="56108" stopIfTrue="1" operator="notEqual">
      <formula>0</formula>
    </cfRule>
  </conditionalFormatting>
  <conditionalFormatting sqref="AG42">
    <cfRule type="expression" dxfId="10932" priority="56109" stopIfTrue="1">
      <formula>NOT(ISBLANK($AG$42))</formula>
    </cfRule>
  </conditionalFormatting>
  <conditionalFormatting sqref="AH42">
    <cfRule type="expression" dxfId="10931" priority="56110" stopIfTrue="1">
      <formula>NOT(ISBLANK($AH$42))</formula>
    </cfRule>
  </conditionalFormatting>
  <conditionalFormatting sqref="AI42">
    <cfRule type="expression" dxfId="10930" priority="56111" stopIfTrue="1">
      <formula>NOT(ISBLANK($AI$42))</formula>
    </cfRule>
  </conditionalFormatting>
  <conditionalFormatting sqref="AJ42">
    <cfRule type="expression" dxfId="10929" priority="56112" stopIfTrue="1">
      <formula>NOT(ISBLANK($AJ$42))</formula>
    </cfRule>
  </conditionalFormatting>
  <conditionalFormatting sqref="AK42">
    <cfRule type="expression" dxfId="10928" priority="56113" stopIfTrue="1">
      <formula>NOT(ISBLANK($AK$42))</formula>
    </cfRule>
  </conditionalFormatting>
  <conditionalFormatting sqref="AL42">
    <cfRule type="expression" dxfId="10927" priority="56114" stopIfTrue="1">
      <formula>NOT(ISBLANK($AL$42))</formula>
    </cfRule>
  </conditionalFormatting>
  <conditionalFormatting sqref="AM42">
    <cfRule type="expression" dxfId="10926" priority="56115" stopIfTrue="1">
      <formula>NOT(ISBLANK($AM$42))</formula>
    </cfRule>
  </conditionalFormatting>
  <conditionalFormatting sqref="AN42">
    <cfRule type="expression" dxfId="10925" priority="56116" stopIfTrue="1">
      <formula>NOT(ISBLANK($AN$42))</formula>
    </cfRule>
  </conditionalFormatting>
  <conditionalFormatting sqref="AO42">
    <cfRule type="expression" dxfId="10924" priority="56117" stopIfTrue="1">
      <formula>NOT(ISBLANK($AO$42))</formula>
    </cfRule>
  </conditionalFormatting>
  <conditionalFormatting sqref="AP42">
    <cfRule type="expression" dxfId="10923" priority="56118" stopIfTrue="1">
      <formula>NOT(ISBLANK($AP$42))</formula>
    </cfRule>
  </conditionalFormatting>
  <conditionalFormatting sqref="AQ42">
    <cfRule type="expression" dxfId="10922" priority="56119" stopIfTrue="1">
      <formula>NOT(ISBLANK($AQ$42))</formula>
    </cfRule>
  </conditionalFormatting>
  <conditionalFormatting sqref="A43">
    <cfRule type="cellIs" dxfId="10921" priority="56120" stopIfTrue="1" operator="notEqual">
      <formula>3</formula>
    </cfRule>
  </conditionalFormatting>
  <conditionalFormatting sqref="B43">
    <cfRule type="cellIs" dxfId="10920" priority="56121" stopIfTrue="1" operator="notEqual">
      <formula>1</formula>
    </cfRule>
  </conditionalFormatting>
  <conditionalFormatting sqref="C43">
    <cfRule type="cellIs" dxfId="10919" priority="56122" stopIfTrue="1" operator="notEqual">
      <formula>3</formula>
    </cfRule>
  </conditionalFormatting>
  <conditionalFormatting sqref="D43">
    <cfRule type="cellIs" dxfId="10918" priority="56123" stopIfTrue="1" operator="notEqual">
      <formula>0.305</formula>
    </cfRule>
  </conditionalFormatting>
  <conditionalFormatting sqref="E43">
    <cfRule type="cellIs" dxfId="10917" priority="56124" stopIfTrue="1" operator="notEqual">
      <formula>"MGD"</formula>
    </cfRule>
  </conditionalFormatting>
  <conditionalFormatting sqref="F43">
    <cfRule type="cellIs" dxfId="10916" priority="56125" stopIfTrue="1" operator="notEqual">
      <formula>0.094</formula>
    </cfRule>
  </conditionalFormatting>
  <conditionalFormatting sqref="G43">
    <cfRule type="cellIs" dxfId="10915" priority="56126" stopIfTrue="1" operator="notEqual">
      <formula>"MGD"</formula>
    </cfRule>
  </conditionalFormatting>
  <conditionalFormatting sqref="H43">
    <cfRule type="cellIs" dxfId="10914" priority="56127" stopIfTrue="1" operator="notEqual">
      <formula>"throwaway (radioactive)"</formula>
    </cfRule>
  </conditionalFormatting>
  <conditionalFormatting sqref="I43">
    <cfRule type="cellIs" dxfId="10913" priority="56128" stopIfTrue="1" operator="notEqual">
      <formula>"carbon life value- months"</formula>
    </cfRule>
  </conditionalFormatting>
  <conditionalFormatting sqref="J43">
    <cfRule type="cellIs" dxfId="10912" priority="56129" stopIfTrue="1" operator="notEqual">
      <formula>24</formula>
    </cfRule>
  </conditionalFormatting>
  <conditionalFormatting sqref="K43">
    <cfRule type="expression" dxfId="10911" priority="56130" stopIfTrue="1">
      <formula>NOT(ISBLANK($K$43))</formula>
    </cfRule>
  </conditionalFormatting>
  <conditionalFormatting sqref="L43">
    <cfRule type="expression" dxfId="10910" priority="56131" stopIfTrue="1">
      <formula>NOT(ISBLANK($L$43))</formula>
    </cfRule>
  </conditionalFormatting>
  <conditionalFormatting sqref="M43">
    <cfRule type="expression" dxfId="10909" priority="56132" stopIfTrue="1">
      <formula>NOT(ISBLANK($M$43))</formula>
    </cfRule>
  </conditionalFormatting>
  <conditionalFormatting sqref="N43">
    <cfRule type="cellIs" dxfId="10908" priority="56133" stopIfTrue="1" operator="notEqual">
      <formula>"EBCT"</formula>
    </cfRule>
  </conditionalFormatting>
  <conditionalFormatting sqref="O43">
    <cfRule type="cellIs" dxfId="10907" priority="56134" stopIfTrue="1" operator="notEqual">
      <formula>30</formula>
    </cfRule>
  </conditionalFormatting>
  <conditionalFormatting sqref="P43">
    <cfRule type="expression" dxfId="10906" priority="56135" stopIfTrue="1">
      <formula>NOT(ISBLANK($P$43))</formula>
    </cfRule>
  </conditionalFormatting>
  <conditionalFormatting sqref="Q43">
    <cfRule type="expression" dxfId="10905" priority="56136" stopIfTrue="1">
      <formula>NOT(ISBLANK($Q$43))</formula>
    </cfRule>
  </conditionalFormatting>
  <conditionalFormatting sqref="R43">
    <cfRule type="cellIs" dxfId="10904" priority="56137" stopIfTrue="1" operator="notEqual">
      <formula>3</formula>
    </cfRule>
  </conditionalFormatting>
  <conditionalFormatting sqref="S43">
    <cfRule type="cellIs" dxfId="10903" priority="56138" stopIfTrue="1" operator="notEqual">
      <formula>6.5</formula>
    </cfRule>
  </conditionalFormatting>
  <conditionalFormatting sqref="T43">
    <cfRule type="cellIs" dxfId="10902" priority="56139" stopIfTrue="1" operator="notEqual">
      <formula>"upright"</formula>
    </cfRule>
  </conditionalFormatting>
  <conditionalFormatting sqref="U43">
    <cfRule type="cellIs" dxfId="10901" priority="56140" stopIfTrue="1" operator="notEqual">
      <formula>10.5</formula>
    </cfRule>
  </conditionalFormatting>
  <conditionalFormatting sqref="V43">
    <cfRule type="cellIs" dxfId="10900" priority="56141" stopIfTrue="1" operator="notEqual">
      <formula>7.5</formula>
    </cfRule>
  </conditionalFormatting>
  <conditionalFormatting sqref="W43">
    <cfRule type="expression" dxfId="10899" priority="56142" stopIfTrue="1">
      <formula>NOT(ISBLANK($W$43))</formula>
    </cfRule>
  </conditionalFormatting>
  <conditionalFormatting sqref="X43">
    <cfRule type="expression" dxfId="10898" priority="56143" stopIfTrue="1">
      <formula>NOT(ISBLANK($X$43))</formula>
    </cfRule>
  </conditionalFormatting>
  <conditionalFormatting sqref="Y43">
    <cfRule type="expression" dxfId="10897" priority="56144" stopIfTrue="1">
      <formula>NOT(ISBLANK($Y$43))</formula>
    </cfRule>
  </conditionalFormatting>
  <conditionalFormatting sqref="Z43">
    <cfRule type="cellIs" dxfId="10896" priority="56145" stopIfTrue="1" operator="notEqual">
      <formula>168</formula>
    </cfRule>
  </conditionalFormatting>
  <conditionalFormatting sqref="AA43">
    <cfRule type="cellIs" dxfId="10895" priority="56146" stopIfTrue="1" operator="notEqual">
      <formula>"POTW"</formula>
    </cfRule>
  </conditionalFormatting>
  <conditionalFormatting sqref="AB43">
    <cfRule type="cellIs" dxfId="10894" priority="56147" stopIfTrue="1" operator="notEqual">
      <formula>"Holding tank"</formula>
    </cfRule>
  </conditionalFormatting>
  <conditionalFormatting sqref="AC43">
    <cfRule type="cellIs" dxfId="10893" priority="56148" stopIfTrue="1" operator="notEqual">
      <formula>"eductors"</formula>
    </cfRule>
  </conditionalFormatting>
  <conditionalFormatting sqref="AD43">
    <cfRule type="cellIs" dxfId="10892" priority="56149" stopIfTrue="1" operator="notEqual">
      <formula>"non-hazardous"</formula>
    </cfRule>
  </conditionalFormatting>
  <conditionalFormatting sqref="AE43">
    <cfRule type="expression" dxfId="10891" priority="56150" stopIfTrue="1">
      <formula>NOT(ISBLANK($AE$43))</formula>
    </cfRule>
  </conditionalFormatting>
  <conditionalFormatting sqref="AF43">
    <cfRule type="cellIs" dxfId="10890" priority="56151" stopIfTrue="1" operator="notEqual">
      <formula>0</formula>
    </cfRule>
  </conditionalFormatting>
  <conditionalFormatting sqref="AG43">
    <cfRule type="expression" dxfId="10889" priority="56152" stopIfTrue="1">
      <formula>NOT(ISBLANK($AG$43))</formula>
    </cfRule>
  </conditionalFormatting>
  <conditionalFormatting sqref="AH43">
    <cfRule type="expression" dxfId="10888" priority="56153" stopIfTrue="1">
      <formula>NOT(ISBLANK($AH$43))</formula>
    </cfRule>
  </conditionalFormatting>
  <conditionalFormatting sqref="AI43">
    <cfRule type="expression" dxfId="10887" priority="56154" stopIfTrue="1">
      <formula>NOT(ISBLANK($AI$43))</formula>
    </cfRule>
  </conditionalFormatting>
  <conditionalFormatting sqref="AJ43">
    <cfRule type="expression" dxfId="10886" priority="56155" stopIfTrue="1">
      <formula>NOT(ISBLANK($AJ$43))</formula>
    </cfRule>
  </conditionalFormatting>
  <conditionalFormatting sqref="AK43">
    <cfRule type="expression" dxfId="10885" priority="56156" stopIfTrue="1">
      <formula>NOT(ISBLANK($AK$43))</formula>
    </cfRule>
  </conditionalFormatting>
  <conditionalFormatting sqref="AL43">
    <cfRule type="expression" dxfId="10884" priority="56157" stopIfTrue="1">
      <formula>NOT(ISBLANK($AL$43))</formula>
    </cfRule>
  </conditionalFormatting>
  <conditionalFormatting sqref="AM43">
    <cfRule type="expression" dxfId="10883" priority="56158" stopIfTrue="1">
      <formula>NOT(ISBLANK($AM$43))</formula>
    </cfRule>
  </conditionalFormatting>
  <conditionalFormatting sqref="AN43">
    <cfRule type="expression" dxfId="10882" priority="56159" stopIfTrue="1">
      <formula>NOT(ISBLANK($AN$43))</formula>
    </cfRule>
  </conditionalFormatting>
  <conditionalFormatting sqref="AO43">
    <cfRule type="expression" dxfId="10881" priority="56160" stopIfTrue="1">
      <formula>NOT(ISBLANK($AO$43))</formula>
    </cfRule>
  </conditionalFormatting>
  <conditionalFormatting sqref="AP43">
    <cfRule type="expression" dxfId="10880" priority="56161" stopIfTrue="1">
      <formula>NOT(ISBLANK($AP$43))</formula>
    </cfRule>
  </conditionalFormatting>
  <conditionalFormatting sqref="AQ43">
    <cfRule type="expression" dxfId="10879" priority="56162" stopIfTrue="1">
      <formula>NOT(ISBLANK($AQ$43))</formula>
    </cfRule>
  </conditionalFormatting>
  <conditionalFormatting sqref="A44">
    <cfRule type="cellIs" dxfId="10878" priority="56163" stopIfTrue="1" operator="notEqual">
      <formula>3</formula>
    </cfRule>
  </conditionalFormatting>
  <conditionalFormatting sqref="B44">
    <cfRule type="cellIs" dxfId="10877" priority="56164" stopIfTrue="1" operator="notEqual">
      <formula>1</formula>
    </cfRule>
  </conditionalFormatting>
  <conditionalFormatting sqref="C44">
    <cfRule type="cellIs" dxfId="10876" priority="56165" stopIfTrue="1" operator="notEqual">
      <formula>4</formula>
    </cfRule>
  </conditionalFormatting>
  <conditionalFormatting sqref="D44">
    <cfRule type="cellIs" dxfId="10875" priority="56166" stopIfTrue="1" operator="notEqual">
      <formula>0.74</formula>
    </cfRule>
  </conditionalFormatting>
  <conditionalFormatting sqref="E44">
    <cfRule type="cellIs" dxfId="10874" priority="56167" stopIfTrue="1" operator="notEqual">
      <formula>"MGD"</formula>
    </cfRule>
  </conditionalFormatting>
  <conditionalFormatting sqref="F44">
    <cfRule type="cellIs" dxfId="10873" priority="56168" stopIfTrue="1" operator="notEqual">
      <formula>0.251</formula>
    </cfRule>
  </conditionalFormatting>
  <conditionalFormatting sqref="G44">
    <cfRule type="cellIs" dxfId="10872" priority="56169" stopIfTrue="1" operator="notEqual">
      <formula>"MGD"</formula>
    </cfRule>
  </conditionalFormatting>
  <conditionalFormatting sqref="H44">
    <cfRule type="cellIs" dxfId="10871" priority="56170" stopIfTrue="1" operator="notEqual">
      <formula>"throwaway (radioactive)"</formula>
    </cfRule>
  </conditionalFormatting>
  <conditionalFormatting sqref="I44">
    <cfRule type="cellIs" dxfId="10870" priority="56171" stopIfTrue="1" operator="notEqual">
      <formula>"carbon life value- months"</formula>
    </cfRule>
  </conditionalFormatting>
  <conditionalFormatting sqref="J44">
    <cfRule type="cellIs" dxfId="10869" priority="56172" stopIfTrue="1" operator="notEqual">
      <formula>24</formula>
    </cfRule>
  </conditionalFormatting>
  <conditionalFormatting sqref="K44">
    <cfRule type="expression" dxfId="10868" priority="56173" stopIfTrue="1">
      <formula>NOT(ISBLANK($K$44))</formula>
    </cfRule>
  </conditionalFormatting>
  <conditionalFormatting sqref="L44">
    <cfRule type="expression" dxfId="10867" priority="56174" stopIfTrue="1">
      <formula>NOT(ISBLANK($L$44))</formula>
    </cfRule>
  </conditionalFormatting>
  <conditionalFormatting sqref="M44">
    <cfRule type="expression" dxfId="10866" priority="56175" stopIfTrue="1">
      <formula>NOT(ISBLANK($M$44))</formula>
    </cfRule>
  </conditionalFormatting>
  <conditionalFormatting sqref="N44">
    <cfRule type="cellIs" dxfId="10865" priority="56176" stopIfTrue="1" operator="notEqual">
      <formula>"EBCT"</formula>
    </cfRule>
  </conditionalFormatting>
  <conditionalFormatting sqref="O44">
    <cfRule type="cellIs" dxfId="10864" priority="56177" stopIfTrue="1" operator="notEqual">
      <formula>30</formula>
    </cfRule>
  </conditionalFormatting>
  <conditionalFormatting sqref="P44">
    <cfRule type="expression" dxfId="10863" priority="56178" stopIfTrue="1">
      <formula>NOT(ISBLANK($P$44))</formula>
    </cfRule>
  </conditionalFormatting>
  <conditionalFormatting sqref="Q44">
    <cfRule type="expression" dxfId="10862" priority="56179" stopIfTrue="1">
      <formula>NOT(ISBLANK($Q$44))</formula>
    </cfRule>
  </conditionalFormatting>
  <conditionalFormatting sqref="R44">
    <cfRule type="cellIs" dxfId="10861" priority="56180" stopIfTrue="1" operator="notEqual">
      <formula>3</formula>
    </cfRule>
  </conditionalFormatting>
  <conditionalFormatting sqref="S44">
    <cfRule type="cellIs" dxfId="10860" priority="56181" stopIfTrue="1" operator="notEqual">
      <formula>6.7</formula>
    </cfRule>
  </conditionalFormatting>
  <conditionalFormatting sqref="T44">
    <cfRule type="cellIs" dxfId="10859" priority="56182" stopIfTrue="1" operator="notEqual">
      <formula>"upright"</formula>
    </cfRule>
  </conditionalFormatting>
  <conditionalFormatting sqref="U44">
    <cfRule type="cellIs" dxfId="10858" priority="56183" stopIfTrue="1" operator="notEqual">
      <formula>11</formula>
    </cfRule>
  </conditionalFormatting>
  <conditionalFormatting sqref="V44">
    <cfRule type="cellIs" dxfId="10857" priority="56184" stopIfTrue="1" operator="notEqual">
      <formula>11.5</formula>
    </cfRule>
  </conditionalFormatting>
  <conditionalFormatting sqref="W44">
    <cfRule type="expression" dxfId="10856" priority="56185" stopIfTrue="1">
      <formula>NOT(ISBLANK($W$44))</formula>
    </cfRule>
  </conditionalFormatting>
  <conditionalFormatting sqref="X44">
    <cfRule type="expression" dxfId="10855" priority="56186" stopIfTrue="1">
      <formula>NOT(ISBLANK($X$44))</formula>
    </cfRule>
  </conditionalFormatting>
  <conditionalFormatting sqref="Y44">
    <cfRule type="expression" dxfId="10854" priority="56187" stopIfTrue="1">
      <formula>NOT(ISBLANK($Y$44))</formula>
    </cfRule>
  </conditionalFormatting>
  <conditionalFormatting sqref="Z44">
    <cfRule type="cellIs" dxfId="10853" priority="56188" stopIfTrue="1" operator="notEqual">
      <formula>168</formula>
    </cfRule>
  </conditionalFormatting>
  <conditionalFormatting sqref="AA44">
    <cfRule type="cellIs" dxfId="10852" priority="56189" stopIfTrue="1" operator="notEqual">
      <formula>"POTW"</formula>
    </cfRule>
  </conditionalFormatting>
  <conditionalFormatting sqref="AB44">
    <cfRule type="cellIs" dxfId="10851" priority="56190" stopIfTrue="1" operator="notEqual">
      <formula>"Holding tank"</formula>
    </cfRule>
  </conditionalFormatting>
  <conditionalFormatting sqref="AC44">
    <cfRule type="cellIs" dxfId="10850" priority="56191" stopIfTrue="1" operator="notEqual">
      <formula>"eductors"</formula>
    </cfRule>
  </conditionalFormatting>
  <conditionalFormatting sqref="AD44">
    <cfRule type="cellIs" dxfId="10849" priority="56192" stopIfTrue="1" operator="notEqual">
      <formula>"non-hazardous"</formula>
    </cfRule>
  </conditionalFormatting>
  <conditionalFormatting sqref="AE44">
    <cfRule type="expression" dxfId="10848" priority="56193" stopIfTrue="1">
      <formula>NOT(ISBLANK($AE$44))</formula>
    </cfRule>
  </conditionalFormatting>
  <conditionalFormatting sqref="AF44">
    <cfRule type="cellIs" dxfId="10847" priority="56194" stopIfTrue="1" operator="notEqual">
      <formula>0</formula>
    </cfRule>
  </conditionalFormatting>
  <conditionalFormatting sqref="AG44">
    <cfRule type="expression" dxfId="10846" priority="56195" stopIfTrue="1">
      <formula>NOT(ISBLANK($AG$44))</formula>
    </cfRule>
  </conditionalFormatting>
  <conditionalFormatting sqref="AH44">
    <cfRule type="expression" dxfId="10845" priority="56196" stopIfTrue="1">
      <formula>NOT(ISBLANK($AH$44))</formula>
    </cfRule>
  </conditionalFormatting>
  <conditionalFormatting sqref="AI44">
    <cfRule type="expression" dxfId="10844" priority="56197" stopIfTrue="1">
      <formula>NOT(ISBLANK($AI$44))</formula>
    </cfRule>
  </conditionalFormatting>
  <conditionalFormatting sqref="AJ44">
    <cfRule type="expression" dxfId="10843" priority="56198" stopIfTrue="1">
      <formula>NOT(ISBLANK($AJ$44))</formula>
    </cfRule>
  </conditionalFormatting>
  <conditionalFormatting sqref="AK44">
    <cfRule type="expression" dxfId="10842" priority="56199" stopIfTrue="1">
      <formula>NOT(ISBLANK($AK$44))</formula>
    </cfRule>
  </conditionalFormatting>
  <conditionalFormatting sqref="AL44">
    <cfRule type="expression" dxfId="10841" priority="56200" stopIfTrue="1">
      <formula>NOT(ISBLANK($AL$44))</formula>
    </cfRule>
  </conditionalFormatting>
  <conditionalFormatting sqref="AM44">
    <cfRule type="expression" dxfId="10840" priority="56201" stopIfTrue="1">
      <formula>NOT(ISBLANK($AM$44))</formula>
    </cfRule>
  </conditionalFormatting>
  <conditionalFormatting sqref="AN44">
    <cfRule type="expression" dxfId="10839" priority="56202" stopIfTrue="1">
      <formula>NOT(ISBLANK($AN$44))</formula>
    </cfRule>
  </conditionalFormatting>
  <conditionalFormatting sqref="AO44">
    <cfRule type="expression" dxfId="10838" priority="56203" stopIfTrue="1">
      <formula>NOT(ISBLANK($AO$44))</formula>
    </cfRule>
  </conditionalFormatting>
  <conditionalFormatting sqref="AP44">
    <cfRule type="expression" dxfId="10837" priority="56204" stopIfTrue="1">
      <formula>NOT(ISBLANK($AP$44))</formula>
    </cfRule>
  </conditionalFormatting>
  <conditionalFormatting sqref="AQ44">
    <cfRule type="expression" dxfId="10836" priority="56205" stopIfTrue="1">
      <formula>NOT(ISBLANK($AQ$44))</formula>
    </cfRule>
  </conditionalFormatting>
  <conditionalFormatting sqref="A45">
    <cfRule type="cellIs" dxfId="10835" priority="56206" stopIfTrue="1" operator="notEqual">
      <formula>3</formula>
    </cfRule>
  </conditionalFormatting>
  <conditionalFormatting sqref="B45">
    <cfRule type="cellIs" dxfId="10834" priority="56207" stopIfTrue="1" operator="notEqual">
      <formula>1</formula>
    </cfRule>
  </conditionalFormatting>
  <conditionalFormatting sqref="C45">
    <cfRule type="cellIs" dxfId="10833" priority="56208" stopIfTrue="1" operator="notEqual">
      <formula>5</formula>
    </cfRule>
  </conditionalFormatting>
  <conditionalFormatting sqref="D45">
    <cfRule type="cellIs" dxfId="10832" priority="56209" stopIfTrue="1" operator="notEqual">
      <formula>2.152</formula>
    </cfRule>
  </conditionalFormatting>
  <conditionalFormatting sqref="E45">
    <cfRule type="cellIs" dxfId="10831" priority="56210" stopIfTrue="1" operator="notEqual">
      <formula>"MGD"</formula>
    </cfRule>
  </conditionalFormatting>
  <conditionalFormatting sqref="F45">
    <cfRule type="cellIs" dxfId="10830" priority="56211" stopIfTrue="1" operator="notEqual">
      <formula>0.819</formula>
    </cfRule>
  </conditionalFormatting>
  <conditionalFormatting sqref="G45">
    <cfRule type="cellIs" dxfId="10829" priority="56212" stopIfTrue="1" operator="notEqual">
      <formula>"MGD"</formula>
    </cfRule>
  </conditionalFormatting>
  <conditionalFormatting sqref="H45">
    <cfRule type="cellIs" dxfId="10828" priority="56213" stopIfTrue="1" operator="notEqual">
      <formula>"throwaway (radioactive)"</formula>
    </cfRule>
  </conditionalFormatting>
  <conditionalFormatting sqref="I45">
    <cfRule type="cellIs" dxfId="10827" priority="56214" stopIfTrue="1" operator="notEqual">
      <formula>"carbon life value- months"</formula>
    </cfRule>
  </conditionalFormatting>
  <conditionalFormatting sqref="J45">
    <cfRule type="cellIs" dxfId="10826" priority="56215" stopIfTrue="1" operator="notEqual">
      <formula>24</formula>
    </cfRule>
  </conditionalFormatting>
  <conditionalFormatting sqref="K45">
    <cfRule type="expression" dxfId="10825" priority="56216" stopIfTrue="1">
      <formula>NOT(ISBLANK($K$45))</formula>
    </cfRule>
  </conditionalFormatting>
  <conditionalFormatting sqref="L45">
    <cfRule type="expression" dxfId="10824" priority="56217" stopIfTrue="1">
      <formula>NOT(ISBLANK($L$45))</formula>
    </cfRule>
  </conditionalFormatting>
  <conditionalFormatting sqref="M45">
    <cfRule type="expression" dxfId="10823" priority="56218" stopIfTrue="1">
      <formula>NOT(ISBLANK($M$45))</formula>
    </cfRule>
  </conditionalFormatting>
  <conditionalFormatting sqref="N45">
    <cfRule type="cellIs" dxfId="10822" priority="56219" stopIfTrue="1" operator="notEqual">
      <formula>"EBCT"</formula>
    </cfRule>
  </conditionalFormatting>
  <conditionalFormatting sqref="O45">
    <cfRule type="cellIs" dxfId="10821" priority="56220" stopIfTrue="1" operator="notEqual">
      <formula>30</formula>
    </cfRule>
  </conditionalFormatting>
  <conditionalFormatting sqref="P45">
    <cfRule type="expression" dxfId="10820" priority="56221" stopIfTrue="1">
      <formula>NOT(ISBLANK($P$45))</formula>
    </cfRule>
  </conditionalFormatting>
  <conditionalFormatting sqref="Q45">
    <cfRule type="expression" dxfId="10819" priority="56222" stopIfTrue="1">
      <formula>NOT(ISBLANK($Q$45))</formula>
    </cfRule>
  </conditionalFormatting>
  <conditionalFormatting sqref="R45">
    <cfRule type="cellIs" dxfId="10818" priority="56223" stopIfTrue="1" operator="notEqual">
      <formula>3</formula>
    </cfRule>
  </conditionalFormatting>
  <conditionalFormatting sqref="S45">
    <cfRule type="cellIs" dxfId="10817" priority="56224" stopIfTrue="1" operator="notEqual">
      <formula>7</formula>
    </cfRule>
  </conditionalFormatting>
  <conditionalFormatting sqref="T45">
    <cfRule type="cellIs" dxfId="10816" priority="56225" stopIfTrue="1" operator="notEqual">
      <formula>"upright"</formula>
    </cfRule>
  </conditionalFormatting>
  <conditionalFormatting sqref="U45">
    <cfRule type="cellIs" dxfId="10815" priority="56226" stopIfTrue="1" operator="notEqual">
      <formula>11</formula>
    </cfRule>
  </conditionalFormatting>
  <conditionalFormatting sqref="V45">
    <cfRule type="cellIs" dxfId="10814" priority="56227" stopIfTrue="1" operator="notEqual">
      <formula>13.5</formula>
    </cfRule>
  </conditionalFormatting>
  <conditionalFormatting sqref="W45">
    <cfRule type="expression" dxfId="10813" priority="56228" stopIfTrue="1">
      <formula>NOT(ISBLANK($W$45))</formula>
    </cfRule>
  </conditionalFormatting>
  <conditionalFormatting sqref="X45">
    <cfRule type="expression" dxfId="10812" priority="56229" stopIfTrue="1">
      <formula>NOT(ISBLANK($X$45))</formula>
    </cfRule>
  </conditionalFormatting>
  <conditionalFormatting sqref="Y45">
    <cfRule type="expression" dxfId="10811" priority="56230" stopIfTrue="1">
      <formula>NOT(ISBLANK($Y$45))</formula>
    </cfRule>
  </conditionalFormatting>
  <conditionalFormatting sqref="Z45">
    <cfRule type="cellIs" dxfId="10810" priority="56231" stopIfTrue="1" operator="notEqual">
      <formula>168</formula>
    </cfRule>
  </conditionalFormatting>
  <conditionalFormatting sqref="AA45">
    <cfRule type="cellIs" dxfId="10809" priority="56232" stopIfTrue="1" operator="notEqual">
      <formula>"POTW"</formula>
    </cfRule>
  </conditionalFormatting>
  <conditionalFormatting sqref="AB45">
    <cfRule type="cellIs" dxfId="10808" priority="56233" stopIfTrue="1" operator="notEqual">
      <formula>"Holding tank"</formula>
    </cfRule>
  </conditionalFormatting>
  <conditionalFormatting sqref="AC45">
    <cfRule type="cellIs" dxfId="10807" priority="56234" stopIfTrue="1" operator="notEqual">
      <formula>"eductors"</formula>
    </cfRule>
  </conditionalFormatting>
  <conditionalFormatting sqref="AD45">
    <cfRule type="cellIs" dxfId="10806" priority="56235" stopIfTrue="1" operator="notEqual">
      <formula>"non-hazardous"</formula>
    </cfRule>
  </conditionalFormatting>
  <conditionalFormatting sqref="AE45">
    <cfRule type="expression" dxfId="10805" priority="56236" stopIfTrue="1">
      <formula>NOT(ISBLANK($AE$45))</formula>
    </cfRule>
  </conditionalFormatting>
  <conditionalFormatting sqref="AF45">
    <cfRule type="cellIs" dxfId="10804" priority="56237" stopIfTrue="1" operator="notEqual">
      <formula>0</formula>
    </cfRule>
  </conditionalFormatting>
  <conditionalFormatting sqref="AG45">
    <cfRule type="expression" dxfId="10803" priority="56238" stopIfTrue="1">
      <formula>NOT(ISBLANK($AG$45))</formula>
    </cfRule>
  </conditionalFormatting>
  <conditionalFormatting sqref="AH45">
    <cfRule type="expression" dxfId="10802" priority="56239" stopIfTrue="1">
      <formula>NOT(ISBLANK($AH$45))</formula>
    </cfRule>
  </conditionalFormatting>
  <conditionalFormatting sqref="AI45">
    <cfRule type="expression" dxfId="10801" priority="56240" stopIfTrue="1">
      <formula>NOT(ISBLANK($AI$45))</formula>
    </cfRule>
  </conditionalFormatting>
  <conditionalFormatting sqref="AJ45">
    <cfRule type="expression" dxfId="10800" priority="56241" stopIfTrue="1">
      <formula>NOT(ISBLANK($AJ$45))</formula>
    </cfRule>
  </conditionalFormatting>
  <conditionalFormatting sqref="AK45">
    <cfRule type="expression" dxfId="10799" priority="56242" stopIfTrue="1">
      <formula>NOT(ISBLANK($AK$45))</formula>
    </cfRule>
  </conditionalFormatting>
  <conditionalFormatting sqref="AL45">
    <cfRule type="expression" dxfId="10798" priority="56243" stopIfTrue="1">
      <formula>NOT(ISBLANK($AL$45))</formula>
    </cfRule>
  </conditionalFormatting>
  <conditionalFormatting sqref="AM45">
    <cfRule type="expression" dxfId="10797" priority="56244" stopIfTrue="1">
      <formula>NOT(ISBLANK($AM$45))</formula>
    </cfRule>
  </conditionalFormatting>
  <conditionalFormatting sqref="AN45">
    <cfRule type="expression" dxfId="10796" priority="56245" stopIfTrue="1">
      <formula>NOT(ISBLANK($AN$45))</formula>
    </cfRule>
  </conditionalFormatting>
  <conditionalFormatting sqref="AO45">
    <cfRule type="expression" dxfId="10795" priority="56246" stopIfTrue="1">
      <formula>NOT(ISBLANK($AO$45))</formula>
    </cfRule>
  </conditionalFormatting>
  <conditionalFormatting sqref="AP45">
    <cfRule type="expression" dxfId="10794" priority="56247" stopIfTrue="1">
      <formula>NOT(ISBLANK($AP$45))</formula>
    </cfRule>
  </conditionalFormatting>
  <conditionalFormatting sqref="AQ45">
    <cfRule type="expression" dxfId="10793" priority="56248" stopIfTrue="1">
      <formula>NOT(ISBLANK($AQ$45))</formula>
    </cfRule>
  </conditionalFormatting>
  <conditionalFormatting sqref="A46">
    <cfRule type="cellIs" dxfId="10792" priority="56249" stopIfTrue="1" operator="notEqual">
      <formula>3</formula>
    </cfRule>
  </conditionalFormatting>
  <conditionalFormatting sqref="B46">
    <cfRule type="cellIs" dxfId="10791" priority="56250" stopIfTrue="1" operator="notEqual">
      <formula>1</formula>
    </cfRule>
  </conditionalFormatting>
  <conditionalFormatting sqref="C46">
    <cfRule type="cellIs" dxfId="10790" priority="56251" stopIfTrue="1" operator="notEqual">
      <formula>6</formula>
    </cfRule>
  </conditionalFormatting>
  <conditionalFormatting sqref="D46">
    <cfRule type="cellIs" dxfId="10789" priority="56252" stopIfTrue="1" operator="notEqual">
      <formula>7.365</formula>
    </cfRule>
  </conditionalFormatting>
  <conditionalFormatting sqref="E46">
    <cfRule type="cellIs" dxfId="10788" priority="56253" stopIfTrue="1" operator="notEqual">
      <formula>"MGD"</formula>
    </cfRule>
  </conditionalFormatting>
  <conditionalFormatting sqref="F46">
    <cfRule type="cellIs" dxfId="10787" priority="56254" stopIfTrue="1" operator="notEqual">
      <formula>3.2</formula>
    </cfRule>
  </conditionalFormatting>
  <conditionalFormatting sqref="G46">
    <cfRule type="cellIs" dxfId="10786" priority="56255" stopIfTrue="1" operator="notEqual">
      <formula>"MGD"</formula>
    </cfRule>
  </conditionalFormatting>
  <conditionalFormatting sqref="H46">
    <cfRule type="cellIs" dxfId="10785" priority="56256" stopIfTrue="1" operator="notEqual">
      <formula>"throwaway (radioactive)"</formula>
    </cfRule>
  </conditionalFormatting>
  <conditionalFormatting sqref="I46">
    <cfRule type="cellIs" dxfId="10784" priority="56257" stopIfTrue="1" operator="notEqual">
      <formula>"carbon life value- months"</formula>
    </cfRule>
  </conditionalFormatting>
  <conditionalFormatting sqref="J46">
    <cfRule type="cellIs" dxfId="10783" priority="56258" stopIfTrue="1" operator="notEqual">
      <formula>24</formula>
    </cfRule>
  </conditionalFormatting>
  <conditionalFormatting sqref="K46">
    <cfRule type="expression" dxfId="10782" priority="56259" stopIfTrue="1">
      <formula>NOT(ISBLANK($K$46))</formula>
    </cfRule>
  </conditionalFormatting>
  <conditionalFormatting sqref="L46">
    <cfRule type="expression" dxfId="10781" priority="56260" stopIfTrue="1">
      <formula>NOT(ISBLANK($L$46))</formula>
    </cfRule>
  </conditionalFormatting>
  <conditionalFormatting sqref="M46">
    <cfRule type="expression" dxfId="10780" priority="56261" stopIfTrue="1">
      <formula>NOT(ISBLANK($M$46))</formula>
    </cfRule>
  </conditionalFormatting>
  <conditionalFormatting sqref="N46">
    <cfRule type="cellIs" dxfId="10779" priority="56262" stopIfTrue="1" operator="notEqual">
      <formula>"EBCT"</formula>
    </cfRule>
  </conditionalFormatting>
  <conditionalFormatting sqref="O46">
    <cfRule type="cellIs" dxfId="10778" priority="56263" stopIfTrue="1" operator="notEqual">
      <formula>30</formula>
    </cfRule>
  </conditionalFormatting>
  <conditionalFormatting sqref="P46">
    <cfRule type="expression" dxfId="10777" priority="56264" stopIfTrue="1">
      <formula>NOT(ISBLANK($P$46))</formula>
    </cfRule>
  </conditionalFormatting>
  <conditionalFormatting sqref="Q46">
    <cfRule type="expression" dxfId="10776" priority="56265" stopIfTrue="1">
      <formula>NOT(ISBLANK($Q$46))</formula>
    </cfRule>
  </conditionalFormatting>
  <conditionalFormatting sqref="R46">
    <cfRule type="cellIs" dxfId="10775" priority="56266" stopIfTrue="1" operator="notEqual">
      <formula>3</formula>
    </cfRule>
  </conditionalFormatting>
  <conditionalFormatting sqref="S46">
    <cfRule type="cellIs" dxfId="10774" priority="56267" stopIfTrue="1" operator="notEqual">
      <formula>7</formula>
    </cfRule>
  </conditionalFormatting>
  <conditionalFormatting sqref="T46">
    <cfRule type="cellIs" dxfId="10773" priority="56268" stopIfTrue="1" operator="notEqual">
      <formula>"upright"</formula>
    </cfRule>
  </conditionalFormatting>
  <conditionalFormatting sqref="U46">
    <cfRule type="cellIs" dxfId="10772" priority="56269" stopIfTrue="1" operator="notEqual">
      <formula>11</formula>
    </cfRule>
  </conditionalFormatting>
  <conditionalFormatting sqref="V46">
    <cfRule type="cellIs" dxfId="10771" priority="56270" stopIfTrue="1" operator="notEqual">
      <formula>12.5</formula>
    </cfRule>
  </conditionalFormatting>
  <conditionalFormatting sqref="W46">
    <cfRule type="expression" dxfId="10770" priority="56271" stopIfTrue="1">
      <formula>NOT(ISBLANK($W$46))</formula>
    </cfRule>
  </conditionalFormatting>
  <conditionalFormatting sqref="X46">
    <cfRule type="expression" dxfId="10769" priority="56272" stopIfTrue="1">
      <formula>NOT(ISBLANK($X$46))</formula>
    </cfRule>
  </conditionalFormatting>
  <conditionalFormatting sqref="Y46">
    <cfRule type="expression" dxfId="10768" priority="56273" stopIfTrue="1">
      <formula>NOT(ISBLANK($Y$46))</formula>
    </cfRule>
  </conditionalFormatting>
  <conditionalFormatting sqref="Z46">
    <cfRule type="cellIs" dxfId="10767" priority="56274" stopIfTrue="1" operator="notEqual">
      <formula>168</formula>
    </cfRule>
  </conditionalFormatting>
  <conditionalFormatting sqref="AA46">
    <cfRule type="cellIs" dxfId="10766" priority="56275" stopIfTrue="1" operator="notEqual">
      <formula>"POTW"</formula>
    </cfRule>
  </conditionalFormatting>
  <conditionalFormatting sqref="AB46">
    <cfRule type="cellIs" dxfId="10765" priority="56276" stopIfTrue="1" operator="notEqual">
      <formula>"Holding tank"</formula>
    </cfRule>
  </conditionalFormatting>
  <conditionalFormatting sqref="AC46">
    <cfRule type="cellIs" dxfId="10764" priority="56277" stopIfTrue="1" operator="notEqual">
      <formula>"eductors"</formula>
    </cfRule>
  </conditionalFormatting>
  <conditionalFormatting sqref="AD46">
    <cfRule type="cellIs" dxfId="10763" priority="56278" stopIfTrue="1" operator="notEqual">
      <formula>"non-hazardous"</formula>
    </cfRule>
  </conditionalFormatting>
  <conditionalFormatting sqref="AE46">
    <cfRule type="expression" dxfId="10762" priority="56279" stopIfTrue="1">
      <formula>NOT(ISBLANK($AE$46))</formula>
    </cfRule>
  </conditionalFormatting>
  <conditionalFormatting sqref="AF46">
    <cfRule type="cellIs" dxfId="10761" priority="56280" stopIfTrue="1" operator="notEqual">
      <formula>0</formula>
    </cfRule>
  </conditionalFormatting>
  <conditionalFormatting sqref="AG46">
    <cfRule type="expression" dxfId="10760" priority="56281" stopIfTrue="1">
      <formula>NOT(ISBLANK($AG$46))</formula>
    </cfRule>
  </conditionalFormatting>
  <conditionalFormatting sqref="AH46">
    <cfRule type="expression" dxfId="10759" priority="56282" stopIfTrue="1">
      <formula>NOT(ISBLANK($AH$46))</formula>
    </cfRule>
  </conditionalFormatting>
  <conditionalFormatting sqref="AI46">
    <cfRule type="expression" dxfId="10758" priority="56283" stopIfTrue="1">
      <formula>NOT(ISBLANK($AI$46))</formula>
    </cfRule>
  </conditionalFormatting>
  <conditionalFormatting sqref="AJ46">
    <cfRule type="expression" dxfId="10757" priority="56284" stopIfTrue="1">
      <formula>NOT(ISBLANK($AJ$46))</formula>
    </cfRule>
  </conditionalFormatting>
  <conditionalFormatting sqref="AK46">
    <cfRule type="expression" dxfId="10756" priority="56285" stopIfTrue="1">
      <formula>NOT(ISBLANK($AK$46))</formula>
    </cfRule>
  </conditionalFormatting>
  <conditionalFormatting sqref="AL46">
    <cfRule type="expression" dxfId="10755" priority="56286" stopIfTrue="1">
      <formula>NOT(ISBLANK($AL$46))</formula>
    </cfRule>
  </conditionalFormatting>
  <conditionalFormatting sqref="AM46">
    <cfRule type="expression" dxfId="10754" priority="56287" stopIfTrue="1">
      <formula>NOT(ISBLANK($AM$46))</formula>
    </cfRule>
  </conditionalFormatting>
  <conditionalFormatting sqref="AN46">
    <cfRule type="expression" dxfId="10753" priority="56288" stopIfTrue="1">
      <formula>NOT(ISBLANK($AN$46))</formula>
    </cfRule>
  </conditionalFormatting>
  <conditionalFormatting sqref="AO46">
    <cfRule type="expression" dxfId="10752" priority="56289" stopIfTrue="1">
      <formula>NOT(ISBLANK($AO$46))</formula>
    </cfRule>
  </conditionalFormatting>
  <conditionalFormatting sqref="AP46">
    <cfRule type="expression" dxfId="10751" priority="56290" stopIfTrue="1">
      <formula>NOT(ISBLANK($AP$46))</formula>
    </cfRule>
  </conditionalFormatting>
  <conditionalFormatting sqref="AQ46">
    <cfRule type="expression" dxfId="10750" priority="56291" stopIfTrue="1">
      <formula>NOT(ISBLANK($AQ$46))</formula>
    </cfRule>
  </conditionalFormatting>
  <conditionalFormatting sqref="A47">
    <cfRule type="cellIs" dxfId="10749" priority="56292" stopIfTrue="1" operator="notEqual">
      <formula>3</formula>
    </cfRule>
  </conditionalFormatting>
  <conditionalFormatting sqref="B47">
    <cfRule type="cellIs" dxfId="10748" priority="56293" stopIfTrue="1" operator="notEqual">
      <formula>1</formula>
    </cfRule>
  </conditionalFormatting>
  <conditionalFormatting sqref="C47">
    <cfRule type="cellIs" dxfId="10747" priority="56294" stopIfTrue="1" operator="notEqual">
      <formula>7</formula>
    </cfRule>
  </conditionalFormatting>
  <conditionalFormatting sqref="D47">
    <cfRule type="cellIs" dxfId="10746" priority="56295" stopIfTrue="1" operator="notEqual">
      <formula>22.614</formula>
    </cfRule>
  </conditionalFormatting>
  <conditionalFormatting sqref="E47">
    <cfRule type="cellIs" dxfId="10745" priority="56296" stopIfTrue="1" operator="notEqual">
      <formula>"MGD"</formula>
    </cfRule>
  </conditionalFormatting>
  <conditionalFormatting sqref="F47">
    <cfRule type="cellIs" dxfId="10744" priority="56297" stopIfTrue="1" operator="notEqual">
      <formula>11.066</formula>
    </cfRule>
  </conditionalFormatting>
  <conditionalFormatting sqref="G47">
    <cfRule type="cellIs" dxfId="10743" priority="56298" stopIfTrue="1" operator="notEqual">
      <formula>"MGD"</formula>
    </cfRule>
  </conditionalFormatting>
  <conditionalFormatting sqref="H47">
    <cfRule type="cellIs" dxfId="10742" priority="56299" stopIfTrue="1" operator="notEqual">
      <formula>"throwaway (radioactive)"</formula>
    </cfRule>
  </conditionalFormatting>
  <conditionalFormatting sqref="I47">
    <cfRule type="cellIs" dxfId="10741" priority="56300" stopIfTrue="1" operator="notEqual">
      <formula>"carbon life value- months"</formula>
    </cfRule>
  </conditionalFormatting>
  <conditionalFormatting sqref="J47">
    <cfRule type="cellIs" dxfId="10740" priority="56301" stopIfTrue="1" operator="notEqual">
      <formula>24</formula>
    </cfRule>
  </conditionalFormatting>
  <conditionalFormatting sqref="K47">
    <cfRule type="expression" dxfId="10739" priority="56302" stopIfTrue="1">
      <formula>NOT(ISBLANK($K$47))</formula>
    </cfRule>
  </conditionalFormatting>
  <conditionalFormatting sqref="L47">
    <cfRule type="expression" dxfId="10738" priority="56303" stopIfTrue="1">
      <formula>NOT(ISBLANK($L$47))</formula>
    </cfRule>
  </conditionalFormatting>
  <conditionalFormatting sqref="M47">
    <cfRule type="expression" dxfId="10737" priority="56304" stopIfTrue="1">
      <formula>NOT(ISBLANK($M$47))</formula>
    </cfRule>
  </conditionalFormatting>
  <conditionalFormatting sqref="N47">
    <cfRule type="cellIs" dxfId="10736" priority="56305" stopIfTrue="1" operator="notEqual">
      <formula>"EBCT"</formula>
    </cfRule>
  </conditionalFormatting>
  <conditionalFormatting sqref="O47">
    <cfRule type="cellIs" dxfId="10735" priority="56306" stopIfTrue="1" operator="notEqual">
      <formula>30</formula>
    </cfRule>
  </conditionalFormatting>
  <conditionalFormatting sqref="P47">
    <cfRule type="expression" dxfId="10734" priority="56307" stopIfTrue="1">
      <formula>NOT(ISBLANK($P$47))</formula>
    </cfRule>
  </conditionalFormatting>
  <conditionalFormatting sqref="Q47">
    <cfRule type="expression" dxfId="10733" priority="56308" stopIfTrue="1">
      <formula>NOT(ISBLANK($Q$47))</formula>
    </cfRule>
  </conditionalFormatting>
  <conditionalFormatting sqref="R47">
    <cfRule type="cellIs" dxfId="10732" priority="56309" stopIfTrue="1" operator="notEqual">
      <formula>3</formula>
    </cfRule>
  </conditionalFormatting>
  <conditionalFormatting sqref="S47">
    <cfRule type="cellIs" dxfId="10731" priority="56310" stopIfTrue="1" operator="notEqual">
      <formula>6.9</formula>
    </cfRule>
  </conditionalFormatting>
  <conditionalFormatting sqref="T47">
    <cfRule type="cellIs" dxfId="10730" priority="56311" stopIfTrue="1" operator="notEqual">
      <formula>"horizontal"</formula>
    </cfRule>
  </conditionalFormatting>
  <conditionalFormatting sqref="U47">
    <cfRule type="cellIs" dxfId="10729" priority="56312" stopIfTrue="1" operator="notEqual">
      <formula>20</formula>
    </cfRule>
  </conditionalFormatting>
  <conditionalFormatting sqref="V47">
    <cfRule type="cellIs" dxfId="10728" priority="56313" stopIfTrue="1" operator="notEqual">
      <formula>14</formula>
    </cfRule>
  </conditionalFormatting>
  <conditionalFormatting sqref="W47">
    <cfRule type="expression" dxfId="10727" priority="56314" stopIfTrue="1">
      <formula>NOT(ISBLANK($W$47))</formula>
    </cfRule>
  </conditionalFormatting>
  <conditionalFormatting sqref="X47">
    <cfRule type="expression" dxfId="10726" priority="56315" stopIfTrue="1">
      <formula>NOT(ISBLANK($X$47))</formula>
    </cfRule>
  </conditionalFormatting>
  <conditionalFormatting sqref="Y47">
    <cfRule type="expression" dxfId="10725" priority="56316" stopIfTrue="1">
      <formula>NOT(ISBLANK($Y$47))</formula>
    </cfRule>
  </conditionalFormatting>
  <conditionalFormatting sqref="Z47">
    <cfRule type="cellIs" dxfId="10724" priority="56317" stopIfTrue="1" operator="notEqual">
      <formula>168</formula>
    </cfRule>
  </conditionalFormatting>
  <conditionalFormatting sqref="AA47">
    <cfRule type="cellIs" dxfId="10723" priority="56318" stopIfTrue="1" operator="notEqual">
      <formula>"POTW"</formula>
    </cfRule>
  </conditionalFormatting>
  <conditionalFormatting sqref="AB47">
    <cfRule type="cellIs" dxfId="10722" priority="56319" stopIfTrue="1" operator="notEqual">
      <formula>"Holding tank"</formula>
    </cfRule>
  </conditionalFormatting>
  <conditionalFormatting sqref="AC47">
    <cfRule type="cellIs" dxfId="10721" priority="56320" stopIfTrue="1" operator="notEqual">
      <formula>"eductors"</formula>
    </cfRule>
  </conditionalFormatting>
  <conditionalFormatting sqref="AD47">
    <cfRule type="cellIs" dxfId="10720" priority="56321" stopIfTrue="1" operator="notEqual">
      <formula>"non-hazardous"</formula>
    </cfRule>
  </conditionalFormatting>
  <conditionalFormatting sqref="AE47">
    <cfRule type="expression" dxfId="10719" priority="56322" stopIfTrue="1">
      <formula>NOT(ISBLANK($AE$47))</formula>
    </cfRule>
  </conditionalFormatting>
  <conditionalFormatting sqref="AF47">
    <cfRule type="cellIs" dxfId="10718" priority="56323" stopIfTrue="1" operator="notEqual">
      <formula>0</formula>
    </cfRule>
  </conditionalFormatting>
  <conditionalFormatting sqref="AG47">
    <cfRule type="expression" dxfId="10717" priority="56324" stopIfTrue="1">
      <formula>NOT(ISBLANK($AG$47))</formula>
    </cfRule>
  </conditionalFormatting>
  <conditionalFormatting sqref="AH47">
    <cfRule type="expression" dxfId="10716" priority="56325" stopIfTrue="1">
      <formula>NOT(ISBLANK($AH$47))</formula>
    </cfRule>
  </conditionalFormatting>
  <conditionalFormatting sqref="AI47">
    <cfRule type="expression" dxfId="10715" priority="56326" stopIfTrue="1">
      <formula>NOT(ISBLANK($AI$47))</formula>
    </cfRule>
  </conditionalFormatting>
  <conditionalFormatting sqref="AJ47">
    <cfRule type="expression" dxfId="10714" priority="56327" stopIfTrue="1">
      <formula>NOT(ISBLANK($AJ$47))</formula>
    </cfRule>
  </conditionalFormatting>
  <conditionalFormatting sqref="AK47">
    <cfRule type="expression" dxfId="10713" priority="56328" stopIfTrue="1">
      <formula>NOT(ISBLANK($AK$47))</formula>
    </cfRule>
  </conditionalFormatting>
  <conditionalFormatting sqref="AL47">
    <cfRule type="expression" dxfId="10712" priority="56329" stopIfTrue="1">
      <formula>NOT(ISBLANK($AL$47))</formula>
    </cfRule>
  </conditionalFormatting>
  <conditionalFormatting sqref="AM47">
    <cfRule type="expression" dxfId="10711" priority="56330" stopIfTrue="1">
      <formula>NOT(ISBLANK($AM$47))</formula>
    </cfRule>
  </conditionalFormatting>
  <conditionalFormatting sqref="AN47">
    <cfRule type="expression" dxfId="10710" priority="56331" stopIfTrue="1">
      <formula>NOT(ISBLANK($AN$47))</formula>
    </cfRule>
  </conditionalFormatting>
  <conditionalFormatting sqref="AO47">
    <cfRule type="expression" dxfId="10709" priority="56332" stopIfTrue="1">
      <formula>NOT(ISBLANK($AO$47))</formula>
    </cfRule>
  </conditionalFormatting>
  <conditionalFormatting sqref="AP47">
    <cfRule type="expression" dxfId="10708" priority="56333" stopIfTrue="1">
      <formula>NOT(ISBLANK($AP$47))</formula>
    </cfRule>
  </conditionalFormatting>
  <conditionalFormatting sqref="AQ47">
    <cfRule type="expression" dxfId="10707" priority="56334" stopIfTrue="1">
      <formula>NOT(ISBLANK($AQ$47))</formula>
    </cfRule>
  </conditionalFormatting>
  <conditionalFormatting sqref="A48">
    <cfRule type="cellIs" dxfId="10706" priority="56335" stopIfTrue="1" operator="notEqual">
      <formula>3</formula>
    </cfRule>
  </conditionalFormatting>
  <conditionalFormatting sqref="B48">
    <cfRule type="cellIs" dxfId="10705" priority="56336" stopIfTrue="1" operator="notEqual">
      <formula>1</formula>
    </cfRule>
  </conditionalFormatting>
  <conditionalFormatting sqref="C48">
    <cfRule type="cellIs" dxfId="10704" priority="56337" stopIfTrue="1" operator="notEqual">
      <formula>8</formula>
    </cfRule>
  </conditionalFormatting>
  <conditionalFormatting sqref="D48">
    <cfRule type="cellIs" dxfId="10703" priority="56338" stopIfTrue="1" operator="notEqual">
      <formula>75.072</formula>
    </cfRule>
  </conditionalFormatting>
  <conditionalFormatting sqref="E48">
    <cfRule type="cellIs" dxfId="10702" priority="56339" stopIfTrue="1" operator="notEqual">
      <formula>"MGD"</formula>
    </cfRule>
  </conditionalFormatting>
  <conditionalFormatting sqref="F48">
    <cfRule type="cellIs" dxfId="10701" priority="56340" stopIfTrue="1" operator="notEqual">
      <formula>37.536</formula>
    </cfRule>
  </conditionalFormatting>
  <conditionalFormatting sqref="G48">
    <cfRule type="cellIs" dxfId="10700" priority="56341" stopIfTrue="1" operator="notEqual">
      <formula>"MGD"</formula>
    </cfRule>
  </conditionalFormatting>
  <conditionalFormatting sqref="H48">
    <cfRule type="cellIs" dxfId="10699" priority="56342" stopIfTrue="1" operator="notEqual">
      <formula>"throwaway (radioactive)"</formula>
    </cfRule>
  </conditionalFormatting>
  <conditionalFormatting sqref="I48">
    <cfRule type="cellIs" dxfId="10698" priority="56343" stopIfTrue="1" operator="notEqual">
      <formula>"carbon life value- months"</formula>
    </cfRule>
  </conditionalFormatting>
  <conditionalFormatting sqref="J48">
    <cfRule type="cellIs" dxfId="10697" priority="56344" stopIfTrue="1" operator="notEqual">
      <formula>24</formula>
    </cfRule>
  </conditionalFormatting>
  <conditionalFormatting sqref="K48">
    <cfRule type="expression" dxfId="10696" priority="56345" stopIfTrue="1">
      <formula>NOT(ISBLANK($K$48))</formula>
    </cfRule>
  </conditionalFormatting>
  <conditionalFormatting sqref="L48">
    <cfRule type="expression" dxfId="10695" priority="56346" stopIfTrue="1">
      <formula>NOT(ISBLANK($L$48))</formula>
    </cfRule>
  </conditionalFormatting>
  <conditionalFormatting sqref="M48">
    <cfRule type="expression" dxfId="10694" priority="56347" stopIfTrue="1">
      <formula>NOT(ISBLANK($M$48))</formula>
    </cfRule>
  </conditionalFormatting>
  <conditionalFormatting sqref="N48">
    <cfRule type="cellIs" dxfId="10693" priority="56348" stopIfTrue="1" operator="notEqual">
      <formula>"EBCT"</formula>
    </cfRule>
  </conditionalFormatting>
  <conditionalFormatting sqref="O48">
    <cfRule type="cellIs" dxfId="10692" priority="56349" stopIfTrue="1" operator="notEqual">
      <formula>30</formula>
    </cfRule>
  </conditionalFormatting>
  <conditionalFormatting sqref="P48">
    <cfRule type="expression" dxfId="10691" priority="56350" stopIfTrue="1">
      <formula>NOT(ISBLANK($P$48))</formula>
    </cfRule>
  </conditionalFormatting>
  <conditionalFormatting sqref="Q48">
    <cfRule type="expression" dxfId="10690" priority="56351" stopIfTrue="1">
      <formula>NOT(ISBLANK($Q$48))</formula>
    </cfRule>
  </conditionalFormatting>
  <conditionalFormatting sqref="R48">
    <cfRule type="cellIs" dxfId="10689" priority="56352" stopIfTrue="1" operator="notEqual">
      <formula>3</formula>
    </cfRule>
  </conditionalFormatting>
  <conditionalFormatting sqref="S48">
    <cfRule type="cellIs" dxfId="10688" priority="56353" stopIfTrue="1" operator="notEqual">
      <formula>7.4</formula>
    </cfRule>
  </conditionalFormatting>
  <conditionalFormatting sqref="T48">
    <cfRule type="cellIs" dxfId="10687" priority="56354" stopIfTrue="1" operator="notEqual">
      <formula>"horizontal"</formula>
    </cfRule>
  </conditionalFormatting>
  <conditionalFormatting sqref="U48">
    <cfRule type="cellIs" dxfId="10686" priority="56355" stopIfTrue="1" operator="notEqual">
      <formula>20</formula>
    </cfRule>
  </conditionalFormatting>
  <conditionalFormatting sqref="V48">
    <cfRule type="cellIs" dxfId="10685" priority="56356" stopIfTrue="1" operator="notEqual">
      <formula>14</formula>
    </cfRule>
  </conditionalFormatting>
  <conditionalFormatting sqref="W48">
    <cfRule type="expression" dxfId="10684" priority="56357" stopIfTrue="1">
      <formula>NOT(ISBLANK($W$48))</formula>
    </cfRule>
  </conditionalFormatting>
  <conditionalFormatting sqref="X48">
    <cfRule type="expression" dxfId="10683" priority="56358" stopIfTrue="1">
      <formula>NOT(ISBLANK($X$48))</formula>
    </cfRule>
  </conditionalFormatting>
  <conditionalFormatting sqref="Y48">
    <cfRule type="expression" dxfId="10682" priority="56359" stopIfTrue="1">
      <formula>NOT(ISBLANK($Y$48))</formula>
    </cfRule>
  </conditionalFormatting>
  <conditionalFormatting sqref="Z48">
    <cfRule type="cellIs" dxfId="10681" priority="56360" stopIfTrue="1" operator="notEqual">
      <formula>168</formula>
    </cfRule>
  </conditionalFormatting>
  <conditionalFormatting sqref="AA48">
    <cfRule type="cellIs" dxfId="10680" priority="56361" stopIfTrue="1" operator="notEqual">
      <formula>"POTW"</formula>
    </cfRule>
  </conditionalFormatting>
  <conditionalFormatting sqref="AB48">
    <cfRule type="cellIs" dxfId="10679" priority="56362" stopIfTrue="1" operator="notEqual">
      <formula>"Holding tank"</formula>
    </cfRule>
  </conditionalFormatting>
  <conditionalFormatting sqref="AC48">
    <cfRule type="cellIs" dxfId="10678" priority="56363" stopIfTrue="1" operator="notEqual">
      <formula>"eductors"</formula>
    </cfRule>
  </conditionalFormatting>
  <conditionalFormatting sqref="AD48">
    <cfRule type="cellIs" dxfId="10677" priority="56364" stopIfTrue="1" operator="notEqual">
      <formula>"non-hazardous"</formula>
    </cfRule>
  </conditionalFormatting>
  <conditionalFormatting sqref="AE48">
    <cfRule type="expression" dxfId="10676" priority="56365" stopIfTrue="1">
      <formula>NOT(ISBLANK($AE$48))</formula>
    </cfRule>
  </conditionalFormatting>
  <conditionalFormatting sqref="AF48">
    <cfRule type="cellIs" dxfId="10675" priority="56366" stopIfTrue="1" operator="notEqual">
      <formula>0</formula>
    </cfRule>
  </conditionalFormatting>
  <conditionalFormatting sqref="AG48">
    <cfRule type="expression" dxfId="10674" priority="56367" stopIfTrue="1">
      <formula>NOT(ISBLANK($AG$48))</formula>
    </cfRule>
  </conditionalFormatting>
  <conditionalFormatting sqref="AH48">
    <cfRule type="expression" dxfId="10673" priority="56368" stopIfTrue="1">
      <formula>NOT(ISBLANK($AH$48))</formula>
    </cfRule>
  </conditionalFormatting>
  <conditionalFormatting sqref="AI48">
    <cfRule type="expression" dxfId="10672" priority="56369" stopIfTrue="1">
      <formula>NOT(ISBLANK($AI$48))</formula>
    </cfRule>
  </conditionalFormatting>
  <conditionalFormatting sqref="AJ48">
    <cfRule type="expression" dxfId="10671" priority="56370" stopIfTrue="1">
      <formula>NOT(ISBLANK($AJ$48))</formula>
    </cfRule>
  </conditionalFormatting>
  <conditionalFormatting sqref="AK48">
    <cfRule type="expression" dxfId="10670" priority="56371" stopIfTrue="1">
      <formula>NOT(ISBLANK($AK$48))</formula>
    </cfRule>
  </conditionalFormatting>
  <conditionalFormatting sqref="AL48">
    <cfRule type="expression" dxfId="10669" priority="56372" stopIfTrue="1">
      <formula>NOT(ISBLANK($AL$48))</formula>
    </cfRule>
  </conditionalFormatting>
  <conditionalFormatting sqref="AM48">
    <cfRule type="expression" dxfId="10668" priority="56373" stopIfTrue="1">
      <formula>NOT(ISBLANK($AM$48))</formula>
    </cfRule>
  </conditionalFormatting>
  <conditionalFormatting sqref="AN48">
    <cfRule type="expression" dxfId="10667" priority="56374" stopIfTrue="1">
      <formula>NOT(ISBLANK($AN$48))</formula>
    </cfRule>
  </conditionalFormatting>
  <conditionalFormatting sqref="AO48">
    <cfRule type="expression" dxfId="10666" priority="56375" stopIfTrue="1">
      <formula>NOT(ISBLANK($AO$48))</formula>
    </cfRule>
  </conditionalFormatting>
  <conditionalFormatting sqref="AP48">
    <cfRule type="expression" dxfId="10665" priority="56376" stopIfTrue="1">
      <formula>NOT(ISBLANK($AP$48))</formula>
    </cfRule>
  </conditionalFormatting>
  <conditionalFormatting sqref="AQ48">
    <cfRule type="expression" dxfId="10664" priority="56377" stopIfTrue="1">
      <formula>NOT(ISBLANK($AQ$48))</formula>
    </cfRule>
  </conditionalFormatting>
  <conditionalFormatting sqref="A49">
    <cfRule type="cellIs" dxfId="10663" priority="56378" stopIfTrue="1" operator="notEqual">
      <formula>3</formula>
    </cfRule>
  </conditionalFormatting>
  <conditionalFormatting sqref="B49">
    <cfRule type="cellIs" dxfId="10662" priority="56379" stopIfTrue="1" operator="notEqual">
      <formula>2</formula>
    </cfRule>
  </conditionalFormatting>
  <conditionalFormatting sqref="C49">
    <cfRule type="cellIs" dxfId="10661" priority="56380" stopIfTrue="1" operator="notEqual">
      <formula>1</formula>
    </cfRule>
  </conditionalFormatting>
  <conditionalFormatting sqref="D49">
    <cfRule type="cellIs" dxfId="10660" priority="56381" stopIfTrue="1" operator="notEqual">
      <formula>0.03</formula>
    </cfRule>
  </conditionalFormatting>
  <conditionalFormatting sqref="E49">
    <cfRule type="cellIs" dxfId="10659" priority="56382" stopIfTrue="1" operator="notEqual">
      <formula>"MGD"</formula>
    </cfRule>
  </conditionalFormatting>
  <conditionalFormatting sqref="F49">
    <cfRule type="cellIs" dxfId="10658" priority="56383" stopIfTrue="1" operator="notEqual">
      <formula>0.007</formula>
    </cfRule>
  </conditionalFormatting>
  <conditionalFormatting sqref="G49">
    <cfRule type="cellIs" dxfId="10657" priority="56384" stopIfTrue="1" operator="notEqual">
      <formula>"MGD"</formula>
    </cfRule>
  </conditionalFormatting>
  <conditionalFormatting sqref="H49">
    <cfRule type="cellIs" dxfId="10656" priority="56385" stopIfTrue="1" operator="notEqual">
      <formula>"throwaway (radioactive)"</formula>
    </cfRule>
  </conditionalFormatting>
  <conditionalFormatting sqref="I49">
    <cfRule type="cellIs" dxfId="10655" priority="56386" stopIfTrue="1" operator="notEqual">
      <formula>"carbon life value- months"</formula>
    </cfRule>
  </conditionalFormatting>
  <conditionalFormatting sqref="J49">
    <cfRule type="cellIs" dxfId="10654" priority="56387" stopIfTrue="1" operator="notEqual">
      <formula>24</formula>
    </cfRule>
  </conditionalFormatting>
  <conditionalFormatting sqref="K49">
    <cfRule type="expression" dxfId="10653" priority="56388" stopIfTrue="1">
      <formula>NOT(ISBLANK($K$49))</formula>
    </cfRule>
  </conditionalFormatting>
  <conditionalFormatting sqref="L49">
    <cfRule type="expression" dxfId="10652" priority="56389" stopIfTrue="1">
      <formula>NOT(ISBLANK($L$49))</formula>
    </cfRule>
  </conditionalFormatting>
  <conditionalFormatting sqref="M49">
    <cfRule type="expression" dxfId="10651" priority="56390" stopIfTrue="1">
      <formula>NOT(ISBLANK($M$49))</formula>
    </cfRule>
  </conditionalFormatting>
  <conditionalFormatting sqref="N49">
    <cfRule type="cellIs" dxfId="10650" priority="56391" stopIfTrue="1" operator="notEqual">
      <formula>"EBCT"</formula>
    </cfRule>
  </conditionalFormatting>
  <conditionalFormatting sqref="O49">
    <cfRule type="cellIs" dxfId="10649" priority="56392" stopIfTrue="1" operator="notEqual">
      <formula>30</formula>
    </cfRule>
  </conditionalFormatting>
  <conditionalFormatting sqref="P49">
    <cfRule type="expression" dxfId="10648" priority="56393" stopIfTrue="1">
      <formula>NOT(ISBLANK($P$49))</formula>
    </cfRule>
  </conditionalFormatting>
  <conditionalFormatting sqref="Q49">
    <cfRule type="expression" dxfId="10647" priority="56394" stopIfTrue="1">
      <formula>NOT(ISBLANK($Q$49))</formula>
    </cfRule>
  </conditionalFormatting>
  <conditionalFormatting sqref="R49">
    <cfRule type="expression" dxfId="10646" priority="56395" stopIfTrue="1">
      <formula>NOT(ISBLANK($R$49))</formula>
    </cfRule>
  </conditionalFormatting>
  <conditionalFormatting sqref="S49">
    <cfRule type="expression" dxfId="10645" priority="56396" stopIfTrue="1">
      <formula>NOT(ISBLANK($S$49))</formula>
    </cfRule>
  </conditionalFormatting>
  <conditionalFormatting sqref="T49">
    <cfRule type="expression" dxfId="10644" priority="56397" stopIfTrue="1">
      <formula>NOT(ISBLANK($T$49))</formula>
    </cfRule>
  </conditionalFormatting>
  <conditionalFormatting sqref="U49">
    <cfRule type="expression" dxfId="10643" priority="56398" stopIfTrue="1">
      <formula>NOT(ISBLANK($U$49))</formula>
    </cfRule>
  </conditionalFormatting>
  <conditionalFormatting sqref="V49">
    <cfRule type="expression" dxfId="10642" priority="56399" stopIfTrue="1">
      <formula>NOT(ISBLANK($V$49))</formula>
    </cfRule>
  </conditionalFormatting>
  <conditionalFormatting sqref="W49">
    <cfRule type="cellIs" dxfId="10641" priority="56400" stopIfTrue="1" operator="notEqual">
      <formula>6</formula>
    </cfRule>
  </conditionalFormatting>
  <conditionalFormatting sqref="X49">
    <cfRule type="cellIs" dxfId="10640" priority="56401" stopIfTrue="1" operator="notEqual">
      <formula>6</formula>
    </cfRule>
  </conditionalFormatting>
  <conditionalFormatting sqref="Y49">
    <cfRule type="cellIs" dxfId="10639" priority="56402" stopIfTrue="1" operator="notEqual">
      <formula>3</formula>
    </cfRule>
  </conditionalFormatting>
  <conditionalFormatting sqref="Z49">
    <cfRule type="cellIs" dxfId="10638" priority="56403" stopIfTrue="1" operator="notEqual">
      <formula>168</formula>
    </cfRule>
  </conditionalFormatting>
  <conditionalFormatting sqref="AA49">
    <cfRule type="cellIs" dxfId="10637" priority="56404" stopIfTrue="1" operator="notEqual">
      <formula>"POTW"</formula>
    </cfRule>
  </conditionalFormatting>
  <conditionalFormatting sqref="AB49">
    <cfRule type="cellIs" dxfId="10636" priority="56405" stopIfTrue="1" operator="notEqual">
      <formula>"holding tank"</formula>
    </cfRule>
  </conditionalFormatting>
  <conditionalFormatting sqref="AC49">
    <cfRule type="cellIs" dxfId="10635" priority="56406" stopIfTrue="1" operator="notEqual">
      <formula>"manual transfer"</formula>
    </cfRule>
  </conditionalFormatting>
  <conditionalFormatting sqref="AD49">
    <cfRule type="cellIs" dxfId="10634" priority="56407" stopIfTrue="1" operator="notEqual">
      <formula>"non-hazardous"</formula>
    </cfRule>
  </conditionalFormatting>
  <conditionalFormatting sqref="AE49">
    <cfRule type="expression" dxfId="10633" priority="56408" stopIfTrue="1">
      <formula>NOT(ISBLANK($AE$49))</formula>
    </cfRule>
  </conditionalFormatting>
  <conditionalFormatting sqref="AF49">
    <cfRule type="expression" dxfId="10632" priority="56409" stopIfTrue="1">
      <formula>NOT(ISBLANK($AF$49))</formula>
    </cfRule>
  </conditionalFormatting>
  <conditionalFormatting sqref="AG49">
    <cfRule type="expression" dxfId="10631" priority="56410" stopIfTrue="1">
      <formula>NOT(ISBLANK($AG$49))</formula>
    </cfRule>
  </conditionalFormatting>
  <conditionalFormatting sqref="AH49">
    <cfRule type="expression" dxfId="10630" priority="56411" stopIfTrue="1">
      <formula>NOT(ISBLANK($AH$49))</formula>
    </cfRule>
  </conditionalFormatting>
  <conditionalFormatting sqref="AI49">
    <cfRule type="expression" dxfId="10629" priority="56412" stopIfTrue="1">
      <formula>NOT(ISBLANK($AI$49))</formula>
    </cfRule>
  </conditionalFormatting>
  <conditionalFormatting sqref="AJ49">
    <cfRule type="expression" dxfId="10628" priority="56413" stopIfTrue="1">
      <formula>NOT(ISBLANK($AJ$49))</formula>
    </cfRule>
  </conditionalFormatting>
  <conditionalFormatting sqref="AK49">
    <cfRule type="expression" dxfId="10627" priority="56414" stopIfTrue="1">
      <formula>NOT(ISBLANK($AK$49))</formula>
    </cfRule>
  </conditionalFormatting>
  <conditionalFormatting sqref="AL49">
    <cfRule type="expression" dxfId="10626" priority="56415" stopIfTrue="1">
      <formula>NOT(ISBLANK($AL$49))</formula>
    </cfRule>
  </conditionalFormatting>
  <conditionalFormatting sqref="AM49">
    <cfRule type="expression" dxfId="10625" priority="56416" stopIfTrue="1">
      <formula>NOT(ISBLANK($AM$49))</formula>
    </cfRule>
  </conditionalFormatting>
  <conditionalFormatting sqref="AN49">
    <cfRule type="expression" dxfId="10624" priority="56417" stopIfTrue="1">
      <formula>NOT(ISBLANK($AN$49))</formula>
    </cfRule>
  </conditionalFormatting>
  <conditionalFormatting sqref="AO49">
    <cfRule type="expression" dxfId="10623" priority="56418" stopIfTrue="1">
      <formula>NOT(ISBLANK($AO$49))</formula>
    </cfRule>
  </conditionalFormatting>
  <conditionalFormatting sqref="AP49">
    <cfRule type="expression" dxfId="10622" priority="56419" stopIfTrue="1">
      <formula>NOT(ISBLANK($AP$49))</formula>
    </cfRule>
  </conditionalFormatting>
  <conditionalFormatting sqref="AQ49">
    <cfRule type="expression" dxfId="10621" priority="56420" stopIfTrue="1">
      <formula>NOT(ISBLANK($AQ$49))</formula>
    </cfRule>
  </conditionalFormatting>
  <conditionalFormatting sqref="A50">
    <cfRule type="cellIs" dxfId="10620" priority="56421" stopIfTrue="1" operator="notEqual">
      <formula>3</formula>
    </cfRule>
  </conditionalFormatting>
  <conditionalFormatting sqref="B50">
    <cfRule type="cellIs" dxfId="10619" priority="56422" stopIfTrue="1" operator="notEqual">
      <formula>2</formula>
    </cfRule>
  </conditionalFormatting>
  <conditionalFormatting sqref="C50">
    <cfRule type="cellIs" dxfId="10618" priority="56423" stopIfTrue="1" operator="notEqual">
      <formula>2</formula>
    </cfRule>
  </conditionalFormatting>
  <conditionalFormatting sqref="D50">
    <cfRule type="cellIs" dxfId="10617" priority="56424" stopIfTrue="1" operator="notEqual">
      <formula>0.124</formula>
    </cfRule>
  </conditionalFormatting>
  <conditionalFormatting sqref="E50">
    <cfRule type="cellIs" dxfId="10616" priority="56425" stopIfTrue="1" operator="notEqual">
      <formula>"MGD"</formula>
    </cfRule>
  </conditionalFormatting>
  <conditionalFormatting sqref="F50">
    <cfRule type="cellIs" dxfId="10615" priority="56426" stopIfTrue="1" operator="notEqual">
      <formula>0.035</formula>
    </cfRule>
  </conditionalFormatting>
  <conditionalFormatting sqref="G50">
    <cfRule type="cellIs" dxfId="10614" priority="56427" stopIfTrue="1" operator="notEqual">
      <formula>"MGD"</formula>
    </cfRule>
  </conditionalFormatting>
  <conditionalFormatting sqref="H50">
    <cfRule type="cellIs" dxfId="10613" priority="56428" stopIfTrue="1" operator="notEqual">
      <formula>"throwaway (radioactive)"</formula>
    </cfRule>
  </conditionalFormatting>
  <conditionalFormatting sqref="I50">
    <cfRule type="cellIs" dxfId="10612" priority="56429" stopIfTrue="1" operator="notEqual">
      <formula>"carbon life value- months"</formula>
    </cfRule>
  </conditionalFormatting>
  <conditionalFormatting sqref="J50">
    <cfRule type="cellIs" dxfId="10611" priority="56430" stopIfTrue="1" operator="notEqual">
      <formula>24</formula>
    </cfRule>
  </conditionalFormatting>
  <conditionalFormatting sqref="K50">
    <cfRule type="expression" dxfId="10610" priority="56431" stopIfTrue="1">
      <formula>NOT(ISBLANK($K$50))</formula>
    </cfRule>
  </conditionalFormatting>
  <conditionalFormatting sqref="L50">
    <cfRule type="expression" dxfId="10609" priority="56432" stopIfTrue="1">
      <formula>NOT(ISBLANK($L$50))</formula>
    </cfRule>
  </conditionalFormatting>
  <conditionalFormatting sqref="M50">
    <cfRule type="expression" dxfId="10608" priority="56433" stopIfTrue="1">
      <formula>NOT(ISBLANK($M$50))</formula>
    </cfRule>
  </conditionalFormatting>
  <conditionalFormatting sqref="N50">
    <cfRule type="cellIs" dxfId="10607" priority="56434" stopIfTrue="1" operator="notEqual">
      <formula>"EBCT"</formula>
    </cfRule>
  </conditionalFormatting>
  <conditionalFormatting sqref="O50">
    <cfRule type="cellIs" dxfId="10606" priority="56435" stopIfTrue="1" operator="notEqual">
      <formula>30</formula>
    </cfRule>
  </conditionalFormatting>
  <conditionalFormatting sqref="P50">
    <cfRule type="expression" dxfId="10605" priority="56436" stopIfTrue="1">
      <formula>NOT(ISBLANK($P$50))</formula>
    </cfRule>
  </conditionalFormatting>
  <conditionalFormatting sqref="Q50">
    <cfRule type="expression" dxfId="10604" priority="56437" stopIfTrue="1">
      <formula>NOT(ISBLANK($Q$50))</formula>
    </cfRule>
  </conditionalFormatting>
  <conditionalFormatting sqref="R50">
    <cfRule type="expression" dxfId="10603" priority="56438" stopIfTrue="1">
      <formula>NOT(ISBLANK($R$50))</formula>
    </cfRule>
  </conditionalFormatting>
  <conditionalFormatting sqref="S50">
    <cfRule type="expression" dxfId="10602" priority="56439" stopIfTrue="1">
      <formula>NOT(ISBLANK($S$50))</formula>
    </cfRule>
  </conditionalFormatting>
  <conditionalFormatting sqref="T50">
    <cfRule type="expression" dxfId="10601" priority="56440" stopIfTrue="1">
      <formula>NOT(ISBLANK($T$50))</formula>
    </cfRule>
  </conditionalFormatting>
  <conditionalFormatting sqref="U50">
    <cfRule type="expression" dxfId="10600" priority="56441" stopIfTrue="1">
      <formula>NOT(ISBLANK($U$50))</formula>
    </cfRule>
  </conditionalFormatting>
  <conditionalFormatting sqref="V50">
    <cfRule type="expression" dxfId="10599" priority="56442" stopIfTrue="1">
      <formula>NOT(ISBLANK($V$50))</formula>
    </cfRule>
  </conditionalFormatting>
  <conditionalFormatting sqref="W50">
    <cfRule type="cellIs" dxfId="10598" priority="56443" stopIfTrue="1" operator="notEqual">
      <formula>6</formula>
    </cfRule>
  </conditionalFormatting>
  <conditionalFormatting sqref="X50">
    <cfRule type="cellIs" dxfId="10597" priority="56444" stopIfTrue="1" operator="notEqual">
      <formula>6</formula>
    </cfRule>
  </conditionalFormatting>
  <conditionalFormatting sqref="Y50">
    <cfRule type="cellIs" dxfId="10596" priority="56445" stopIfTrue="1" operator="notEqual">
      <formula>4.8</formula>
    </cfRule>
  </conditionalFormatting>
  <conditionalFormatting sqref="Z50">
    <cfRule type="cellIs" dxfId="10595" priority="56446" stopIfTrue="1" operator="notEqual">
      <formula>168</formula>
    </cfRule>
  </conditionalFormatting>
  <conditionalFormatting sqref="AA50">
    <cfRule type="cellIs" dxfId="10594" priority="56447" stopIfTrue="1" operator="notEqual">
      <formula>"POTW"</formula>
    </cfRule>
  </conditionalFormatting>
  <conditionalFormatting sqref="AB50">
    <cfRule type="cellIs" dxfId="10593" priority="56448" stopIfTrue="1" operator="notEqual">
      <formula>"holding tank"</formula>
    </cfRule>
  </conditionalFormatting>
  <conditionalFormatting sqref="AC50">
    <cfRule type="cellIs" dxfId="10592" priority="56449" stopIfTrue="1" operator="notEqual">
      <formula>"manual transfer"</formula>
    </cfRule>
  </conditionalFormatting>
  <conditionalFormatting sqref="AD50">
    <cfRule type="cellIs" dxfId="10591" priority="56450" stopIfTrue="1" operator="notEqual">
      <formula>"non-hazardous"</formula>
    </cfRule>
  </conditionalFormatting>
  <conditionalFormatting sqref="AE50">
    <cfRule type="expression" dxfId="10590" priority="56451" stopIfTrue="1">
      <formula>NOT(ISBLANK($AE$50))</formula>
    </cfRule>
  </conditionalFormatting>
  <conditionalFormatting sqref="AF50">
    <cfRule type="expression" dxfId="10589" priority="56452" stopIfTrue="1">
      <formula>NOT(ISBLANK($AF$50))</formula>
    </cfRule>
  </conditionalFormatting>
  <conditionalFormatting sqref="AG50">
    <cfRule type="expression" dxfId="10588" priority="56453" stopIfTrue="1">
      <formula>NOT(ISBLANK($AG$50))</formula>
    </cfRule>
  </conditionalFormatting>
  <conditionalFormatting sqref="AH50">
    <cfRule type="expression" dxfId="10587" priority="56454" stopIfTrue="1">
      <formula>NOT(ISBLANK($AH$50))</formula>
    </cfRule>
  </conditionalFormatting>
  <conditionalFormatting sqref="AI50">
    <cfRule type="expression" dxfId="10586" priority="56455" stopIfTrue="1">
      <formula>NOT(ISBLANK($AI$50))</formula>
    </cfRule>
  </conditionalFormatting>
  <conditionalFormatting sqref="AJ50">
    <cfRule type="expression" dxfId="10585" priority="56456" stopIfTrue="1">
      <formula>NOT(ISBLANK($AJ$50))</formula>
    </cfRule>
  </conditionalFormatting>
  <conditionalFormatting sqref="AK50">
    <cfRule type="expression" dxfId="10584" priority="56457" stopIfTrue="1">
      <formula>NOT(ISBLANK($AK$50))</formula>
    </cfRule>
  </conditionalFormatting>
  <conditionalFormatting sqref="AL50">
    <cfRule type="expression" dxfId="10583" priority="56458" stopIfTrue="1">
      <formula>NOT(ISBLANK($AL$50))</formula>
    </cfRule>
  </conditionalFormatting>
  <conditionalFormatting sqref="AM50">
    <cfRule type="expression" dxfId="10582" priority="56459" stopIfTrue="1">
      <formula>NOT(ISBLANK($AM$50))</formula>
    </cfRule>
  </conditionalFormatting>
  <conditionalFormatting sqref="AN50">
    <cfRule type="expression" dxfId="10581" priority="56460" stopIfTrue="1">
      <formula>NOT(ISBLANK($AN$50))</formula>
    </cfRule>
  </conditionalFormatting>
  <conditionalFormatting sqref="AO50">
    <cfRule type="expression" dxfId="10580" priority="56461" stopIfTrue="1">
      <formula>NOT(ISBLANK($AO$50))</formula>
    </cfRule>
  </conditionalFormatting>
  <conditionalFormatting sqref="AP50">
    <cfRule type="expression" dxfId="10579" priority="56462" stopIfTrue="1">
      <formula>NOT(ISBLANK($AP$50))</formula>
    </cfRule>
  </conditionalFormatting>
  <conditionalFormatting sqref="AQ50">
    <cfRule type="expression" dxfId="10578" priority="56463" stopIfTrue="1">
      <formula>NOT(ISBLANK($AQ$50))</formula>
    </cfRule>
  </conditionalFormatting>
  <conditionalFormatting sqref="A51">
    <cfRule type="cellIs" dxfId="10577" priority="56464" stopIfTrue="1" operator="notEqual">
      <formula>3</formula>
    </cfRule>
  </conditionalFormatting>
  <conditionalFormatting sqref="B51">
    <cfRule type="cellIs" dxfId="10576" priority="56465" stopIfTrue="1" operator="notEqual">
      <formula>2</formula>
    </cfRule>
  </conditionalFormatting>
  <conditionalFormatting sqref="C51">
    <cfRule type="cellIs" dxfId="10575" priority="56466" stopIfTrue="1" operator="notEqual">
      <formula>3</formula>
    </cfRule>
  </conditionalFormatting>
  <conditionalFormatting sqref="D51">
    <cfRule type="cellIs" dxfId="10574" priority="56467" stopIfTrue="1" operator="notEqual">
      <formula>0.305</formula>
    </cfRule>
  </conditionalFormatting>
  <conditionalFormatting sqref="E51">
    <cfRule type="cellIs" dxfId="10573" priority="56468" stopIfTrue="1" operator="notEqual">
      <formula>"MGD"</formula>
    </cfRule>
  </conditionalFormatting>
  <conditionalFormatting sqref="F51">
    <cfRule type="cellIs" dxfId="10572" priority="56469" stopIfTrue="1" operator="notEqual">
      <formula>0.094</formula>
    </cfRule>
  </conditionalFormatting>
  <conditionalFormatting sqref="G51">
    <cfRule type="cellIs" dxfId="10571" priority="56470" stopIfTrue="1" operator="notEqual">
      <formula>"MGD"</formula>
    </cfRule>
  </conditionalFormatting>
  <conditionalFormatting sqref="H51">
    <cfRule type="cellIs" dxfId="10570" priority="56471" stopIfTrue="1" operator="notEqual">
      <formula>"throwaway (radioactive)"</formula>
    </cfRule>
  </conditionalFormatting>
  <conditionalFormatting sqref="I51">
    <cfRule type="cellIs" dxfId="10569" priority="56472" stopIfTrue="1" operator="notEqual">
      <formula>"carbon life value- months"</formula>
    </cfRule>
  </conditionalFormatting>
  <conditionalFormatting sqref="J51">
    <cfRule type="cellIs" dxfId="10568" priority="56473" stopIfTrue="1" operator="notEqual">
      <formula>24</formula>
    </cfRule>
  </conditionalFormatting>
  <conditionalFormatting sqref="K51">
    <cfRule type="expression" dxfId="10567" priority="56474" stopIfTrue="1">
      <formula>NOT(ISBLANK($K$51))</formula>
    </cfRule>
  </conditionalFormatting>
  <conditionalFormatting sqref="L51">
    <cfRule type="expression" dxfId="10566" priority="56475" stopIfTrue="1">
      <formula>NOT(ISBLANK($L$51))</formula>
    </cfRule>
  </conditionalFormatting>
  <conditionalFormatting sqref="M51">
    <cfRule type="expression" dxfId="10565" priority="56476" stopIfTrue="1">
      <formula>NOT(ISBLANK($M$51))</formula>
    </cfRule>
  </conditionalFormatting>
  <conditionalFormatting sqref="N51">
    <cfRule type="cellIs" dxfId="10564" priority="56477" stopIfTrue="1" operator="notEqual">
      <formula>"EBCT"</formula>
    </cfRule>
  </conditionalFormatting>
  <conditionalFormatting sqref="O51">
    <cfRule type="cellIs" dxfId="10563" priority="56478" stopIfTrue="1" operator="notEqual">
      <formula>30</formula>
    </cfRule>
  </conditionalFormatting>
  <conditionalFormatting sqref="P51">
    <cfRule type="expression" dxfId="10562" priority="56479" stopIfTrue="1">
      <formula>NOT(ISBLANK($P$51))</formula>
    </cfRule>
  </conditionalFormatting>
  <conditionalFormatting sqref="Q51">
    <cfRule type="expression" dxfId="10561" priority="56480" stopIfTrue="1">
      <formula>NOT(ISBLANK($Q$51))</formula>
    </cfRule>
  </conditionalFormatting>
  <conditionalFormatting sqref="R51">
    <cfRule type="expression" dxfId="10560" priority="56481" stopIfTrue="1">
      <formula>NOT(ISBLANK($R$51))</formula>
    </cfRule>
  </conditionalFormatting>
  <conditionalFormatting sqref="S51">
    <cfRule type="expression" dxfId="10559" priority="56482" stopIfTrue="1">
      <formula>NOT(ISBLANK($S$51))</formula>
    </cfRule>
  </conditionalFormatting>
  <conditionalFormatting sqref="T51">
    <cfRule type="expression" dxfId="10558" priority="56483" stopIfTrue="1">
      <formula>NOT(ISBLANK($T$51))</formula>
    </cfRule>
  </conditionalFormatting>
  <conditionalFormatting sqref="U51">
    <cfRule type="expression" dxfId="10557" priority="56484" stopIfTrue="1">
      <formula>NOT(ISBLANK($U$51))</formula>
    </cfRule>
  </conditionalFormatting>
  <conditionalFormatting sqref="V51">
    <cfRule type="expression" dxfId="10556" priority="56485" stopIfTrue="1">
      <formula>NOT(ISBLANK($V$51))</formula>
    </cfRule>
  </conditionalFormatting>
  <conditionalFormatting sqref="W51">
    <cfRule type="cellIs" dxfId="10555" priority="56486" stopIfTrue="1" operator="notEqual">
      <formula>8.5</formula>
    </cfRule>
  </conditionalFormatting>
  <conditionalFormatting sqref="X51">
    <cfRule type="cellIs" dxfId="10554" priority="56487" stopIfTrue="1" operator="notEqual">
      <formula>8.5</formula>
    </cfRule>
  </conditionalFormatting>
  <conditionalFormatting sqref="Y51">
    <cfRule type="cellIs" dxfId="10553" priority="56488" stopIfTrue="1" operator="notEqual">
      <formula>5.9</formula>
    </cfRule>
  </conditionalFormatting>
  <conditionalFormatting sqref="Z51">
    <cfRule type="cellIs" dxfId="10552" priority="56489" stopIfTrue="1" operator="notEqual">
      <formula>168</formula>
    </cfRule>
  </conditionalFormatting>
  <conditionalFormatting sqref="AA51">
    <cfRule type="cellIs" dxfId="10551" priority="56490" stopIfTrue="1" operator="notEqual">
      <formula>"POTW"</formula>
    </cfRule>
  </conditionalFormatting>
  <conditionalFormatting sqref="AB51">
    <cfRule type="cellIs" dxfId="10550" priority="56491" stopIfTrue="1" operator="notEqual">
      <formula>"holding tank"</formula>
    </cfRule>
  </conditionalFormatting>
  <conditionalFormatting sqref="AC51">
    <cfRule type="cellIs" dxfId="10549" priority="56492" stopIfTrue="1" operator="notEqual">
      <formula>"eductors"</formula>
    </cfRule>
  </conditionalFormatting>
  <conditionalFormatting sqref="AD51">
    <cfRule type="cellIs" dxfId="10548" priority="56493" stopIfTrue="1" operator="notEqual">
      <formula>"non-hazardous"</formula>
    </cfRule>
  </conditionalFormatting>
  <conditionalFormatting sqref="AE51">
    <cfRule type="expression" dxfId="10547" priority="56494" stopIfTrue="1">
      <formula>NOT(ISBLANK($AE$51))</formula>
    </cfRule>
  </conditionalFormatting>
  <conditionalFormatting sqref="AF51">
    <cfRule type="expression" dxfId="10546" priority="56495" stopIfTrue="1">
      <formula>NOT(ISBLANK($AF$51))</formula>
    </cfRule>
  </conditionalFormatting>
  <conditionalFormatting sqref="AG51">
    <cfRule type="expression" dxfId="10545" priority="56496" stopIfTrue="1">
      <formula>NOT(ISBLANK($AG$51))</formula>
    </cfRule>
  </conditionalFormatting>
  <conditionalFormatting sqref="AH51">
    <cfRule type="expression" dxfId="10544" priority="56497" stopIfTrue="1">
      <formula>NOT(ISBLANK($AH$51))</formula>
    </cfRule>
  </conditionalFormatting>
  <conditionalFormatting sqref="AI51">
    <cfRule type="expression" dxfId="10543" priority="56498" stopIfTrue="1">
      <formula>NOT(ISBLANK($AI$51))</formula>
    </cfRule>
  </conditionalFormatting>
  <conditionalFormatting sqref="AJ51">
    <cfRule type="expression" dxfId="10542" priority="56499" stopIfTrue="1">
      <formula>NOT(ISBLANK($AJ$51))</formula>
    </cfRule>
  </conditionalFormatting>
  <conditionalFormatting sqref="AK51">
    <cfRule type="expression" dxfId="10541" priority="56500" stopIfTrue="1">
      <formula>NOT(ISBLANK($AK$51))</formula>
    </cfRule>
  </conditionalFormatting>
  <conditionalFormatting sqref="AL51">
    <cfRule type="expression" dxfId="10540" priority="56501" stopIfTrue="1">
      <formula>NOT(ISBLANK($AL$51))</formula>
    </cfRule>
  </conditionalFormatting>
  <conditionalFormatting sqref="AM51">
    <cfRule type="expression" dxfId="10539" priority="56502" stopIfTrue="1">
      <formula>NOT(ISBLANK($AM$51))</formula>
    </cfRule>
  </conditionalFormatting>
  <conditionalFormatting sqref="AN51">
    <cfRule type="expression" dxfId="10538" priority="56503" stopIfTrue="1">
      <formula>NOT(ISBLANK($AN$51))</formula>
    </cfRule>
  </conditionalFormatting>
  <conditionalFormatting sqref="AO51">
    <cfRule type="expression" dxfId="10537" priority="56504" stopIfTrue="1">
      <formula>NOT(ISBLANK($AO$51))</formula>
    </cfRule>
  </conditionalFormatting>
  <conditionalFormatting sqref="AP51">
    <cfRule type="expression" dxfId="10536" priority="56505" stopIfTrue="1">
      <formula>NOT(ISBLANK($AP$51))</formula>
    </cfRule>
  </conditionalFormatting>
  <conditionalFormatting sqref="AQ51">
    <cfRule type="expression" dxfId="10535" priority="56506" stopIfTrue="1">
      <formula>NOT(ISBLANK($AQ$51))</formula>
    </cfRule>
  </conditionalFormatting>
  <conditionalFormatting sqref="A52">
    <cfRule type="cellIs" dxfId="10534" priority="56507" stopIfTrue="1" operator="notEqual">
      <formula>3</formula>
    </cfRule>
  </conditionalFormatting>
  <conditionalFormatting sqref="B52">
    <cfRule type="cellIs" dxfId="10533" priority="56508" stopIfTrue="1" operator="notEqual">
      <formula>2</formula>
    </cfRule>
  </conditionalFormatting>
  <conditionalFormatting sqref="C52">
    <cfRule type="cellIs" dxfId="10532" priority="56509" stopIfTrue="1" operator="notEqual">
      <formula>4</formula>
    </cfRule>
  </conditionalFormatting>
  <conditionalFormatting sqref="D52">
    <cfRule type="cellIs" dxfId="10531" priority="56510" stopIfTrue="1" operator="notEqual">
      <formula>0.74</formula>
    </cfRule>
  </conditionalFormatting>
  <conditionalFormatting sqref="E52">
    <cfRule type="cellIs" dxfId="10530" priority="56511" stopIfTrue="1" operator="notEqual">
      <formula>"MGD"</formula>
    </cfRule>
  </conditionalFormatting>
  <conditionalFormatting sqref="F52">
    <cfRule type="cellIs" dxfId="10529" priority="56512" stopIfTrue="1" operator="notEqual">
      <formula>0.251</formula>
    </cfRule>
  </conditionalFormatting>
  <conditionalFormatting sqref="G52">
    <cfRule type="cellIs" dxfId="10528" priority="56513" stopIfTrue="1" operator="notEqual">
      <formula>"MGD"</formula>
    </cfRule>
  </conditionalFormatting>
  <conditionalFormatting sqref="H52">
    <cfRule type="cellIs" dxfId="10527" priority="56514" stopIfTrue="1" operator="notEqual">
      <formula>"throwaway (radioactive)"</formula>
    </cfRule>
  </conditionalFormatting>
  <conditionalFormatting sqref="I52">
    <cfRule type="cellIs" dxfId="10526" priority="56515" stopIfTrue="1" operator="notEqual">
      <formula>"carbon life value- months"</formula>
    </cfRule>
  </conditionalFormatting>
  <conditionalFormatting sqref="J52">
    <cfRule type="cellIs" dxfId="10525" priority="56516" stopIfTrue="1" operator="notEqual">
      <formula>24</formula>
    </cfRule>
  </conditionalFormatting>
  <conditionalFormatting sqref="K52">
    <cfRule type="expression" dxfId="10524" priority="56517" stopIfTrue="1">
      <formula>NOT(ISBLANK($K$52))</formula>
    </cfRule>
  </conditionalFormatting>
  <conditionalFormatting sqref="L52">
    <cfRule type="expression" dxfId="10523" priority="56518" stopIfTrue="1">
      <formula>NOT(ISBLANK($L$52))</formula>
    </cfRule>
  </conditionalFormatting>
  <conditionalFormatting sqref="M52">
    <cfRule type="expression" dxfId="10522" priority="56519" stopIfTrue="1">
      <formula>NOT(ISBLANK($M$52))</formula>
    </cfRule>
  </conditionalFormatting>
  <conditionalFormatting sqref="N52">
    <cfRule type="cellIs" dxfId="10521" priority="56520" stopIfTrue="1" operator="notEqual">
      <formula>"EBCT"</formula>
    </cfRule>
  </conditionalFormatting>
  <conditionalFormatting sqref="O52">
    <cfRule type="cellIs" dxfId="10520" priority="56521" stopIfTrue="1" operator="notEqual">
      <formula>30</formula>
    </cfRule>
  </conditionalFormatting>
  <conditionalFormatting sqref="P52">
    <cfRule type="expression" dxfId="10519" priority="56522" stopIfTrue="1">
      <formula>NOT(ISBLANK($P$52))</formula>
    </cfRule>
  </conditionalFormatting>
  <conditionalFormatting sqref="Q52">
    <cfRule type="expression" dxfId="10518" priority="56523" stopIfTrue="1">
      <formula>NOT(ISBLANK($Q$52))</formula>
    </cfRule>
  </conditionalFormatting>
  <conditionalFormatting sqref="R52">
    <cfRule type="expression" dxfId="10517" priority="56524" stopIfTrue="1">
      <formula>NOT(ISBLANK($R$52))</formula>
    </cfRule>
  </conditionalFormatting>
  <conditionalFormatting sqref="S52">
    <cfRule type="expression" dxfId="10516" priority="56525" stopIfTrue="1">
      <formula>NOT(ISBLANK($S$52))</formula>
    </cfRule>
  </conditionalFormatting>
  <conditionalFormatting sqref="T52">
    <cfRule type="expression" dxfId="10515" priority="56526" stopIfTrue="1">
      <formula>NOT(ISBLANK($T$52))</formula>
    </cfRule>
  </conditionalFormatting>
  <conditionalFormatting sqref="U52">
    <cfRule type="expression" dxfId="10514" priority="56527" stopIfTrue="1">
      <formula>NOT(ISBLANK($U$52))</formula>
    </cfRule>
  </conditionalFormatting>
  <conditionalFormatting sqref="V52">
    <cfRule type="expression" dxfId="10513" priority="56528" stopIfTrue="1">
      <formula>NOT(ISBLANK($V$52))</formula>
    </cfRule>
  </conditionalFormatting>
  <conditionalFormatting sqref="W52">
    <cfRule type="cellIs" dxfId="10512" priority="56529" stopIfTrue="1" operator="notEqual">
      <formula>13.5</formula>
    </cfRule>
  </conditionalFormatting>
  <conditionalFormatting sqref="X52">
    <cfRule type="cellIs" dxfId="10511" priority="56530" stopIfTrue="1" operator="notEqual">
      <formula>13.5</formula>
    </cfRule>
  </conditionalFormatting>
  <conditionalFormatting sqref="Y52">
    <cfRule type="cellIs" dxfId="10510" priority="56531" stopIfTrue="1" operator="notEqual">
      <formula>5.7</formula>
    </cfRule>
  </conditionalFormatting>
  <conditionalFormatting sqref="Z52">
    <cfRule type="cellIs" dxfId="10509" priority="56532" stopIfTrue="1" operator="notEqual">
      <formula>168</formula>
    </cfRule>
  </conditionalFormatting>
  <conditionalFormatting sqref="AA52">
    <cfRule type="cellIs" dxfId="10508" priority="56533" stopIfTrue="1" operator="notEqual">
      <formula>"POTW"</formula>
    </cfRule>
  </conditionalFormatting>
  <conditionalFormatting sqref="AB52">
    <cfRule type="cellIs" dxfId="10507" priority="56534" stopIfTrue="1" operator="notEqual">
      <formula>"holding tank"</formula>
    </cfRule>
  </conditionalFormatting>
  <conditionalFormatting sqref="AC52">
    <cfRule type="cellIs" dxfId="10506" priority="56535" stopIfTrue="1" operator="notEqual">
      <formula>"eductors"</formula>
    </cfRule>
  </conditionalFormatting>
  <conditionalFormatting sqref="AD52">
    <cfRule type="cellIs" dxfId="10505" priority="56536" stopIfTrue="1" operator="notEqual">
      <formula>"non-hazardous"</formula>
    </cfRule>
  </conditionalFormatting>
  <conditionalFormatting sqref="AE52">
    <cfRule type="expression" dxfId="10504" priority="56537" stopIfTrue="1">
      <formula>NOT(ISBLANK($AE$52))</formula>
    </cfRule>
  </conditionalFormatting>
  <conditionalFormatting sqref="AF52">
    <cfRule type="expression" dxfId="10503" priority="56538" stopIfTrue="1">
      <formula>NOT(ISBLANK($AF$52))</formula>
    </cfRule>
  </conditionalFormatting>
  <conditionalFormatting sqref="AG52">
    <cfRule type="expression" dxfId="10502" priority="56539" stopIfTrue="1">
      <formula>NOT(ISBLANK($AG$52))</formula>
    </cfRule>
  </conditionalFormatting>
  <conditionalFormatting sqref="AH52">
    <cfRule type="expression" dxfId="10501" priority="56540" stopIfTrue="1">
      <formula>NOT(ISBLANK($AH$52))</formula>
    </cfRule>
  </conditionalFormatting>
  <conditionalFormatting sqref="AI52">
    <cfRule type="expression" dxfId="10500" priority="56541" stopIfTrue="1">
      <formula>NOT(ISBLANK($AI$52))</formula>
    </cfRule>
  </conditionalFormatting>
  <conditionalFormatting sqref="AJ52">
    <cfRule type="expression" dxfId="10499" priority="56542" stopIfTrue="1">
      <formula>NOT(ISBLANK($AJ$52))</formula>
    </cfRule>
  </conditionalFormatting>
  <conditionalFormatting sqref="AK52">
    <cfRule type="expression" dxfId="10498" priority="56543" stopIfTrue="1">
      <formula>NOT(ISBLANK($AK$52))</formula>
    </cfRule>
  </conditionalFormatting>
  <conditionalFormatting sqref="AL52">
    <cfRule type="expression" dxfId="10497" priority="56544" stopIfTrue="1">
      <formula>NOT(ISBLANK($AL$52))</formula>
    </cfRule>
  </conditionalFormatting>
  <conditionalFormatting sqref="AM52">
    <cfRule type="expression" dxfId="10496" priority="56545" stopIfTrue="1">
      <formula>NOT(ISBLANK($AM$52))</formula>
    </cfRule>
  </conditionalFormatting>
  <conditionalFormatting sqref="AN52">
    <cfRule type="expression" dxfId="10495" priority="56546" stopIfTrue="1">
      <formula>NOT(ISBLANK($AN$52))</formula>
    </cfRule>
  </conditionalFormatting>
  <conditionalFormatting sqref="AO52">
    <cfRule type="expression" dxfId="10494" priority="56547" stopIfTrue="1">
      <formula>NOT(ISBLANK($AO$52))</formula>
    </cfRule>
  </conditionalFormatting>
  <conditionalFormatting sqref="AP52">
    <cfRule type="expression" dxfId="10493" priority="56548" stopIfTrue="1">
      <formula>NOT(ISBLANK($AP$52))</formula>
    </cfRule>
  </conditionalFormatting>
  <conditionalFormatting sqref="AQ52">
    <cfRule type="expression" dxfId="10492" priority="56549" stopIfTrue="1">
      <formula>NOT(ISBLANK($AQ$52))</formula>
    </cfRule>
  </conditionalFormatting>
  <conditionalFormatting sqref="A53">
    <cfRule type="cellIs" dxfId="10491" priority="56550" stopIfTrue="1" operator="notEqual">
      <formula>3</formula>
    </cfRule>
  </conditionalFormatting>
  <conditionalFormatting sqref="B53">
    <cfRule type="cellIs" dxfId="10490" priority="56551" stopIfTrue="1" operator="notEqual">
      <formula>2</formula>
    </cfRule>
  </conditionalFormatting>
  <conditionalFormatting sqref="C53">
    <cfRule type="cellIs" dxfId="10489" priority="56552" stopIfTrue="1" operator="notEqual">
      <formula>5</formula>
    </cfRule>
  </conditionalFormatting>
  <conditionalFormatting sqref="D53">
    <cfRule type="cellIs" dxfId="10488" priority="56553" stopIfTrue="1" operator="notEqual">
      <formula>2.152</formula>
    </cfRule>
  </conditionalFormatting>
  <conditionalFormatting sqref="E53">
    <cfRule type="cellIs" dxfId="10487" priority="56554" stopIfTrue="1" operator="notEqual">
      <formula>"MGD"</formula>
    </cfRule>
  </conditionalFormatting>
  <conditionalFormatting sqref="F53">
    <cfRule type="cellIs" dxfId="10486" priority="56555" stopIfTrue="1" operator="notEqual">
      <formula>0.819</formula>
    </cfRule>
  </conditionalFormatting>
  <conditionalFormatting sqref="G53">
    <cfRule type="cellIs" dxfId="10485" priority="56556" stopIfTrue="1" operator="notEqual">
      <formula>"MGD"</formula>
    </cfRule>
  </conditionalFormatting>
  <conditionalFormatting sqref="H53">
    <cfRule type="cellIs" dxfId="10484" priority="56557" stopIfTrue="1" operator="notEqual">
      <formula>"throwaway (radioactive)"</formula>
    </cfRule>
  </conditionalFormatting>
  <conditionalFormatting sqref="I53">
    <cfRule type="cellIs" dxfId="10483" priority="56558" stopIfTrue="1" operator="notEqual">
      <formula>"carbon life value- months"</formula>
    </cfRule>
  </conditionalFormatting>
  <conditionalFormatting sqref="J53">
    <cfRule type="cellIs" dxfId="10482" priority="56559" stopIfTrue="1" operator="notEqual">
      <formula>24</formula>
    </cfRule>
  </conditionalFormatting>
  <conditionalFormatting sqref="K53">
    <cfRule type="expression" dxfId="10481" priority="56560" stopIfTrue="1">
      <formula>NOT(ISBLANK($K$53))</formula>
    </cfRule>
  </conditionalFormatting>
  <conditionalFormatting sqref="L53">
    <cfRule type="expression" dxfId="10480" priority="56561" stopIfTrue="1">
      <formula>NOT(ISBLANK($L$53))</formula>
    </cfRule>
  </conditionalFormatting>
  <conditionalFormatting sqref="M53">
    <cfRule type="expression" dxfId="10479" priority="56562" stopIfTrue="1">
      <formula>NOT(ISBLANK($M$53))</formula>
    </cfRule>
  </conditionalFormatting>
  <conditionalFormatting sqref="N53">
    <cfRule type="cellIs" dxfId="10478" priority="56563" stopIfTrue="1" operator="notEqual">
      <formula>"EBCT"</formula>
    </cfRule>
  </conditionalFormatting>
  <conditionalFormatting sqref="O53">
    <cfRule type="cellIs" dxfId="10477" priority="56564" stopIfTrue="1" operator="notEqual">
      <formula>30</formula>
    </cfRule>
  </conditionalFormatting>
  <conditionalFormatting sqref="P53">
    <cfRule type="expression" dxfId="10476" priority="56565" stopIfTrue="1">
      <formula>NOT(ISBLANK($P$53))</formula>
    </cfRule>
  </conditionalFormatting>
  <conditionalFormatting sqref="Q53">
    <cfRule type="expression" dxfId="10475" priority="56566" stopIfTrue="1">
      <formula>NOT(ISBLANK($Q$53))</formula>
    </cfRule>
  </conditionalFormatting>
  <conditionalFormatting sqref="R53">
    <cfRule type="expression" dxfId="10474" priority="56567" stopIfTrue="1">
      <formula>NOT(ISBLANK($R$53))</formula>
    </cfRule>
  </conditionalFormatting>
  <conditionalFormatting sqref="S53">
    <cfRule type="expression" dxfId="10473" priority="56568" stopIfTrue="1">
      <formula>NOT(ISBLANK($S$53))</formula>
    </cfRule>
  </conditionalFormatting>
  <conditionalFormatting sqref="T53">
    <cfRule type="expression" dxfId="10472" priority="56569" stopIfTrue="1">
      <formula>NOT(ISBLANK($T$53))</formula>
    </cfRule>
  </conditionalFormatting>
  <conditionalFormatting sqref="U53">
    <cfRule type="expression" dxfId="10471" priority="56570" stopIfTrue="1">
      <formula>NOT(ISBLANK($U$53))</formula>
    </cfRule>
  </conditionalFormatting>
  <conditionalFormatting sqref="V53">
    <cfRule type="expression" dxfId="10470" priority="56571" stopIfTrue="1">
      <formula>NOT(ISBLANK($V$53))</formula>
    </cfRule>
  </conditionalFormatting>
  <conditionalFormatting sqref="W53">
    <cfRule type="cellIs" dxfId="10469" priority="56572" stopIfTrue="1" operator="notEqual">
      <formula>10.5</formula>
    </cfRule>
  </conditionalFormatting>
  <conditionalFormatting sqref="X53">
    <cfRule type="cellIs" dxfId="10468" priority="56573" stopIfTrue="1" operator="notEqual">
      <formula>10.5</formula>
    </cfRule>
  </conditionalFormatting>
  <conditionalFormatting sqref="Y53">
    <cfRule type="cellIs" dxfId="10467" priority="56574" stopIfTrue="1" operator="notEqual">
      <formula>7.8</formula>
    </cfRule>
  </conditionalFormatting>
  <conditionalFormatting sqref="Z53">
    <cfRule type="cellIs" dxfId="10466" priority="56575" stopIfTrue="1" operator="notEqual">
      <formula>168</formula>
    </cfRule>
  </conditionalFormatting>
  <conditionalFormatting sqref="AA53">
    <cfRule type="cellIs" dxfId="10465" priority="56576" stopIfTrue="1" operator="notEqual">
      <formula>"POTW"</formula>
    </cfRule>
  </conditionalFormatting>
  <conditionalFormatting sqref="AB53">
    <cfRule type="cellIs" dxfId="10464" priority="56577" stopIfTrue="1" operator="notEqual">
      <formula>"holding tank"</formula>
    </cfRule>
  </conditionalFormatting>
  <conditionalFormatting sqref="AC53">
    <cfRule type="cellIs" dxfId="10463" priority="56578" stopIfTrue="1" operator="notEqual">
      <formula>"eductors"</formula>
    </cfRule>
  </conditionalFormatting>
  <conditionalFormatting sqref="AD53">
    <cfRule type="cellIs" dxfId="10462" priority="56579" stopIfTrue="1" operator="notEqual">
      <formula>"non-hazardous"</formula>
    </cfRule>
  </conditionalFormatting>
  <conditionalFormatting sqref="AE53">
    <cfRule type="expression" dxfId="10461" priority="56580" stopIfTrue="1">
      <formula>NOT(ISBLANK($AE$53))</formula>
    </cfRule>
  </conditionalFormatting>
  <conditionalFormatting sqref="AF53">
    <cfRule type="expression" dxfId="10460" priority="56581" stopIfTrue="1">
      <formula>NOT(ISBLANK($AF$53))</formula>
    </cfRule>
  </conditionalFormatting>
  <conditionalFormatting sqref="AG53">
    <cfRule type="expression" dxfId="10459" priority="56582" stopIfTrue="1">
      <formula>NOT(ISBLANK($AG$53))</formula>
    </cfRule>
  </conditionalFormatting>
  <conditionalFormatting sqref="AH53">
    <cfRule type="expression" dxfId="10458" priority="56583" stopIfTrue="1">
      <formula>NOT(ISBLANK($AH$53))</formula>
    </cfRule>
  </conditionalFormatting>
  <conditionalFormatting sqref="AI53">
    <cfRule type="expression" dxfId="10457" priority="56584" stopIfTrue="1">
      <formula>NOT(ISBLANK($AI$53))</formula>
    </cfRule>
  </conditionalFormatting>
  <conditionalFormatting sqref="AJ53">
    <cfRule type="expression" dxfId="10456" priority="56585" stopIfTrue="1">
      <formula>NOT(ISBLANK($AJ$53))</formula>
    </cfRule>
  </conditionalFormatting>
  <conditionalFormatting sqref="AK53">
    <cfRule type="expression" dxfId="10455" priority="56586" stopIfTrue="1">
      <formula>NOT(ISBLANK($AK$53))</formula>
    </cfRule>
  </conditionalFormatting>
  <conditionalFormatting sqref="AL53">
    <cfRule type="expression" dxfId="10454" priority="56587" stopIfTrue="1">
      <formula>NOT(ISBLANK($AL$53))</formula>
    </cfRule>
  </conditionalFormatting>
  <conditionalFormatting sqref="AM53">
    <cfRule type="expression" dxfId="10453" priority="56588" stopIfTrue="1">
      <formula>NOT(ISBLANK($AM$53))</formula>
    </cfRule>
  </conditionalFormatting>
  <conditionalFormatting sqref="AN53">
    <cfRule type="expression" dxfId="10452" priority="56589" stopIfTrue="1">
      <formula>NOT(ISBLANK($AN$53))</formula>
    </cfRule>
  </conditionalFormatting>
  <conditionalFormatting sqref="AO53">
    <cfRule type="expression" dxfId="10451" priority="56590" stopIfTrue="1">
      <formula>NOT(ISBLANK($AO$53))</formula>
    </cfRule>
  </conditionalFormatting>
  <conditionalFormatting sqref="AP53">
    <cfRule type="expression" dxfId="10450" priority="56591" stopIfTrue="1">
      <formula>NOT(ISBLANK($AP$53))</formula>
    </cfRule>
  </conditionalFormatting>
  <conditionalFormatting sqref="AQ53">
    <cfRule type="expression" dxfId="10449" priority="56592" stopIfTrue="1">
      <formula>NOT(ISBLANK($AQ$53))</formula>
    </cfRule>
  </conditionalFormatting>
  <conditionalFormatting sqref="A54">
    <cfRule type="cellIs" dxfId="10448" priority="56593" stopIfTrue="1" operator="notEqual">
      <formula>3</formula>
    </cfRule>
  </conditionalFormatting>
  <conditionalFormatting sqref="B54">
    <cfRule type="cellIs" dxfId="10447" priority="56594" stopIfTrue="1" operator="notEqual">
      <formula>2</formula>
    </cfRule>
  </conditionalFormatting>
  <conditionalFormatting sqref="C54">
    <cfRule type="cellIs" dxfId="10446" priority="56595" stopIfTrue="1" operator="notEqual">
      <formula>6</formula>
    </cfRule>
  </conditionalFormatting>
  <conditionalFormatting sqref="D54">
    <cfRule type="cellIs" dxfId="10445" priority="56596" stopIfTrue="1" operator="notEqual">
      <formula>7.365</formula>
    </cfRule>
  </conditionalFormatting>
  <conditionalFormatting sqref="E54">
    <cfRule type="cellIs" dxfId="10444" priority="56597" stopIfTrue="1" operator="notEqual">
      <formula>"MGD"</formula>
    </cfRule>
  </conditionalFormatting>
  <conditionalFormatting sqref="F54">
    <cfRule type="cellIs" dxfId="10443" priority="56598" stopIfTrue="1" operator="notEqual">
      <formula>3.2</formula>
    </cfRule>
  </conditionalFormatting>
  <conditionalFormatting sqref="G54">
    <cfRule type="cellIs" dxfId="10442" priority="56599" stopIfTrue="1" operator="notEqual">
      <formula>"MGD"</formula>
    </cfRule>
  </conditionalFormatting>
  <conditionalFormatting sqref="H54">
    <cfRule type="cellIs" dxfId="10441" priority="56600" stopIfTrue="1" operator="notEqual">
      <formula>"throwaway (radioactive)"</formula>
    </cfRule>
  </conditionalFormatting>
  <conditionalFormatting sqref="I54">
    <cfRule type="cellIs" dxfId="10440" priority="56601" stopIfTrue="1" operator="notEqual">
      <formula>"carbon life value- months"</formula>
    </cfRule>
  </conditionalFormatting>
  <conditionalFormatting sqref="J54">
    <cfRule type="cellIs" dxfId="10439" priority="56602" stopIfTrue="1" operator="notEqual">
      <formula>24</formula>
    </cfRule>
  </conditionalFormatting>
  <conditionalFormatting sqref="K54">
    <cfRule type="expression" dxfId="10438" priority="56603" stopIfTrue="1">
      <formula>NOT(ISBLANK($K$54))</formula>
    </cfRule>
  </conditionalFormatting>
  <conditionalFormatting sqref="L54">
    <cfRule type="expression" dxfId="10437" priority="56604" stopIfTrue="1">
      <formula>NOT(ISBLANK($L$54))</formula>
    </cfRule>
  </conditionalFormatting>
  <conditionalFormatting sqref="M54">
    <cfRule type="expression" dxfId="10436" priority="56605" stopIfTrue="1">
      <formula>NOT(ISBLANK($M$54))</formula>
    </cfRule>
  </conditionalFormatting>
  <conditionalFormatting sqref="N54">
    <cfRule type="cellIs" dxfId="10435" priority="56606" stopIfTrue="1" operator="notEqual">
      <formula>"EBCT"</formula>
    </cfRule>
  </conditionalFormatting>
  <conditionalFormatting sqref="O54">
    <cfRule type="cellIs" dxfId="10434" priority="56607" stopIfTrue="1" operator="notEqual">
      <formula>30</formula>
    </cfRule>
  </conditionalFormatting>
  <conditionalFormatting sqref="P54">
    <cfRule type="expression" dxfId="10433" priority="56608" stopIfTrue="1">
      <formula>NOT(ISBLANK($P$54))</formula>
    </cfRule>
  </conditionalFormatting>
  <conditionalFormatting sqref="Q54">
    <cfRule type="expression" dxfId="10432" priority="56609" stopIfTrue="1">
      <formula>NOT(ISBLANK($Q$54))</formula>
    </cfRule>
  </conditionalFormatting>
  <conditionalFormatting sqref="R54">
    <cfRule type="expression" dxfId="10431" priority="56610" stopIfTrue="1">
      <formula>NOT(ISBLANK($R$54))</formula>
    </cfRule>
  </conditionalFormatting>
  <conditionalFormatting sqref="S54">
    <cfRule type="expression" dxfId="10430" priority="56611" stopIfTrue="1">
      <formula>NOT(ISBLANK($S$54))</formula>
    </cfRule>
  </conditionalFormatting>
  <conditionalFormatting sqref="T54">
    <cfRule type="expression" dxfId="10429" priority="56612" stopIfTrue="1">
      <formula>NOT(ISBLANK($T$54))</formula>
    </cfRule>
  </conditionalFormatting>
  <conditionalFormatting sqref="U54">
    <cfRule type="expression" dxfId="10428" priority="56613" stopIfTrue="1">
      <formula>NOT(ISBLANK($U$54))</formula>
    </cfRule>
  </conditionalFormatting>
  <conditionalFormatting sqref="V54">
    <cfRule type="expression" dxfId="10427" priority="56614" stopIfTrue="1">
      <formula>NOT(ISBLANK($V$54))</formula>
    </cfRule>
  </conditionalFormatting>
  <conditionalFormatting sqref="W54">
    <cfRule type="cellIs" dxfId="10426" priority="56615" stopIfTrue="1" operator="notEqual">
      <formula>15</formula>
    </cfRule>
  </conditionalFormatting>
  <conditionalFormatting sqref="X54">
    <cfRule type="cellIs" dxfId="10425" priority="56616" stopIfTrue="1" operator="notEqual">
      <formula>15</formula>
    </cfRule>
  </conditionalFormatting>
  <conditionalFormatting sqref="Y54">
    <cfRule type="cellIs" dxfId="10424" priority="56617" stopIfTrue="1" operator="notEqual">
      <formula>7.6</formula>
    </cfRule>
  </conditionalFormatting>
  <conditionalFormatting sqref="Z54">
    <cfRule type="cellIs" dxfId="10423" priority="56618" stopIfTrue="1" operator="notEqual">
      <formula>168</formula>
    </cfRule>
  </conditionalFormatting>
  <conditionalFormatting sqref="AA54">
    <cfRule type="cellIs" dxfId="10422" priority="56619" stopIfTrue="1" operator="notEqual">
      <formula>"POTW"</formula>
    </cfRule>
  </conditionalFormatting>
  <conditionalFormatting sqref="AB54">
    <cfRule type="cellIs" dxfId="10421" priority="56620" stopIfTrue="1" operator="notEqual">
      <formula>"holding tank"</formula>
    </cfRule>
  </conditionalFormatting>
  <conditionalFormatting sqref="AC54">
    <cfRule type="cellIs" dxfId="10420" priority="56621" stopIfTrue="1" operator="notEqual">
      <formula>"eductors"</formula>
    </cfRule>
  </conditionalFormatting>
  <conditionalFormatting sqref="AD54">
    <cfRule type="cellIs" dxfId="10419" priority="56622" stopIfTrue="1" operator="notEqual">
      <formula>"non-hazardous"</formula>
    </cfRule>
  </conditionalFormatting>
  <conditionalFormatting sqref="AE54">
    <cfRule type="expression" dxfId="10418" priority="56623" stopIfTrue="1">
      <formula>NOT(ISBLANK($AE$54))</formula>
    </cfRule>
  </conditionalFormatting>
  <conditionalFormatting sqref="AF54">
    <cfRule type="expression" dxfId="10417" priority="56624" stopIfTrue="1">
      <formula>NOT(ISBLANK($AF$54))</formula>
    </cfRule>
  </conditionalFormatting>
  <conditionalFormatting sqref="AG54">
    <cfRule type="expression" dxfId="10416" priority="56625" stopIfTrue="1">
      <formula>NOT(ISBLANK($AG$54))</formula>
    </cfRule>
  </conditionalFormatting>
  <conditionalFormatting sqref="AH54">
    <cfRule type="expression" dxfId="10415" priority="56626" stopIfTrue="1">
      <formula>NOT(ISBLANK($AH$54))</formula>
    </cfRule>
  </conditionalFormatting>
  <conditionalFormatting sqref="AI54">
    <cfRule type="expression" dxfId="10414" priority="56627" stopIfTrue="1">
      <formula>NOT(ISBLANK($AI$54))</formula>
    </cfRule>
  </conditionalFormatting>
  <conditionalFormatting sqref="AJ54">
    <cfRule type="expression" dxfId="10413" priority="56628" stopIfTrue="1">
      <formula>NOT(ISBLANK($AJ$54))</formula>
    </cfRule>
  </conditionalFormatting>
  <conditionalFormatting sqref="AK54">
    <cfRule type="expression" dxfId="10412" priority="56629" stopIfTrue="1">
      <formula>NOT(ISBLANK($AK$54))</formula>
    </cfRule>
  </conditionalFormatting>
  <conditionalFormatting sqref="AL54">
    <cfRule type="expression" dxfId="10411" priority="56630" stopIfTrue="1">
      <formula>NOT(ISBLANK($AL$54))</formula>
    </cfRule>
  </conditionalFormatting>
  <conditionalFormatting sqref="AM54">
    <cfRule type="expression" dxfId="10410" priority="56631" stopIfTrue="1">
      <formula>NOT(ISBLANK($AM$54))</formula>
    </cfRule>
  </conditionalFormatting>
  <conditionalFormatting sqref="AN54">
    <cfRule type="expression" dxfId="10409" priority="56632" stopIfTrue="1">
      <formula>NOT(ISBLANK($AN$54))</formula>
    </cfRule>
  </conditionalFormatting>
  <conditionalFormatting sqref="AO54">
    <cfRule type="expression" dxfId="10408" priority="56633" stopIfTrue="1">
      <formula>NOT(ISBLANK($AO$54))</formula>
    </cfRule>
  </conditionalFormatting>
  <conditionalFormatting sqref="AP54">
    <cfRule type="expression" dxfId="10407" priority="56634" stopIfTrue="1">
      <formula>NOT(ISBLANK($AP$54))</formula>
    </cfRule>
  </conditionalFormatting>
  <conditionalFormatting sqref="AQ54">
    <cfRule type="expression" dxfId="10406" priority="56635" stopIfTrue="1">
      <formula>NOT(ISBLANK($AQ$54))</formula>
    </cfRule>
  </conditionalFormatting>
  <conditionalFormatting sqref="A55">
    <cfRule type="cellIs" dxfId="10405" priority="56636" stopIfTrue="1" operator="notEqual">
      <formula>3</formula>
    </cfRule>
  </conditionalFormatting>
  <conditionalFormatting sqref="B55">
    <cfRule type="cellIs" dxfId="10404" priority="56637" stopIfTrue="1" operator="notEqual">
      <formula>2</formula>
    </cfRule>
  </conditionalFormatting>
  <conditionalFormatting sqref="C55">
    <cfRule type="cellIs" dxfId="10403" priority="56638" stopIfTrue="1" operator="notEqual">
      <formula>7</formula>
    </cfRule>
  </conditionalFormatting>
  <conditionalFormatting sqref="D55">
    <cfRule type="cellIs" dxfId="10402" priority="56639" stopIfTrue="1" operator="notEqual">
      <formula>22.614</formula>
    </cfRule>
  </conditionalFormatting>
  <conditionalFormatting sqref="E55">
    <cfRule type="cellIs" dxfId="10401" priority="56640" stopIfTrue="1" operator="notEqual">
      <formula>"MGD"</formula>
    </cfRule>
  </conditionalFormatting>
  <conditionalFormatting sqref="F55">
    <cfRule type="cellIs" dxfId="10400" priority="56641" stopIfTrue="1" operator="notEqual">
      <formula>11.066</formula>
    </cfRule>
  </conditionalFormatting>
  <conditionalFormatting sqref="G55">
    <cfRule type="cellIs" dxfId="10399" priority="56642" stopIfTrue="1" operator="notEqual">
      <formula>"MGD"</formula>
    </cfRule>
  </conditionalFormatting>
  <conditionalFormatting sqref="H55">
    <cfRule type="cellIs" dxfId="10398" priority="56643" stopIfTrue="1" operator="notEqual">
      <formula>"throwaway (radioactive)"</formula>
    </cfRule>
  </conditionalFormatting>
  <conditionalFormatting sqref="I55">
    <cfRule type="cellIs" dxfId="10397" priority="56644" stopIfTrue="1" operator="notEqual">
      <formula>"carbon life value- months"</formula>
    </cfRule>
  </conditionalFormatting>
  <conditionalFormatting sqref="J55">
    <cfRule type="cellIs" dxfId="10396" priority="56645" stopIfTrue="1" operator="notEqual">
      <formula>24</formula>
    </cfRule>
  </conditionalFormatting>
  <conditionalFormatting sqref="K55">
    <cfRule type="expression" dxfId="10395" priority="56646" stopIfTrue="1">
      <formula>NOT(ISBLANK($K$55))</formula>
    </cfRule>
  </conditionalFormatting>
  <conditionalFormatting sqref="L55">
    <cfRule type="expression" dxfId="10394" priority="56647" stopIfTrue="1">
      <formula>NOT(ISBLANK($L$55))</formula>
    </cfRule>
  </conditionalFormatting>
  <conditionalFormatting sqref="M55">
    <cfRule type="expression" dxfId="10393" priority="56648" stopIfTrue="1">
      <formula>NOT(ISBLANK($M$55))</formula>
    </cfRule>
  </conditionalFormatting>
  <conditionalFormatting sqref="N55">
    <cfRule type="cellIs" dxfId="10392" priority="56649" stopIfTrue="1" operator="notEqual">
      <formula>"EBCT"</formula>
    </cfRule>
  </conditionalFormatting>
  <conditionalFormatting sqref="O55">
    <cfRule type="cellIs" dxfId="10391" priority="56650" stopIfTrue="1" operator="notEqual">
      <formula>30</formula>
    </cfRule>
  </conditionalFormatting>
  <conditionalFormatting sqref="P55">
    <cfRule type="expression" dxfId="10390" priority="56651" stopIfTrue="1">
      <formula>NOT(ISBLANK($P$55))</formula>
    </cfRule>
  </conditionalFormatting>
  <conditionalFormatting sqref="Q55">
    <cfRule type="expression" dxfId="10389" priority="56652" stopIfTrue="1">
      <formula>NOT(ISBLANK($Q$55))</formula>
    </cfRule>
  </conditionalFormatting>
  <conditionalFormatting sqref="R55">
    <cfRule type="expression" dxfId="10388" priority="56653" stopIfTrue="1">
      <formula>NOT(ISBLANK($R$55))</formula>
    </cfRule>
  </conditionalFormatting>
  <conditionalFormatting sqref="S55">
    <cfRule type="expression" dxfId="10387" priority="56654" stopIfTrue="1">
      <formula>NOT(ISBLANK($S$55))</formula>
    </cfRule>
  </conditionalFormatting>
  <conditionalFormatting sqref="T55">
    <cfRule type="expression" dxfId="10386" priority="56655" stopIfTrue="1">
      <formula>NOT(ISBLANK($T$55))</formula>
    </cfRule>
  </conditionalFormatting>
  <conditionalFormatting sqref="U55">
    <cfRule type="expression" dxfId="10385" priority="56656" stopIfTrue="1">
      <formula>NOT(ISBLANK($U$55))</formula>
    </cfRule>
  </conditionalFormatting>
  <conditionalFormatting sqref="V55">
    <cfRule type="expression" dxfId="10384" priority="56657" stopIfTrue="1">
      <formula>NOT(ISBLANK($V$55))</formula>
    </cfRule>
  </conditionalFormatting>
  <conditionalFormatting sqref="W55">
    <cfRule type="cellIs" dxfId="10383" priority="56658" stopIfTrue="1" operator="notEqual">
      <formula>15</formula>
    </cfRule>
  </conditionalFormatting>
  <conditionalFormatting sqref="X55">
    <cfRule type="cellIs" dxfId="10382" priority="56659" stopIfTrue="1" operator="notEqual">
      <formula>15</formula>
    </cfRule>
  </conditionalFormatting>
  <conditionalFormatting sqref="Y55">
    <cfRule type="cellIs" dxfId="10381" priority="56660" stopIfTrue="1" operator="notEqual">
      <formula>8</formula>
    </cfRule>
  </conditionalFormatting>
  <conditionalFormatting sqref="Z55">
    <cfRule type="cellIs" dxfId="10380" priority="56661" stopIfTrue="1" operator="notEqual">
      <formula>168</formula>
    </cfRule>
  </conditionalFormatting>
  <conditionalFormatting sqref="AA55">
    <cfRule type="cellIs" dxfId="10379" priority="56662" stopIfTrue="1" operator="notEqual">
      <formula>"POTW"</formula>
    </cfRule>
  </conditionalFormatting>
  <conditionalFormatting sqref="AB55">
    <cfRule type="cellIs" dxfId="10378" priority="56663" stopIfTrue="1" operator="notEqual">
      <formula>"holding tank"</formula>
    </cfRule>
  </conditionalFormatting>
  <conditionalFormatting sqref="AC55">
    <cfRule type="cellIs" dxfId="10377" priority="56664" stopIfTrue="1" operator="notEqual">
      <formula>"eductors"</formula>
    </cfRule>
  </conditionalFormatting>
  <conditionalFormatting sqref="AD55">
    <cfRule type="cellIs" dxfId="10376" priority="56665" stopIfTrue="1" operator="notEqual">
      <formula>"non-hazardous"</formula>
    </cfRule>
  </conditionalFormatting>
  <conditionalFormatting sqref="AE55">
    <cfRule type="expression" dxfId="10375" priority="56666" stopIfTrue="1">
      <formula>NOT(ISBLANK($AE$55))</formula>
    </cfRule>
  </conditionalFormatting>
  <conditionalFormatting sqref="AF55">
    <cfRule type="expression" dxfId="10374" priority="56667" stopIfTrue="1">
      <formula>NOT(ISBLANK($AF$55))</formula>
    </cfRule>
  </conditionalFormatting>
  <conditionalFormatting sqref="AG55">
    <cfRule type="expression" dxfId="10373" priority="56668" stopIfTrue="1">
      <formula>NOT(ISBLANK($AG$55))</formula>
    </cfRule>
  </conditionalFormatting>
  <conditionalFormatting sqref="AH55">
    <cfRule type="expression" dxfId="10372" priority="56669" stopIfTrue="1">
      <formula>NOT(ISBLANK($AH$55))</formula>
    </cfRule>
  </conditionalFormatting>
  <conditionalFormatting sqref="AI55">
    <cfRule type="expression" dxfId="10371" priority="56670" stopIfTrue="1">
      <formula>NOT(ISBLANK($AI$55))</formula>
    </cfRule>
  </conditionalFormatting>
  <conditionalFormatting sqref="AJ55">
    <cfRule type="expression" dxfId="10370" priority="56671" stopIfTrue="1">
      <formula>NOT(ISBLANK($AJ$55))</formula>
    </cfRule>
  </conditionalFormatting>
  <conditionalFormatting sqref="AK55">
    <cfRule type="expression" dxfId="10369" priority="56672" stopIfTrue="1">
      <formula>NOT(ISBLANK($AK$55))</formula>
    </cfRule>
  </conditionalFormatting>
  <conditionalFormatting sqref="AL55">
    <cfRule type="expression" dxfId="10368" priority="56673" stopIfTrue="1">
      <formula>NOT(ISBLANK($AL$55))</formula>
    </cfRule>
  </conditionalFormatting>
  <conditionalFormatting sqref="AM55">
    <cfRule type="expression" dxfId="10367" priority="56674" stopIfTrue="1">
      <formula>NOT(ISBLANK($AM$55))</formula>
    </cfRule>
  </conditionalFormatting>
  <conditionalFormatting sqref="AN55">
    <cfRule type="expression" dxfId="10366" priority="56675" stopIfTrue="1">
      <formula>NOT(ISBLANK($AN$55))</formula>
    </cfRule>
  </conditionalFormatting>
  <conditionalFormatting sqref="AO55">
    <cfRule type="expression" dxfId="10365" priority="56676" stopIfTrue="1">
      <formula>NOT(ISBLANK($AO$55))</formula>
    </cfRule>
  </conditionalFormatting>
  <conditionalFormatting sqref="AP55">
    <cfRule type="expression" dxfId="10364" priority="56677" stopIfTrue="1">
      <formula>NOT(ISBLANK($AP$55))</formula>
    </cfRule>
  </conditionalFormatting>
  <conditionalFormatting sqref="AQ55">
    <cfRule type="expression" dxfId="10363" priority="56678" stopIfTrue="1">
      <formula>NOT(ISBLANK($AQ$55))</formula>
    </cfRule>
  </conditionalFormatting>
  <conditionalFormatting sqref="A56">
    <cfRule type="cellIs" dxfId="10362" priority="56679" stopIfTrue="1" operator="notEqual">
      <formula>3</formula>
    </cfRule>
  </conditionalFormatting>
  <conditionalFormatting sqref="B56">
    <cfRule type="cellIs" dxfId="10361" priority="56680" stopIfTrue="1" operator="notEqual">
      <formula>2</formula>
    </cfRule>
  </conditionalFormatting>
  <conditionalFormatting sqref="C56">
    <cfRule type="cellIs" dxfId="10360" priority="56681" stopIfTrue="1" operator="notEqual">
      <formula>8</formula>
    </cfRule>
  </conditionalFormatting>
  <conditionalFormatting sqref="D56">
    <cfRule type="cellIs" dxfId="10359" priority="56682" stopIfTrue="1" operator="notEqual">
      <formula>75.072</formula>
    </cfRule>
  </conditionalFormatting>
  <conditionalFormatting sqref="E56">
    <cfRule type="cellIs" dxfId="10358" priority="56683" stopIfTrue="1" operator="notEqual">
      <formula>"MGD"</formula>
    </cfRule>
  </conditionalFormatting>
  <conditionalFormatting sqref="F56">
    <cfRule type="cellIs" dxfId="10357" priority="56684" stopIfTrue="1" operator="notEqual">
      <formula>37.536</formula>
    </cfRule>
  </conditionalFormatting>
  <conditionalFormatting sqref="G56">
    <cfRule type="cellIs" dxfId="10356" priority="56685" stopIfTrue="1" operator="notEqual">
      <formula>"MGD"</formula>
    </cfRule>
  </conditionalFormatting>
  <conditionalFormatting sqref="H56">
    <cfRule type="cellIs" dxfId="10355" priority="56686" stopIfTrue="1" operator="notEqual">
      <formula>"throwaway (radioactive)"</formula>
    </cfRule>
  </conditionalFormatting>
  <conditionalFormatting sqref="I56">
    <cfRule type="cellIs" dxfId="10354" priority="56687" stopIfTrue="1" operator="notEqual">
      <formula>"carbon life value- months"</formula>
    </cfRule>
  </conditionalFormatting>
  <conditionalFormatting sqref="J56">
    <cfRule type="cellIs" dxfId="10353" priority="56688" stopIfTrue="1" operator="notEqual">
      <formula>24</formula>
    </cfRule>
  </conditionalFormatting>
  <conditionalFormatting sqref="K56">
    <cfRule type="expression" dxfId="10352" priority="56689" stopIfTrue="1">
      <formula>NOT(ISBLANK($K$56))</formula>
    </cfRule>
  </conditionalFormatting>
  <conditionalFormatting sqref="L56">
    <cfRule type="expression" dxfId="10351" priority="56690" stopIfTrue="1">
      <formula>NOT(ISBLANK($L$56))</formula>
    </cfRule>
  </conditionalFormatting>
  <conditionalFormatting sqref="M56">
    <cfRule type="expression" dxfId="10350" priority="56691" stopIfTrue="1">
      <formula>NOT(ISBLANK($M$56))</formula>
    </cfRule>
  </conditionalFormatting>
  <conditionalFormatting sqref="N56">
    <cfRule type="cellIs" dxfId="10349" priority="56692" stopIfTrue="1" operator="notEqual">
      <formula>"EBCT"</formula>
    </cfRule>
  </conditionalFormatting>
  <conditionalFormatting sqref="O56">
    <cfRule type="cellIs" dxfId="10348" priority="56693" stopIfTrue="1" operator="notEqual">
      <formula>30</formula>
    </cfRule>
  </conditionalFormatting>
  <conditionalFormatting sqref="P56">
    <cfRule type="expression" dxfId="10347" priority="56694" stopIfTrue="1">
      <formula>NOT(ISBLANK($P$56))</formula>
    </cfRule>
  </conditionalFormatting>
  <conditionalFormatting sqref="Q56">
    <cfRule type="expression" dxfId="10346" priority="56695" stopIfTrue="1">
      <formula>NOT(ISBLANK($Q$56))</formula>
    </cfRule>
  </conditionalFormatting>
  <conditionalFormatting sqref="R56">
    <cfRule type="expression" dxfId="10345" priority="56696" stopIfTrue="1">
      <formula>NOT(ISBLANK($R$56))</formula>
    </cfRule>
  </conditionalFormatting>
  <conditionalFormatting sqref="S56">
    <cfRule type="expression" dxfId="10344" priority="56697" stopIfTrue="1">
      <formula>NOT(ISBLANK($S$56))</formula>
    </cfRule>
  </conditionalFormatting>
  <conditionalFormatting sqref="T56">
    <cfRule type="expression" dxfId="10343" priority="56698" stopIfTrue="1">
      <formula>NOT(ISBLANK($T$56))</formula>
    </cfRule>
  </conditionalFormatting>
  <conditionalFormatting sqref="U56">
    <cfRule type="expression" dxfId="10342" priority="56699" stopIfTrue="1">
      <formula>NOT(ISBLANK($U$56))</formula>
    </cfRule>
  </conditionalFormatting>
  <conditionalFormatting sqref="V56">
    <cfRule type="expression" dxfId="10341" priority="56700" stopIfTrue="1">
      <formula>NOT(ISBLANK($V$56))</formula>
    </cfRule>
  </conditionalFormatting>
  <conditionalFormatting sqref="W56">
    <cfRule type="cellIs" dxfId="10340" priority="56701" stopIfTrue="1" operator="notEqual">
      <formula>27.5</formula>
    </cfRule>
  </conditionalFormatting>
  <conditionalFormatting sqref="X56">
    <cfRule type="cellIs" dxfId="10339" priority="56702" stopIfTrue="1" operator="notEqual">
      <formula>27.5</formula>
    </cfRule>
  </conditionalFormatting>
  <conditionalFormatting sqref="Y56">
    <cfRule type="cellIs" dxfId="10338" priority="56703" stopIfTrue="1" operator="notEqual">
      <formula>7.9</formula>
    </cfRule>
  </conditionalFormatting>
  <conditionalFormatting sqref="Z56">
    <cfRule type="cellIs" dxfId="10337" priority="56704" stopIfTrue="1" operator="notEqual">
      <formula>168</formula>
    </cfRule>
  </conditionalFormatting>
  <conditionalFormatting sqref="AA56">
    <cfRule type="cellIs" dxfId="10336" priority="56705" stopIfTrue="1" operator="notEqual">
      <formula>"POTW"</formula>
    </cfRule>
  </conditionalFormatting>
  <conditionalFormatting sqref="AB56">
    <cfRule type="cellIs" dxfId="10335" priority="56706" stopIfTrue="1" operator="notEqual">
      <formula>"holding tank"</formula>
    </cfRule>
  </conditionalFormatting>
  <conditionalFormatting sqref="AC56">
    <cfRule type="cellIs" dxfId="10334" priority="56707" stopIfTrue="1" operator="notEqual">
      <formula>"eductors"</formula>
    </cfRule>
  </conditionalFormatting>
  <conditionalFormatting sqref="AD56">
    <cfRule type="cellIs" dxfId="10333" priority="56708" stopIfTrue="1" operator="notEqual">
      <formula>"non-hazardous"</formula>
    </cfRule>
  </conditionalFormatting>
  <conditionalFormatting sqref="AE56">
    <cfRule type="expression" dxfId="10332" priority="56709" stopIfTrue="1">
      <formula>NOT(ISBLANK($AE$56))</formula>
    </cfRule>
  </conditionalFormatting>
  <conditionalFormatting sqref="AF56">
    <cfRule type="expression" dxfId="10331" priority="56710" stopIfTrue="1">
      <formula>NOT(ISBLANK($AF$56))</formula>
    </cfRule>
  </conditionalFormatting>
  <conditionalFormatting sqref="AG56">
    <cfRule type="expression" dxfId="10330" priority="56711" stopIfTrue="1">
      <formula>NOT(ISBLANK($AG$56))</formula>
    </cfRule>
  </conditionalFormatting>
  <conditionalFormatting sqref="AH56">
    <cfRule type="expression" dxfId="10329" priority="56712" stopIfTrue="1">
      <formula>NOT(ISBLANK($AH$56))</formula>
    </cfRule>
  </conditionalFormatting>
  <conditionalFormatting sqref="AI56">
    <cfRule type="expression" dxfId="10328" priority="56713" stopIfTrue="1">
      <formula>NOT(ISBLANK($AI$56))</formula>
    </cfRule>
  </conditionalFormatting>
  <conditionalFormatting sqref="AJ56">
    <cfRule type="expression" dxfId="10327" priority="56714" stopIfTrue="1">
      <formula>NOT(ISBLANK($AJ$56))</formula>
    </cfRule>
  </conditionalFormatting>
  <conditionalFormatting sqref="AK56">
    <cfRule type="expression" dxfId="10326" priority="56715" stopIfTrue="1">
      <formula>NOT(ISBLANK($AK$56))</formula>
    </cfRule>
  </conditionalFormatting>
  <conditionalFormatting sqref="AL56">
    <cfRule type="expression" dxfId="10325" priority="56716" stopIfTrue="1">
      <formula>NOT(ISBLANK($AL$56))</formula>
    </cfRule>
  </conditionalFormatting>
  <conditionalFormatting sqref="AM56">
    <cfRule type="expression" dxfId="10324" priority="56717" stopIfTrue="1">
      <formula>NOT(ISBLANK($AM$56))</formula>
    </cfRule>
  </conditionalFormatting>
  <conditionalFormatting sqref="AN56">
    <cfRule type="expression" dxfId="10323" priority="56718" stopIfTrue="1">
      <formula>NOT(ISBLANK($AN$56))</formula>
    </cfRule>
  </conditionalFormatting>
  <conditionalFormatting sqref="AO56">
    <cfRule type="expression" dxfId="10322" priority="56719" stopIfTrue="1">
      <formula>NOT(ISBLANK($AO$56))</formula>
    </cfRule>
  </conditionalFormatting>
  <conditionalFormatting sqref="AP56">
    <cfRule type="expression" dxfId="10321" priority="56720" stopIfTrue="1">
      <formula>NOT(ISBLANK($AP$56))</formula>
    </cfRule>
  </conditionalFormatting>
  <conditionalFormatting sqref="AQ56">
    <cfRule type="expression" dxfId="10320" priority="56721" stopIfTrue="1">
      <formula>NOT(ISBLANK($AQ$56))</formula>
    </cfRule>
  </conditionalFormatting>
  <conditionalFormatting sqref="A57">
    <cfRule type="cellIs" dxfId="10319" priority="56722" stopIfTrue="1" operator="notEqual">
      <formula>4</formula>
    </cfRule>
  </conditionalFormatting>
  <conditionalFormatting sqref="B57">
    <cfRule type="cellIs" dxfId="10318" priority="56723" stopIfTrue="1" operator="notEqual">
      <formula>1</formula>
    </cfRule>
  </conditionalFormatting>
  <conditionalFormatting sqref="C57">
    <cfRule type="cellIs" dxfId="10317" priority="56724" stopIfTrue="1" operator="notEqual">
      <formula>1</formula>
    </cfRule>
  </conditionalFormatting>
  <conditionalFormatting sqref="D57">
    <cfRule type="cellIs" dxfId="10316" priority="56725" stopIfTrue="1" operator="notEqual">
      <formula>0.03</formula>
    </cfRule>
  </conditionalFormatting>
  <conditionalFormatting sqref="E57">
    <cfRule type="cellIs" dxfId="10315" priority="56726" stopIfTrue="1" operator="notEqual">
      <formula>"MGD"</formula>
    </cfRule>
  </conditionalFormatting>
  <conditionalFormatting sqref="F57">
    <cfRule type="cellIs" dxfId="10314" priority="56727" stopIfTrue="1" operator="notEqual">
      <formula>0.007</formula>
    </cfRule>
  </conditionalFormatting>
  <conditionalFormatting sqref="G57">
    <cfRule type="cellIs" dxfId="10313" priority="56728" stopIfTrue="1" operator="notEqual">
      <formula>"MGD"</formula>
    </cfRule>
  </conditionalFormatting>
  <conditionalFormatting sqref="H57">
    <cfRule type="cellIs" dxfId="10312" priority="56729" stopIfTrue="1" operator="notEqual">
      <formula>"regeneration off-site (non-hazardous)"</formula>
    </cfRule>
  </conditionalFormatting>
  <conditionalFormatting sqref="I57">
    <cfRule type="cellIs" dxfId="10311" priority="56730" stopIfTrue="1" operator="notEqual">
      <formula>"carbon life value- bed volumes"</formula>
    </cfRule>
  </conditionalFormatting>
  <conditionalFormatting sqref="J57">
    <cfRule type="cellIs" dxfId="10310" priority="56731" stopIfTrue="1" operator="notEqual">
      <formula>66600</formula>
    </cfRule>
  </conditionalFormatting>
  <conditionalFormatting sqref="K57">
    <cfRule type="expression" dxfId="10309" priority="56732" stopIfTrue="1">
      <formula>NOT(ISBLANK($K$57))</formula>
    </cfRule>
  </conditionalFormatting>
  <conditionalFormatting sqref="L57">
    <cfRule type="expression" dxfId="10308" priority="56733" stopIfTrue="1">
      <formula>NOT(ISBLANK($L$57))</formula>
    </cfRule>
  </conditionalFormatting>
  <conditionalFormatting sqref="M57">
    <cfRule type="expression" dxfId="10307" priority="56734" stopIfTrue="1">
      <formula>NOT(ISBLANK($M$57))</formula>
    </cfRule>
  </conditionalFormatting>
  <conditionalFormatting sqref="N57">
    <cfRule type="cellIs" dxfId="10306" priority="56735" stopIfTrue="1" operator="notEqual">
      <formula>"EBCT"</formula>
    </cfRule>
  </conditionalFormatting>
  <conditionalFormatting sqref="O57">
    <cfRule type="cellIs" dxfId="10305" priority="56736" stopIfTrue="1" operator="notEqual">
      <formula>7.5</formula>
    </cfRule>
  </conditionalFormatting>
  <conditionalFormatting sqref="P57">
    <cfRule type="expression" dxfId="10304" priority="56737" stopIfTrue="1">
      <formula>NOT(ISBLANK($P$57))</formula>
    </cfRule>
  </conditionalFormatting>
  <conditionalFormatting sqref="Q57">
    <cfRule type="expression" dxfId="10303" priority="56738" stopIfTrue="1">
      <formula>NOT(ISBLANK($Q$57))</formula>
    </cfRule>
  </conditionalFormatting>
  <conditionalFormatting sqref="R57">
    <cfRule type="cellIs" dxfId="10302" priority="56739" stopIfTrue="1" operator="notEqual">
      <formula>1</formula>
    </cfRule>
  </conditionalFormatting>
  <conditionalFormatting sqref="S57">
    <cfRule type="cellIs" dxfId="10301" priority="56740" stopIfTrue="1" operator="notEqual">
      <formula>3.4</formula>
    </cfRule>
  </conditionalFormatting>
  <conditionalFormatting sqref="T57">
    <cfRule type="cellIs" dxfId="10300" priority="56741" stopIfTrue="1" operator="notEqual">
      <formula>"upright"</formula>
    </cfRule>
  </conditionalFormatting>
  <conditionalFormatting sqref="U57">
    <cfRule type="cellIs" dxfId="10299" priority="56742" stopIfTrue="1" operator="notEqual">
      <formula>6</formula>
    </cfRule>
  </conditionalFormatting>
  <conditionalFormatting sqref="V57">
    <cfRule type="cellIs" dxfId="10298" priority="56743" stopIfTrue="1" operator="notEqual">
      <formula>2</formula>
    </cfRule>
  </conditionalFormatting>
  <conditionalFormatting sqref="W57">
    <cfRule type="expression" dxfId="10297" priority="56744" stopIfTrue="1">
      <formula>NOT(ISBLANK($W$57))</formula>
    </cfRule>
  </conditionalFormatting>
  <conditionalFormatting sqref="X57">
    <cfRule type="expression" dxfId="10296" priority="56745" stopIfTrue="1">
      <formula>NOT(ISBLANK($X$57))</formula>
    </cfRule>
  </conditionalFormatting>
  <conditionalFormatting sqref="Y57">
    <cfRule type="expression" dxfId="10295" priority="56746" stopIfTrue="1">
      <formula>NOT(ISBLANK($Y$57))</formula>
    </cfRule>
  </conditionalFormatting>
  <conditionalFormatting sqref="Z57">
    <cfRule type="cellIs" dxfId="10294" priority="56747" stopIfTrue="1" operator="notEqual">
      <formula>168</formula>
    </cfRule>
  </conditionalFormatting>
  <conditionalFormatting sqref="AA57">
    <cfRule type="cellIs" dxfId="10293" priority="56748" stopIfTrue="1" operator="notEqual">
      <formula>"POTW"</formula>
    </cfRule>
  </conditionalFormatting>
  <conditionalFormatting sqref="AB57">
    <cfRule type="cellIs" dxfId="10292" priority="56749" stopIfTrue="1" operator="notEqual">
      <formula>"no holding tank"</formula>
    </cfRule>
  </conditionalFormatting>
  <conditionalFormatting sqref="AC57">
    <cfRule type="cellIs" dxfId="10291" priority="56750" stopIfTrue="1" operator="notEqual">
      <formula>"manual transfer"</formula>
    </cfRule>
  </conditionalFormatting>
  <conditionalFormatting sqref="AD57">
    <cfRule type="expression" dxfId="10290" priority="56751" stopIfTrue="1">
      <formula>NOT(ISBLANK($AD$57))</formula>
    </cfRule>
  </conditionalFormatting>
  <conditionalFormatting sqref="AE57">
    <cfRule type="expression" dxfId="10289" priority="56752" stopIfTrue="1">
      <formula>NOT(ISBLANK($AE$57))</formula>
    </cfRule>
  </conditionalFormatting>
  <conditionalFormatting sqref="AF57">
    <cfRule type="cellIs" dxfId="10288" priority="56753" stopIfTrue="1" operator="notEqual">
      <formula>0</formula>
    </cfRule>
  </conditionalFormatting>
  <conditionalFormatting sqref="AG57">
    <cfRule type="expression" dxfId="10287" priority="56754" stopIfTrue="1">
      <formula>NOT(ISBLANK($AG$57))</formula>
    </cfRule>
  </conditionalFormatting>
  <conditionalFormatting sqref="AH57">
    <cfRule type="expression" dxfId="10286" priority="56755" stopIfTrue="1">
      <formula>NOT(ISBLANK($AH$57))</formula>
    </cfRule>
  </conditionalFormatting>
  <conditionalFormatting sqref="AI57">
    <cfRule type="cellIs" dxfId="10285" priority="56756" stopIfTrue="1" operator="notEqual">
      <formula>"fully automated"</formula>
    </cfRule>
  </conditionalFormatting>
  <conditionalFormatting sqref="AJ57">
    <cfRule type="expression" dxfId="10284" priority="56757" stopIfTrue="1">
      <formula>NOT(ISBLANK($AJ$57))</formula>
    </cfRule>
  </conditionalFormatting>
  <conditionalFormatting sqref="AK57">
    <cfRule type="expression" dxfId="10283" priority="56758" stopIfTrue="1">
      <formula>NOT(ISBLANK($AK$57))</formula>
    </cfRule>
  </conditionalFormatting>
  <conditionalFormatting sqref="AL57">
    <cfRule type="expression" dxfId="10282" priority="56759" stopIfTrue="1">
      <formula>NOT(ISBLANK($AL$57))</formula>
    </cfRule>
  </conditionalFormatting>
  <conditionalFormatting sqref="AM57">
    <cfRule type="expression" dxfId="10281" priority="56760" stopIfTrue="1">
      <formula>NOT(ISBLANK($AM$57))</formula>
    </cfRule>
  </conditionalFormatting>
  <conditionalFormatting sqref="AN57">
    <cfRule type="expression" dxfId="10280" priority="56761" stopIfTrue="1">
      <formula>NOT(ISBLANK($AN$57))</formula>
    </cfRule>
  </conditionalFormatting>
  <conditionalFormatting sqref="AO57">
    <cfRule type="expression" dxfId="10279" priority="56762" stopIfTrue="1">
      <formula>NOT(ISBLANK($AO$57))</formula>
    </cfRule>
  </conditionalFormatting>
  <conditionalFormatting sqref="AP57">
    <cfRule type="expression" dxfId="10278" priority="56763" stopIfTrue="1">
      <formula>NOT(ISBLANK($AP$57))</formula>
    </cfRule>
  </conditionalFormatting>
  <conditionalFormatting sqref="AQ57">
    <cfRule type="expression" dxfId="10277" priority="56764" stopIfTrue="1">
      <formula>NOT(ISBLANK($AQ$57))</formula>
    </cfRule>
  </conditionalFormatting>
  <conditionalFormatting sqref="A58">
    <cfRule type="cellIs" dxfId="10276" priority="56765" stopIfTrue="1" operator="notEqual">
      <formula>4</formula>
    </cfRule>
  </conditionalFormatting>
  <conditionalFormatting sqref="B58">
    <cfRule type="cellIs" dxfId="10275" priority="56766" stopIfTrue="1" operator="notEqual">
      <formula>1</formula>
    </cfRule>
  </conditionalFormatting>
  <conditionalFormatting sqref="C58">
    <cfRule type="cellIs" dxfId="10274" priority="56767" stopIfTrue="1" operator="notEqual">
      <formula>2</formula>
    </cfRule>
  </conditionalFormatting>
  <conditionalFormatting sqref="D58">
    <cfRule type="cellIs" dxfId="10273" priority="56768" stopIfTrue="1" operator="notEqual">
      <formula>0.124</formula>
    </cfRule>
  </conditionalFormatting>
  <conditionalFormatting sqref="E58">
    <cfRule type="cellIs" dxfId="10272" priority="56769" stopIfTrue="1" operator="notEqual">
      <formula>"MGD"</formula>
    </cfRule>
  </conditionalFormatting>
  <conditionalFormatting sqref="F58">
    <cfRule type="cellIs" dxfId="10271" priority="56770" stopIfTrue="1" operator="notEqual">
      <formula>0.035</formula>
    </cfRule>
  </conditionalFormatting>
  <conditionalFormatting sqref="G58">
    <cfRule type="cellIs" dxfId="10270" priority="56771" stopIfTrue="1" operator="notEqual">
      <formula>"MGD"</formula>
    </cfRule>
  </conditionalFormatting>
  <conditionalFormatting sqref="H58">
    <cfRule type="cellIs" dxfId="10269" priority="56772" stopIfTrue="1" operator="notEqual">
      <formula>"regeneration off-site (non-hazardous)"</formula>
    </cfRule>
  </conditionalFormatting>
  <conditionalFormatting sqref="I58">
    <cfRule type="cellIs" dxfId="10268" priority="56773" stopIfTrue="1" operator="notEqual">
      <formula>"carbon life value- bed volumes"</formula>
    </cfRule>
  </conditionalFormatting>
  <conditionalFormatting sqref="J58">
    <cfRule type="cellIs" dxfId="10267" priority="56774" stopIfTrue="1" operator="notEqual">
      <formula>66600</formula>
    </cfRule>
  </conditionalFormatting>
  <conditionalFormatting sqref="K58">
    <cfRule type="expression" dxfId="10266" priority="56775" stopIfTrue="1">
      <formula>NOT(ISBLANK($K$58))</formula>
    </cfRule>
  </conditionalFormatting>
  <conditionalFormatting sqref="L58">
    <cfRule type="expression" dxfId="10265" priority="56776" stopIfTrue="1">
      <formula>NOT(ISBLANK($L$58))</formula>
    </cfRule>
  </conditionalFormatting>
  <conditionalFormatting sqref="M58">
    <cfRule type="expression" dxfId="10264" priority="56777" stopIfTrue="1">
      <formula>NOT(ISBLANK($M$58))</formula>
    </cfRule>
  </conditionalFormatting>
  <conditionalFormatting sqref="N58">
    <cfRule type="cellIs" dxfId="10263" priority="56778" stopIfTrue="1" operator="notEqual">
      <formula>"EBCT"</formula>
    </cfRule>
  </conditionalFormatting>
  <conditionalFormatting sqref="O58">
    <cfRule type="cellIs" dxfId="10262" priority="56779" stopIfTrue="1" operator="notEqual">
      <formula>7.5</formula>
    </cfRule>
  </conditionalFormatting>
  <conditionalFormatting sqref="P58">
    <cfRule type="expression" dxfId="10261" priority="56780" stopIfTrue="1">
      <formula>NOT(ISBLANK($P$58))</formula>
    </cfRule>
  </conditionalFormatting>
  <conditionalFormatting sqref="Q58">
    <cfRule type="expression" dxfId="10260" priority="56781" stopIfTrue="1">
      <formula>NOT(ISBLANK($Q$58))</formula>
    </cfRule>
  </conditionalFormatting>
  <conditionalFormatting sqref="R58">
    <cfRule type="cellIs" dxfId="10259" priority="56782" stopIfTrue="1" operator="notEqual">
      <formula>1</formula>
    </cfRule>
  </conditionalFormatting>
  <conditionalFormatting sqref="S58">
    <cfRule type="cellIs" dxfId="10258" priority="56783" stopIfTrue="1" operator="notEqual">
      <formula>6.9</formula>
    </cfRule>
  </conditionalFormatting>
  <conditionalFormatting sqref="T58">
    <cfRule type="cellIs" dxfId="10257" priority="56784" stopIfTrue="1" operator="notEqual">
      <formula>"upright"</formula>
    </cfRule>
  </conditionalFormatting>
  <conditionalFormatting sqref="U58">
    <cfRule type="cellIs" dxfId="10256" priority="56785" stopIfTrue="1" operator="notEqual">
      <formula>11</formula>
    </cfRule>
  </conditionalFormatting>
  <conditionalFormatting sqref="V58">
    <cfRule type="cellIs" dxfId="10255" priority="56786" stopIfTrue="1" operator="notEqual">
      <formula>4</formula>
    </cfRule>
  </conditionalFormatting>
  <conditionalFormatting sqref="W58">
    <cfRule type="expression" dxfId="10254" priority="56787" stopIfTrue="1">
      <formula>NOT(ISBLANK($W$58))</formula>
    </cfRule>
  </conditionalFormatting>
  <conditionalFormatting sqref="X58">
    <cfRule type="expression" dxfId="10253" priority="56788" stopIfTrue="1">
      <formula>NOT(ISBLANK($X$58))</formula>
    </cfRule>
  </conditionalFormatting>
  <conditionalFormatting sqref="Y58">
    <cfRule type="expression" dxfId="10252" priority="56789" stopIfTrue="1">
      <formula>NOT(ISBLANK($Y$58))</formula>
    </cfRule>
  </conditionalFormatting>
  <conditionalFormatting sqref="Z58">
    <cfRule type="cellIs" dxfId="10251" priority="56790" stopIfTrue="1" operator="notEqual">
      <formula>168</formula>
    </cfRule>
  </conditionalFormatting>
  <conditionalFormatting sqref="AA58">
    <cfRule type="cellIs" dxfId="10250" priority="56791" stopIfTrue="1" operator="notEqual">
      <formula>"POTW"</formula>
    </cfRule>
  </conditionalFormatting>
  <conditionalFormatting sqref="AB58">
    <cfRule type="cellIs" dxfId="10249" priority="56792" stopIfTrue="1" operator="notEqual">
      <formula>"Holding tank"</formula>
    </cfRule>
  </conditionalFormatting>
  <conditionalFormatting sqref="AC58">
    <cfRule type="cellIs" dxfId="10248" priority="56793" stopIfTrue="1" operator="notEqual">
      <formula>"manual transfer"</formula>
    </cfRule>
  </conditionalFormatting>
  <conditionalFormatting sqref="AD58">
    <cfRule type="cellIs" dxfId="10247" priority="56794" stopIfTrue="1" operator="notEqual">
      <formula>"non-hazardous"</formula>
    </cfRule>
  </conditionalFormatting>
  <conditionalFormatting sqref="AE58">
    <cfRule type="expression" dxfId="10246" priority="56795" stopIfTrue="1">
      <formula>NOT(ISBLANK($AE$58))</formula>
    </cfRule>
  </conditionalFormatting>
  <conditionalFormatting sqref="AF58">
    <cfRule type="cellIs" dxfId="10245" priority="56796" stopIfTrue="1" operator="notEqual">
      <formula>0</formula>
    </cfRule>
  </conditionalFormatting>
  <conditionalFormatting sqref="AG58">
    <cfRule type="expression" dxfId="10244" priority="56797" stopIfTrue="1">
      <formula>NOT(ISBLANK($AG$58))</formula>
    </cfRule>
  </conditionalFormatting>
  <conditionalFormatting sqref="AH58">
    <cfRule type="expression" dxfId="10243" priority="56798" stopIfTrue="1">
      <formula>NOT(ISBLANK($AH$58))</formula>
    </cfRule>
  </conditionalFormatting>
  <conditionalFormatting sqref="AI58">
    <cfRule type="cellIs" dxfId="10242" priority="56799" stopIfTrue="1" operator="notEqual">
      <formula>"fully automated"</formula>
    </cfRule>
  </conditionalFormatting>
  <conditionalFormatting sqref="AJ58">
    <cfRule type="expression" dxfId="10241" priority="56800" stopIfTrue="1">
      <formula>NOT(ISBLANK($AJ$58))</formula>
    </cfRule>
  </conditionalFormatting>
  <conditionalFormatting sqref="AK58">
    <cfRule type="expression" dxfId="10240" priority="56801" stopIfTrue="1">
      <formula>NOT(ISBLANK($AK$58))</formula>
    </cfRule>
  </conditionalFormatting>
  <conditionalFormatting sqref="AL58">
    <cfRule type="expression" dxfId="10239" priority="56802" stopIfTrue="1">
      <formula>NOT(ISBLANK($AL$58))</formula>
    </cfRule>
  </conditionalFormatting>
  <conditionalFormatting sqref="AM58">
    <cfRule type="expression" dxfId="10238" priority="56803" stopIfTrue="1">
      <formula>NOT(ISBLANK($AM$58))</formula>
    </cfRule>
  </conditionalFormatting>
  <conditionalFormatting sqref="AN58">
    <cfRule type="expression" dxfId="10237" priority="56804" stopIfTrue="1">
      <formula>NOT(ISBLANK($AN$58))</formula>
    </cfRule>
  </conditionalFormatting>
  <conditionalFormatting sqref="AO58">
    <cfRule type="expression" dxfId="10236" priority="56805" stopIfTrue="1">
      <formula>NOT(ISBLANK($AO$58))</formula>
    </cfRule>
  </conditionalFormatting>
  <conditionalFormatting sqref="AP58">
    <cfRule type="expression" dxfId="10235" priority="56806" stopIfTrue="1">
      <formula>NOT(ISBLANK($AP$58))</formula>
    </cfRule>
  </conditionalFormatting>
  <conditionalFormatting sqref="AQ58">
    <cfRule type="expression" dxfId="10234" priority="56807" stopIfTrue="1">
      <formula>NOT(ISBLANK($AQ$58))</formula>
    </cfRule>
  </conditionalFormatting>
  <conditionalFormatting sqref="A59">
    <cfRule type="cellIs" dxfId="10233" priority="56808" stopIfTrue="1" operator="notEqual">
      <formula>4</formula>
    </cfRule>
  </conditionalFormatting>
  <conditionalFormatting sqref="B59">
    <cfRule type="cellIs" dxfId="10232" priority="56809" stopIfTrue="1" operator="notEqual">
      <formula>1</formula>
    </cfRule>
  </conditionalFormatting>
  <conditionalFormatting sqref="C59">
    <cfRule type="cellIs" dxfId="10231" priority="56810" stopIfTrue="1" operator="notEqual">
      <formula>3</formula>
    </cfRule>
  </conditionalFormatting>
  <conditionalFormatting sqref="D59">
    <cfRule type="cellIs" dxfId="10230" priority="56811" stopIfTrue="1" operator="notEqual">
      <formula>0.305</formula>
    </cfRule>
  </conditionalFormatting>
  <conditionalFormatting sqref="E59">
    <cfRule type="cellIs" dxfId="10229" priority="56812" stopIfTrue="1" operator="notEqual">
      <formula>"MGD"</formula>
    </cfRule>
  </conditionalFormatting>
  <conditionalFormatting sqref="F59">
    <cfRule type="cellIs" dxfId="10228" priority="56813" stopIfTrue="1" operator="notEqual">
      <formula>0.094</formula>
    </cfRule>
  </conditionalFormatting>
  <conditionalFormatting sqref="G59">
    <cfRule type="cellIs" dxfId="10227" priority="56814" stopIfTrue="1" operator="notEqual">
      <formula>"MGD"</formula>
    </cfRule>
  </conditionalFormatting>
  <conditionalFormatting sqref="H59">
    <cfRule type="cellIs" dxfId="10226" priority="56815" stopIfTrue="1" operator="notEqual">
      <formula>"regeneration off-site (non-hazardous)"</formula>
    </cfRule>
  </conditionalFormatting>
  <conditionalFormatting sqref="I59">
    <cfRule type="cellIs" dxfId="10225" priority="56816" stopIfTrue="1" operator="notEqual">
      <formula>"carbon life value- bed volumes"</formula>
    </cfRule>
  </conditionalFormatting>
  <conditionalFormatting sqref="J59">
    <cfRule type="cellIs" dxfId="10224" priority="56817" stopIfTrue="1" operator="notEqual">
      <formula>66600</formula>
    </cfRule>
  </conditionalFormatting>
  <conditionalFormatting sqref="K59">
    <cfRule type="expression" dxfId="10223" priority="56818" stopIfTrue="1">
      <formula>NOT(ISBLANK($K$59))</formula>
    </cfRule>
  </conditionalFormatting>
  <conditionalFormatting sqref="L59">
    <cfRule type="expression" dxfId="10222" priority="56819" stopIfTrue="1">
      <formula>NOT(ISBLANK($L$59))</formula>
    </cfRule>
  </conditionalFormatting>
  <conditionalFormatting sqref="M59">
    <cfRule type="expression" dxfId="10221" priority="56820" stopIfTrue="1">
      <formula>NOT(ISBLANK($M$59))</formula>
    </cfRule>
  </conditionalFormatting>
  <conditionalFormatting sqref="N59">
    <cfRule type="cellIs" dxfId="10220" priority="56821" stopIfTrue="1" operator="notEqual">
      <formula>"EBCT"</formula>
    </cfRule>
  </conditionalFormatting>
  <conditionalFormatting sqref="O59">
    <cfRule type="cellIs" dxfId="10219" priority="56822" stopIfTrue="1" operator="notEqual">
      <formula>7.5</formula>
    </cfRule>
  </conditionalFormatting>
  <conditionalFormatting sqref="P59">
    <cfRule type="expression" dxfId="10218" priority="56823" stopIfTrue="1">
      <formula>NOT(ISBLANK($P$59))</formula>
    </cfRule>
  </conditionalFormatting>
  <conditionalFormatting sqref="Q59">
    <cfRule type="expression" dxfId="10217" priority="56824" stopIfTrue="1">
      <formula>NOT(ISBLANK($Q$59))</formula>
    </cfRule>
  </conditionalFormatting>
  <conditionalFormatting sqref="R59">
    <cfRule type="cellIs" dxfId="10216" priority="56825" stopIfTrue="1" operator="notEqual">
      <formula>1</formula>
    </cfRule>
  </conditionalFormatting>
  <conditionalFormatting sqref="S59">
    <cfRule type="cellIs" dxfId="10215" priority="56826" stopIfTrue="1" operator="notEqual">
      <formula>6.7</formula>
    </cfRule>
  </conditionalFormatting>
  <conditionalFormatting sqref="T59">
    <cfRule type="cellIs" dxfId="10214" priority="56827" stopIfTrue="1" operator="notEqual">
      <formula>"upright"</formula>
    </cfRule>
  </conditionalFormatting>
  <conditionalFormatting sqref="U59">
    <cfRule type="cellIs" dxfId="10213" priority="56828" stopIfTrue="1" operator="notEqual">
      <formula>11</formula>
    </cfRule>
  </conditionalFormatting>
  <conditionalFormatting sqref="V59">
    <cfRule type="cellIs" dxfId="10212" priority="56829" stopIfTrue="1" operator="notEqual">
      <formula>4.5</formula>
    </cfRule>
  </conditionalFormatting>
  <conditionalFormatting sqref="W59">
    <cfRule type="expression" dxfId="10211" priority="56830" stopIfTrue="1">
      <formula>NOT(ISBLANK($W$59))</formula>
    </cfRule>
  </conditionalFormatting>
  <conditionalFormatting sqref="X59">
    <cfRule type="expression" dxfId="10210" priority="56831" stopIfTrue="1">
      <formula>NOT(ISBLANK($X$59))</formula>
    </cfRule>
  </conditionalFormatting>
  <conditionalFormatting sqref="Y59">
    <cfRule type="expression" dxfId="10209" priority="56832" stopIfTrue="1">
      <formula>NOT(ISBLANK($Y$59))</formula>
    </cfRule>
  </conditionalFormatting>
  <conditionalFormatting sqref="Z59">
    <cfRule type="cellIs" dxfId="10208" priority="56833" stopIfTrue="1" operator="notEqual">
      <formula>168</formula>
    </cfRule>
  </conditionalFormatting>
  <conditionalFormatting sqref="AA59">
    <cfRule type="cellIs" dxfId="10207" priority="56834" stopIfTrue="1" operator="notEqual">
      <formula>"POTW"</formula>
    </cfRule>
  </conditionalFormatting>
  <conditionalFormatting sqref="AB59">
    <cfRule type="cellIs" dxfId="10206" priority="56835" stopIfTrue="1" operator="notEqual">
      <formula>"Holding tank"</formula>
    </cfRule>
  </conditionalFormatting>
  <conditionalFormatting sqref="AC59">
    <cfRule type="cellIs" dxfId="10205" priority="56836" stopIfTrue="1" operator="notEqual">
      <formula>"manual transfer"</formula>
    </cfRule>
  </conditionalFormatting>
  <conditionalFormatting sqref="AD59">
    <cfRule type="cellIs" dxfId="10204" priority="56837" stopIfTrue="1" operator="notEqual">
      <formula>"non-hazardous"</formula>
    </cfRule>
  </conditionalFormatting>
  <conditionalFormatting sqref="AE59">
    <cfRule type="expression" dxfId="10203" priority="56838" stopIfTrue="1">
      <formula>NOT(ISBLANK($AE$59))</formula>
    </cfRule>
  </conditionalFormatting>
  <conditionalFormatting sqref="AF59">
    <cfRule type="cellIs" dxfId="10202" priority="56839" stopIfTrue="1" operator="notEqual">
      <formula>0</formula>
    </cfRule>
  </conditionalFormatting>
  <conditionalFormatting sqref="AG59">
    <cfRule type="expression" dxfId="10201" priority="56840" stopIfTrue="1">
      <formula>NOT(ISBLANK($AG$59))</formula>
    </cfRule>
  </conditionalFormatting>
  <conditionalFormatting sqref="AH59">
    <cfRule type="expression" dxfId="10200" priority="56841" stopIfTrue="1">
      <formula>NOT(ISBLANK($AH$59))</formula>
    </cfRule>
  </conditionalFormatting>
  <conditionalFormatting sqref="AI59">
    <cfRule type="cellIs" dxfId="10199" priority="56842" stopIfTrue="1" operator="notEqual">
      <formula>"fully automated"</formula>
    </cfRule>
  </conditionalFormatting>
  <conditionalFormatting sqref="AJ59">
    <cfRule type="expression" dxfId="10198" priority="56843" stopIfTrue="1">
      <formula>NOT(ISBLANK($AJ$59))</formula>
    </cfRule>
  </conditionalFormatting>
  <conditionalFormatting sqref="AK59">
    <cfRule type="expression" dxfId="10197" priority="56844" stopIfTrue="1">
      <formula>NOT(ISBLANK($AK$59))</formula>
    </cfRule>
  </conditionalFormatting>
  <conditionalFormatting sqref="AL59">
    <cfRule type="expression" dxfId="10196" priority="56845" stopIfTrue="1">
      <formula>NOT(ISBLANK($AL$59))</formula>
    </cfRule>
  </conditionalFormatting>
  <conditionalFormatting sqref="AM59">
    <cfRule type="expression" dxfId="10195" priority="56846" stopIfTrue="1">
      <formula>NOT(ISBLANK($AM$59))</formula>
    </cfRule>
  </conditionalFormatting>
  <conditionalFormatting sqref="AN59">
    <cfRule type="expression" dxfId="10194" priority="56847" stopIfTrue="1">
      <formula>NOT(ISBLANK($AN$59))</formula>
    </cfRule>
  </conditionalFormatting>
  <conditionalFormatting sqref="AO59">
    <cfRule type="expression" dxfId="10193" priority="56848" stopIfTrue="1">
      <formula>NOT(ISBLANK($AO$59))</formula>
    </cfRule>
  </conditionalFormatting>
  <conditionalFormatting sqref="AP59">
    <cfRule type="expression" dxfId="10192" priority="56849" stopIfTrue="1">
      <formula>NOT(ISBLANK($AP$59))</formula>
    </cfRule>
  </conditionalFormatting>
  <conditionalFormatting sqref="AQ59">
    <cfRule type="expression" dxfId="10191" priority="56850" stopIfTrue="1">
      <formula>NOT(ISBLANK($AQ$59))</formula>
    </cfRule>
  </conditionalFormatting>
  <conditionalFormatting sqref="A60">
    <cfRule type="cellIs" dxfId="10190" priority="56851" stopIfTrue="1" operator="notEqual">
      <formula>4</formula>
    </cfRule>
  </conditionalFormatting>
  <conditionalFormatting sqref="B60">
    <cfRule type="cellIs" dxfId="10189" priority="56852" stopIfTrue="1" operator="notEqual">
      <formula>1</formula>
    </cfRule>
  </conditionalFormatting>
  <conditionalFormatting sqref="C60">
    <cfRule type="cellIs" dxfId="10188" priority="56853" stopIfTrue="1" operator="notEqual">
      <formula>4</formula>
    </cfRule>
  </conditionalFormatting>
  <conditionalFormatting sqref="D60">
    <cfRule type="cellIs" dxfId="10187" priority="56854" stopIfTrue="1" operator="notEqual">
      <formula>0.74</formula>
    </cfRule>
  </conditionalFormatting>
  <conditionalFormatting sqref="E60">
    <cfRule type="cellIs" dxfId="10186" priority="56855" stopIfTrue="1" operator="notEqual">
      <formula>"MGD"</formula>
    </cfRule>
  </conditionalFormatting>
  <conditionalFormatting sqref="F60">
    <cfRule type="cellIs" dxfId="10185" priority="56856" stopIfTrue="1" operator="notEqual">
      <formula>0.251</formula>
    </cfRule>
  </conditionalFormatting>
  <conditionalFormatting sqref="G60">
    <cfRule type="cellIs" dxfId="10184" priority="56857" stopIfTrue="1" operator="notEqual">
      <formula>"MGD"</formula>
    </cfRule>
  </conditionalFormatting>
  <conditionalFormatting sqref="H60">
    <cfRule type="cellIs" dxfId="10183" priority="56858" stopIfTrue="1" operator="notEqual">
      <formula>"regeneration off-site (non-hazardous)"</formula>
    </cfRule>
  </conditionalFormatting>
  <conditionalFormatting sqref="I60">
    <cfRule type="cellIs" dxfId="10182" priority="56859" stopIfTrue="1" operator="notEqual">
      <formula>"carbon life value- bed volumes"</formula>
    </cfRule>
  </conditionalFormatting>
  <conditionalFormatting sqref="J60">
    <cfRule type="cellIs" dxfId="10181" priority="56860" stopIfTrue="1" operator="notEqual">
      <formula>66600</formula>
    </cfRule>
  </conditionalFormatting>
  <conditionalFormatting sqref="K60">
    <cfRule type="expression" dxfId="10180" priority="56861" stopIfTrue="1">
      <formula>NOT(ISBLANK($K$60))</formula>
    </cfRule>
  </conditionalFormatting>
  <conditionalFormatting sqref="L60">
    <cfRule type="expression" dxfId="10179" priority="56862" stopIfTrue="1">
      <formula>NOT(ISBLANK($L$60))</formula>
    </cfRule>
  </conditionalFormatting>
  <conditionalFormatting sqref="M60">
    <cfRule type="expression" dxfId="10178" priority="56863" stopIfTrue="1">
      <formula>NOT(ISBLANK($M$60))</formula>
    </cfRule>
  </conditionalFormatting>
  <conditionalFormatting sqref="N60">
    <cfRule type="cellIs" dxfId="10177" priority="56864" stopIfTrue="1" operator="notEqual">
      <formula>"EBCT"</formula>
    </cfRule>
  </conditionalFormatting>
  <conditionalFormatting sqref="O60">
    <cfRule type="cellIs" dxfId="10176" priority="56865" stopIfTrue="1" operator="notEqual">
      <formula>7.5</formula>
    </cfRule>
  </conditionalFormatting>
  <conditionalFormatting sqref="P60">
    <cfRule type="expression" dxfId="10175" priority="56866" stopIfTrue="1">
      <formula>NOT(ISBLANK($P$60))</formula>
    </cfRule>
  </conditionalFormatting>
  <conditionalFormatting sqref="Q60">
    <cfRule type="expression" dxfId="10174" priority="56867" stopIfTrue="1">
      <formula>NOT(ISBLANK($Q$60))</formula>
    </cfRule>
  </conditionalFormatting>
  <conditionalFormatting sqref="R60">
    <cfRule type="cellIs" dxfId="10173" priority="56868" stopIfTrue="1" operator="notEqual">
      <formula>1</formula>
    </cfRule>
  </conditionalFormatting>
  <conditionalFormatting sqref="S60">
    <cfRule type="cellIs" dxfId="10172" priority="56869" stopIfTrue="1" operator="notEqual">
      <formula>6.7</formula>
    </cfRule>
  </conditionalFormatting>
  <conditionalFormatting sqref="T60">
    <cfRule type="cellIs" dxfId="10171" priority="56870" stopIfTrue="1" operator="notEqual">
      <formula>"upright"</formula>
    </cfRule>
  </conditionalFormatting>
  <conditionalFormatting sqref="U60">
    <cfRule type="cellIs" dxfId="10170" priority="56871" stopIfTrue="1" operator="notEqual">
      <formula>11</formula>
    </cfRule>
  </conditionalFormatting>
  <conditionalFormatting sqref="V60">
    <cfRule type="cellIs" dxfId="10169" priority="56872" stopIfTrue="1" operator="notEqual">
      <formula>7</formula>
    </cfRule>
  </conditionalFormatting>
  <conditionalFormatting sqref="W60">
    <cfRule type="expression" dxfId="10168" priority="56873" stopIfTrue="1">
      <formula>NOT(ISBLANK($W$60))</formula>
    </cfRule>
  </conditionalFormatting>
  <conditionalFormatting sqref="X60">
    <cfRule type="expression" dxfId="10167" priority="56874" stopIfTrue="1">
      <formula>NOT(ISBLANK($X$60))</formula>
    </cfRule>
  </conditionalFormatting>
  <conditionalFormatting sqref="Y60">
    <cfRule type="expression" dxfId="10166" priority="56875" stopIfTrue="1">
      <formula>NOT(ISBLANK($Y$60))</formula>
    </cfRule>
  </conditionalFormatting>
  <conditionalFormatting sqref="Z60">
    <cfRule type="cellIs" dxfId="10165" priority="56876" stopIfTrue="1" operator="notEqual">
      <formula>168</formula>
    </cfRule>
  </conditionalFormatting>
  <conditionalFormatting sqref="AA60">
    <cfRule type="cellIs" dxfId="10164" priority="56877" stopIfTrue="1" operator="notEqual">
      <formula>"POTW"</formula>
    </cfRule>
  </conditionalFormatting>
  <conditionalFormatting sqref="AB60">
    <cfRule type="cellIs" dxfId="10163" priority="56878" stopIfTrue="1" operator="notEqual">
      <formula>"Holding tank"</formula>
    </cfRule>
  </conditionalFormatting>
  <conditionalFormatting sqref="AC60">
    <cfRule type="cellIs" dxfId="10162" priority="56879" stopIfTrue="1" operator="notEqual">
      <formula>"manual transfer"</formula>
    </cfRule>
  </conditionalFormatting>
  <conditionalFormatting sqref="AD60">
    <cfRule type="cellIs" dxfId="10161" priority="56880" stopIfTrue="1" operator="notEqual">
      <formula>"non-hazardous"</formula>
    </cfRule>
  </conditionalFormatting>
  <conditionalFormatting sqref="AE60">
    <cfRule type="expression" dxfId="10160" priority="56881" stopIfTrue="1">
      <formula>NOT(ISBLANK($AE$60))</formula>
    </cfRule>
  </conditionalFormatting>
  <conditionalFormatting sqref="AF60">
    <cfRule type="cellIs" dxfId="10159" priority="56882" stopIfTrue="1" operator="notEqual">
      <formula>0</formula>
    </cfRule>
  </conditionalFormatting>
  <conditionalFormatting sqref="AG60">
    <cfRule type="expression" dxfId="10158" priority="56883" stopIfTrue="1">
      <formula>NOT(ISBLANK($AG$60))</formula>
    </cfRule>
  </conditionalFormatting>
  <conditionalFormatting sqref="AH60">
    <cfRule type="expression" dxfId="10157" priority="56884" stopIfTrue="1">
      <formula>NOT(ISBLANK($AH$60))</formula>
    </cfRule>
  </conditionalFormatting>
  <conditionalFormatting sqref="AI60">
    <cfRule type="cellIs" dxfId="10156" priority="56885" stopIfTrue="1" operator="notEqual">
      <formula>"fully automated"</formula>
    </cfRule>
  </conditionalFormatting>
  <conditionalFormatting sqref="AJ60">
    <cfRule type="expression" dxfId="10155" priority="56886" stopIfTrue="1">
      <formula>NOT(ISBLANK($AJ$60))</formula>
    </cfRule>
  </conditionalFormatting>
  <conditionalFormatting sqref="AK60">
    <cfRule type="expression" dxfId="10154" priority="56887" stopIfTrue="1">
      <formula>NOT(ISBLANK($AK$60))</formula>
    </cfRule>
  </conditionalFormatting>
  <conditionalFormatting sqref="AL60">
    <cfRule type="expression" dxfId="10153" priority="56888" stopIfTrue="1">
      <formula>NOT(ISBLANK($AL$60))</formula>
    </cfRule>
  </conditionalFormatting>
  <conditionalFormatting sqref="AM60">
    <cfRule type="expression" dxfId="10152" priority="56889" stopIfTrue="1">
      <formula>NOT(ISBLANK($AM$60))</formula>
    </cfRule>
  </conditionalFormatting>
  <conditionalFormatting sqref="AN60">
    <cfRule type="expression" dxfId="10151" priority="56890" stopIfTrue="1">
      <formula>NOT(ISBLANK($AN$60))</formula>
    </cfRule>
  </conditionalFormatting>
  <conditionalFormatting sqref="AO60">
    <cfRule type="expression" dxfId="10150" priority="56891" stopIfTrue="1">
      <formula>NOT(ISBLANK($AO$60))</formula>
    </cfRule>
  </conditionalFormatting>
  <conditionalFormatting sqref="AP60">
    <cfRule type="expression" dxfId="10149" priority="56892" stopIfTrue="1">
      <formula>NOT(ISBLANK($AP$60))</formula>
    </cfRule>
  </conditionalFormatting>
  <conditionalFormatting sqref="AQ60">
    <cfRule type="expression" dxfId="10148" priority="56893" stopIfTrue="1">
      <formula>NOT(ISBLANK($AQ$60))</formula>
    </cfRule>
  </conditionalFormatting>
  <conditionalFormatting sqref="A61">
    <cfRule type="cellIs" dxfId="10147" priority="56894" stopIfTrue="1" operator="notEqual">
      <formula>4</formula>
    </cfRule>
  </conditionalFormatting>
  <conditionalFormatting sqref="B61">
    <cfRule type="cellIs" dxfId="10146" priority="56895" stopIfTrue="1" operator="notEqual">
      <formula>1</formula>
    </cfRule>
  </conditionalFormatting>
  <conditionalFormatting sqref="C61">
    <cfRule type="cellIs" dxfId="10145" priority="56896" stopIfTrue="1" operator="notEqual">
      <formula>5</formula>
    </cfRule>
  </conditionalFormatting>
  <conditionalFormatting sqref="D61">
    <cfRule type="cellIs" dxfId="10144" priority="56897" stopIfTrue="1" operator="notEqual">
      <formula>2.152</formula>
    </cfRule>
  </conditionalFormatting>
  <conditionalFormatting sqref="E61">
    <cfRule type="cellIs" dxfId="10143" priority="56898" stopIfTrue="1" operator="notEqual">
      <formula>"MGD"</formula>
    </cfRule>
  </conditionalFormatting>
  <conditionalFormatting sqref="F61">
    <cfRule type="cellIs" dxfId="10142" priority="56899" stopIfTrue="1" operator="notEqual">
      <formula>0.819</formula>
    </cfRule>
  </conditionalFormatting>
  <conditionalFormatting sqref="G61">
    <cfRule type="cellIs" dxfId="10141" priority="56900" stopIfTrue="1" operator="notEqual">
      <formula>"MGD"</formula>
    </cfRule>
  </conditionalFormatting>
  <conditionalFormatting sqref="H61">
    <cfRule type="cellIs" dxfId="10140" priority="56901" stopIfTrue="1" operator="notEqual">
      <formula>"regeneration off-site (non-hazardous)"</formula>
    </cfRule>
  </conditionalFormatting>
  <conditionalFormatting sqref="I61">
    <cfRule type="cellIs" dxfId="10139" priority="56902" stopIfTrue="1" operator="notEqual">
      <formula>"carbon life value- bed volumes"</formula>
    </cfRule>
  </conditionalFormatting>
  <conditionalFormatting sqref="J61">
    <cfRule type="cellIs" dxfId="10138" priority="56903" stopIfTrue="1" operator="notEqual">
      <formula>66600</formula>
    </cfRule>
  </conditionalFormatting>
  <conditionalFormatting sqref="K61">
    <cfRule type="expression" dxfId="10137" priority="56904" stopIfTrue="1">
      <formula>NOT(ISBLANK($K$61))</formula>
    </cfRule>
  </conditionalFormatting>
  <conditionalFormatting sqref="L61">
    <cfRule type="expression" dxfId="10136" priority="56905" stopIfTrue="1">
      <formula>NOT(ISBLANK($L$61))</formula>
    </cfRule>
  </conditionalFormatting>
  <conditionalFormatting sqref="M61">
    <cfRule type="expression" dxfId="10135" priority="56906" stopIfTrue="1">
      <formula>NOT(ISBLANK($M$61))</formula>
    </cfRule>
  </conditionalFormatting>
  <conditionalFormatting sqref="N61">
    <cfRule type="cellIs" dxfId="10134" priority="56907" stopIfTrue="1" operator="notEqual">
      <formula>"EBCT"</formula>
    </cfRule>
  </conditionalFormatting>
  <conditionalFormatting sqref="O61">
    <cfRule type="cellIs" dxfId="10133" priority="56908" stopIfTrue="1" operator="notEqual">
      <formula>7.5</formula>
    </cfRule>
  </conditionalFormatting>
  <conditionalFormatting sqref="P61">
    <cfRule type="expression" dxfId="10132" priority="56909" stopIfTrue="1">
      <formula>NOT(ISBLANK($P$61))</formula>
    </cfRule>
  </conditionalFormatting>
  <conditionalFormatting sqref="Q61">
    <cfRule type="expression" dxfId="10131" priority="56910" stopIfTrue="1">
      <formula>NOT(ISBLANK($Q$61))</formula>
    </cfRule>
  </conditionalFormatting>
  <conditionalFormatting sqref="R61">
    <cfRule type="cellIs" dxfId="10130" priority="56911" stopIfTrue="1" operator="notEqual">
      <formula>1</formula>
    </cfRule>
  </conditionalFormatting>
  <conditionalFormatting sqref="S61">
    <cfRule type="cellIs" dxfId="10129" priority="56912" stopIfTrue="1" operator="notEqual">
      <formula>6.7</formula>
    </cfRule>
  </conditionalFormatting>
  <conditionalFormatting sqref="T61">
    <cfRule type="cellIs" dxfId="10128" priority="56913" stopIfTrue="1" operator="notEqual">
      <formula>"upright"</formula>
    </cfRule>
  </conditionalFormatting>
  <conditionalFormatting sqref="U61">
    <cfRule type="cellIs" dxfId="10127" priority="56914" stopIfTrue="1" operator="notEqual">
      <formula>11</formula>
    </cfRule>
  </conditionalFormatting>
  <conditionalFormatting sqref="V61">
    <cfRule type="cellIs" dxfId="10126" priority="56915" stopIfTrue="1" operator="notEqual">
      <formula>8.5</formula>
    </cfRule>
  </conditionalFormatting>
  <conditionalFormatting sqref="W61">
    <cfRule type="expression" dxfId="10125" priority="56916" stopIfTrue="1">
      <formula>NOT(ISBLANK($W$61))</formula>
    </cfRule>
  </conditionalFormatting>
  <conditionalFormatting sqref="X61">
    <cfRule type="expression" dxfId="10124" priority="56917" stopIfTrue="1">
      <formula>NOT(ISBLANK($X$61))</formula>
    </cfRule>
  </conditionalFormatting>
  <conditionalFormatting sqref="Y61">
    <cfRule type="expression" dxfId="10123" priority="56918" stopIfTrue="1">
      <formula>NOT(ISBLANK($Y$61))</formula>
    </cfRule>
  </conditionalFormatting>
  <conditionalFormatting sqref="Z61">
    <cfRule type="cellIs" dxfId="10122" priority="56919" stopIfTrue="1" operator="notEqual">
      <formula>168</formula>
    </cfRule>
  </conditionalFormatting>
  <conditionalFormatting sqref="AA61">
    <cfRule type="cellIs" dxfId="10121" priority="56920" stopIfTrue="1" operator="notEqual">
      <formula>"POTW"</formula>
    </cfRule>
  </conditionalFormatting>
  <conditionalFormatting sqref="AB61">
    <cfRule type="cellIs" dxfId="10120" priority="56921" stopIfTrue="1" operator="notEqual">
      <formula>"Holding tank"</formula>
    </cfRule>
  </conditionalFormatting>
  <conditionalFormatting sqref="AC61">
    <cfRule type="cellIs" dxfId="10119" priority="56922" stopIfTrue="1" operator="notEqual">
      <formula>"manual transfer"</formula>
    </cfRule>
  </conditionalFormatting>
  <conditionalFormatting sqref="AD61">
    <cfRule type="cellIs" dxfId="10118" priority="56923" stopIfTrue="1" operator="notEqual">
      <formula>"non-hazardous"</formula>
    </cfRule>
  </conditionalFormatting>
  <conditionalFormatting sqref="AE61">
    <cfRule type="expression" dxfId="10117" priority="56924" stopIfTrue="1">
      <formula>NOT(ISBLANK($AE$61))</formula>
    </cfRule>
  </conditionalFormatting>
  <conditionalFormatting sqref="AF61">
    <cfRule type="cellIs" dxfId="10116" priority="56925" stopIfTrue="1" operator="notEqual">
      <formula>0</formula>
    </cfRule>
  </conditionalFormatting>
  <conditionalFormatting sqref="AG61">
    <cfRule type="expression" dxfId="10115" priority="56926" stopIfTrue="1">
      <formula>NOT(ISBLANK($AG$61))</formula>
    </cfRule>
  </conditionalFormatting>
  <conditionalFormatting sqref="AH61">
    <cfRule type="expression" dxfId="10114" priority="56927" stopIfTrue="1">
      <formula>NOT(ISBLANK($AH$61))</formula>
    </cfRule>
  </conditionalFormatting>
  <conditionalFormatting sqref="AI61">
    <cfRule type="cellIs" dxfId="10113" priority="56928" stopIfTrue="1" operator="notEqual">
      <formula>"fully automated"</formula>
    </cfRule>
  </conditionalFormatting>
  <conditionalFormatting sqref="AJ61">
    <cfRule type="expression" dxfId="10112" priority="56929" stopIfTrue="1">
      <formula>NOT(ISBLANK($AJ$61))</formula>
    </cfRule>
  </conditionalFormatting>
  <conditionalFormatting sqref="AK61">
    <cfRule type="expression" dxfId="10111" priority="56930" stopIfTrue="1">
      <formula>NOT(ISBLANK($AK$61))</formula>
    </cfRule>
  </conditionalFormatting>
  <conditionalFormatting sqref="AL61">
    <cfRule type="expression" dxfId="10110" priority="56931" stopIfTrue="1">
      <formula>NOT(ISBLANK($AL$61))</formula>
    </cfRule>
  </conditionalFormatting>
  <conditionalFormatting sqref="AM61">
    <cfRule type="expression" dxfId="10109" priority="56932" stopIfTrue="1">
      <formula>NOT(ISBLANK($AM$61))</formula>
    </cfRule>
  </conditionalFormatting>
  <conditionalFormatting sqref="AN61">
    <cfRule type="expression" dxfId="10108" priority="56933" stopIfTrue="1">
      <formula>NOT(ISBLANK($AN$61))</formula>
    </cfRule>
  </conditionalFormatting>
  <conditionalFormatting sqref="AO61">
    <cfRule type="expression" dxfId="10107" priority="56934" stopIfTrue="1">
      <formula>NOT(ISBLANK($AO$61))</formula>
    </cfRule>
  </conditionalFormatting>
  <conditionalFormatting sqref="AP61">
    <cfRule type="expression" dxfId="10106" priority="56935" stopIfTrue="1">
      <formula>NOT(ISBLANK($AP$61))</formula>
    </cfRule>
  </conditionalFormatting>
  <conditionalFormatting sqref="AQ61">
    <cfRule type="expression" dxfId="10105" priority="56936" stopIfTrue="1">
      <formula>NOT(ISBLANK($AQ$61))</formula>
    </cfRule>
  </conditionalFormatting>
  <conditionalFormatting sqref="A62">
    <cfRule type="cellIs" dxfId="10104" priority="56937" stopIfTrue="1" operator="notEqual">
      <formula>4</formula>
    </cfRule>
  </conditionalFormatting>
  <conditionalFormatting sqref="B62">
    <cfRule type="cellIs" dxfId="10103" priority="56938" stopIfTrue="1" operator="notEqual">
      <formula>1</formula>
    </cfRule>
  </conditionalFormatting>
  <conditionalFormatting sqref="C62">
    <cfRule type="cellIs" dxfId="10102" priority="56939" stopIfTrue="1" operator="notEqual">
      <formula>6</formula>
    </cfRule>
  </conditionalFormatting>
  <conditionalFormatting sqref="D62">
    <cfRule type="cellIs" dxfId="10101" priority="56940" stopIfTrue="1" operator="notEqual">
      <formula>7.365</formula>
    </cfRule>
  </conditionalFormatting>
  <conditionalFormatting sqref="E62">
    <cfRule type="cellIs" dxfId="10100" priority="56941" stopIfTrue="1" operator="notEqual">
      <formula>"MGD"</formula>
    </cfRule>
  </conditionalFormatting>
  <conditionalFormatting sqref="F62">
    <cfRule type="cellIs" dxfId="10099" priority="56942" stopIfTrue="1" operator="notEqual">
      <formula>3.2</formula>
    </cfRule>
  </conditionalFormatting>
  <conditionalFormatting sqref="G62">
    <cfRule type="cellIs" dxfId="10098" priority="56943" stopIfTrue="1" operator="notEqual">
      <formula>"MGD"</formula>
    </cfRule>
  </conditionalFormatting>
  <conditionalFormatting sqref="H62">
    <cfRule type="cellIs" dxfId="10097" priority="56944" stopIfTrue="1" operator="notEqual">
      <formula>"regeneration off-site (non-hazardous)"</formula>
    </cfRule>
  </conditionalFormatting>
  <conditionalFormatting sqref="I62">
    <cfRule type="cellIs" dxfId="10096" priority="56945" stopIfTrue="1" operator="notEqual">
      <formula>"carbon life value- bed volumes"</formula>
    </cfRule>
  </conditionalFormatting>
  <conditionalFormatting sqref="J62">
    <cfRule type="cellIs" dxfId="10095" priority="56946" stopIfTrue="1" operator="notEqual">
      <formula>66600</formula>
    </cfRule>
  </conditionalFormatting>
  <conditionalFormatting sqref="K62">
    <cfRule type="expression" dxfId="10094" priority="56947" stopIfTrue="1">
      <formula>NOT(ISBLANK($K$62))</formula>
    </cfRule>
  </conditionalFormatting>
  <conditionalFormatting sqref="L62">
    <cfRule type="expression" dxfId="10093" priority="56948" stopIfTrue="1">
      <formula>NOT(ISBLANK($L$62))</formula>
    </cfRule>
  </conditionalFormatting>
  <conditionalFormatting sqref="M62">
    <cfRule type="expression" dxfId="10092" priority="56949" stopIfTrue="1">
      <formula>NOT(ISBLANK($M$62))</formula>
    </cfRule>
  </conditionalFormatting>
  <conditionalFormatting sqref="N62">
    <cfRule type="cellIs" dxfId="10091" priority="56950" stopIfTrue="1" operator="notEqual">
      <formula>"EBCT"</formula>
    </cfRule>
  </conditionalFormatting>
  <conditionalFormatting sqref="O62">
    <cfRule type="cellIs" dxfId="10090" priority="56951" stopIfTrue="1" operator="notEqual">
      <formula>7.5</formula>
    </cfRule>
  </conditionalFormatting>
  <conditionalFormatting sqref="P62">
    <cfRule type="expression" dxfId="10089" priority="56952" stopIfTrue="1">
      <formula>NOT(ISBLANK($P$62))</formula>
    </cfRule>
  </conditionalFormatting>
  <conditionalFormatting sqref="Q62">
    <cfRule type="expression" dxfId="10088" priority="56953" stopIfTrue="1">
      <formula>NOT(ISBLANK($Q$62))</formula>
    </cfRule>
  </conditionalFormatting>
  <conditionalFormatting sqref="R62">
    <cfRule type="cellIs" dxfId="10087" priority="56954" stopIfTrue="1" operator="notEqual">
      <formula>1</formula>
    </cfRule>
  </conditionalFormatting>
  <conditionalFormatting sqref="S62">
    <cfRule type="cellIs" dxfId="10086" priority="56955" stopIfTrue="1" operator="notEqual">
      <formula>6.8</formula>
    </cfRule>
  </conditionalFormatting>
  <conditionalFormatting sqref="T62">
    <cfRule type="cellIs" dxfId="10085" priority="56956" stopIfTrue="1" operator="notEqual">
      <formula>"upright"</formula>
    </cfRule>
  </conditionalFormatting>
  <conditionalFormatting sqref="U62">
    <cfRule type="cellIs" dxfId="10084" priority="56957" stopIfTrue="1" operator="notEqual">
      <formula>11</formula>
    </cfRule>
  </conditionalFormatting>
  <conditionalFormatting sqref="V62">
    <cfRule type="cellIs" dxfId="10083" priority="56958" stopIfTrue="1" operator="notEqual">
      <formula>11</formula>
    </cfRule>
  </conditionalFormatting>
  <conditionalFormatting sqref="W62">
    <cfRule type="expression" dxfId="10082" priority="56959" stopIfTrue="1">
      <formula>NOT(ISBLANK($W$62))</formula>
    </cfRule>
  </conditionalFormatting>
  <conditionalFormatting sqref="X62">
    <cfRule type="expression" dxfId="10081" priority="56960" stopIfTrue="1">
      <formula>NOT(ISBLANK($X$62))</formula>
    </cfRule>
  </conditionalFormatting>
  <conditionalFormatting sqref="Y62">
    <cfRule type="expression" dxfId="10080" priority="56961" stopIfTrue="1">
      <formula>NOT(ISBLANK($Y$62))</formula>
    </cfRule>
  </conditionalFormatting>
  <conditionalFormatting sqref="Z62">
    <cfRule type="cellIs" dxfId="10079" priority="56962" stopIfTrue="1" operator="notEqual">
      <formula>168</formula>
    </cfRule>
  </conditionalFormatting>
  <conditionalFormatting sqref="AA62">
    <cfRule type="cellIs" dxfId="10078" priority="56963" stopIfTrue="1" operator="notEqual">
      <formula>"POTW"</formula>
    </cfRule>
  </conditionalFormatting>
  <conditionalFormatting sqref="AB62">
    <cfRule type="cellIs" dxfId="10077" priority="56964" stopIfTrue="1" operator="notEqual">
      <formula>"Holding tank"</formula>
    </cfRule>
  </conditionalFormatting>
  <conditionalFormatting sqref="AC62">
    <cfRule type="cellIs" dxfId="10076" priority="56965" stopIfTrue="1" operator="notEqual">
      <formula>"eductors"</formula>
    </cfRule>
  </conditionalFormatting>
  <conditionalFormatting sqref="AD62">
    <cfRule type="cellIs" dxfId="10075" priority="56966" stopIfTrue="1" operator="notEqual">
      <formula>"non-hazardous"</formula>
    </cfRule>
  </conditionalFormatting>
  <conditionalFormatting sqref="AE62">
    <cfRule type="expression" dxfId="10074" priority="56967" stopIfTrue="1">
      <formula>NOT(ISBLANK($AE$62))</formula>
    </cfRule>
  </conditionalFormatting>
  <conditionalFormatting sqref="AF62">
    <cfRule type="cellIs" dxfId="10073" priority="56968" stopIfTrue="1" operator="notEqual">
      <formula>0</formula>
    </cfRule>
  </conditionalFormatting>
  <conditionalFormatting sqref="AG62">
    <cfRule type="expression" dxfId="10072" priority="56969" stopIfTrue="1">
      <formula>NOT(ISBLANK($AG$62))</formula>
    </cfRule>
  </conditionalFormatting>
  <conditionalFormatting sqref="AH62">
    <cfRule type="expression" dxfId="10071" priority="56970" stopIfTrue="1">
      <formula>NOT(ISBLANK($AH$62))</formula>
    </cfRule>
  </conditionalFormatting>
  <conditionalFormatting sqref="AI62">
    <cfRule type="cellIs" dxfId="10070" priority="56971" stopIfTrue="1" operator="notEqual">
      <formula>"fully automated"</formula>
    </cfRule>
  </conditionalFormatting>
  <conditionalFormatting sqref="AJ62">
    <cfRule type="expression" dxfId="10069" priority="56972" stopIfTrue="1">
      <formula>NOT(ISBLANK($AJ$62))</formula>
    </cfRule>
  </conditionalFormatting>
  <conditionalFormatting sqref="AK62">
    <cfRule type="expression" dxfId="10068" priority="56973" stopIfTrue="1">
      <formula>NOT(ISBLANK($AK$62))</formula>
    </cfRule>
  </conditionalFormatting>
  <conditionalFormatting sqref="AL62">
    <cfRule type="expression" dxfId="10067" priority="56974" stopIfTrue="1">
      <formula>NOT(ISBLANK($AL$62))</formula>
    </cfRule>
  </conditionalFormatting>
  <conditionalFormatting sqref="AM62">
    <cfRule type="expression" dxfId="10066" priority="56975" stopIfTrue="1">
      <formula>NOT(ISBLANK($AM$62))</formula>
    </cfRule>
  </conditionalFormatting>
  <conditionalFormatting sqref="AN62">
    <cfRule type="expression" dxfId="10065" priority="56976" stopIfTrue="1">
      <formula>NOT(ISBLANK($AN$62))</formula>
    </cfRule>
  </conditionalFormatting>
  <conditionalFormatting sqref="AO62">
    <cfRule type="expression" dxfId="10064" priority="56977" stopIfTrue="1">
      <formula>NOT(ISBLANK($AO$62))</formula>
    </cfRule>
  </conditionalFormatting>
  <conditionalFormatting sqref="AP62">
    <cfRule type="expression" dxfId="10063" priority="56978" stopIfTrue="1">
      <formula>NOT(ISBLANK($AP$62))</formula>
    </cfRule>
  </conditionalFormatting>
  <conditionalFormatting sqref="AQ62">
    <cfRule type="expression" dxfId="10062" priority="56979" stopIfTrue="1">
      <formula>NOT(ISBLANK($AQ$62))</formula>
    </cfRule>
  </conditionalFormatting>
  <conditionalFormatting sqref="A63">
    <cfRule type="cellIs" dxfId="10061" priority="56980" stopIfTrue="1" operator="notEqual">
      <formula>4</formula>
    </cfRule>
  </conditionalFormatting>
  <conditionalFormatting sqref="B63">
    <cfRule type="cellIs" dxfId="10060" priority="56981" stopIfTrue="1" operator="notEqual">
      <formula>1</formula>
    </cfRule>
  </conditionalFormatting>
  <conditionalFormatting sqref="C63">
    <cfRule type="cellIs" dxfId="10059" priority="56982" stopIfTrue="1" operator="notEqual">
      <formula>7</formula>
    </cfRule>
  </conditionalFormatting>
  <conditionalFormatting sqref="D63">
    <cfRule type="cellIs" dxfId="10058" priority="56983" stopIfTrue="1" operator="notEqual">
      <formula>22.614</formula>
    </cfRule>
  </conditionalFormatting>
  <conditionalFormatting sqref="E63">
    <cfRule type="cellIs" dxfId="10057" priority="56984" stopIfTrue="1" operator="notEqual">
      <formula>"MGD"</formula>
    </cfRule>
  </conditionalFormatting>
  <conditionalFormatting sqref="F63">
    <cfRule type="cellIs" dxfId="10056" priority="56985" stopIfTrue="1" operator="notEqual">
      <formula>11.066</formula>
    </cfRule>
  </conditionalFormatting>
  <conditionalFormatting sqref="G63">
    <cfRule type="cellIs" dxfId="10055" priority="56986" stopIfTrue="1" operator="notEqual">
      <formula>"MGD"</formula>
    </cfRule>
  </conditionalFormatting>
  <conditionalFormatting sqref="H63">
    <cfRule type="cellIs" dxfId="10054" priority="56987" stopIfTrue="1" operator="notEqual">
      <formula>"regeneration off-site (non-hazardous)"</formula>
    </cfRule>
  </conditionalFormatting>
  <conditionalFormatting sqref="I63">
    <cfRule type="cellIs" dxfId="10053" priority="56988" stopIfTrue="1" operator="notEqual">
      <formula>"carbon life value- bed volumes"</formula>
    </cfRule>
  </conditionalFormatting>
  <conditionalFormatting sqref="J63">
    <cfRule type="cellIs" dxfId="10052" priority="56989" stopIfTrue="1" operator="notEqual">
      <formula>66600</formula>
    </cfRule>
  </conditionalFormatting>
  <conditionalFormatting sqref="K63">
    <cfRule type="expression" dxfId="10051" priority="56990" stopIfTrue="1">
      <formula>NOT(ISBLANK($K$63))</formula>
    </cfRule>
  </conditionalFormatting>
  <conditionalFormatting sqref="L63">
    <cfRule type="expression" dxfId="10050" priority="56991" stopIfTrue="1">
      <formula>NOT(ISBLANK($L$63))</formula>
    </cfRule>
  </conditionalFormatting>
  <conditionalFormatting sqref="M63">
    <cfRule type="expression" dxfId="10049" priority="56992" stopIfTrue="1">
      <formula>NOT(ISBLANK($M$63))</formula>
    </cfRule>
  </conditionalFormatting>
  <conditionalFormatting sqref="N63">
    <cfRule type="cellIs" dxfId="10048" priority="56993" stopIfTrue="1" operator="notEqual">
      <formula>"EBCT"</formula>
    </cfRule>
  </conditionalFormatting>
  <conditionalFormatting sqref="O63">
    <cfRule type="cellIs" dxfId="10047" priority="56994" stopIfTrue="1" operator="notEqual">
      <formula>7.5</formula>
    </cfRule>
  </conditionalFormatting>
  <conditionalFormatting sqref="P63">
    <cfRule type="expression" dxfId="10046" priority="56995" stopIfTrue="1">
      <formula>NOT(ISBLANK($P$63))</formula>
    </cfRule>
  </conditionalFormatting>
  <conditionalFormatting sqref="Q63">
    <cfRule type="expression" dxfId="10045" priority="56996" stopIfTrue="1">
      <formula>NOT(ISBLANK($Q$63))</formula>
    </cfRule>
  </conditionalFormatting>
  <conditionalFormatting sqref="R63">
    <cfRule type="cellIs" dxfId="10044" priority="56997" stopIfTrue="1" operator="notEqual">
      <formula>1</formula>
    </cfRule>
  </conditionalFormatting>
  <conditionalFormatting sqref="S63">
    <cfRule type="cellIs" dxfId="10043" priority="56998" stopIfTrue="1" operator="notEqual">
      <formula>7.1</formula>
    </cfRule>
  </conditionalFormatting>
  <conditionalFormatting sqref="T63">
    <cfRule type="cellIs" dxfId="10042" priority="56999" stopIfTrue="1" operator="notEqual">
      <formula>"horizontal"</formula>
    </cfRule>
  </conditionalFormatting>
  <conditionalFormatting sqref="U63">
    <cfRule type="cellIs" dxfId="10041" priority="57000" stopIfTrue="1" operator="notEqual">
      <formula>20</formula>
    </cfRule>
  </conditionalFormatting>
  <conditionalFormatting sqref="V63">
    <cfRule type="cellIs" dxfId="10040" priority="57001" stopIfTrue="1" operator="notEqual">
      <formula>14</formula>
    </cfRule>
  </conditionalFormatting>
  <conditionalFormatting sqref="W63">
    <cfRule type="expression" dxfId="10039" priority="57002" stopIfTrue="1">
      <formula>NOT(ISBLANK($W$63))</formula>
    </cfRule>
  </conditionalFormatting>
  <conditionalFormatting sqref="X63">
    <cfRule type="expression" dxfId="10038" priority="57003" stopIfTrue="1">
      <formula>NOT(ISBLANK($X$63))</formula>
    </cfRule>
  </conditionalFormatting>
  <conditionalFormatting sqref="Y63">
    <cfRule type="expression" dxfId="10037" priority="57004" stopIfTrue="1">
      <formula>NOT(ISBLANK($Y$63))</formula>
    </cfRule>
  </conditionalFormatting>
  <conditionalFormatting sqref="Z63">
    <cfRule type="cellIs" dxfId="10036" priority="57005" stopIfTrue="1" operator="notEqual">
      <formula>168</formula>
    </cfRule>
  </conditionalFormatting>
  <conditionalFormatting sqref="AA63">
    <cfRule type="cellIs" dxfId="10035" priority="57006" stopIfTrue="1" operator="notEqual">
      <formula>"POTW"</formula>
    </cfRule>
  </conditionalFormatting>
  <conditionalFormatting sqref="AB63">
    <cfRule type="cellIs" dxfId="10034" priority="57007" stopIfTrue="1" operator="notEqual">
      <formula>"Holding tank"</formula>
    </cfRule>
  </conditionalFormatting>
  <conditionalFormatting sqref="AC63">
    <cfRule type="cellIs" dxfId="10033" priority="57008" stopIfTrue="1" operator="notEqual">
      <formula>"eductors"</formula>
    </cfRule>
  </conditionalFormatting>
  <conditionalFormatting sqref="AD63">
    <cfRule type="cellIs" dxfId="10032" priority="57009" stopIfTrue="1" operator="notEqual">
      <formula>"non-hazardous"</formula>
    </cfRule>
  </conditionalFormatting>
  <conditionalFormatting sqref="AE63">
    <cfRule type="expression" dxfId="10031" priority="57010" stopIfTrue="1">
      <formula>NOT(ISBLANK($AE$63))</formula>
    </cfRule>
  </conditionalFormatting>
  <conditionalFormatting sqref="AF63">
    <cfRule type="cellIs" dxfId="10030" priority="57011" stopIfTrue="1" operator="notEqual">
      <formula>0</formula>
    </cfRule>
  </conditionalFormatting>
  <conditionalFormatting sqref="AG63">
    <cfRule type="expression" dxfId="10029" priority="57012" stopIfTrue="1">
      <formula>NOT(ISBLANK($AG$63))</formula>
    </cfRule>
  </conditionalFormatting>
  <conditionalFormatting sqref="AH63">
    <cfRule type="expression" dxfId="10028" priority="57013" stopIfTrue="1">
      <formula>NOT(ISBLANK($AH$63))</formula>
    </cfRule>
  </conditionalFormatting>
  <conditionalFormatting sqref="AI63">
    <cfRule type="cellIs" dxfId="10027" priority="57014" stopIfTrue="1" operator="notEqual">
      <formula>"fully automated"</formula>
    </cfRule>
  </conditionalFormatting>
  <conditionalFormatting sqref="AJ63">
    <cfRule type="expression" dxfId="10026" priority="57015" stopIfTrue="1">
      <formula>NOT(ISBLANK($AJ$63))</formula>
    </cfRule>
  </conditionalFormatting>
  <conditionalFormatting sqref="AK63">
    <cfRule type="expression" dxfId="10025" priority="57016" stopIfTrue="1">
      <formula>NOT(ISBLANK($AK$63))</formula>
    </cfRule>
  </conditionalFormatting>
  <conditionalFormatting sqref="AL63">
    <cfRule type="expression" dxfId="10024" priority="57017" stopIfTrue="1">
      <formula>NOT(ISBLANK($AL$63))</formula>
    </cfRule>
  </conditionalFormatting>
  <conditionalFormatting sqref="AM63">
    <cfRule type="expression" dxfId="10023" priority="57018" stopIfTrue="1">
      <formula>NOT(ISBLANK($AM$63))</formula>
    </cfRule>
  </conditionalFormatting>
  <conditionalFormatting sqref="AN63">
    <cfRule type="expression" dxfId="10022" priority="57019" stopIfTrue="1">
      <formula>NOT(ISBLANK($AN$63))</formula>
    </cfRule>
  </conditionalFormatting>
  <conditionalFormatting sqref="AO63">
    <cfRule type="expression" dxfId="10021" priority="57020" stopIfTrue="1">
      <formula>NOT(ISBLANK($AO$63))</formula>
    </cfRule>
  </conditionalFormatting>
  <conditionalFormatting sqref="AP63">
    <cfRule type="expression" dxfId="10020" priority="57021" stopIfTrue="1">
      <formula>NOT(ISBLANK($AP$63))</formula>
    </cfRule>
  </conditionalFormatting>
  <conditionalFormatting sqref="AQ63">
    <cfRule type="expression" dxfId="10019" priority="57022" stopIfTrue="1">
      <formula>NOT(ISBLANK($AQ$63))</formula>
    </cfRule>
  </conditionalFormatting>
  <conditionalFormatting sqref="A64">
    <cfRule type="cellIs" dxfId="10018" priority="57023" stopIfTrue="1" operator="notEqual">
      <formula>4</formula>
    </cfRule>
  </conditionalFormatting>
  <conditionalFormatting sqref="B64">
    <cfRule type="cellIs" dxfId="10017" priority="57024" stopIfTrue="1" operator="notEqual">
      <formula>1</formula>
    </cfRule>
  </conditionalFormatting>
  <conditionalFormatting sqref="C64">
    <cfRule type="cellIs" dxfId="10016" priority="57025" stopIfTrue="1" operator="notEqual">
      <formula>8</formula>
    </cfRule>
  </conditionalFormatting>
  <conditionalFormatting sqref="D64">
    <cfRule type="cellIs" dxfId="10015" priority="57026" stopIfTrue="1" operator="notEqual">
      <formula>75.072</formula>
    </cfRule>
  </conditionalFormatting>
  <conditionalFormatting sqref="E64">
    <cfRule type="cellIs" dxfId="10014" priority="57027" stopIfTrue="1" operator="notEqual">
      <formula>"MGD"</formula>
    </cfRule>
  </conditionalFormatting>
  <conditionalFormatting sqref="F64">
    <cfRule type="cellIs" dxfId="10013" priority="57028" stopIfTrue="1" operator="notEqual">
      <formula>37.536</formula>
    </cfRule>
  </conditionalFormatting>
  <conditionalFormatting sqref="G64">
    <cfRule type="cellIs" dxfId="10012" priority="57029" stopIfTrue="1" operator="notEqual">
      <formula>"MGD"</formula>
    </cfRule>
  </conditionalFormatting>
  <conditionalFormatting sqref="H64">
    <cfRule type="cellIs" dxfId="10011" priority="57030" stopIfTrue="1" operator="notEqual">
      <formula>"regeneration off-site (non-hazardous)"</formula>
    </cfRule>
  </conditionalFormatting>
  <conditionalFormatting sqref="I64">
    <cfRule type="cellIs" dxfId="10010" priority="57031" stopIfTrue="1" operator="notEqual">
      <formula>"carbon life value- bed volumes"</formula>
    </cfRule>
  </conditionalFormatting>
  <conditionalFormatting sqref="J64">
    <cfRule type="cellIs" dxfId="10009" priority="57032" stopIfTrue="1" operator="notEqual">
      <formula>66600</formula>
    </cfRule>
  </conditionalFormatting>
  <conditionalFormatting sqref="K64">
    <cfRule type="expression" dxfId="10008" priority="57033" stopIfTrue="1">
      <formula>NOT(ISBLANK($K$64))</formula>
    </cfRule>
  </conditionalFormatting>
  <conditionalFormatting sqref="L64">
    <cfRule type="expression" dxfId="10007" priority="57034" stopIfTrue="1">
      <formula>NOT(ISBLANK($L$64))</formula>
    </cfRule>
  </conditionalFormatting>
  <conditionalFormatting sqref="M64">
    <cfRule type="expression" dxfId="10006" priority="57035" stopIfTrue="1">
      <formula>NOT(ISBLANK($M$64))</formula>
    </cfRule>
  </conditionalFormatting>
  <conditionalFormatting sqref="N64">
    <cfRule type="cellIs" dxfId="10005" priority="57036" stopIfTrue="1" operator="notEqual">
      <formula>"EBCT"</formula>
    </cfRule>
  </conditionalFormatting>
  <conditionalFormatting sqref="O64">
    <cfRule type="cellIs" dxfId="10004" priority="57037" stopIfTrue="1" operator="notEqual">
      <formula>7.5</formula>
    </cfRule>
  </conditionalFormatting>
  <conditionalFormatting sqref="P64">
    <cfRule type="expression" dxfId="10003" priority="57038" stopIfTrue="1">
      <formula>NOT(ISBLANK($P$64))</formula>
    </cfRule>
  </conditionalFormatting>
  <conditionalFormatting sqref="Q64">
    <cfRule type="expression" dxfId="10002" priority="57039" stopIfTrue="1">
      <formula>NOT(ISBLANK($Q$64))</formula>
    </cfRule>
  </conditionalFormatting>
  <conditionalFormatting sqref="R64">
    <cfRule type="cellIs" dxfId="10001" priority="57040" stopIfTrue="1" operator="notEqual">
      <formula>1</formula>
    </cfRule>
  </conditionalFormatting>
  <conditionalFormatting sqref="S64">
    <cfRule type="cellIs" dxfId="10000" priority="57041" stopIfTrue="1" operator="notEqual">
      <formula>7.2</formula>
    </cfRule>
  </conditionalFormatting>
  <conditionalFormatting sqref="T64">
    <cfRule type="cellIs" dxfId="9999" priority="57042" stopIfTrue="1" operator="notEqual">
      <formula>"horizontal"</formula>
    </cfRule>
  </conditionalFormatting>
  <conditionalFormatting sqref="U64">
    <cfRule type="cellIs" dxfId="9998" priority="57043" stopIfTrue="1" operator="notEqual">
      <formula>20</formula>
    </cfRule>
  </conditionalFormatting>
  <conditionalFormatting sqref="V64">
    <cfRule type="cellIs" dxfId="9997" priority="57044" stopIfTrue="1" operator="notEqual">
      <formula>14</formula>
    </cfRule>
  </conditionalFormatting>
  <conditionalFormatting sqref="W64">
    <cfRule type="expression" dxfId="9996" priority="57045" stopIfTrue="1">
      <formula>NOT(ISBLANK($W$64))</formula>
    </cfRule>
  </conditionalFormatting>
  <conditionalFormatting sqref="X64">
    <cfRule type="expression" dxfId="9995" priority="57046" stopIfTrue="1">
      <formula>NOT(ISBLANK($X$64))</formula>
    </cfRule>
  </conditionalFormatting>
  <conditionalFormatting sqref="Y64">
    <cfRule type="expression" dxfId="9994" priority="57047" stopIfTrue="1">
      <formula>NOT(ISBLANK($Y$64))</formula>
    </cfRule>
  </conditionalFormatting>
  <conditionalFormatting sqref="Z64">
    <cfRule type="cellIs" dxfId="9993" priority="57048" stopIfTrue="1" operator="notEqual">
      <formula>168</formula>
    </cfRule>
  </conditionalFormatting>
  <conditionalFormatting sqref="AA64">
    <cfRule type="cellIs" dxfId="9992" priority="57049" stopIfTrue="1" operator="notEqual">
      <formula>"POTW"</formula>
    </cfRule>
  </conditionalFormatting>
  <conditionalFormatting sqref="AB64">
    <cfRule type="cellIs" dxfId="9991" priority="57050" stopIfTrue="1" operator="notEqual">
      <formula>"Holding tank"</formula>
    </cfRule>
  </conditionalFormatting>
  <conditionalFormatting sqref="AC64">
    <cfRule type="cellIs" dxfId="9990" priority="57051" stopIfTrue="1" operator="notEqual">
      <formula>"eductors"</formula>
    </cfRule>
  </conditionalFormatting>
  <conditionalFormatting sqref="AD64">
    <cfRule type="cellIs" dxfId="9989" priority="57052" stopIfTrue="1" operator="notEqual">
      <formula>"non-hazardous"</formula>
    </cfRule>
  </conditionalFormatting>
  <conditionalFormatting sqref="AE64">
    <cfRule type="expression" dxfId="9988" priority="57053" stopIfTrue="1">
      <formula>NOT(ISBLANK($AE$64))</formula>
    </cfRule>
  </conditionalFormatting>
  <conditionalFormatting sqref="AF64">
    <cfRule type="cellIs" dxfId="9987" priority="57054" stopIfTrue="1" operator="notEqual">
      <formula>0</formula>
    </cfRule>
  </conditionalFormatting>
  <conditionalFormatting sqref="AG64">
    <cfRule type="expression" dxfId="9986" priority="57055" stopIfTrue="1">
      <formula>NOT(ISBLANK($AG$64))</formula>
    </cfRule>
  </conditionalFormatting>
  <conditionalFormatting sqref="AH64">
    <cfRule type="expression" dxfId="9985" priority="57056" stopIfTrue="1">
      <formula>NOT(ISBLANK($AH$64))</formula>
    </cfRule>
  </conditionalFormatting>
  <conditionalFormatting sqref="AI64">
    <cfRule type="cellIs" dxfId="9984" priority="57057" stopIfTrue="1" operator="notEqual">
      <formula>"fully automated"</formula>
    </cfRule>
  </conditionalFormatting>
  <conditionalFormatting sqref="AJ64">
    <cfRule type="expression" dxfId="9983" priority="57058" stopIfTrue="1">
      <formula>NOT(ISBLANK($AJ$64))</formula>
    </cfRule>
  </conditionalFormatting>
  <conditionalFormatting sqref="AK64">
    <cfRule type="expression" dxfId="9982" priority="57059" stopIfTrue="1">
      <formula>NOT(ISBLANK($AK$64))</formula>
    </cfRule>
  </conditionalFormatting>
  <conditionalFormatting sqref="AL64">
    <cfRule type="expression" dxfId="9981" priority="57060" stopIfTrue="1">
      <formula>NOT(ISBLANK($AL$64))</formula>
    </cfRule>
  </conditionalFormatting>
  <conditionalFormatting sqref="AM64">
    <cfRule type="expression" dxfId="9980" priority="57061" stopIfTrue="1">
      <formula>NOT(ISBLANK($AM$64))</formula>
    </cfRule>
  </conditionalFormatting>
  <conditionalFormatting sqref="AN64">
    <cfRule type="expression" dxfId="9979" priority="57062" stopIfTrue="1">
      <formula>NOT(ISBLANK($AN$64))</formula>
    </cfRule>
  </conditionalFormatting>
  <conditionalFormatting sqref="AO64">
    <cfRule type="expression" dxfId="9978" priority="57063" stopIfTrue="1">
      <formula>NOT(ISBLANK($AO$64))</formula>
    </cfRule>
  </conditionalFormatting>
  <conditionalFormatting sqref="AP64">
    <cfRule type="expression" dxfId="9977" priority="57064" stopIfTrue="1">
      <formula>NOT(ISBLANK($AP$64))</formula>
    </cfRule>
  </conditionalFormatting>
  <conditionalFormatting sqref="AQ64">
    <cfRule type="expression" dxfId="9976" priority="57065" stopIfTrue="1">
      <formula>NOT(ISBLANK($AQ$64))</formula>
    </cfRule>
  </conditionalFormatting>
  <conditionalFormatting sqref="A65">
    <cfRule type="cellIs" dxfId="9975" priority="57066" stopIfTrue="1" operator="notEqual">
      <formula>4</formula>
    </cfRule>
  </conditionalFormatting>
  <conditionalFormatting sqref="B65">
    <cfRule type="cellIs" dxfId="9974" priority="57067" stopIfTrue="1" operator="notEqual">
      <formula>2</formula>
    </cfRule>
  </conditionalFormatting>
  <conditionalFormatting sqref="C65">
    <cfRule type="cellIs" dxfId="9973" priority="57068" stopIfTrue="1" operator="notEqual">
      <formula>1</formula>
    </cfRule>
  </conditionalFormatting>
  <conditionalFormatting sqref="D65">
    <cfRule type="cellIs" dxfId="9972" priority="57069" stopIfTrue="1" operator="notEqual">
      <formula>0.03</formula>
    </cfRule>
  </conditionalFormatting>
  <conditionalFormatting sqref="E65">
    <cfRule type="cellIs" dxfId="9971" priority="57070" stopIfTrue="1" operator="notEqual">
      <formula>"MGD"</formula>
    </cfRule>
  </conditionalFormatting>
  <conditionalFormatting sqref="F65">
    <cfRule type="cellIs" dxfId="9970" priority="57071" stopIfTrue="1" operator="notEqual">
      <formula>0.007</formula>
    </cfRule>
  </conditionalFormatting>
  <conditionalFormatting sqref="G65">
    <cfRule type="cellIs" dxfId="9969" priority="57072" stopIfTrue="1" operator="notEqual">
      <formula>"MGD"</formula>
    </cfRule>
  </conditionalFormatting>
  <conditionalFormatting sqref="H65">
    <cfRule type="cellIs" dxfId="9968" priority="57073" stopIfTrue="1" operator="notEqual">
      <formula>"regeneration off-site (non-hazardous)"</formula>
    </cfRule>
  </conditionalFormatting>
  <conditionalFormatting sqref="I65">
    <cfRule type="cellIs" dxfId="9967" priority="57074" stopIfTrue="1" operator="notEqual">
      <formula>"carbon life value- bed volumes"</formula>
    </cfRule>
  </conditionalFormatting>
  <conditionalFormatting sqref="J65">
    <cfRule type="cellIs" dxfId="9966" priority="57075" stopIfTrue="1" operator="notEqual">
      <formula>66600</formula>
    </cfRule>
  </conditionalFormatting>
  <conditionalFormatting sqref="K65">
    <cfRule type="expression" dxfId="9965" priority="57076" stopIfTrue="1">
      <formula>NOT(ISBLANK($K$65))</formula>
    </cfRule>
  </conditionalFormatting>
  <conditionalFormatting sqref="L65">
    <cfRule type="expression" dxfId="9964" priority="57077" stopIfTrue="1">
      <formula>NOT(ISBLANK($L$65))</formula>
    </cfRule>
  </conditionalFormatting>
  <conditionalFormatting sqref="M65">
    <cfRule type="expression" dxfId="9963" priority="57078" stopIfTrue="1">
      <formula>NOT(ISBLANK($M$65))</formula>
    </cfRule>
  </conditionalFormatting>
  <conditionalFormatting sqref="N65">
    <cfRule type="cellIs" dxfId="9962" priority="57079" stopIfTrue="1" operator="notEqual">
      <formula>"EBCT"</formula>
    </cfRule>
  </conditionalFormatting>
  <conditionalFormatting sqref="O65">
    <cfRule type="cellIs" dxfId="9961" priority="57080" stopIfTrue="1" operator="notEqual">
      <formula>7.5</formula>
    </cfRule>
  </conditionalFormatting>
  <conditionalFormatting sqref="P65">
    <cfRule type="expression" dxfId="9960" priority="57081" stopIfTrue="1">
      <formula>NOT(ISBLANK($P$65))</formula>
    </cfRule>
  </conditionalFormatting>
  <conditionalFormatting sqref="Q65">
    <cfRule type="expression" dxfId="9959" priority="57082" stopIfTrue="1">
      <formula>NOT(ISBLANK($Q$65))</formula>
    </cfRule>
  </conditionalFormatting>
  <conditionalFormatting sqref="R65">
    <cfRule type="expression" dxfId="9958" priority="57083" stopIfTrue="1">
      <formula>NOT(ISBLANK($R$65))</formula>
    </cfRule>
  </conditionalFormatting>
  <conditionalFormatting sqref="S65">
    <cfRule type="expression" dxfId="9957" priority="57084" stopIfTrue="1">
      <formula>NOT(ISBLANK($S$65))</formula>
    </cfRule>
  </conditionalFormatting>
  <conditionalFormatting sqref="T65">
    <cfRule type="expression" dxfId="9956" priority="57085" stopIfTrue="1">
      <formula>NOT(ISBLANK($T$65))</formula>
    </cfRule>
  </conditionalFormatting>
  <conditionalFormatting sqref="U65">
    <cfRule type="expression" dxfId="9955" priority="57086" stopIfTrue="1">
      <formula>NOT(ISBLANK($U$65))</formula>
    </cfRule>
  </conditionalFormatting>
  <conditionalFormatting sqref="V65">
    <cfRule type="expression" dxfId="9954" priority="57087" stopIfTrue="1">
      <formula>NOT(ISBLANK($V$65))</formula>
    </cfRule>
  </conditionalFormatting>
  <conditionalFormatting sqref="W65">
    <cfRule type="cellIs" dxfId="9953" priority="57088" stopIfTrue="1" operator="notEqual">
      <formula>6</formula>
    </cfRule>
  </conditionalFormatting>
  <conditionalFormatting sqref="X65">
    <cfRule type="cellIs" dxfId="9952" priority="57089" stopIfTrue="1" operator="notEqual">
      <formula>6</formula>
    </cfRule>
  </conditionalFormatting>
  <conditionalFormatting sqref="Y65">
    <cfRule type="cellIs" dxfId="9951" priority="57090" stopIfTrue="1" operator="notEqual">
      <formula>3</formula>
    </cfRule>
  </conditionalFormatting>
  <conditionalFormatting sqref="Z65">
    <cfRule type="cellIs" dxfId="9950" priority="57091" stopIfTrue="1" operator="notEqual">
      <formula>168</formula>
    </cfRule>
  </conditionalFormatting>
  <conditionalFormatting sqref="AA65">
    <cfRule type="cellIs" dxfId="9949" priority="57092" stopIfTrue="1" operator="notEqual">
      <formula>"POTW"</formula>
    </cfRule>
  </conditionalFormatting>
  <conditionalFormatting sqref="AB65">
    <cfRule type="cellIs" dxfId="9948" priority="57093" stopIfTrue="1" operator="notEqual">
      <formula>"holding tank"</formula>
    </cfRule>
  </conditionalFormatting>
  <conditionalFormatting sqref="AC65">
    <cfRule type="cellIs" dxfId="9947" priority="57094" stopIfTrue="1" operator="notEqual">
      <formula>"manual transfer"</formula>
    </cfRule>
  </conditionalFormatting>
  <conditionalFormatting sqref="AD65">
    <cfRule type="cellIs" dxfId="9946" priority="57095" stopIfTrue="1" operator="notEqual">
      <formula>"non-hazardous"</formula>
    </cfRule>
  </conditionalFormatting>
  <conditionalFormatting sqref="AE65">
    <cfRule type="expression" dxfId="9945" priority="57096" stopIfTrue="1">
      <formula>NOT(ISBLANK($AE$65))</formula>
    </cfRule>
  </conditionalFormatting>
  <conditionalFormatting sqref="AF65">
    <cfRule type="expression" dxfId="9944" priority="57097" stopIfTrue="1">
      <formula>NOT(ISBLANK($AF$65))</formula>
    </cfRule>
  </conditionalFormatting>
  <conditionalFormatting sqref="AG65">
    <cfRule type="expression" dxfId="9943" priority="57098" stopIfTrue="1">
      <formula>NOT(ISBLANK($AG$65))</formula>
    </cfRule>
  </conditionalFormatting>
  <conditionalFormatting sqref="AH65">
    <cfRule type="expression" dxfId="9942" priority="57099" stopIfTrue="1">
      <formula>NOT(ISBLANK($AH$65))</formula>
    </cfRule>
  </conditionalFormatting>
  <conditionalFormatting sqref="AI65">
    <cfRule type="cellIs" dxfId="9941" priority="57100" stopIfTrue="1" operator="notEqual">
      <formula>"fully automated"</formula>
    </cfRule>
  </conditionalFormatting>
  <conditionalFormatting sqref="AJ65">
    <cfRule type="expression" dxfId="9940" priority="57101" stopIfTrue="1">
      <formula>NOT(ISBLANK($AJ$65))</formula>
    </cfRule>
  </conditionalFormatting>
  <conditionalFormatting sqref="AK65">
    <cfRule type="expression" dxfId="9939" priority="57102" stopIfTrue="1">
      <formula>NOT(ISBLANK($AK$65))</formula>
    </cfRule>
  </conditionalFormatting>
  <conditionalFormatting sqref="AL65">
    <cfRule type="expression" dxfId="9938" priority="57103" stopIfTrue="1">
      <formula>NOT(ISBLANK($AL$65))</formula>
    </cfRule>
  </conditionalFormatting>
  <conditionalFormatting sqref="AM65">
    <cfRule type="expression" dxfId="9937" priority="57104" stopIfTrue="1">
      <formula>NOT(ISBLANK($AM$65))</formula>
    </cfRule>
  </conditionalFormatting>
  <conditionalFormatting sqref="AN65">
    <cfRule type="expression" dxfId="9936" priority="57105" stopIfTrue="1">
      <formula>NOT(ISBLANK($AN$65))</formula>
    </cfRule>
  </conditionalFormatting>
  <conditionalFormatting sqref="AO65">
    <cfRule type="expression" dxfId="9935" priority="57106" stopIfTrue="1">
      <formula>NOT(ISBLANK($AO$65))</formula>
    </cfRule>
  </conditionalFormatting>
  <conditionalFormatting sqref="AP65">
    <cfRule type="expression" dxfId="9934" priority="57107" stopIfTrue="1">
      <formula>NOT(ISBLANK($AP$65))</formula>
    </cfRule>
  </conditionalFormatting>
  <conditionalFormatting sqref="AQ65">
    <cfRule type="expression" dxfId="9933" priority="57108" stopIfTrue="1">
      <formula>NOT(ISBLANK($AQ$65))</formula>
    </cfRule>
  </conditionalFormatting>
  <conditionalFormatting sqref="A66">
    <cfRule type="cellIs" dxfId="9932" priority="57109" stopIfTrue="1" operator="notEqual">
      <formula>4</formula>
    </cfRule>
  </conditionalFormatting>
  <conditionalFormatting sqref="B66">
    <cfRule type="cellIs" dxfId="9931" priority="57110" stopIfTrue="1" operator="notEqual">
      <formula>2</formula>
    </cfRule>
  </conditionalFormatting>
  <conditionalFormatting sqref="C66">
    <cfRule type="cellIs" dxfId="9930" priority="57111" stopIfTrue="1" operator="notEqual">
      <formula>2</formula>
    </cfRule>
  </conditionalFormatting>
  <conditionalFormatting sqref="D66">
    <cfRule type="cellIs" dxfId="9929" priority="57112" stopIfTrue="1" operator="notEqual">
      <formula>0.124</formula>
    </cfRule>
  </conditionalFormatting>
  <conditionalFormatting sqref="E66">
    <cfRule type="cellIs" dxfId="9928" priority="57113" stopIfTrue="1" operator="notEqual">
      <formula>"MGD"</formula>
    </cfRule>
  </conditionalFormatting>
  <conditionalFormatting sqref="F66">
    <cfRule type="cellIs" dxfId="9927" priority="57114" stopIfTrue="1" operator="notEqual">
      <formula>0.035</formula>
    </cfRule>
  </conditionalFormatting>
  <conditionalFormatting sqref="G66">
    <cfRule type="cellIs" dxfId="9926" priority="57115" stopIfTrue="1" operator="notEqual">
      <formula>"MGD"</formula>
    </cfRule>
  </conditionalFormatting>
  <conditionalFormatting sqref="H66">
    <cfRule type="cellIs" dxfId="9925" priority="57116" stopIfTrue="1" operator="notEqual">
      <formula>"regeneration off-site (non-hazardous)"</formula>
    </cfRule>
  </conditionalFormatting>
  <conditionalFormatting sqref="I66">
    <cfRule type="cellIs" dxfId="9924" priority="57117" stopIfTrue="1" operator="notEqual">
      <formula>"carbon life value- bed volumes"</formula>
    </cfRule>
  </conditionalFormatting>
  <conditionalFormatting sqref="J66">
    <cfRule type="cellIs" dxfId="9923" priority="57118" stopIfTrue="1" operator="notEqual">
      <formula>66600</formula>
    </cfRule>
  </conditionalFormatting>
  <conditionalFormatting sqref="K66">
    <cfRule type="expression" dxfId="9922" priority="57119" stopIfTrue="1">
      <formula>NOT(ISBLANK($K$66))</formula>
    </cfRule>
  </conditionalFormatting>
  <conditionalFormatting sqref="L66">
    <cfRule type="expression" dxfId="9921" priority="57120" stopIfTrue="1">
      <formula>NOT(ISBLANK($L$66))</formula>
    </cfRule>
  </conditionalFormatting>
  <conditionalFormatting sqref="M66">
    <cfRule type="expression" dxfId="9920" priority="57121" stopIfTrue="1">
      <formula>NOT(ISBLANK($M$66))</formula>
    </cfRule>
  </conditionalFormatting>
  <conditionalFormatting sqref="N66">
    <cfRule type="cellIs" dxfId="9919" priority="57122" stopIfTrue="1" operator="notEqual">
      <formula>"EBCT"</formula>
    </cfRule>
  </conditionalFormatting>
  <conditionalFormatting sqref="O66">
    <cfRule type="cellIs" dxfId="9918" priority="57123" stopIfTrue="1" operator="notEqual">
      <formula>7.5</formula>
    </cfRule>
  </conditionalFormatting>
  <conditionalFormatting sqref="P66">
    <cfRule type="expression" dxfId="9917" priority="57124" stopIfTrue="1">
      <formula>NOT(ISBLANK($P$66))</formula>
    </cfRule>
  </conditionalFormatting>
  <conditionalFormatting sqref="Q66">
    <cfRule type="expression" dxfId="9916" priority="57125" stopIfTrue="1">
      <formula>NOT(ISBLANK($Q$66))</formula>
    </cfRule>
  </conditionalFormatting>
  <conditionalFormatting sqref="R66">
    <cfRule type="expression" dxfId="9915" priority="57126" stopIfTrue="1">
      <formula>NOT(ISBLANK($R$66))</formula>
    </cfRule>
  </conditionalFormatting>
  <conditionalFormatting sqref="S66">
    <cfRule type="expression" dxfId="9914" priority="57127" stopIfTrue="1">
      <formula>NOT(ISBLANK($S$66))</formula>
    </cfRule>
  </conditionalFormatting>
  <conditionalFormatting sqref="T66">
    <cfRule type="expression" dxfId="9913" priority="57128" stopIfTrue="1">
      <formula>NOT(ISBLANK($T$66))</formula>
    </cfRule>
  </conditionalFormatting>
  <conditionalFormatting sqref="U66">
    <cfRule type="expression" dxfId="9912" priority="57129" stopIfTrue="1">
      <formula>NOT(ISBLANK($U$66))</formula>
    </cfRule>
  </conditionalFormatting>
  <conditionalFormatting sqref="V66">
    <cfRule type="expression" dxfId="9911" priority="57130" stopIfTrue="1">
      <formula>NOT(ISBLANK($V$66))</formula>
    </cfRule>
  </conditionalFormatting>
  <conditionalFormatting sqref="W66">
    <cfRule type="cellIs" dxfId="9910" priority="57131" stopIfTrue="1" operator="notEqual">
      <formula>6</formula>
    </cfRule>
  </conditionalFormatting>
  <conditionalFormatting sqref="X66">
    <cfRule type="cellIs" dxfId="9909" priority="57132" stopIfTrue="1" operator="notEqual">
      <formula>6</formula>
    </cfRule>
  </conditionalFormatting>
  <conditionalFormatting sqref="Y66">
    <cfRule type="cellIs" dxfId="9908" priority="57133" stopIfTrue="1" operator="notEqual">
      <formula>3</formula>
    </cfRule>
  </conditionalFormatting>
  <conditionalFormatting sqref="Z66">
    <cfRule type="cellIs" dxfId="9907" priority="57134" stopIfTrue="1" operator="notEqual">
      <formula>168</formula>
    </cfRule>
  </conditionalFormatting>
  <conditionalFormatting sqref="AA66">
    <cfRule type="cellIs" dxfId="9906" priority="57135" stopIfTrue="1" operator="notEqual">
      <formula>"POTW"</formula>
    </cfRule>
  </conditionalFormatting>
  <conditionalFormatting sqref="AB66">
    <cfRule type="cellIs" dxfId="9905" priority="57136" stopIfTrue="1" operator="notEqual">
      <formula>"holding tank"</formula>
    </cfRule>
  </conditionalFormatting>
  <conditionalFormatting sqref="AC66">
    <cfRule type="cellIs" dxfId="9904" priority="57137" stopIfTrue="1" operator="notEqual">
      <formula>"manual transfer"</formula>
    </cfRule>
  </conditionalFormatting>
  <conditionalFormatting sqref="AD66">
    <cfRule type="cellIs" dxfId="9903" priority="57138" stopIfTrue="1" operator="notEqual">
      <formula>"non-hazardous"</formula>
    </cfRule>
  </conditionalFormatting>
  <conditionalFormatting sqref="AE66">
    <cfRule type="expression" dxfId="9902" priority="57139" stopIfTrue="1">
      <formula>NOT(ISBLANK($AE$66))</formula>
    </cfRule>
  </conditionalFormatting>
  <conditionalFormatting sqref="AF66">
    <cfRule type="expression" dxfId="9901" priority="57140" stopIfTrue="1">
      <formula>NOT(ISBLANK($AF$66))</formula>
    </cfRule>
  </conditionalFormatting>
  <conditionalFormatting sqref="AG66">
    <cfRule type="expression" dxfId="9900" priority="57141" stopIfTrue="1">
      <formula>NOT(ISBLANK($AG$66))</formula>
    </cfRule>
  </conditionalFormatting>
  <conditionalFormatting sqref="AH66">
    <cfRule type="expression" dxfId="9899" priority="57142" stopIfTrue="1">
      <formula>NOT(ISBLANK($AH$66))</formula>
    </cfRule>
  </conditionalFormatting>
  <conditionalFormatting sqref="AI66">
    <cfRule type="cellIs" dxfId="9898" priority="57143" stopIfTrue="1" operator="notEqual">
      <formula>"fully automated"</formula>
    </cfRule>
  </conditionalFormatting>
  <conditionalFormatting sqref="AJ66">
    <cfRule type="expression" dxfId="9897" priority="57144" stopIfTrue="1">
      <formula>NOT(ISBLANK($AJ$66))</formula>
    </cfRule>
  </conditionalFormatting>
  <conditionalFormatting sqref="AK66">
    <cfRule type="expression" dxfId="9896" priority="57145" stopIfTrue="1">
      <formula>NOT(ISBLANK($AK$66))</formula>
    </cfRule>
  </conditionalFormatting>
  <conditionalFormatting sqref="AL66">
    <cfRule type="expression" dxfId="9895" priority="57146" stopIfTrue="1">
      <formula>NOT(ISBLANK($AL$66))</formula>
    </cfRule>
  </conditionalFormatting>
  <conditionalFormatting sqref="AM66">
    <cfRule type="expression" dxfId="9894" priority="57147" stopIfTrue="1">
      <formula>NOT(ISBLANK($AM$66))</formula>
    </cfRule>
  </conditionalFormatting>
  <conditionalFormatting sqref="AN66">
    <cfRule type="expression" dxfId="9893" priority="57148" stopIfTrue="1">
      <formula>NOT(ISBLANK($AN$66))</formula>
    </cfRule>
  </conditionalFormatting>
  <conditionalFormatting sqref="AO66">
    <cfRule type="expression" dxfId="9892" priority="57149" stopIfTrue="1">
      <formula>NOT(ISBLANK($AO$66))</formula>
    </cfRule>
  </conditionalFormatting>
  <conditionalFormatting sqref="AP66">
    <cfRule type="expression" dxfId="9891" priority="57150" stopIfTrue="1">
      <formula>NOT(ISBLANK($AP$66))</formula>
    </cfRule>
  </conditionalFormatting>
  <conditionalFormatting sqref="AQ66">
    <cfRule type="expression" dxfId="9890" priority="57151" stopIfTrue="1">
      <formula>NOT(ISBLANK($AQ$66))</formula>
    </cfRule>
  </conditionalFormatting>
  <conditionalFormatting sqref="A67">
    <cfRule type="cellIs" dxfId="9889" priority="57152" stopIfTrue="1" operator="notEqual">
      <formula>4</formula>
    </cfRule>
  </conditionalFormatting>
  <conditionalFormatting sqref="B67">
    <cfRule type="cellIs" dxfId="9888" priority="57153" stopIfTrue="1" operator="notEqual">
      <formula>2</formula>
    </cfRule>
  </conditionalFormatting>
  <conditionalFormatting sqref="C67">
    <cfRule type="cellIs" dxfId="9887" priority="57154" stopIfTrue="1" operator="notEqual">
      <formula>3</formula>
    </cfRule>
  </conditionalFormatting>
  <conditionalFormatting sqref="D67">
    <cfRule type="cellIs" dxfId="9886" priority="57155" stopIfTrue="1" operator="notEqual">
      <formula>0.305</formula>
    </cfRule>
  </conditionalFormatting>
  <conditionalFormatting sqref="E67">
    <cfRule type="cellIs" dxfId="9885" priority="57156" stopIfTrue="1" operator="notEqual">
      <formula>"MGD"</formula>
    </cfRule>
  </conditionalFormatting>
  <conditionalFormatting sqref="F67">
    <cfRule type="cellIs" dxfId="9884" priority="57157" stopIfTrue="1" operator="notEqual">
      <formula>0.094</formula>
    </cfRule>
  </conditionalFormatting>
  <conditionalFormatting sqref="G67">
    <cfRule type="cellIs" dxfId="9883" priority="57158" stopIfTrue="1" operator="notEqual">
      <formula>"MGD"</formula>
    </cfRule>
  </conditionalFormatting>
  <conditionalFormatting sqref="H67">
    <cfRule type="cellIs" dxfId="9882" priority="57159" stopIfTrue="1" operator="notEqual">
      <formula>"regeneration off-site (non-hazardous)"</formula>
    </cfRule>
  </conditionalFormatting>
  <conditionalFormatting sqref="I67">
    <cfRule type="cellIs" dxfId="9881" priority="57160" stopIfTrue="1" operator="notEqual">
      <formula>"carbon life value- bed volumes"</formula>
    </cfRule>
  </conditionalFormatting>
  <conditionalFormatting sqref="J67">
    <cfRule type="cellIs" dxfId="9880" priority="57161" stopIfTrue="1" operator="notEqual">
      <formula>66600</formula>
    </cfRule>
  </conditionalFormatting>
  <conditionalFormatting sqref="K67">
    <cfRule type="expression" dxfId="9879" priority="57162" stopIfTrue="1">
      <formula>NOT(ISBLANK($K$67))</formula>
    </cfRule>
  </conditionalFormatting>
  <conditionalFormatting sqref="L67">
    <cfRule type="expression" dxfId="9878" priority="57163" stopIfTrue="1">
      <formula>NOT(ISBLANK($L$67))</formula>
    </cfRule>
  </conditionalFormatting>
  <conditionalFormatting sqref="M67">
    <cfRule type="expression" dxfId="9877" priority="57164" stopIfTrue="1">
      <formula>NOT(ISBLANK($M$67))</formula>
    </cfRule>
  </conditionalFormatting>
  <conditionalFormatting sqref="N67">
    <cfRule type="cellIs" dxfId="9876" priority="57165" stopIfTrue="1" operator="notEqual">
      <formula>"EBCT"</formula>
    </cfRule>
  </conditionalFormatting>
  <conditionalFormatting sqref="O67">
    <cfRule type="cellIs" dxfId="9875" priority="57166" stopIfTrue="1" operator="notEqual">
      <formula>7.5</formula>
    </cfRule>
  </conditionalFormatting>
  <conditionalFormatting sqref="P67">
    <cfRule type="expression" dxfId="9874" priority="57167" stopIfTrue="1">
      <formula>NOT(ISBLANK($P$67))</formula>
    </cfRule>
  </conditionalFormatting>
  <conditionalFormatting sqref="Q67">
    <cfRule type="expression" dxfId="9873" priority="57168" stopIfTrue="1">
      <formula>NOT(ISBLANK($Q$67))</formula>
    </cfRule>
  </conditionalFormatting>
  <conditionalFormatting sqref="R67">
    <cfRule type="expression" dxfId="9872" priority="57169" stopIfTrue="1">
      <formula>NOT(ISBLANK($R$67))</formula>
    </cfRule>
  </conditionalFormatting>
  <conditionalFormatting sqref="S67">
    <cfRule type="expression" dxfId="9871" priority="57170" stopIfTrue="1">
      <formula>NOT(ISBLANK($S$67))</formula>
    </cfRule>
  </conditionalFormatting>
  <conditionalFormatting sqref="T67">
    <cfRule type="expression" dxfId="9870" priority="57171" stopIfTrue="1">
      <formula>NOT(ISBLANK($T$67))</formula>
    </cfRule>
  </conditionalFormatting>
  <conditionalFormatting sqref="U67">
    <cfRule type="expression" dxfId="9869" priority="57172" stopIfTrue="1">
      <formula>NOT(ISBLANK($U$67))</formula>
    </cfRule>
  </conditionalFormatting>
  <conditionalFormatting sqref="V67">
    <cfRule type="expression" dxfId="9868" priority="57173" stopIfTrue="1">
      <formula>NOT(ISBLANK($V$67))</formula>
    </cfRule>
  </conditionalFormatting>
  <conditionalFormatting sqref="W67">
    <cfRule type="cellIs" dxfId="9867" priority="57174" stopIfTrue="1" operator="notEqual">
      <formula>6</formula>
    </cfRule>
  </conditionalFormatting>
  <conditionalFormatting sqref="X67">
    <cfRule type="cellIs" dxfId="9866" priority="57175" stopIfTrue="1" operator="notEqual">
      <formula>6</formula>
    </cfRule>
  </conditionalFormatting>
  <conditionalFormatting sqref="Y67">
    <cfRule type="cellIs" dxfId="9865" priority="57176" stopIfTrue="1" operator="notEqual">
      <formula>3</formula>
    </cfRule>
  </conditionalFormatting>
  <conditionalFormatting sqref="Z67">
    <cfRule type="cellIs" dxfId="9864" priority="57177" stopIfTrue="1" operator="notEqual">
      <formula>168</formula>
    </cfRule>
  </conditionalFormatting>
  <conditionalFormatting sqref="AA67">
    <cfRule type="cellIs" dxfId="9863" priority="57178" stopIfTrue="1" operator="notEqual">
      <formula>"POTW"</formula>
    </cfRule>
  </conditionalFormatting>
  <conditionalFormatting sqref="AB67">
    <cfRule type="cellIs" dxfId="9862" priority="57179" stopIfTrue="1" operator="notEqual">
      <formula>"holding tank"</formula>
    </cfRule>
  </conditionalFormatting>
  <conditionalFormatting sqref="AC67">
    <cfRule type="cellIs" dxfId="9861" priority="57180" stopIfTrue="1" operator="notEqual">
      <formula>"manual transfer"</formula>
    </cfRule>
  </conditionalFormatting>
  <conditionalFormatting sqref="AD67">
    <cfRule type="cellIs" dxfId="9860" priority="57181" stopIfTrue="1" operator="notEqual">
      <formula>"non-hazardous"</formula>
    </cfRule>
  </conditionalFormatting>
  <conditionalFormatting sqref="AE67">
    <cfRule type="expression" dxfId="9859" priority="57182" stopIfTrue="1">
      <formula>NOT(ISBLANK($AE$67))</formula>
    </cfRule>
  </conditionalFormatting>
  <conditionalFormatting sqref="AF67">
    <cfRule type="expression" dxfId="9858" priority="57183" stopIfTrue="1">
      <formula>NOT(ISBLANK($AF$67))</formula>
    </cfRule>
  </conditionalFormatting>
  <conditionalFormatting sqref="AG67">
    <cfRule type="expression" dxfId="9857" priority="57184" stopIfTrue="1">
      <formula>NOT(ISBLANK($AG$67))</formula>
    </cfRule>
  </conditionalFormatting>
  <conditionalFormatting sqref="AH67">
    <cfRule type="expression" dxfId="9856" priority="57185" stopIfTrue="1">
      <formula>NOT(ISBLANK($AH$67))</formula>
    </cfRule>
  </conditionalFormatting>
  <conditionalFormatting sqref="AI67">
    <cfRule type="cellIs" dxfId="9855" priority="57186" stopIfTrue="1" operator="notEqual">
      <formula>"fully automated"</formula>
    </cfRule>
  </conditionalFormatting>
  <conditionalFormatting sqref="AJ67">
    <cfRule type="expression" dxfId="9854" priority="57187" stopIfTrue="1">
      <formula>NOT(ISBLANK($AJ$67))</formula>
    </cfRule>
  </conditionalFormatting>
  <conditionalFormatting sqref="AK67">
    <cfRule type="expression" dxfId="9853" priority="57188" stopIfTrue="1">
      <formula>NOT(ISBLANK($AK$67))</formula>
    </cfRule>
  </conditionalFormatting>
  <conditionalFormatting sqref="AL67">
    <cfRule type="expression" dxfId="9852" priority="57189" stopIfTrue="1">
      <formula>NOT(ISBLANK($AL$67))</formula>
    </cfRule>
  </conditionalFormatting>
  <conditionalFormatting sqref="AM67">
    <cfRule type="expression" dxfId="9851" priority="57190" stopIfTrue="1">
      <formula>NOT(ISBLANK($AM$67))</formula>
    </cfRule>
  </conditionalFormatting>
  <conditionalFormatting sqref="AN67">
    <cfRule type="expression" dxfId="9850" priority="57191" stopIfTrue="1">
      <formula>NOT(ISBLANK($AN$67))</formula>
    </cfRule>
  </conditionalFormatting>
  <conditionalFormatting sqref="AO67">
    <cfRule type="expression" dxfId="9849" priority="57192" stopIfTrue="1">
      <formula>NOT(ISBLANK($AO$67))</formula>
    </cfRule>
  </conditionalFormatting>
  <conditionalFormatting sqref="AP67">
    <cfRule type="expression" dxfId="9848" priority="57193" stopIfTrue="1">
      <formula>NOT(ISBLANK($AP$67))</formula>
    </cfRule>
  </conditionalFormatting>
  <conditionalFormatting sqref="AQ67">
    <cfRule type="expression" dxfId="9847" priority="57194" stopIfTrue="1">
      <formula>NOT(ISBLANK($AQ$67))</formula>
    </cfRule>
  </conditionalFormatting>
  <conditionalFormatting sqref="A68">
    <cfRule type="cellIs" dxfId="9846" priority="57195" stopIfTrue="1" operator="notEqual">
      <formula>4</formula>
    </cfRule>
  </conditionalFormatting>
  <conditionalFormatting sqref="B68">
    <cfRule type="cellIs" dxfId="9845" priority="57196" stopIfTrue="1" operator="notEqual">
      <formula>2</formula>
    </cfRule>
  </conditionalFormatting>
  <conditionalFormatting sqref="C68">
    <cfRule type="cellIs" dxfId="9844" priority="57197" stopIfTrue="1" operator="notEqual">
      <formula>4</formula>
    </cfRule>
  </conditionalFormatting>
  <conditionalFormatting sqref="D68">
    <cfRule type="cellIs" dxfId="9843" priority="57198" stopIfTrue="1" operator="notEqual">
      <formula>0.74</formula>
    </cfRule>
  </conditionalFormatting>
  <conditionalFormatting sqref="E68">
    <cfRule type="cellIs" dxfId="9842" priority="57199" stopIfTrue="1" operator="notEqual">
      <formula>"MGD"</formula>
    </cfRule>
  </conditionalFormatting>
  <conditionalFormatting sqref="F68">
    <cfRule type="cellIs" dxfId="9841" priority="57200" stopIfTrue="1" operator="notEqual">
      <formula>0.251</formula>
    </cfRule>
  </conditionalFormatting>
  <conditionalFormatting sqref="G68">
    <cfRule type="cellIs" dxfId="9840" priority="57201" stopIfTrue="1" operator="notEqual">
      <formula>"MGD"</formula>
    </cfRule>
  </conditionalFormatting>
  <conditionalFormatting sqref="H68">
    <cfRule type="cellIs" dxfId="9839" priority="57202" stopIfTrue="1" operator="notEqual">
      <formula>"regeneration off-site (non-hazardous)"</formula>
    </cfRule>
  </conditionalFormatting>
  <conditionalFormatting sqref="I68">
    <cfRule type="cellIs" dxfId="9838" priority="57203" stopIfTrue="1" operator="notEqual">
      <formula>"carbon life value- bed volumes"</formula>
    </cfRule>
  </conditionalFormatting>
  <conditionalFormatting sqref="J68">
    <cfRule type="cellIs" dxfId="9837" priority="57204" stopIfTrue="1" operator="notEqual">
      <formula>66600</formula>
    </cfRule>
  </conditionalFormatting>
  <conditionalFormatting sqref="K68">
    <cfRule type="expression" dxfId="9836" priority="57205" stopIfTrue="1">
      <formula>NOT(ISBLANK($K$68))</formula>
    </cfRule>
  </conditionalFormatting>
  <conditionalFormatting sqref="L68">
    <cfRule type="expression" dxfId="9835" priority="57206" stopIfTrue="1">
      <formula>NOT(ISBLANK($L$68))</formula>
    </cfRule>
  </conditionalFormatting>
  <conditionalFormatting sqref="M68">
    <cfRule type="expression" dxfId="9834" priority="57207" stopIfTrue="1">
      <formula>NOT(ISBLANK($M$68))</formula>
    </cfRule>
  </conditionalFormatting>
  <conditionalFormatting sqref="N68">
    <cfRule type="cellIs" dxfId="9833" priority="57208" stopIfTrue="1" operator="notEqual">
      <formula>"EBCT"</formula>
    </cfRule>
  </conditionalFormatting>
  <conditionalFormatting sqref="O68">
    <cfRule type="cellIs" dxfId="9832" priority="57209" stopIfTrue="1" operator="notEqual">
      <formula>7.5</formula>
    </cfRule>
  </conditionalFormatting>
  <conditionalFormatting sqref="P68">
    <cfRule type="expression" dxfId="9831" priority="57210" stopIfTrue="1">
      <formula>NOT(ISBLANK($P$68))</formula>
    </cfRule>
  </conditionalFormatting>
  <conditionalFormatting sqref="Q68">
    <cfRule type="expression" dxfId="9830" priority="57211" stopIfTrue="1">
      <formula>NOT(ISBLANK($Q$68))</formula>
    </cfRule>
  </conditionalFormatting>
  <conditionalFormatting sqref="R68">
    <cfRule type="expression" dxfId="9829" priority="57212" stopIfTrue="1">
      <formula>NOT(ISBLANK($R$68))</formula>
    </cfRule>
  </conditionalFormatting>
  <conditionalFormatting sqref="S68">
    <cfRule type="expression" dxfId="9828" priority="57213" stopIfTrue="1">
      <formula>NOT(ISBLANK($S$68))</formula>
    </cfRule>
  </conditionalFormatting>
  <conditionalFormatting sqref="T68">
    <cfRule type="expression" dxfId="9827" priority="57214" stopIfTrue="1">
      <formula>NOT(ISBLANK($T$68))</formula>
    </cfRule>
  </conditionalFormatting>
  <conditionalFormatting sqref="U68">
    <cfRule type="expression" dxfId="9826" priority="57215" stopIfTrue="1">
      <formula>NOT(ISBLANK($U$68))</formula>
    </cfRule>
  </conditionalFormatting>
  <conditionalFormatting sqref="V68">
    <cfRule type="expression" dxfId="9825" priority="57216" stopIfTrue="1">
      <formula>NOT(ISBLANK($V$68))</formula>
    </cfRule>
  </conditionalFormatting>
  <conditionalFormatting sqref="W68">
    <cfRule type="cellIs" dxfId="9824" priority="57217" stopIfTrue="1" operator="notEqual">
      <formula>7</formula>
    </cfRule>
  </conditionalFormatting>
  <conditionalFormatting sqref="X68">
    <cfRule type="cellIs" dxfId="9823" priority="57218" stopIfTrue="1" operator="notEqual">
      <formula>7</formula>
    </cfRule>
  </conditionalFormatting>
  <conditionalFormatting sqref="Y68">
    <cfRule type="cellIs" dxfId="9822" priority="57219" stopIfTrue="1" operator="notEqual">
      <formula>5.3</formula>
    </cfRule>
  </conditionalFormatting>
  <conditionalFormatting sqref="Z68">
    <cfRule type="cellIs" dxfId="9821" priority="57220" stopIfTrue="1" operator="notEqual">
      <formula>168</formula>
    </cfRule>
  </conditionalFormatting>
  <conditionalFormatting sqref="AA68">
    <cfRule type="cellIs" dxfId="9820" priority="57221" stopIfTrue="1" operator="notEqual">
      <formula>"POTW"</formula>
    </cfRule>
  </conditionalFormatting>
  <conditionalFormatting sqref="AB68">
    <cfRule type="cellIs" dxfId="9819" priority="57222" stopIfTrue="1" operator="notEqual">
      <formula>"holding tank"</formula>
    </cfRule>
  </conditionalFormatting>
  <conditionalFormatting sqref="AC68">
    <cfRule type="cellIs" dxfId="9818" priority="57223" stopIfTrue="1" operator="notEqual">
      <formula>"manual transfer"</formula>
    </cfRule>
  </conditionalFormatting>
  <conditionalFormatting sqref="AD68">
    <cfRule type="cellIs" dxfId="9817" priority="57224" stopIfTrue="1" operator="notEqual">
      <formula>"non-hazardous"</formula>
    </cfRule>
  </conditionalFormatting>
  <conditionalFormatting sqref="AE68">
    <cfRule type="expression" dxfId="9816" priority="57225" stopIfTrue="1">
      <formula>NOT(ISBLANK($AE$68))</formula>
    </cfRule>
  </conditionalFormatting>
  <conditionalFormatting sqref="AF68">
    <cfRule type="expression" dxfId="9815" priority="57226" stopIfTrue="1">
      <formula>NOT(ISBLANK($AF$68))</formula>
    </cfRule>
  </conditionalFormatting>
  <conditionalFormatting sqref="AG68">
    <cfRule type="expression" dxfId="9814" priority="57227" stopIfTrue="1">
      <formula>NOT(ISBLANK($AG$68))</formula>
    </cfRule>
  </conditionalFormatting>
  <conditionalFormatting sqref="AH68">
    <cfRule type="expression" dxfId="9813" priority="57228" stopIfTrue="1">
      <formula>NOT(ISBLANK($AH$68))</formula>
    </cfRule>
  </conditionalFormatting>
  <conditionalFormatting sqref="AI68">
    <cfRule type="cellIs" dxfId="9812" priority="57229" stopIfTrue="1" operator="notEqual">
      <formula>"fully automated"</formula>
    </cfRule>
  </conditionalFormatting>
  <conditionalFormatting sqref="AJ68">
    <cfRule type="expression" dxfId="9811" priority="57230" stopIfTrue="1">
      <formula>NOT(ISBLANK($AJ$68))</formula>
    </cfRule>
  </conditionalFormatting>
  <conditionalFormatting sqref="AK68">
    <cfRule type="expression" dxfId="9810" priority="57231" stopIfTrue="1">
      <formula>NOT(ISBLANK($AK$68))</formula>
    </cfRule>
  </conditionalFormatting>
  <conditionalFormatting sqref="AL68">
    <cfRule type="expression" dxfId="9809" priority="57232" stopIfTrue="1">
      <formula>NOT(ISBLANK($AL$68))</formula>
    </cfRule>
  </conditionalFormatting>
  <conditionalFormatting sqref="AM68">
    <cfRule type="expression" dxfId="9808" priority="57233" stopIfTrue="1">
      <formula>NOT(ISBLANK($AM$68))</formula>
    </cfRule>
  </conditionalFormatting>
  <conditionalFormatting sqref="AN68">
    <cfRule type="expression" dxfId="9807" priority="57234" stopIfTrue="1">
      <formula>NOT(ISBLANK($AN$68))</formula>
    </cfRule>
  </conditionalFormatting>
  <conditionalFormatting sqref="AO68">
    <cfRule type="expression" dxfId="9806" priority="57235" stopIfTrue="1">
      <formula>NOT(ISBLANK($AO$68))</formula>
    </cfRule>
  </conditionalFormatting>
  <conditionalFormatting sqref="AP68">
    <cfRule type="expression" dxfId="9805" priority="57236" stopIfTrue="1">
      <formula>NOT(ISBLANK($AP$68))</formula>
    </cfRule>
  </conditionalFormatting>
  <conditionalFormatting sqref="AQ68">
    <cfRule type="expression" dxfId="9804" priority="57237" stopIfTrue="1">
      <formula>NOT(ISBLANK($AQ$68))</formula>
    </cfRule>
  </conditionalFormatting>
  <conditionalFormatting sqref="A69">
    <cfRule type="cellIs" dxfId="9803" priority="57238" stopIfTrue="1" operator="notEqual">
      <formula>4</formula>
    </cfRule>
  </conditionalFormatting>
  <conditionalFormatting sqref="B69">
    <cfRule type="cellIs" dxfId="9802" priority="57239" stopIfTrue="1" operator="notEqual">
      <formula>2</formula>
    </cfRule>
  </conditionalFormatting>
  <conditionalFormatting sqref="C69">
    <cfRule type="cellIs" dxfId="9801" priority="57240" stopIfTrue="1" operator="notEqual">
      <formula>5</formula>
    </cfRule>
  </conditionalFormatting>
  <conditionalFormatting sqref="D69">
    <cfRule type="cellIs" dxfId="9800" priority="57241" stopIfTrue="1" operator="notEqual">
      <formula>2.152</formula>
    </cfRule>
  </conditionalFormatting>
  <conditionalFormatting sqref="E69">
    <cfRule type="cellIs" dxfId="9799" priority="57242" stopIfTrue="1" operator="notEqual">
      <formula>"MGD"</formula>
    </cfRule>
  </conditionalFormatting>
  <conditionalFormatting sqref="F69">
    <cfRule type="cellIs" dxfId="9798" priority="57243" stopIfTrue="1" operator="notEqual">
      <formula>0.819</formula>
    </cfRule>
  </conditionalFormatting>
  <conditionalFormatting sqref="G69">
    <cfRule type="cellIs" dxfId="9797" priority="57244" stopIfTrue="1" operator="notEqual">
      <formula>"MGD"</formula>
    </cfRule>
  </conditionalFormatting>
  <conditionalFormatting sqref="H69">
    <cfRule type="cellIs" dxfId="9796" priority="57245" stopIfTrue="1" operator="notEqual">
      <formula>"regeneration off-site (non-hazardous)"</formula>
    </cfRule>
  </conditionalFormatting>
  <conditionalFormatting sqref="I69">
    <cfRule type="cellIs" dxfId="9795" priority="57246" stopIfTrue="1" operator="notEqual">
      <formula>"carbon life value- bed volumes"</formula>
    </cfRule>
  </conditionalFormatting>
  <conditionalFormatting sqref="J69">
    <cfRule type="cellIs" dxfId="9794" priority="57247" stopIfTrue="1" operator="notEqual">
      <formula>66600</formula>
    </cfRule>
  </conditionalFormatting>
  <conditionalFormatting sqref="K69">
    <cfRule type="expression" dxfId="9793" priority="57248" stopIfTrue="1">
      <formula>NOT(ISBLANK($K$69))</formula>
    </cfRule>
  </conditionalFormatting>
  <conditionalFormatting sqref="L69">
    <cfRule type="expression" dxfId="9792" priority="57249" stopIfTrue="1">
      <formula>NOT(ISBLANK($L$69))</formula>
    </cfRule>
  </conditionalFormatting>
  <conditionalFormatting sqref="M69">
    <cfRule type="expression" dxfId="9791" priority="57250" stopIfTrue="1">
      <formula>NOT(ISBLANK($M$69))</formula>
    </cfRule>
  </conditionalFormatting>
  <conditionalFormatting sqref="N69">
    <cfRule type="cellIs" dxfId="9790" priority="57251" stopIfTrue="1" operator="notEqual">
      <formula>"EBCT"</formula>
    </cfRule>
  </conditionalFormatting>
  <conditionalFormatting sqref="O69">
    <cfRule type="cellIs" dxfId="9789" priority="57252" stopIfTrue="1" operator="notEqual">
      <formula>7.5</formula>
    </cfRule>
  </conditionalFormatting>
  <conditionalFormatting sqref="P69">
    <cfRule type="expression" dxfId="9788" priority="57253" stopIfTrue="1">
      <formula>NOT(ISBLANK($P$69))</formula>
    </cfRule>
  </conditionalFormatting>
  <conditionalFormatting sqref="Q69">
    <cfRule type="expression" dxfId="9787" priority="57254" stopIfTrue="1">
      <formula>NOT(ISBLANK($Q$69))</formula>
    </cfRule>
  </conditionalFormatting>
  <conditionalFormatting sqref="R69">
    <cfRule type="expression" dxfId="9786" priority="57255" stopIfTrue="1">
      <formula>NOT(ISBLANK($R$69))</formula>
    </cfRule>
  </conditionalFormatting>
  <conditionalFormatting sqref="S69">
    <cfRule type="expression" dxfId="9785" priority="57256" stopIfTrue="1">
      <formula>NOT(ISBLANK($S$69))</formula>
    </cfRule>
  </conditionalFormatting>
  <conditionalFormatting sqref="T69">
    <cfRule type="expression" dxfId="9784" priority="57257" stopIfTrue="1">
      <formula>NOT(ISBLANK($T$69))</formula>
    </cfRule>
  </conditionalFormatting>
  <conditionalFormatting sqref="U69">
    <cfRule type="expression" dxfId="9783" priority="57258" stopIfTrue="1">
      <formula>NOT(ISBLANK($U$69))</formula>
    </cfRule>
  </conditionalFormatting>
  <conditionalFormatting sqref="V69">
    <cfRule type="expression" dxfId="9782" priority="57259" stopIfTrue="1">
      <formula>NOT(ISBLANK($V$69))</formula>
    </cfRule>
  </conditionalFormatting>
  <conditionalFormatting sqref="W69">
    <cfRule type="cellIs" dxfId="9781" priority="57260" stopIfTrue="1" operator="notEqual">
      <formula>8</formula>
    </cfRule>
  </conditionalFormatting>
  <conditionalFormatting sqref="X69">
    <cfRule type="cellIs" dxfId="9780" priority="57261" stopIfTrue="1" operator="notEqual">
      <formula>8</formula>
    </cfRule>
  </conditionalFormatting>
  <conditionalFormatting sqref="Y69">
    <cfRule type="cellIs" dxfId="9779" priority="57262" stopIfTrue="1" operator="notEqual">
      <formula>7.9</formula>
    </cfRule>
  </conditionalFormatting>
  <conditionalFormatting sqref="Z69">
    <cfRule type="cellIs" dxfId="9778" priority="57263" stopIfTrue="1" operator="notEqual">
      <formula>168</formula>
    </cfRule>
  </conditionalFormatting>
  <conditionalFormatting sqref="AA69">
    <cfRule type="cellIs" dxfId="9777" priority="57264" stopIfTrue="1" operator="notEqual">
      <formula>"POTW"</formula>
    </cfRule>
  </conditionalFormatting>
  <conditionalFormatting sqref="AB69">
    <cfRule type="cellIs" dxfId="9776" priority="57265" stopIfTrue="1" operator="notEqual">
      <formula>"holding tank"</formula>
    </cfRule>
  </conditionalFormatting>
  <conditionalFormatting sqref="AC69">
    <cfRule type="cellIs" dxfId="9775" priority="57266" stopIfTrue="1" operator="notEqual">
      <formula>"manual transfer"</formula>
    </cfRule>
  </conditionalFormatting>
  <conditionalFormatting sqref="AD69">
    <cfRule type="cellIs" dxfId="9774" priority="57267" stopIfTrue="1" operator="notEqual">
      <formula>"non-hazardous"</formula>
    </cfRule>
  </conditionalFormatting>
  <conditionalFormatting sqref="AE69">
    <cfRule type="expression" dxfId="9773" priority="57268" stopIfTrue="1">
      <formula>NOT(ISBLANK($AE$69))</formula>
    </cfRule>
  </conditionalFormatting>
  <conditionalFormatting sqref="AF69">
    <cfRule type="expression" dxfId="9772" priority="57269" stopIfTrue="1">
      <formula>NOT(ISBLANK($AF$69))</formula>
    </cfRule>
  </conditionalFormatting>
  <conditionalFormatting sqref="AG69">
    <cfRule type="expression" dxfId="9771" priority="57270" stopIfTrue="1">
      <formula>NOT(ISBLANK($AG$69))</formula>
    </cfRule>
  </conditionalFormatting>
  <conditionalFormatting sqref="AH69">
    <cfRule type="expression" dxfId="9770" priority="57271" stopIfTrue="1">
      <formula>NOT(ISBLANK($AH$69))</formula>
    </cfRule>
  </conditionalFormatting>
  <conditionalFormatting sqref="AI69">
    <cfRule type="cellIs" dxfId="9769" priority="57272" stopIfTrue="1" operator="notEqual">
      <formula>"fully automated"</formula>
    </cfRule>
  </conditionalFormatting>
  <conditionalFormatting sqref="AJ69">
    <cfRule type="expression" dxfId="9768" priority="57273" stopIfTrue="1">
      <formula>NOT(ISBLANK($AJ$69))</formula>
    </cfRule>
  </conditionalFormatting>
  <conditionalFormatting sqref="AK69">
    <cfRule type="expression" dxfId="9767" priority="57274" stopIfTrue="1">
      <formula>NOT(ISBLANK($AK$69))</formula>
    </cfRule>
  </conditionalFormatting>
  <conditionalFormatting sqref="AL69">
    <cfRule type="expression" dxfId="9766" priority="57275" stopIfTrue="1">
      <formula>NOT(ISBLANK($AL$69))</formula>
    </cfRule>
  </conditionalFormatting>
  <conditionalFormatting sqref="AM69">
    <cfRule type="expression" dxfId="9765" priority="57276" stopIfTrue="1">
      <formula>NOT(ISBLANK($AM$69))</formula>
    </cfRule>
  </conditionalFormatting>
  <conditionalFormatting sqref="AN69">
    <cfRule type="expression" dxfId="9764" priority="57277" stopIfTrue="1">
      <formula>NOT(ISBLANK($AN$69))</formula>
    </cfRule>
  </conditionalFormatting>
  <conditionalFormatting sqref="AO69">
    <cfRule type="expression" dxfId="9763" priority="57278" stopIfTrue="1">
      <formula>NOT(ISBLANK($AO$69))</formula>
    </cfRule>
  </conditionalFormatting>
  <conditionalFormatting sqref="AP69">
    <cfRule type="expression" dxfId="9762" priority="57279" stopIfTrue="1">
      <formula>NOT(ISBLANK($AP$69))</formula>
    </cfRule>
  </conditionalFormatting>
  <conditionalFormatting sqref="AQ69">
    <cfRule type="expression" dxfId="9761" priority="57280" stopIfTrue="1">
      <formula>NOT(ISBLANK($AQ$69))</formula>
    </cfRule>
  </conditionalFormatting>
  <conditionalFormatting sqref="A70">
    <cfRule type="cellIs" dxfId="9760" priority="57281" stopIfTrue="1" operator="notEqual">
      <formula>4</formula>
    </cfRule>
  </conditionalFormatting>
  <conditionalFormatting sqref="B70">
    <cfRule type="cellIs" dxfId="9759" priority="57282" stopIfTrue="1" operator="notEqual">
      <formula>2</formula>
    </cfRule>
  </conditionalFormatting>
  <conditionalFormatting sqref="C70">
    <cfRule type="cellIs" dxfId="9758" priority="57283" stopIfTrue="1" operator="notEqual">
      <formula>6</formula>
    </cfRule>
  </conditionalFormatting>
  <conditionalFormatting sqref="D70">
    <cfRule type="cellIs" dxfId="9757" priority="57284" stopIfTrue="1" operator="notEqual">
      <formula>7.365</formula>
    </cfRule>
  </conditionalFormatting>
  <conditionalFormatting sqref="E70">
    <cfRule type="cellIs" dxfId="9756" priority="57285" stopIfTrue="1" operator="notEqual">
      <formula>"MGD"</formula>
    </cfRule>
  </conditionalFormatting>
  <conditionalFormatting sqref="F70">
    <cfRule type="cellIs" dxfId="9755" priority="57286" stopIfTrue="1" operator="notEqual">
      <formula>3.2</formula>
    </cfRule>
  </conditionalFormatting>
  <conditionalFormatting sqref="G70">
    <cfRule type="cellIs" dxfId="9754" priority="57287" stopIfTrue="1" operator="notEqual">
      <formula>"MGD"</formula>
    </cfRule>
  </conditionalFormatting>
  <conditionalFormatting sqref="H70">
    <cfRule type="cellIs" dxfId="9753" priority="57288" stopIfTrue="1" operator="notEqual">
      <formula>"regeneration off-site (non-hazardous)"</formula>
    </cfRule>
  </conditionalFormatting>
  <conditionalFormatting sqref="I70">
    <cfRule type="cellIs" dxfId="9752" priority="57289" stopIfTrue="1" operator="notEqual">
      <formula>"carbon life value- bed volumes"</formula>
    </cfRule>
  </conditionalFormatting>
  <conditionalFormatting sqref="J70">
    <cfRule type="cellIs" dxfId="9751" priority="57290" stopIfTrue="1" operator="notEqual">
      <formula>66600</formula>
    </cfRule>
  </conditionalFormatting>
  <conditionalFormatting sqref="K70">
    <cfRule type="expression" dxfId="9750" priority="57291" stopIfTrue="1">
      <formula>NOT(ISBLANK($K$70))</formula>
    </cfRule>
  </conditionalFormatting>
  <conditionalFormatting sqref="L70">
    <cfRule type="expression" dxfId="9749" priority="57292" stopIfTrue="1">
      <formula>NOT(ISBLANK($L$70))</formula>
    </cfRule>
  </conditionalFormatting>
  <conditionalFormatting sqref="M70">
    <cfRule type="expression" dxfId="9748" priority="57293" stopIfTrue="1">
      <formula>NOT(ISBLANK($M$70))</formula>
    </cfRule>
  </conditionalFormatting>
  <conditionalFormatting sqref="N70">
    <cfRule type="cellIs" dxfId="9747" priority="57294" stopIfTrue="1" operator="notEqual">
      <formula>"EBCT"</formula>
    </cfRule>
  </conditionalFormatting>
  <conditionalFormatting sqref="O70">
    <cfRule type="cellIs" dxfId="9746" priority="57295" stopIfTrue="1" operator="notEqual">
      <formula>7.5</formula>
    </cfRule>
  </conditionalFormatting>
  <conditionalFormatting sqref="P70">
    <cfRule type="expression" dxfId="9745" priority="57296" stopIfTrue="1">
      <formula>NOT(ISBLANK($P$70))</formula>
    </cfRule>
  </conditionalFormatting>
  <conditionalFormatting sqref="Q70">
    <cfRule type="expression" dxfId="9744" priority="57297" stopIfTrue="1">
      <formula>NOT(ISBLANK($Q$70))</formula>
    </cfRule>
  </conditionalFormatting>
  <conditionalFormatting sqref="R70">
    <cfRule type="expression" dxfId="9743" priority="57298" stopIfTrue="1">
      <formula>NOT(ISBLANK($R$70))</formula>
    </cfRule>
  </conditionalFormatting>
  <conditionalFormatting sqref="S70">
    <cfRule type="expression" dxfId="9742" priority="57299" stopIfTrue="1">
      <formula>NOT(ISBLANK($S$70))</formula>
    </cfRule>
  </conditionalFormatting>
  <conditionalFormatting sqref="T70">
    <cfRule type="expression" dxfId="9741" priority="57300" stopIfTrue="1">
      <formula>NOT(ISBLANK($T$70))</formula>
    </cfRule>
  </conditionalFormatting>
  <conditionalFormatting sqref="U70">
    <cfRule type="expression" dxfId="9740" priority="57301" stopIfTrue="1">
      <formula>NOT(ISBLANK($U$70))</formula>
    </cfRule>
  </conditionalFormatting>
  <conditionalFormatting sqref="V70">
    <cfRule type="expression" dxfId="9739" priority="57302" stopIfTrue="1">
      <formula>NOT(ISBLANK($V$70))</formula>
    </cfRule>
  </conditionalFormatting>
  <conditionalFormatting sqref="W70">
    <cfRule type="cellIs" dxfId="9738" priority="57303" stopIfTrue="1" operator="notEqual">
      <formula>11.5</formula>
    </cfRule>
  </conditionalFormatting>
  <conditionalFormatting sqref="X70">
    <cfRule type="cellIs" dxfId="9737" priority="57304" stopIfTrue="1" operator="notEqual">
      <formula>11.5</formula>
    </cfRule>
  </conditionalFormatting>
  <conditionalFormatting sqref="Y70">
    <cfRule type="cellIs" dxfId="9736" priority="57305" stopIfTrue="1" operator="notEqual">
      <formula>7.8</formula>
    </cfRule>
  </conditionalFormatting>
  <conditionalFormatting sqref="Z70">
    <cfRule type="cellIs" dxfId="9735" priority="57306" stopIfTrue="1" operator="notEqual">
      <formula>168</formula>
    </cfRule>
  </conditionalFormatting>
  <conditionalFormatting sqref="AA70">
    <cfRule type="cellIs" dxfId="9734" priority="57307" stopIfTrue="1" operator="notEqual">
      <formula>"POTW"</formula>
    </cfRule>
  </conditionalFormatting>
  <conditionalFormatting sqref="AB70">
    <cfRule type="cellIs" dxfId="9733" priority="57308" stopIfTrue="1" operator="notEqual">
      <formula>"holding tank"</formula>
    </cfRule>
  </conditionalFormatting>
  <conditionalFormatting sqref="AC70">
    <cfRule type="cellIs" dxfId="9732" priority="57309" stopIfTrue="1" operator="notEqual">
      <formula>"eductors"</formula>
    </cfRule>
  </conditionalFormatting>
  <conditionalFormatting sqref="AD70">
    <cfRule type="cellIs" dxfId="9731" priority="57310" stopIfTrue="1" operator="notEqual">
      <formula>"non-hazardous"</formula>
    </cfRule>
  </conditionalFormatting>
  <conditionalFormatting sqref="AE70">
    <cfRule type="expression" dxfId="9730" priority="57311" stopIfTrue="1">
      <formula>NOT(ISBLANK($AE$70))</formula>
    </cfRule>
  </conditionalFormatting>
  <conditionalFormatting sqref="AF70">
    <cfRule type="expression" dxfId="9729" priority="57312" stopIfTrue="1">
      <formula>NOT(ISBLANK($AF$70))</formula>
    </cfRule>
  </conditionalFormatting>
  <conditionalFormatting sqref="AG70">
    <cfRule type="expression" dxfId="9728" priority="57313" stopIfTrue="1">
      <formula>NOT(ISBLANK($AG$70))</formula>
    </cfRule>
  </conditionalFormatting>
  <conditionalFormatting sqref="AH70">
    <cfRule type="expression" dxfId="9727" priority="57314" stopIfTrue="1">
      <formula>NOT(ISBLANK($AH$70))</formula>
    </cfRule>
  </conditionalFormatting>
  <conditionalFormatting sqref="AI70">
    <cfRule type="cellIs" dxfId="9726" priority="57315" stopIfTrue="1" operator="notEqual">
      <formula>"fully automated"</formula>
    </cfRule>
  </conditionalFormatting>
  <conditionalFormatting sqref="AJ70">
    <cfRule type="expression" dxfId="9725" priority="57316" stopIfTrue="1">
      <formula>NOT(ISBLANK($AJ$70))</formula>
    </cfRule>
  </conditionalFormatting>
  <conditionalFormatting sqref="AK70">
    <cfRule type="expression" dxfId="9724" priority="57317" stopIfTrue="1">
      <formula>NOT(ISBLANK($AK$70))</formula>
    </cfRule>
  </conditionalFormatting>
  <conditionalFormatting sqref="AL70">
    <cfRule type="expression" dxfId="9723" priority="57318" stopIfTrue="1">
      <formula>NOT(ISBLANK($AL$70))</formula>
    </cfRule>
  </conditionalFormatting>
  <conditionalFormatting sqref="AM70">
    <cfRule type="expression" dxfId="9722" priority="57319" stopIfTrue="1">
      <formula>NOT(ISBLANK($AM$70))</formula>
    </cfRule>
  </conditionalFormatting>
  <conditionalFormatting sqref="AN70">
    <cfRule type="expression" dxfId="9721" priority="57320" stopIfTrue="1">
      <formula>NOT(ISBLANK($AN$70))</formula>
    </cfRule>
  </conditionalFormatting>
  <conditionalFormatting sqref="AO70">
    <cfRule type="expression" dxfId="9720" priority="57321" stopIfTrue="1">
      <formula>NOT(ISBLANK($AO$70))</formula>
    </cfRule>
  </conditionalFormatting>
  <conditionalFormatting sqref="AP70">
    <cfRule type="expression" dxfId="9719" priority="57322" stopIfTrue="1">
      <formula>NOT(ISBLANK($AP$70))</formula>
    </cfRule>
  </conditionalFormatting>
  <conditionalFormatting sqref="AQ70">
    <cfRule type="expression" dxfId="9718" priority="57323" stopIfTrue="1">
      <formula>NOT(ISBLANK($AQ$70))</formula>
    </cfRule>
  </conditionalFormatting>
  <conditionalFormatting sqref="A71">
    <cfRule type="cellIs" dxfId="9717" priority="57324" stopIfTrue="1" operator="notEqual">
      <formula>4</formula>
    </cfRule>
  </conditionalFormatting>
  <conditionalFormatting sqref="B71">
    <cfRule type="cellIs" dxfId="9716" priority="57325" stopIfTrue="1" operator="notEqual">
      <formula>2</formula>
    </cfRule>
  </conditionalFormatting>
  <conditionalFormatting sqref="C71">
    <cfRule type="cellIs" dxfId="9715" priority="57326" stopIfTrue="1" operator="notEqual">
      <formula>7</formula>
    </cfRule>
  </conditionalFormatting>
  <conditionalFormatting sqref="D71">
    <cfRule type="cellIs" dxfId="9714" priority="57327" stopIfTrue="1" operator="notEqual">
      <formula>22.614</formula>
    </cfRule>
  </conditionalFormatting>
  <conditionalFormatting sqref="E71">
    <cfRule type="cellIs" dxfId="9713" priority="57328" stopIfTrue="1" operator="notEqual">
      <formula>"MGD"</formula>
    </cfRule>
  </conditionalFormatting>
  <conditionalFormatting sqref="F71">
    <cfRule type="cellIs" dxfId="9712" priority="57329" stopIfTrue="1" operator="notEqual">
      <formula>11.066</formula>
    </cfRule>
  </conditionalFormatting>
  <conditionalFormatting sqref="G71">
    <cfRule type="cellIs" dxfId="9711" priority="57330" stopIfTrue="1" operator="notEqual">
      <formula>"MGD"</formula>
    </cfRule>
  </conditionalFormatting>
  <conditionalFormatting sqref="H71">
    <cfRule type="cellIs" dxfId="9710" priority="57331" stopIfTrue="1" operator="notEqual">
      <formula>"regeneration off-site (non-hazardous)"</formula>
    </cfRule>
  </conditionalFormatting>
  <conditionalFormatting sqref="I71">
    <cfRule type="cellIs" dxfId="9709" priority="57332" stopIfTrue="1" operator="notEqual">
      <formula>"carbon life value- bed volumes"</formula>
    </cfRule>
  </conditionalFormatting>
  <conditionalFormatting sqref="J71">
    <cfRule type="cellIs" dxfId="9708" priority="57333" stopIfTrue="1" operator="notEqual">
      <formula>66600</formula>
    </cfRule>
  </conditionalFormatting>
  <conditionalFormatting sqref="K71">
    <cfRule type="expression" dxfId="9707" priority="57334" stopIfTrue="1">
      <formula>NOT(ISBLANK($K$71))</formula>
    </cfRule>
  </conditionalFormatting>
  <conditionalFormatting sqref="L71">
    <cfRule type="expression" dxfId="9706" priority="57335" stopIfTrue="1">
      <formula>NOT(ISBLANK($L$71))</formula>
    </cfRule>
  </conditionalFormatting>
  <conditionalFormatting sqref="M71">
    <cfRule type="expression" dxfId="9705" priority="57336" stopIfTrue="1">
      <formula>NOT(ISBLANK($M$71))</formula>
    </cfRule>
  </conditionalFormatting>
  <conditionalFormatting sqref="N71">
    <cfRule type="cellIs" dxfId="9704" priority="57337" stopIfTrue="1" operator="notEqual">
      <formula>"EBCT"</formula>
    </cfRule>
  </conditionalFormatting>
  <conditionalFormatting sqref="O71">
    <cfRule type="cellIs" dxfId="9703" priority="57338" stopIfTrue="1" operator="notEqual">
      <formula>7.5</formula>
    </cfRule>
  </conditionalFormatting>
  <conditionalFormatting sqref="P71">
    <cfRule type="expression" dxfId="9702" priority="57339" stopIfTrue="1">
      <formula>NOT(ISBLANK($P$71))</formula>
    </cfRule>
  </conditionalFormatting>
  <conditionalFormatting sqref="Q71">
    <cfRule type="expression" dxfId="9701" priority="57340" stopIfTrue="1">
      <formula>NOT(ISBLANK($Q$71))</formula>
    </cfRule>
  </conditionalFormatting>
  <conditionalFormatting sqref="R71">
    <cfRule type="expression" dxfId="9700" priority="57341" stopIfTrue="1">
      <formula>NOT(ISBLANK($R$71))</formula>
    </cfRule>
  </conditionalFormatting>
  <conditionalFormatting sqref="S71">
    <cfRule type="expression" dxfId="9699" priority="57342" stopIfTrue="1">
      <formula>NOT(ISBLANK($S$71))</formula>
    </cfRule>
  </conditionalFormatting>
  <conditionalFormatting sqref="T71">
    <cfRule type="expression" dxfId="9698" priority="57343" stopIfTrue="1">
      <formula>NOT(ISBLANK($T$71))</formula>
    </cfRule>
  </conditionalFormatting>
  <conditionalFormatting sqref="U71">
    <cfRule type="expression" dxfId="9697" priority="57344" stopIfTrue="1">
      <formula>NOT(ISBLANK($U$71))</formula>
    </cfRule>
  </conditionalFormatting>
  <conditionalFormatting sqref="V71">
    <cfRule type="expression" dxfId="9696" priority="57345" stopIfTrue="1">
      <formula>NOT(ISBLANK($V$71))</formula>
    </cfRule>
  </conditionalFormatting>
  <conditionalFormatting sqref="W71">
    <cfRule type="cellIs" dxfId="9695" priority="57346" stopIfTrue="1" operator="notEqual">
      <formula>15</formula>
    </cfRule>
  </conditionalFormatting>
  <conditionalFormatting sqref="X71">
    <cfRule type="cellIs" dxfId="9694" priority="57347" stopIfTrue="1" operator="notEqual">
      <formula>15</formula>
    </cfRule>
  </conditionalFormatting>
  <conditionalFormatting sqref="Y71">
    <cfRule type="cellIs" dxfId="9693" priority="57348" stopIfTrue="1" operator="notEqual">
      <formula>7.8</formula>
    </cfRule>
  </conditionalFormatting>
  <conditionalFormatting sqref="Z71">
    <cfRule type="cellIs" dxfId="9692" priority="57349" stopIfTrue="1" operator="notEqual">
      <formula>168</formula>
    </cfRule>
  </conditionalFormatting>
  <conditionalFormatting sqref="AA71">
    <cfRule type="cellIs" dxfId="9691" priority="57350" stopIfTrue="1" operator="notEqual">
      <formula>"POTW"</formula>
    </cfRule>
  </conditionalFormatting>
  <conditionalFormatting sqref="AB71">
    <cfRule type="cellIs" dxfId="9690" priority="57351" stopIfTrue="1" operator="notEqual">
      <formula>"holding tank"</formula>
    </cfRule>
  </conditionalFormatting>
  <conditionalFormatting sqref="AC71">
    <cfRule type="cellIs" dxfId="9689" priority="57352" stopIfTrue="1" operator="notEqual">
      <formula>"eductors"</formula>
    </cfRule>
  </conditionalFormatting>
  <conditionalFormatting sqref="AD71">
    <cfRule type="cellIs" dxfId="9688" priority="57353" stopIfTrue="1" operator="notEqual">
      <formula>"non-hazardous"</formula>
    </cfRule>
  </conditionalFormatting>
  <conditionalFormatting sqref="AE71">
    <cfRule type="expression" dxfId="9687" priority="57354" stopIfTrue="1">
      <formula>NOT(ISBLANK($AE$71))</formula>
    </cfRule>
  </conditionalFormatting>
  <conditionalFormatting sqref="AF71">
    <cfRule type="expression" dxfId="9686" priority="57355" stopIfTrue="1">
      <formula>NOT(ISBLANK($AF$71))</formula>
    </cfRule>
  </conditionalFormatting>
  <conditionalFormatting sqref="AG71">
    <cfRule type="expression" dxfId="9685" priority="57356" stopIfTrue="1">
      <formula>NOT(ISBLANK($AG$71))</formula>
    </cfRule>
  </conditionalFormatting>
  <conditionalFormatting sqref="AH71">
    <cfRule type="expression" dxfId="9684" priority="57357" stopIfTrue="1">
      <formula>NOT(ISBLANK($AH$71))</formula>
    </cfRule>
  </conditionalFormatting>
  <conditionalFormatting sqref="AI71">
    <cfRule type="cellIs" dxfId="9683" priority="57358" stopIfTrue="1" operator="notEqual">
      <formula>"fully automated"</formula>
    </cfRule>
  </conditionalFormatting>
  <conditionalFormatting sqref="AJ71">
    <cfRule type="expression" dxfId="9682" priority="57359" stopIfTrue="1">
      <formula>NOT(ISBLANK($AJ$71))</formula>
    </cfRule>
  </conditionalFormatting>
  <conditionalFormatting sqref="AK71">
    <cfRule type="expression" dxfId="9681" priority="57360" stopIfTrue="1">
      <formula>NOT(ISBLANK($AK$71))</formula>
    </cfRule>
  </conditionalFormatting>
  <conditionalFormatting sqref="AL71">
    <cfRule type="expression" dxfId="9680" priority="57361" stopIfTrue="1">
      <formula>NOT(ISBLANK($AL$71))</formula>
    </cfRule>
  </conditionalFormatting>
  <conditionalFormatting sqref="AM71">
    <cfRule type="expression" dxfId="9679" priority="57362" stopIfTrue="1">
      <formula>NOT(ISBLANK($AM$71))</formula>
    </cfRule>
  </conditionalFormatting>
  <conditionalFormatting sqref="AN71">
    <cfRule type="expression" dxfId="9678" priority="57363" stopIfTrue="1">
      <formula>NOT(ISBLANK($AN$71))</formula>
    </cfRule>
  </conditionalFormatting>
  <conditionalFormatting sqref="AO71">
    <cfRule type="expression" dxfId="9677" priority="57364" stopIfTrue="1">
      <formula>NOT(ISBLANK($AO$71))</formula>
    </cfRule>
  </conditionalFormatting>
  <conditionalFormatting sqref="AP71">
    <cfRule type="expression" dxfId="9676" priority="57365" stopIfTrue="1">
      <formula>NOT(ISBLANK($AP$71))</formula>
    </cfRule>
  </conditionalFormatting>
  <conditionalFormatting sqref="AQ71">
    <cfRule type="expression" dxfId="9675" priority="57366" stopIfTrue="1">
      <formula>NOT(ISBLANK($AQ$71))</formula>
    </cfRule>
  </conditionalFormatting>
  <conditionalFormatting sqref="A72">
    <cfRule type="cellIs" dxfId="9674" priority="57367" stopIfTrue="1" operator="notEqual">
      <formula>4</formula>
    </cfRule>
  </conditionalFormatting>
  <conditionalFormatting sqref="B72">
    <cfRule type="cellIs" dxfId="9673" priority="57368" stopIfTrue="1" operator="notEqual">
      <formula>2</formula>
    </cfRule>
  </conditionalFormatting>
  <conditionalFormatting sqref="C72">
    <cfRule type="cellIs" dxfId="9672" priority="57369" stopIfTrue="1" operator="notEqual">
      <formula>8</formula>
    </cfRule>
  </conditionalFormatting>
  <conditionalFormatting sqref="D72">
    <cfRule type="cellIs" dxfId="9671" priority="57370" stopIfTrue="1" operator="notEqual">
      <formula>75.072</formula>
    </cfRule>
  </conditionalFormatting>
  <conditionalFormatting sqref="E72">
    <cfRule type="cellIs" dxfId="9670" priority="57371" stopIfTrue="1" operator="notEqual">
      <formula>"MGD"</formula>
    </cfRule>
  </conditionalFormatting>
  <conditionalFormatting sqref="F72">
    <cfRule type="cellIs" dxfId="9669" priority="57372" stopIfTrue="1" operator="notEqual">
      <formula>37.536</formula>
    </cfRule>
  </conditionalFormatting>
  <conditionalFormatting sqref="G72">
    <cfRule type="cellIs" dxfId="9668" priority="57373" stopIfTrue="1" operator="notEqual">
      <formula>"MGD"</formula>
    </cfRule>
  </conditionalFormatting>
  <conditionalFormatting sqref="H72">
    <cfRule type="cellIs" dxfId="9667" priority="57374" stopIfTrue="1" operator="notEqual">
      <formula>"regeneration off-site (non-hazardous)"</formula>
    </cfRule>
  </conditionalFormatting>
  <conditionalFormatting sqref="I72">
    <cfRule type="cellIs" dxfId="9666" priority="57375" stopIfTrue="1" operator="notEqual">
      <formula>"carbon life value- bed volumes"</formula>
    </cfRule>
  </conditionalFormatting>
  <conditionalFormatting sqref="J72">
    <cfRule type="cellIs" dxfId="9665" priority="57376" stopIfTrue="1" operator="notEqual">
      <formula>66600</formula>
    </cfRule>
  </conditionalFormatting>
  <conditionalFormatting sqref="K72">
    <cfRule type="expression" dxfId="9664" priority="57377" stopIfTrue="1">
      <formula>NOT(ISBLANK($K$72))</formula>
    </cfRule>
  </conditionalFormatting>
  <conditionalFormatting sqref="L72">
    <cfRule type="expression" dxfId="9663" priority="57378" stopIfTrue="1">
      <formula>NOT(ISBLANK($L$72))</formula>
    </cfRule>
  </conditionalFormatting>
  <conditionalFormatting sqref="M72">
    <cfRule type="expression" dxfId="9662" priority="57379" stopIfTrue="1">
      <formula>NOT(ISBLANK($M$72))</formula>
    </cfRule>
  </conditionalFormatting>
  <conditionalFormatting sqref="N72">
    <cfRule type="cellIs" dxfId="9661" priority="57380" stopIfTrue="1" operator="notEqual">
      <formula>"EBCT"</formula>
    </cfRule>
  </conditionalFormatting>
  <conditionalFormatting sqref="O72">
    <cfRule type="cellIs" dxfId="9660" priority="57381" stopIfTrue="1" operator="notEqual">
      <formula>7.5</formula>
    </cfRule>
  </conditionalFormatting>
  <conditionalFormatting sqref="P72">
    <cfRule type="expression" dxfId="9659" priority="57382" stopIfTrue="1">
      <formula>NOT(ISBLANK($P$72))</formula>
    </cfRule>
  </conditionalFormatting>
  <conditionalFormatting sqref="Q72">
    <cfRule type="expression" dxfId="9658" priority="57383" stopIfTrue="1">
      <formula>NOT(ISBLANK($Q$72))</formula>
    </cfRule>
  </conditionalFormatting>
  <conditionalFormatting sqref="R72">
    <cfRule type="expression" dxfId="9657" priority="57384" stopIfTrue="1">
      <formula>NOT(ISBLANK($R$72))</formula>
    </cfRule>
  </conditionalFormatting>
  <conditionalFormatting sqref="S72">
    <cfRule type="expression" dxfId="9656" priority="57385" stopIfTrue="1">
      <formula>NOT(ISBLANK($S$72))</formula>
    </cfRule>
  </conditionalFormatting>
  <conditionalFormatting sqref="T72">
    <cfRule type="expression" dxfId="9655" priority="57386" stopIfTrue="1">
      <formula>NOT(ISBLANK($T$72))</formula>
    </cfRule>
  </conditionalFormatting>
  <conditionalFormatting sqref="U72">
    <cfRule type="expression" dxfId="9654" priority="57387" stopIfTrue="1">
      <formula>NOT(ISBLANK($U$72))</formula>
    </cfRule>
  </conditionalFormatting>
  <conditionalFormatting sqref="V72">
    <cfRule type="expression" dxfId="9653" priority="57388" stopIfTrue="1">
      <formula>NOT(ISBLANK($V$72))</formula>
    </cfRule>
  </conditionalFormatting>
  <conditionalFormatting sqref="W72">
    <cfRule type="cellIs" dxfId="9652" priority="57389" stopIfTrue="1" operator="notEqual">
      <formula>21</formula>
    </cfRule>
  </conditionalFormatting>
  <conditionalFormatting sqref="X72">
    <cfRule type="cellIs" dxfId="9651" priority="57390" stopIfTrue="1" operator="notEqual">
      <formula>21</formula>
    </cfRule>
  </conditionalFormatting>
  <conditionalFormatting sqref="Y72">
    <cfRule type="cellIs" dxfId="9650" priority="57391" stopIfTrue="1" operator="notEqual">
      <formula>8</formula>
    </cfRule>
  </conditionalFormatting>
  <conditionalFormatting sqref="Z72">
    <cfRule type="cellIs" dxfId="9649" priority="57392" stopIfTrue="1" operator="notEqual">
      <formula>168</formula>
    </cfRule>
  </conditionalFormatting>
  <conditionalFormatting sqref="AA72">
    <cfRule type="cellIs" dxfId="9648" priority="57393" stopIfTrue="1" operator="notEqual">
      <formula>"POTW"</formula>
    </cfRule>
  </conditionalFormatting>
  <conditionalFormatting sqref="AB72">
    <cfRule type="cellIs" dxfId="9647" priority="57394" stopIfTrue="1" operator="notEqual">
      <formula>"holding tank"</formula>
    </cfRule>
  </conditionalFormatting>
  <conditionalFormatting sqref="AC72">
    <cfRule type="cellIs" dxfId="9646" priority="57395" stopIfTrue="1" operator="notEqual">
      <formula>"eductors"</formula>
    </cfRule>
  </conditionalFormatting>
  <conditionalFormatting sqref="AD72">
    <cfRule type="cellIs" dxfId="9645" priority="57396" stopIfTrue="1" operator="notEqual">
      <formula>"non-hazardous"</formula>
    </cfRule>
  </conditionalFormatting>
  <conditionalFormatting sqref="AE72">
    <cfRule type="expression" dxfId="9644" priority="57397" stopIfTrue="1">
      <formula>NOT(ISBLANK($AE$72))</formula>
    </cfRule>
  </conditionalFormatting>
  <conditionalFormatting sqref="AF72">
    <cfRule type="expression" dxfId="9643" priority="57398" stopIfTrue="1">
      <formula>NOT(ISBLANK($AF$72))</formula>
    </cfRule>
  </conditionalFormatting>
  <conditionalFormatting sqref="AG72">
    <cfRule type="expression" dxfId="9642" priority="57399" stopIfTrue="1">
      <formula>NOT(ISBLANK($AG$72))</formula>
    </cfRule>
  </conditionalFormatting>
  <conditionalFormatting sqref="AH72">
    <cfRule type="expression" dxfId="9641" priority="57400" stopIfTrue="1">
      <formula>NOT(ISBLANK($AH$72))</formula>
    </cfRule>
  </conditionalFormatting>
  <conditionalFormatting sqref="AI72">
    <cfRule type="cellIs" dxfId="9640" priority="57401" stopIfTrue="1" operator="notEqual">
      <formula>"fully automated"</formula>
    </cfRule>
  </conditionalFormatting>
  <conditionalFormatting sqref="AJ72">
    <cfRule type="expression" dxfId="9639" priority="57402" stopIfTrue="1">
      <formula>NOT(ISBLANK($AJ$72))</formula>
    </cfRule>
  </conditionalFormatting>
  <conditionalFormatting sqref="AK72">
    <cfRule type="expression" dxfId="9638" priority="57403" stopIfTrue="1">
      <formula>NOT(ISBLANK($AK$72))</formula>
    </cfRule>
  </conditionalFormatting>
  <conditionalFormatting sqref="AL72">
    <cfRule type="expression" dxfId="9637" priority="57404" stopIfTrue="1">
      <formula>NOT(ISBLANK($AL$72))</formula>
    </cfRule>
  </conditionalFormatting>
  <conditionalFormatting sqref="AM72">
    <cfRule type="expression" dxfId="9636" priority="57405" stopIfTrue="1">
      <formula>NOT(ISBLANK($AM$72))</formula>
    </cfRule>
  </conditionalFormatting>
  <conditionalFormatting sqref="AN72">
    <cfRule type="expression" dxfId="9635" priority="57406" stopIfTrue="1">
      <formula>NOT(ISBLANK($AN$72))</formula>
    </cfRule>
  </conditionalFormatting>
  <conditionalFormatting sqref="AO72">
    <cfRule type="expression" dxfId="9634" priority="57407" stopIfTrue="1">
      <formula>NOT(ISBLANK($AO$72))</formula>
    </cfRule>
  </conditionalFormatting>
  <conditionalFormatting sqref="AP72">
    <cfRule type="expression" dxfId="9633" priority="57408" stopIfTrue="1">
      <formula>NOT(ISBLANK($AP$72))</formula>
    </cfRule>
  </conditionalFormatting>
  <conditionalFormatting sqref="AQ72">
    <cfRule type="expression" dxfId="9632" priority="57409" stopIfTrue="1">
      <formula>NOT(ISBLANK($AQ$72))</formula>
    </cfRule>
  </conditionalFormatting>
  <conditionalFormatting sqref="A73">
    <cfRule type="cellIs" dxfId="9631" priority="57410" stopIfTrue="1" operator="notEqual">
      <formula>5</formula>
    </cfRule>
  </conditionalFormatting>
  <conditionalFormatting sqref="B73">
    <cfRule type="cellIs" dxfId="9630" priority="57411" stopIfTrue="1" operator="notEqual">
      <formula>1</formula>
    </cfRule>
  </conditionalFormatting>
  <conditionalFormatting sqref="C73">
    <cfRule type="cellIs" dxfId="9629" priority="57412" stopIfTrue="1" operator="notEqual">
      <formula>1</formula>
    </cfRule>
  </conditionalFormatting>
  <conditionalFormatting sqref="D73">
    <cfRule type="cellIs" dxfId="9628" priority="57413" stopIfTrue="1" operator="notEqual">
      <formula>0.03</formula>
    </cfRule>
  </conditionalFormatting>
  <conditionalFormatting sqref="E73">
    <cfRule type="cellIs" dxfId="9627" priority="57414" stopIfTrue="1" operator="notEqual">
      <formula>"MGD"</formula>
    </cfRule>
  </conditionalFormatting>
  <conditionalFormatting sqref="F73">
    <cfRule type="cellIs" dxfId="9626" priority="57415" stopIfTrue="1" operator="notEqual">
      <formula>0.007</formula>
    </cfRule>
  </conditionalFormatting>
  <conditionalFormatting sqref="G73">
    <cfRule type="cellIs" dxfId="9625" priority="57416" stopIfTrue="1" operator="notEqual">
      <formula>"MGD"</formula>
    </cfRule>
  </conditionalFormatting>
  <conditionalFormatting sqref="H73">
    <cfRule type="cellIs" dxfId="9624" priority="57417" stopIfTrue="1" operator="notEqual">
      <formula>"regeneration off-site (non-hazardous)"</formula>
    </cfRule>
  </conditionalFormatting>
  <conditionalFormatting sqref="I73">
    <cfRule type="cellIs" dxfId="9623" priority="57418" stopIfTrue="1" operator="notEqual">
      <formula>"carbon life value- bed volumes"</formula>
    </cfRule>
  </conditionalFormatting>
  <conditionalFormatting sqref="J73">
    <cfRule type="cellIs" dxfId="9622" priority="57419" stopIfTrue="1" operator="notEqual">
      <formula>95700</formula>
    </cfRule>
  </conditionalFormatting>
  <conditionalFormatting sqref="K73">
    <cfRule type="expression" dxfId="9621" priority="57420" stopIfTrue="1">
      <formula>NOT(ISBLANK($K$73))</formula>
    </cfRule>
  </conditionalFormatting>
  <conditionalFormatting sqref="L73">
    <cfRule type="expression" dxfId="9620" priority="57421" stopIfTrue="1">
      <formula>NOT(ISBLANK($L$73))</formula>
    </cfRule>
  </conditionalFormatting>
  <conditionalFormatting sqref="M73">
    <cfRule type="expression" dxfId="9619" priority="57422" stopIfTrue="1">
      <formula>NOT(ISBLANK($M$73))</formula>
    </cfRule>
  </conditionalFormatting>
  <conditionalFormatting sqref="N73">
    <cfRule type="cellIs" dxfId="9618" priority="57423" stopIfTrue="1" operator="notEqual">
      <formula>"EBCT"</formula>
    </cfRule>
  </conditionalFormatting>
  <conditionalFormatting sqref="O73">
    <cfRule type="cellIs" dxfId="9617" priority="57424" stopIfTrue="1" operator="notEqual">
      <formula>7.5</formula>
    </cfRule>
  </conditionalFormatting>
  <conditionalFormatting sqref="P73">
    <cfRule type="expression" dxfId="9616" priority="57425" stopIfTrue="1">
      <formula>NOT(ISBLANK($P$73))</formula>
    </cfRule>
  </conditionalFormatting>
  <conditionalFormatting sqref="Q73">
    <cfRule type="expression" dxfId="9615" priority="57426" stopIfTrue="1">
      <formula>NOT(ISBLANK($Q$73))</formula>
    </cfRule>
  </conditionalFormatting>
  <conditionalFormatting sqref="R73">
    <cfRule type="cellIs" dxfId="9614" priority="57427" stopIfTrue="1" operator="notEqual">
      <formula>1</formula>
    </cfRule>
  </conditionalFormatting>
  <conditionalFormatting sqref="S73">
    <cfRule type="cellIs" dxfId="9613" priority="57428" stopIfTrue="1" operator="notEqual">
      <formula>3.4</formula>
    </cfRule>
  </conditionalFormatting>
  <conditionalFormatting sqref="T73">
    <cfRule type="cellIs" dxfId="9612" priority="57429" stopIfTrue="1" operator="notEqual">
      <formula>"upright"</formula>
    </cfRule>
  </conditionalFormatting>
  <conditionalFormatting sqref="U73">
    <cfRule type="cellIs" dxfId="9611" priority="57430" stopIfTrue="1" operator="notEqual">
      <formula>6</formula>
    </cfRule>
  </conditionalFormatting>
  <conditionalFormatting sqref="V73">
    <cfRule type="cellIs" dxfId="9610" priority="57431" stopIfTrue="1" operator="notEqual">
      <formula>2</formula>
    </cfRule>
  </conditionalFormatting>
  <conditionalFormatting sqref="W73">
    <cfRule type="expression" dxfId="9609" priority="57432" stopIfTrue="1">
      <formula>NOT(ISBLANK($W$73))</formula>
    </cfRule>
  </conditionalFormatting>
  <conditionalFormatting sqref="X73">
    <cfRule type="expression" dxfId="9608" priority="57433" stopIfTrue="1">
      <formula>NOT(ISBLANK($X$73))</formula>
    </cfRule>
  </conditionalFormatting>
  <conditionalFormatting sqref="Y73">
    <cfRule type="expression" dxfId="9607" priority="57434" stopIfTrue="1">
      <formula>NOT(ISBLANK($Y$73))</formula>
    </cfRule>
  </conditionalFormatting>
  <conditionalFormatting sqref="Z73">
    <cfRule type="cellIs" dxfId="9606" priority="57435" stopIfTrue="1" operator="notEqual">
      <formula>168</formula>
    </cfRule>
  </conditionalFormatting>
  <conditionalFormatting sqref="AA73">
    <cfRule type="cellIs" dxfId="9605" priority="57436" stopIfTrue="1" operator="notEqual">
      <formula>"POTW"</formula>
    </cfRule>
  </conditionalFormatting>
  <conditionalFormatting sqref="AB73">
    <cfRule type="cellIs" dxfId="9604" priority="57437" stopIfTrue="1" operator="notEqual">
      <formula>"no holding tank"</formula>
    </cfRule>
  </conditionalFormatting>
  <conditionalFormatting sqref="AC73">
    <cfRule type="cellIs" dxfId="9603" priority="57438" stopIfTrue="1" operator="notEqual">
      <formula>"manual transfer"</formula>
    </cfRule>
  </conditionalFormatting>
  <conditionalFormatting sqref="AD73">
    <cfRule type="expression" dxfId="9602" priority="57439" stopIfTrue="1">
      <formula>NOT(ISBLANK($AD$73))</formula>
    </cfRule>
  </conditionalFormatting>
  <conditionalFormatting sqref="AE73">
    <cfRule type="expression" dxfId="9601" priority="57440" stopIfTrue="1">
      <formula>NOT(ISBLANK($AE$73))</formula>
    </cfRule>
  </conditionalFormatting>
  <conditionalFormatting sqref="AF73">
    <cfRule type="cellIs" dxfId="9600" priority="57441" stopIfTrue="1" operator="notEqual">
      <formula>0</formula>
    </cfRule>
  </conditionalFormatting>
  <conditionalFormatting sqref="AG73">
    <cfRule type="expression" dxfId="9599" priority="57442" stopIfTrue="1">
      <formula>NOT(ISBLANK($AG$73))</formula>
    </cfRule>
  </conditionalFormatting>
  <conditionalFormatting sqref="AH73">
    <cfRule type="expression" dxfId="9598" priority="57443" stopIfTrue="1">
      <formula>NOT(ISBLANK($AH$73))</formula>
    </cfRule>
  </conditionalFormatting>
  <conditionalFormatting sqref="AI73">
    <cfRule type="cellIs" dxfId="9597" priority="57444" stopIfTrue="1" operator="notEqual">
      <formula>"fully automated"</formula>
    </cfRule>
  </conditionalFormatting>
  <conditionalFormatting sqref="AJ73">
    <cfRule type="expression" dxfId="9596" priority="57445" stopIfTrue="1">
      <formula>NOT(ISBLANK($AJ$73))</formula>
    </cfRule>
  </conditionalFormatting>
  <conditionalFormatting sqref="AK73">
    <cfRule type="expression" dxfId="9595" priority="57446" stopIfTrue="1">
      <formula>NOT(ISBLANK($AK$73))</formula>
    </cfRule>
  </conditionalFormatting>
  <conditionalFormatting sqref="AL73">
    <cfRule type="expression" dxfId="9594" priority="57447" stopIfTrue="1">
      <formula>NOT(ISBLANK($AL$73))</formula>
    </cfRule>
  </conditionalFormatting>
  <conditionalFormatting sqref="AM73">
    <cfRule type="expression" dxfId="9593" priority="57448" stopIfTrue="1">
      <formula>NOT(ISBLANK($AM$73))</formula>
    </cfRule>
  </conditionalFormatting>
  <conditionalFormatting sqref="AN73">
    <cfRule type="expression" dxfId="9592" priority="57449" stopIfTrue="1">
      <formula>NOT(ISBLANK($AN$73))</formula>
    </cfRule>
  </conditionalFormatting>
  <conditionalFormatting sqref="AO73">
    <cfRule type="expression" dxfId="9591" priority="57450" stopIfTrue="1">
      <formula>NOT(ISBLANK($AO$73))</formula>
    </cfRule>
  </conditionalFormatting>
  <conditionalFormatting sqref="AP73">
    <cfRule type="expression" dxfId="9590" priority="57451" stopIfTrue="1">
      <formula>NOT(ISBLANK($AP$73))</formula>
    </cfRule>
  </conditionalFormatting>
  <conditionalFormatting sqref="AQ73">
    <cfRule type="expression" dxfId="9589" priority="57452" stopIfTrue="1">
      <formula>NOT(ISBLANK($AQ$73))</formula>
    </cfRule>
  </conditionalFormatting>
  <conditionalFormatting sqref="A74">
    <cfRule type="cellIs" dxfId="9588" priority="57453" stopIfTrue="1" operator="notEqual">
      <formula>5</formula>
    </cfRule>
  </conditionalFormatting>
  <conditionalFormatting sqref="B74">
    <cfRule type="cellIs" dxfId="9587" priority="57454" stopIfTrue="1" operator="notEqual">
      <formula>1</formula>
    </cfRule>
  </conditionalFormatting>
  <conditionalFormatting sqref="C74">
    <cfRule type="cellIs" dxfId="9586" priority="57455" stopIfTrue="1" operator="notEqual">
      <formula>2</formula>
    </cfRule>
  </conditionalFormatting>
  <conditionalFormatting sqref="D74">
    <cfRule type="cellIs" dxfId="9585" priority="57456" stopIfTrue="1" operator="notEqual">
      <formula>0.124</formula>
    </cfRule>
  </conditionalFormatting>
  <conditionalFormatting sqref="E74">
    <cfRule type="cellIs" dxfId="9584" priority="57457" stopIfTrue="1" operator="notEqual">
      <formula>"MGD"</formula>
    </cfRule>
  </conditionalFormatting>
  <conditionalFormatting sqref="F74">
    <cfRule type="cellIs" dxfId="9583" priority="57458" stopIfTrue="1" operator="notEqual">
      <formula>0.035</formula>
    </cfRule>
  </conditionalFormatting>
  <conditionalFormatting sqref="G74">
    <cfRule type="cellIs" dxfId="9582" priority="57459" stopIfTrue="1" operator="notEqual">
      <formula>"MGD"</formula>
    </cfRule>
  </conditionalFormatting>
  <conditionalFormatting sqref="H74">
    <cfRule type="cellIs" dxfId="9581" priority="57460" stopIfTrue="1" operator="notEqual">
      <formula>"regeneration off-site (non-hazardous)"</formula>
    </cfRule>
  </conditionalFormatting>
  <conditionalFormatting sqref="I74">
    <cfRule type="cellIs" dxfId="9580" priority="57461" stopIfTrue="1" operator="notEqual">
      <formula>"carbon life value- bed volumes"</formula>
    </cfRule>
  </conditionalFormatting>
  <conditionalFormatting sqref="J74">
    <cfRule type="cellIs" dxfId="9579" priority="57462" stopIfTrue="1" operator="notEqual">
      <formula>95700</formula>
    </cfRule>
  </conditionalFormatting>
  <conditionalFormatting sqref="K74">
    <cfRule type="expression" dxfId="9578" priority="57463" stopIfTrue="1">
      <formula>NOT(ISBLANK($K$74))</formula>
    </cfRule>
  </conditionalFormatting>
  <conditionalFormatting sqref="L74">
    <cfRule type="expression" dxfId="9577" priority="57464" stopIfTrue="1">
      <formula>NOT(ISBLANK($L$74))</formula>
    </cfRule>
  </conditionalFormatting>
  <conditionalFormatting sqref="M74">
    <cfRule type="expression" dxfId="9576" priority="57465" stopIfTrue="1">
      <formula>NOT(ISBLANK($M$74))</formula>
    </cfRule>
  </conditionalFormatting>
  <conditionalFormatting sqref="N74">
    <cfRule type="cellIs" dxfId="9575" priority="57466" stopIfTrue="1" operator="notEqual">
      <formula>"EBCT"</formula>
    </cfRule>
  </conditionalFormatting>
  <conditionalFormatting sqref="O74">
    <cfRule type="cellIs" dxfId="9574" priority="57467" stopIfTrue="1" operator="notEqual">
      <formula>7.5</formula>
    </cfRule>
  </conditionalFormatting>
  <conditionalFormatting sqref="P74">
    <cfRule type="expression" dxfId="9573" priority="57468" stopIfTrue="1">
      <formula>NOT(ISBLANK($P$74))</formula>
    </cfRule>
  </conditionalFormatting>
  <conditionalFormatting sqref="Q74">
    <cfRule type="expression" dxfId="9572" priority="57469" stopIfTrue="1">
      <formula>NOT(ISBLANK($Q$74))</formula>
    </cfRule>
  </conditionalFormatting>
  <conditionalFormatting sqref="R74">
    <cfRule type="cellIs" dxfId="9571" priority="57470" stopIfTrue="1" operator="notEqual">
      <formula>1</formula>
    </cfRule>
  </conditionalFormatting>
  <conditionalFormatting sqref="S74">
    <cfRule type="cellIs" dxfId="9570" priority="57471" stopIfTrue="1" operator="notEqual">
      <formula>6.9</formula>
    </cfRule>
  </conditionalFormatting>
  <conditionalFormatting sqref="T74">
    <cfRule type="cellIs" dxfId="9569" priority="57472" stopIfTrue="1" operator="notEqual">
      <formula>"upright"</formula>
    </cfRule>
  </conditionalFormatting>
  <conditionalFormatting sqref="U74">
    <cfRule type="cellIs" dxfId="9568" priority="57473" stopIfTrue="1" operator="notEqual">
      <formula>11</formula>
    </cfRule>
  </conditionalFormatting>
  <conditionalFormatting sqref="V74">
    <cfRule type="cellIs" dxfId="9567" priority="57474" stopIfTrue="1" operator="notEqual">
      <formula>4</formula>
    </cfRule>
  </conditionalFormatting>
  <conditionalFormatting sqref="W74">
    <cfRule type="expression" dxfId="9566" priority="57475" stopIfTrue="1">
      <formula>NOT(ISBLANK($W$74))</formula>
    </cfRule>
  </conditionalFormatting>
  <conditionalFormatting sqref="X74">
    <cfRule type="expression" dxfId="9565" priority="57476" stopIfTrue="1">
      <formula>NOT(ISBLANK($X$74))</formula>
    </cfRule>
  </conditionalFormatting>
  <conditionalFormatting sqref="Y74">
    <cfRule type="expression" dxfId="9564" priority="57477" stopIfTrue="1">
      <formula>NOT(ISBLANK($Y$74))</formula>
    </cfRule>
  </conditionalFormatting>
  <conditionalFormatting sqref="Z74">
    <cfRule type="cellIs" dxfId="9563" priority="57478" stopIfTrue="1" operator="notEqual">
      <formula>168</formula>
    </cfRule>
  </conditionalFormatting>
  <conditionalFormatting sqref="AA74">
    <cfRule type="cellIs" dxfId="9562" priority="57479" stopIfTrue="1" operator="notEqual">
      <formula>"POTW"</formula>
    </cfRule>
  </conditionalFormatting>
  <conditionalFormatting sqref="AB74">
    <cfRule type="cellIs" dxfId="9561" priority="57480" stopIfTrue="1" operator="notEqual">
      <formula>"Holding tank"</formula>
    </cfRule>
  </conditionalFormatting>
  <conditionalFormatting sqref="AC74">
    <cfRule type="cellIs" dxfId="9560" priority="57481" stopIfTrue="1" operator="notEqual">
      <formula>"manual transfer"</formula>
    </cfRule>
  </conditionalFormatting>
  <conditionalFormatting sqref="AD74">
    <cfRule type="cellIs" dxfId="9559" priority="57482" stopIfTrue="1" operator="notEqual">
      <formula>"non-hazardous"</formula>
    </cfRule>
  </conditionalFormatting>
  <conditionalFormatting sqref="AE74">
    <cfRule type="expression" dxfId="9558" priority="57483" stopIfTrue="1">
      <formula>NOT(ISBLANK($AE$74))</formula>
    </cfRule>
  </conditionalFormatting>
  <conditionalFormatting sqref="AF74">
    <cfRule type="cellIs" dxfId="9557" priority="57484" stopIfTrue="1" operator="notEqual">
      <formula>0</formula>
    </cfRule>
  </conditionalFormatting>
  <conditionalFormatting sqref="AG74">
    <cfRule type="expression" dxfId="9556" priority="57485" stopIfTrue="1">
      <formula>NOT(ISBLANK($AG$74))</formula>
    </cfRule>
  </conditionalFormatting>
  <conditionalFormatting sqref="AH74">
    <cfRule type="expression" dxfId="9555" priority="57486" stopIfTrue="1">
      <formula>NOT(ISBLANK($AH$74))</formula>
    </cfRule>
  </conditionalFormatting>
  <conditionalFormatting sqref="AI74">
    <cfRule type="cellIs" dxfId="9554" priority="57487" stopIfTrue="1" operator="notEqual">
      <formula>"fully automated"</formula>
    </cfRule>
  </conditionalFormatting>
  <conditionalFormatting sqref="AJ74">
    <cfRule type="expression" dxfId="9553" priority="57488" stopIfTrue="1">
      <formula>NOT(ISBLANK($AJ$74))</formula>
    </cfRule>
  </conditionalFormatting>
  <conditionalFormatting sqref="AK74">
    <cfRule type="expression" dxfId="9552" priority="57489" stopIfTrue="1">
      <formula>NOT(ISBLANK($AK$74))</formula>
    </cfRule>
  </conditionalFormatting>
  <conditionalFormatting sqref="AL74">
    <cfRule type="expression" dxfId="9551" priority="57490" stopIfTrue="1">
      <formula>NOT(ISBLANK($AL$74))</formula>
    </cfRule>
  </conditionalFormatting>
  <conditionalFormatting sqref="AM74">
    <cfRule type="expression" dxfId="9550" priority="57491" stopIfTrue="1">
      <formula>NOT(ISBLANK($AM$74))</formula>
    </cfRule>
  </conditionalFormatting>
  <conditionalFormatting sqref="AN74">
    <cfRule type="expression" dxfId="9549" priority="57492" stopIfTrue="1">
      <formula>NOT(ISBLANK($AN$74))</formula>
    </cfRule>
  </conditionalFormatting>
  <conditionalFormatting sqref="AO74">
    <cfRule type="expression" dxfId="9548" priority="57493" stopIfTrue="1">
      <formula>NOT(ISBLANK($AO$74))</formula>
    </cfRule>
  </conditionalFormatting>
  <conditionalFormatting sqref="AP74">
    <cfRule type="expression" dxfId="9547" priority="57494" stopIfTrue="1">
      <formula>NOT(ISBLANK($AP$74))</formula>
    </cfRule>
  </conditionalFormatting>
  <conditionalFormatting sqref="AQ74">
    <cfRule type="expression" dxfId="9546" priority="57495" stopIfTrue="1">
      <formula>NOT(ISBLANK($AQ$74))</formula>
    </cfRule>
  </conditionalFormatting>
  <conditionalFormatting sqref="A75">
    <cfRule type="cellIs" dxfId="9545" priority="57496" stopIfTrue="1" operator="notEqual">
      <formula>5</formula>
    </cfRule>
  </conditionalFormatting>
  <conditionalFormatting sqref="B75">
    <cfRule type="cellIs" dxfId="9544" priority="57497" stopIfTrue="1" operator="notEqual">
      <formula>1</formula>
    </cfRule>
  </conditionalFormatting>
  <conditionalFormatting sqref="C75">
    <cfRule type="cellIs" dxfId="9543" priority="57498" stopIfTrue="1" operator="notEqual">
      <formula>3</formula>
    </cfRule>
  </conditionalFormatting>
  <conditionalFormatting sqref="D75">
    <cfRule type="cellIs" dxfId="9542" priority="57499" stopIfTrue="1" operator="notEqual">
      <formula>0.305</formula>
    </cfRule>
  </conditionalFormatting>
  <conditionalFormatting sqref="E75">
    <cfRule type="cellIs" dxfId="9541" priority="57500" stopIfTrue="1" operator="notEqual">
      <formula>"MGD"</formula>
    </cfRule>
  </conditionalFormatting>
  <conditionalFormatting sqref="F75">
    <cfRule type="cellIs" dxfId="9540" priority="57501" stopIfTrue="1" operator="notEqual">
      <formula>0.094</formula>
    </cfRule>
  </conditionalFormatting>
  <conditionalFormatting sqref="G75">
    <cfRule type="cellIs" dxfId="9539" priority="57502" stopIfTrue="1" operator="notEqual">
      <formula>"MGD"</formula>
    </cfRule>
  </conditionalFormatting>
  <conditionalFormatting sqref="H75">
    <cfRule type="cellIs" dxfId="9538" priority="57503" stopIfTrue="1" operator="notEqual">
      <formula>"regeneration off-site (non-hazardous)"</formula>
    </cfRule>
  </conditionalFormatting>
  <conditionalFormatting sqref="I75">
    <cfRule type="cellIs" dxfId="9537" priority="57504" stopIfTrue="1" operator="notEqual">
      <formula>"carbon life value- bed volumes"</formula>
    </cfRule>
  </conditionalFormatting>
  <conditionalFormatting sqref="J75">
    <cfRule type="cellIs" dxfId="9536" priority="57505" stopIfTrue="1" operator="notEqual">
      <formula>95700</formula>
    </cfRule>
  </conditionalFormatting>
  <conditionalFormatting sqref="K75">
    <cfRule type="expression" dxfId="9535" priority="57506" stopIfTrue="1">
      <formula>NOT(ISBLANK($K$75))</formula>
    </cfRule>
  </conditionalFormatting>
  <conditionalFormatting sqref="L75">
    <cfRule type="expression" dxfId="9534" priority="57507" stopIfTrue="1">
      <formula>NOT(ISBLANK($L$75))</formula>
    </cfRule>
  </conditionalFormatting>
  <conditionalFormatting sqref="M75">
    <cfRule type="expression" dxfId="9533" priority="57508" stopIfTrue="1">
      <formula>NOT(ISBLANK($M$75))</formula>
    </cfRule>
  </conditionalFormatting>
  <conditionalFormatting sqref="N75">
    <cfRule type="cellIs" dxfId="9532" priority="57509" stopIfTrue="1" operator="notEqual">
      <formula>"EBCT"</formula>
    </cfRule>
  </conditionalFormatting>
  <conditionalFormatting sqref="O75">
    <cfRule type="cellIs" dxfId="9531" priority="57510" stopIfTrue="1" operator="notEqual">
      <formula>7.5</formula>
    </cfRule>
  </conditionalFormatting>
  <conditionalFormatting sqref="P75">
    <cfRule type="expression" dxfId="9530" priority="57511" stopIfTrue="1">
      <formula>NOT(ISBLANK($P$75))</formula>
    </cfRule>
  </conditionalFormatting>
  <conditionalFormatting sqref="Q75">
    <cfRule type="expression" dxfId="9529" priority="57512" stopIfTrue="1">
      <formula>NOT(ISBLANK($Q$75))</formula>
    </cfRule>
  </conditionalFormatting>
  <conditionalFormatting sqref="R75">
    <cfRule type="cellIs" dxfId="9528" priority="57513" stopIfTrue="1" operator="notEqual">
      <formula>1</formula>
    </cfRule>
  </conditionalFormatting>
  <conditionalFormatting sqref="S75">
    <cfRule type="cellIs" dxfId="9527" priority="57514" stopIfTrue="1" operator="notEqual">
      <formula>6.7</formula>
    </cfRule>
  </conditionalFormatting>
  <conditionalFormatting sqref="T75">
    <cfRule type="cellIs" dxfId="9526" priority="57515" stopIfTrue="1" operator="notEqual">
      <formula>"upright"</formula>
    </cfRule>
  </conditionalFormatting>
  <conditionalFormatting sqref="U75">
    <cfRule type="cellIs" dxfId="9525" priority="57516" stopIfTrue="1" operator="notEqual">
      <formula>11</formula>
    </cfRule>
  </conditionalFormatting>
  <conditionalFormatting sqref="V75">
    <cfRule type="cellIs" dxfId="9524" priority="57517" stopIfTrue="1" operator="notEqual">
      <formula>4.5</formula>
    </cfRule>
  </conditionalFormatting>
  <conditionalFormatting sqref="W75">
    <cfRule type="expression" dxfId="9523" priority="57518" stopIfTrue="1">
      <formula>NOT(ISBLANK($W$75))</formula>
    </cfRule>
  </conditionalFormatting>
  <conditionalFormatting sqref="X75">
    <cfRule type="expression" dxfId="9522" priority="57519" stopIfTrue="1">
      <formula>NOT(ISBLANK($X$75))</formula>
    </cfRule>
  </conditionalFormatting>
  <conditionalFormatting sqref="Y75">
    <cfRule type="expression" dxfId="9521" priority="57520" stopIfTrue="1">
      <formula>NOT(ISBLANK($Y$75))</formula>
    </cfRule>
  </conditionalFormatting>
  <conditionalFormatting sqref="Z75">
    <cfRule type="cellIs" dxfId="9520" priority="57521" stopIfTrue="1" operator="notEqual">
      <formula>168</formula>
    </cfRule>
  </conditionalFormatting>
  <conditionalFormatting sqref="AA75">
    <cfRule type="cellIs" dxfId="9519" priority="57522" stopIfTrue="1" operator="notEqual">
      <formula>"POTW"</formula>
    </cfRule>
  </conditionalFormatting>
  <conditionalFormatting sqref="AB75">
    <cfRule type="cellIs" dxfId="9518" priority="57523" stopIfTrue="1" operator="notEqual">
      <formula>"Holding tank"</formula>
    </cfRule>
  </conditionalFormatting>
  <conditionalFormatting sqref="AC75">
    <cfRule type="cellIs" dxfId="9517" priority="57524" stopIfTrue="1" operator="notEqual">
      <formula>"manual transfer"</formula>
    </cfRule>
  </conditionalFormatting>
  <conditionalFormatting sqref="AD75">
    <cfRule type="cellIs" dxfId="9516" priority="57525" stopIfTrue="1" operator="notEqual">
      <formula>"non-hazardous"</formula>
    </cfRule>
  </conditionalFormatting>
  <conditionalFormatting sqref="AE75">
    <cfRule type="expression" dxfId="9515" priority="57526" stopIfTrue="1">
      <formula>NOT(ISBLANK($AE$75))</formula>
    </cfRule>
  </conditionalFormatting>
  <conditionalFormatting sqref="AF75">
    <cfRule type="cellIs" dxfId="9514" priority="57527" stopIfTrue="1" operator="notEqual">
      <formula>0</formula>
    </cfRule>
  </conditionalFormatting>
  <conditionalFormatting sqref="AG75">
    <cfRule type="expression" dxfId="9513" priority="57528" stopIfTrue="1">
      <formula>NOT(ISBLANK($AG$75))</formula>
    </cfRule>
  </conditionalFormatting>
  <conditionalFormatting sqref="AH75">
    <cfRule type="expression" dxfId="9512" priority="57529" stopIfTrue="1">
      <formula>NOT(ISBLANK($AH$75))</formula>
    </cfRule>
  </conditionalFormatting>
  <conditionalFormatting sqref="AI75">
    <cfRule type="cellIs" dxfId="9511" priority="57530" stopIfTrue="1" operator="notEqual">
      <formula>"fully automated"</formula>
    </cfRule>
  </conditionalFormatting>
  <conditionalFormatting sqref="AJ75">
    <cfRule type="expression" dxfId="9510" priority="57531" stopIfTrue="1">
      <formula>NOT(ISBLANK($AJ$75))</formula>
    </cfRule>
  </conditionalFormatting>
  <conditionalFormatting sqref="AK75">
    <cfRule type="expression" dxfId="9509" priority="57532" stopIfTrue="1">
      <formula>NOT(ISBLANK($AK$75))</formula>
    </cfRule>
  </conditionalFormatting>
  <conditionalFormatting sqref="AL75">
    <cfRule type="expression" dxfId="9508" priority="57533" stopIfTrue="1">
      <formula>NOT(ISBLANK($AL$75))</formula>
    </cfRule>
  </conditionalFormatting>
  <conditionalFormatting sqref="AM75">
    <cfRule type="expression" dxfId="9507" priority="57534" stopIfTrue="1">
      <formula>NOT(ISBLANK($AM$75))</formula>
    </cfRule>
  </conditionalFormatting>
  <conditionalFormatting sqref="AN75">
    <cfRule type="expression" dxfId="9506" priority="57535" stopIfTrue="1">
      <formula>NOT(ISBLANK($AN$75))</formula>
    </cfRule>
  </conditionalFormatting>
  <conditionalFormatting sqref="AO75">
    <cfRule type="expression" dxfId="9505" priority="57536" stopIfTrue="1">
      <formula>NOT(ISBLANK($AO$75))</formula>
    </cfRule>
  </conditionalFormatting>
  <conditionalFormatting sqref="AP75">
    <cfRule type="expression" dxfId="9504" priority="57537" stopIfTrue="1">
      <formula>NOT(ISBLANK($AP$75))</formula>
    </cfRule>
  </conditionalFormatting>
  <conditionalFormatting sqref="AQ75">
    <cfRule type="expression" dxfId="9503" priority="57538" stopIfTrue="1">
      <formula>NOT(ISBLANK($AQ$75))</formula>
    </cfRule>
  </conditionalFormatting>
  <conditionalFormatting sqref="A76">
    <cfRule type="cellIs" dxfId="9502" priority="57539" stopIfTrue="1" operator="notEqual">
      <formula>5</formula>
    </cfRule>
  </conditionalFormatting>
  <conditionalFormatting sqref="B76">
    <cfRule type="cellIs" dxfId="9501" priority="57540" stopIfTrue="1" operator="notEqual">
      <formula>1</formula>
    </cfRule>
  </conditionalFormatting>
  <conditionalFormatting sqref="C76">
    <cfRule type="cellIs" dxfId="9500" priority="57541" stopIfTrue="1" operator="notEqual">
      <formula>4</formula>
    </cfRule>
  </conditionalFormatting>
  <conditionalFormatting sqref="D76">
    <cfRule type="cellIs" dxfId="9499" priority="57542" stopIfTrue="1" operator="notEqual">
      <formula>0.74</formula>
    </cfRule>
  </conditionalFormatting>
  <conditionalFormatting sqref="E76">
    <cfRule type="cellIs" dxfId="9498" priority="57543" stopIfTrue="1" operator="notEqual">
      <formula>"MGD"</formula>
    </cfRule>
  </conditionalFormatting>
  <conditionalFormatting sqref="F76">
    <cfRule type="cellIs" dxfId="9497" priority="57544" stopIfTrue="1" operator="notEqual">
      <formula>0.251</formula>
    </cfRule>
  </conditionalFormatting>
  <conditionalFormatting sqref="G76">
    <cfRule type="cellIs" dxfId="9496" priority="57545" stopIfTrue="1" operator="notEqual">
      <formula>"MGD"</formula>
    </cfRule>
  </conditionalFormatting>
  <conditionalFormatting sqref="H76">
    <cfRule type="cellIs" dxfId="9495" priority="57546" stopIfTrue="1" operator="notEqual">
      <formula>"regeneration off-site (non-hazardous)"</formula>
    </cfRule>
  </conditionalFormatting>
  <conditionalFormatting sqref="I76">
    <cfRule type="cellIs" dxfId="9494" priority="57547" stopIfTrue="1" operator="notEqual">
      <formula>"carbon life value- bed volumes"</formula>
    </cfRule>
  </conditionalFormatting>
  <conditionalFormatting sqref="J76">
    <cfRule type="cellIs" dxfId="9493" priority="57548" stopIfTrue="1" operator="notEqual">
      <formula>95700</formula>
    </cfRule>
  </conditionalFormatting>
  <conditionalFormatting sqref="K76">
    <cfRule type="expression" dxfId="9492" priority="57549" stopIfTrue="1">
      <formula>NOT(ISBLANK($K$76))</formula>
    </cfRule>
  </conditionalFormatting>
  <conditionalFormatting sqref="L76">
    <cfRule type="expression" dxfId="9491" priority="57550" stopIfTrue="1">
      <formula>NOT(ISBLANK($L$76))</formula>
    </cfRule>
  </conditionalFormatting>
  <conditionalFormatting sqref="M76">
    <cfRule type="expression" dxfId="9490" priority="57551" stopIfTrue="1">
      <formula>NOT(ISBLANK($M$76))</formula>
    </cfRule>
  </conditionalFormatting>
  <conditionalFormatting sqref="N76">
    <cfRule type="cellIs" dxfId="9489" priority="57552" stopIfTrue="1" operator="notEqual">
      <formula>"EBCT"</formula>
    </cfRule>
  </conditionalFormatting>
  <conditionalFormatting sqref="O76">
    <cfRule type="cellIs" dxfId="9488" priority="57553" stopIfTrue="1" operator="notEqual">
      <formula>7.5</formula>
    </cfRule>
  </conditionalFormatting>
  <conditionalFormatting sqref="P76">
    <cfRule type="expression" dxfId="9487" priority="57554" stopIfTrue="1">
      <formula>NOT(ISBLANK($P$76))</formula>
    </cfRule>
  </conditionalFormatting>
  <conditionalFormatting sqref="Q76">
    <cfRule type="expression" dxfId="9486" priority="57555" stopIfTrue="1">
      <formula>NOT(ISBLANK($Q$76))</formula>
    </cfRule>
  </conditionalFormatting>
  <conditionalFormatting sqref="R76">
    <cfRule type="cellIs" dxfId="9485" priority="57556" stopIfTrue="1" operator="notEqual">
      <formula>1</formula>
    </cfRule>
  </conditionalFormatting>
  <conditionalFormatting sqref="S76">
    <cfRule type="cellIs" dxfId="9484" priority="57557" stopIfTrue="1" operator="notEqual">
      <formula>6.7</formula>
    </cfRule>
  </conditionalFormatting>
  <conditionalFormatting sqref="T76">
    <cfRule type="cellIs" dxfId="9483" priority="57558" stopIfTrue="1" operator="notEqual">
      <formula>"upright"</formula>
    </cfRule>
  </conditionalFormatting>
  <conditionalFormatting sqref="U76">
    <cfRule type="cellIs" dxfId="9482" priority="57559" stopIfTrue="1" operator="notEqual">
      <formula>11</formula>
    </cfRule>
  </conditionalFormatting>
  <conditionalFormatting sqref="V76">
    <cfRule type="cellIs" dxfId="9481" priority="57560" stopIfTrue="1" operator="notEqual">
      <formula>7</formula>
    </cfRule>
  </conditionalFormatting>
  <conditionalFormatting sqref="W76">
    <cfRule type="expression" dxfId="9480" priority="57561" stopIfTrue="1">
      <formula>NOT(ISBLANK($W$76))</formula>
    </cfRule>
  </conditionalFormatting>
  <conditionalFormatting sqref="X76">
    <cfRule type="expression" dxfId="9479" priority="57562" stopIfTrue="1">
      <formula>NOT(ISBLANK($X$76))</formula>
    </cfRule>
  </conditionalFormatting>
  <conditionalFormatting sqref="Y76">
    <cfRule type="expression" dxfId="9478" priority="57563" stopIfTrue="1">
      <formula>NOT(ISBLANK($Y$76))</formula>
    </cfRule>
  </conditionalFormatting>
  <conditionalFormatting sqref="Z76">
    <cfRule type="cellIs" dxfId="9477" priority="57564" stopIfTrue="1" operator="notEqual">
      <formula>168</formula>
    </cfRule>
  </conditionalFormatting>
  <conditionalFormatting sqref="AA76">
    <cfRule type="cellIs" dxfId="9476" priority="57565" stopIfTrue="1" operator="notEqual">
      <formula>"POTW"</formula>
    </cfRule>
  </conditionalFormatting>
  <conditionalFormatting sqref="AB76">
    <cfRule type="cellIs" dxfId="9475" priority="57566" stopIfTrue="1" operator="notEqual">
      <formula>"Holding tank"</formula>
    </cfRule>
  </conditionalFormatting>
  <conditionalFormatting sqref="AC76">
    <cfRule type="cellIs" dxfId="9474" priority="57567" stopIfTrue="1" operator="notEqual">
      <formula>"manual transfer"</formula>
    </cfRule>
  </conditionalFormatting>
  <conditionalFormatting sqref="AD76">
    <cfRule type="cellIs" dxfId="9473" priority="57568" stopIfTrue="1" operator="notEqual">
      <formula>"non-hazardous"</formula>
    </cfRule>
  </conditionalFormatting>
  <conditionalFormatting sqref="AE76">
    <cfRule type="expression" dxfId="9472" priority="57569" stopIfTrue="1">
      <formula>NOT(ISBLANK($AE$76))</formula>
    </cfRule>
  </conditionalFormatting>
  <conditionalFormatting sqref="AF76">
    <cfRule type="cellIs" dxfId="9471" priority="57570" stopIfTrue="1" operator="notEqual">
      <formula>0</formula>
    </cfRule>
  </conditionalFormatting>
  <conditionalFormatting sqref="AG76">
    <cfRule type="expression" dxfId="9470" priority="57571" stopIfTrue="1">
      <formula>NOT(ISBLANK($AG$76))</formula>
    </cfRule>
  </conditionalFormatting>
  <conditionalFormatting sqref="AH76">
    <cfRule type="expression" dxfId="9469" priority="57572" stopIfTrue="1">
      <formula>NOT(ISBLANK($AH$76))</formula>
    </cfRule>
  </conditionalFormatting>
  <conditionalFormatting sqref="AI76">
    <cfRule type="cellIs" dxfId="9468" priority="57573" stopIfTrue="1" operator="notEqual">
      <formula>"fully automated"</formula>
    </cfRule>
  </conditionalFormatting>
  <conditionalFormatting sqref="AJ76">
    <cfRule type="expression" dxfId="9467" priority="57574" stopIfTrue="1">
      <formula>NOT(ISBLANK($AJ$76))</formula>
    </cfRule>
  </conditionalFormatting>
  <conditionalFormatting sqref="AK76">
    <cfRule type="expression" dxfId="9466" priority="57575" stopIfTrue="1">
      <formula>NOT(ISBLANK($AK$76))</formula>
    </cfRule>
  </conditionalFormatting>
  <conditionalFormatting sqref="AL76">
    <cfRule type="expression" dxfId="9465" priority="57576" stopIfTrue="1">
      <formula>NOT(ISBLANK($AL$76))</formula>
    </cfRule>
  </conditionalFormatting>
  <conditionalFormatting sqref="AM76">
    <cfRule type="expression" dxfId="9464" priority="57577" stopIfTrue="1">
      <formula>NOT(ISBLANK($AM$76))</formula>
    </cfRule>
  </conditionalFormatting>
  <conditionalFormatting sqref="AN76">
    <cfRule type="expression" dxfId="9463" priority="57578" stopIfTrue="1">
      <formula>NOT(ISBLANK($AN$76))</formula>
    </cfRule>
  </conditionalFormatting>
  <conditionalFormatting sqref="AO76">
    <cfRule type="expression" dxfId="9462" priority="57579" stopIfTrue="1">
      <formula>NOT(ISBLANK($AO$76))</formula>
    </cfRule>
  </conditionalFormatting>
  <conditionalFormatting sqref="AP76">
    <cfRule type="expression" dxfId="9461" priority="57580" stopIfTrue="1">
      <formula>NOT(ISBLANK($AP$76))</formula>
    </cfRule>
  </conditionalFormatting>
  <conditionalFormatting sqref="AQ76">
    <cfRule type="expression" dxfId="9460" priority="57581" stopIfTrue="1">
      <formula>NOT(ISBLANK($AQ$76))</formula>
    </cfRule>
  </conditionalFormatting>
  <conditionalFormatting sqref="A77">
    <cfRule type="cellIs" dxfId="9459" priority="57582" stopIfTrue="1" operator="notEqual">
      <formula>5</formula>
    </cfRule>
  </conditionalFormatting>
  <conditionalFormatting sqref="B77">
    <cfRule type="cellIs" dxfId="9458" priority="57583" stopIfTrue="1" operator="notEqual">
      <formula>1</formula>
    </cfRule>
  </conditionalFormatting>
  <conditionalFormatting sqref="C77">
    <cfRule type="cellIs" dxfId="9457" priority="57584" stopIfTrue="1" operator="notEqual">
      <formula>5</formula>
    </cfRule>
  </conditionalFormatting>
  <conditionalFormatting sqref="D77">
    <cfRule type="cellIs" dxfId="9456" priority="57585" stopIfTrue="1" operator="notEqual">
      <formula>2.152</formula>
    </cfRule>
  </conditionalFormatting>
  <conditionalFormatting sqref="E77">
    <cfRule type="cellIs" dxfId="9455" priority="57586" stopIfTrue="1" operator="notEqual">
      <formula>"MGD"</formula>
    </cfRule>
  </conditionalFormatting>
  <conditionalFormatting sqref="F77">
    <cfRule type="cellIs" dxfId="9454" priority="57587" stopIfTrue="1" operator="notEqual">
      <formula>0.819</formula>
    </cfRule>
  </conditionalFormatting>
  <conditionalFormatting sqref="G77">
    <cfRule type="cellIs" dxfId="9453" priority="57588" stopIfTrue="1" operator="notEqual">
      <formula>"MGD"</formula>
    </cfRule>
  </conditionalFormatting>
  <conditionalFormatting sqref="H77">
    <cfRule type="cellIs" dxfId="9452" priority="57589" stopIfTrue="1" operator="notEqual">
      <formula>"regeneration off-site (non-hazardous)"</formula>
    </cfRule>
  </conditionalFormatting>
  <conditionalFormatting sqref="I77">
    <cfRule type="cellIs" dxfId="9451" priority="57590" stopIfTrue="1" operator="notEqual">
      <formula>"carbon life value- bed volumes"</formula>
    </cfRule>
  </conditionalFormatting>
  <conditionalFormatting sqref="J77">
    <cfRule type="cellIs" dxfId="9450" priority="57591" stopIfTrue="1" operator="notEqual">
      <formula>95700</formula>
    </cfRule>
  </conditionalFormatting>
  <conditionalFormatting sqref="K77">
    <cfRule type="expression" dxfId="9449" priority="57592" stopIfTrue="1">
      <formula>NOT(ISBLANK($K$77))</formula>
    </cfRule>
  </conditionalFormatting>
  <conditionalFormatting sqref="L77">
    <cfRule type="expression" dxfId="9448" priority="57593" stopIfTrue="1">
      <formula>NOT(ISBLANK($L$77))</formula>
    </cfRule>
  </conditionalFormatting>
  <conditionalFormatting sqref="M77">
    <cfRule type="expression" dxfId="9447" priority="57594" stopIfTrue="1">
      <formula>NOT(ISBLANK($M$77))</formula>
    </cfRule>
  </conditionalFormatting>
  <conditionalFormatting sqref="N77">
    <cfRule type="cellIs" dxfId="9446" priority="57595" stopIfTrue="1" operator="notEqual">
      <formula>"EBCT"</formula>
    </cfRule>
  </conditionalFormatting>
  <conditionalFormatting sqref="O77">
    <cfRule type="cellIs" dxfId="9445" priority="57596" stopIfTrue="1" operator="notEqual">
      <formula>7.5</formula>
    </cfRule>
  </conditionalFormatting>
  <conditionalFormatting sqref="P77">
    <cfRule type="expression" dxfId="9444" priority="57597" stopIfTrue="1">
      <formula>NOT(ISBLANK($P$77))</formula>
    </cfRule>
  </conditionalFormatting>
  <conditionalFormatting sqref="Q77">
    <cfRule type="expression" dxfId="9443" priority="57598" stopIfTrue="1">
      <formula>NOT(ISBLANK($Q$77))</formula>
    </cfRule>
  </conditionalFormatting>
  <conditionalFormatting sqref="R77">
    <cfRule type="cellIs" dxfId="9442" priority="57599" stopIfTrue="1" operator="notEqual">
      <formula>1</formula>
    </cfRule>
  </conditionalFormatting>
  <conditionalFormatting sqref="S77">
    <cfRule type="cellIs" dxfId="9441" priority="57600" stopIfTrue="1" operator="notEqual">
      <formula>6.7</formula>
    </cfRule>
  </conditionalFormatting>
  <conditionalFormatting sqref="T77">
    <cfRule type="cellIs" dxfId="9440" priority="57601" stopIfTrue="1" operator="notEqual">
      <formula>"upright"</formula>
    </cfRule>
  </conditionalFormatting>
  <conditionalFormatting sqref="U77">
    <cfRule type="cellIs" dxfId="9439" priority="57602" stopIfTrue="1" operator="notEqual">
      <formula>11</formula>
    </cfRule>
  </conditionalFormatting>
  <conditionalFormatting sqref="V77">
    <cfRule type="cellIs" dxfId="9438" priority="57603" stopIfTrue="1" operator="notEqual">
      <formula>8.5</formula>
    </cfRule>
  </conditionalFormatting>
  <conditionalFormatting sqref="W77">
    <cfRule type="expression" dxfId="9437" priority="57604" stopIfTrue="1">
      <formula>NOT(ISBLANK($W$77))</formula>
    </cfRule>
  </conditionalFormatting>
  <conditionalFormatting sqref="X77">
    <cfRule type="expression" dxfId="9436" priority="57605" stopIfTrue="1">
      <formula>NOT(ISBLANK($X$77))</formula>
    </cfRule>
  </conditionalFormatting>
  <conditionalFormatting sqref="Y77">
    <cfRule type="expression" dxfId="9435" priority="57606" stopIfTrue="1">
      <formula>NOT(ISBLANK($Y$77))</formula>
    </cfRule>
  </conditionalFormatting>
  <conditionalFormatting sqref="Z77">
    <cfRule type="cellIs" dxfId="9434" priority="57607" stopIfTrue="1" operator="notEqual">
      <formula>168</formula>
    </cfRule>
  </conditionalFormatting>
  <conditionalFormatting sqref="AA77">
    <cfRule type="cellIs" dxfId="9433" priority="57608" stopIfTrue="1" operator="notEqual">
      <formula>"POTW"</formula>
    </cfRule>
  </conditionalFormatting>
  <conditionalFormatting sqref="AB77">
    <cfRule type="cellIs" dxfId="9432" priority="57609" stopIfTrue="1" operator="notEqual">
      <formula>"Holding tank"</formula>
    </cfRule>
  </conditionalFormatting>
  <conditionalFormatting sqref="AC77">
    <cfRule type="cellIs" dxfId="9431" priority="57610" stopIfTrue="1" operator="notEqual">
      <formula>"manual transfer"</formula>
    </cfRule>
  </conditionalFormatting>
  <conditionalFormatting sqref="AD77">
    <cfRule type="cellIs" dxfId="9430" priority="57611" stopIfTrue="1" operator="notEqual">
      <formula>"non-hazardous"</formula>
    </cfRule>
  </conditionalFormatting>
  <conditionalFormatting sqref="AE77">
    <cfRule type="expression" dxfId="9429" priority="57612" stopIfTrue="1">
      <formula>NOT(ISBLANK($AE$77))</formula>
    </cfRule>
  </conditionalFormatting>
  <conditionalFormatting sqref="AF77">
    <cfRule type="cellIs" dxfId="9428" priority="57613" stopIfTrue="1" operator="notEqual">
      <formula>0</formula>
    </cfRule>
  </conditionalFormatting>
  <conditionalFormatting sqref="AG77">
    <cfRule type="expression" dxfId="9427" priority="57614" stopIfTrue="1">
      <formula>NOT(ISBLANK($AG$77))</formula>
    </cfRule>
  </conditionalFormatting>
  <conditionalFormatting sqref="AH77">
    <cfRule type="expression" dxfId="9426" priority="57615" stopIfTrue="1">
      <formula>NOT(ISBLANK($AH$77))</formula>
    </cfRule>
  </conditionalFormatting>
  <conditionalFormatting sqref="AI77">
    <cfRule type="cellIs" dxfId="9425" priority="57616" stopIfTrue="1" operator="notEqual">
      <formula>"fully automated"</formula>
    </cfRule>
  </conditionalFormatting>
  <conditionalFormatting sqref="AJ77">
    <cfRule type="expression" dxfId="9424" priority="57617" stopIfTrue="1">
      <formula>NOT(ISBLANK($AJ$77))</formula>
    </cfRule>
  </conditionalFormatting>
  <conditionalFormatting sqref="AK77">
    <cfRule type="expression" dxfId="9423" priority="57618" stopIfTrue="1">
      <formula>NOT(ISBLANK($AK$77))</formula>
    </cfRule>
  </conditionalFormatting>
  <conditionalFormatting sqref="AL77">
    <cfRule type="expression" dxfId="9422" priority="57619" stopIfTrue="1">
      <formula>NOT(ISBLANK($AL$77))</formula>
    </cfRule>
  </conditionalFormatting>
  <conditionalFormatting sqref="AM77">
    <cfRule type="expression" dxfId="9421" priority="57620" stopIfTrue="1">
      <formula>NOT(ISBLANK($AM$77))</formula>
    </cfRule>
  </conditionalFormatting>
  <conditionalFormatting sqref="AN77">
    <cfRule type="expression" dxfId="9420" priority="57621" stopIfTrue="1">
      <formula>NOT(ISBLANK($AN$77))</formula>
    </cfRule>
  </conditionalFormatting>
  <conditionalFormatting sqref="AO77">
    <cfRule type="expression" dxfId="9419" priority="57622" stopIfTrue="1">
      <formula>NOT(ISBLANK($AO$77))</formula>
    </cfRule>
  </conditionalFormatting>
  <conditionalFormatting sqref="AP77">
    <cfRule type="expression" dxfId="9418" priority="57623" stopIfTrue="1">
      <formula>NOT(ISBLANK($AP$77))</formula>
    </cfRule>
  </conditionalFormatting>
  <conditionalFormatting sqref="AQ77">
    <cfRule type="expression" dxfId="9417" priority="57624" stopIfTrue="1">
      <formula>NOT(ISBLANK($AQ$77))</formula>
    </cfRule>
  </conditionalFormatting>
  <conditionalFormatting sqref="A78">
    <cfRule type="cellIs" dxfId="9416" priority="57625" stopIfTrue="1" operator="notEqual">
      <formula>5</formula>
    </cfRule>
  </conditionalFormatting>
  <conditionalFormatting sqref="B78">
    <cfRule type="cellIs" dxfId="9415" priority="57626" stopIfTrue="1" operator="notEqual">
      <formula>1</formula>
    </cfRule>
  </conditionalFormatting>
  <conditionalFormatting sqref="C78">
    <cfRule type="cellIs" dxfId="9414" priority="57627" stopIfTrue="1" operator="notEqual">
      <formula>6</formula>
    </cfRule>
  </conditionalFormatting>
  <conditionalFormatting sqref="D78">
    <cfRule type="cellIs" dxfId="9413" priority="57628" stopIfTrue="1" operator="notEqual">
      <formula>7.365</formula>
    </cfRule>
  </conditionalFormatting>
  <conditionalFormatting sqref="E78">
    <cfRule type="cellIs" dxfId="9412" priority="57629" stopIfTrue="1" operator="notEqual">
      <formula>"MGD"</formula>
    </cfRule>
  </conditionalFormatting>
  <conditionalFormatting sqref="F78">
    <cfRule type="cellIs" dxfId="9411" priority="57630" stopIfTrue="1" operator="notEqual">
      <formula>3.2</formula>
    </cfRule>
  </conditionalFormatting>
  <conditionalFormatting sqref="G78">
    <cfRule type="cellIs" dxfId="9410" priority="57631" stopIfTrue="1" operator="notEqual">
      <formula>"MGD"</formula>
    </cfRule>
  </conditionalFormatting>
  <conditionalFormatting sqref="H78">
    <cfRule type="cellIs" dxfId="9409" priority="57632" stopIfTrue="1" operator="notEqual">
      <formula>"regeneration off-site (non-hazardous)"</formula>
    </cfRule>
  </conditionalFormatting>
  <conditionalFormatting sqref="I78">
    <cfRule type="cellIs" dxfId="9408" priority="57633" stopIfTrue="1" operator="notEqual">
      <formula>"carbon life value- bed volumes"</formula>
    </cfRule>
  </conditionalFormatting>
  <conditionalFormatting sqref="J78">
    <cfRule type="cellIs" dxfId="9407" priority="57634" stopIfTrue="1" operator="notEqual">
      <formula>95700</formula>
    </cfRule>
  </conditionalFormatting>
  <conditionalFormatting sqref="K78">
    <cfRule type="expression" dxfId="9406" priority="57635" stopIfTrue="1">
      <formula>NOT(ISBLANK($K$78))</formula>
    </cfRule>
  </conditionalFormatting>
  <conditionalFormatting sqref="L78">
    <cfRule type="expression" dxfId="9405" priority="57636" stopIfTrue="1">
      <formula>NOT(ISBLANK($L$78))</formula>
    </cfRule>
  </conditionalFormatting>
  <conditionalFormatting sqref="M78">
    <cfRule type="expression" dxfId="9404" priority="57637" stopIfTrue="1">
      <formula>NOT(ISBLANK($M$78))</formula>
    </cfRule>
  </conditionalFormatting>
  <conditionalFormatting sqref="N78">
    <cfRule type="cellIs" dxfId="9403" priority="57638" stopIfTrue="1" operator="notEqual">
      <formula>"EBCT"</formula>
    </cfRule>
  </conditionalFormatting>
  <conditionalFormatting sqref="O78">
    <cfRule type="cellIs" dxfId="9402" priority="57639" stopIfTrue="1" operator="notEqual">
      <formula>7.5</formula>
    </cfRule>
  </conditionalFormatting>
  <conditionalFormatting sqref="P78">
    <cfRule type="expression" dxfId="9401" priority="57640" stopIfTrue="1">
      <formula>NOT(ISBLANK($P$78))</formula>
    </cfRule>
  </conditionalFormatting>
  <conditionalFormatting sqref="Q78">
    <cfRule type="expression" dxfId="9400" priority="57641" stopIfTrue="1">
      <formula>NOT(ISBLANK($Q$78))</formula>
    </cfRule>
  </conditionalFormatting>
  <conditionalFormatting sqref="R78">
    <cfRule type="cellIs" dxfId="9399" priority="57642" stopIfTrue="1" operator="notEqual">
      <formula>1</formula>
    </cfRule>
  </conditionalFormatting>
  <conditionalFormatting sqref="S78">
    <cfRule type="cellIs" dxfId="9398" priority="57643" stopIfTrue="1" operator="notEqual">
      <formula>6.8</formula>
    </cfRule>
  </conditionalFormatting>
  <conditionalFormatting sqref="T78">
    <cfRule type="cellIs" dxfId="9397" priority="57644" stopIfTrue="1" operator="notEqual">
      <formula>"upright"</formula>
    </cfRule>
  </conditionalFormatting>
  <conditionalFormatting sqref="U78">
    <cfRule type="cellIs" dxfId="9396" priority="57645" stopIfTrue="1" operator="notEqual">
      <formula>11</formula>
    </cfRule>
  </conditionalFormatting>
  <conditionalFormatting sqref="V78">
    <cfRule type="cellIs" dxfId="9395" priority="57646" stopIfTrue="1" operator="notEqual">
      <formula>11</formula>
    </cfRule>
  </conditionalFormatting>
  <conditionalFormatting sqref="W78">
    <cfRule type="expression" dxfId="9394" priority="57647" stopIfTrue="1">
      <formula>NOT(ISBLANK($W$78))</formula>
    </cfRule>
  </conditionalFormatting>
  <conditionalFormatting sqref="X78">
    <cfRule type="expression" dxfId="9393" priority="57648" stopIfTrue="1">
      <formula>NOT(ISBLANK($X$78))</formula>
    </cfRule>
  </conditionalFormatting>
  <conditionalFormatting sqref="Y78">
    <cfRule type="expression" dxfId="9392" priority="57649" stopIfTrue="1">
      <formula>NOT(ISBLANK($Y$78))</formula>
    </cfRule>
  </conditionalFormatting>
  <conditionalFormatting sqref="Z78">
    <cfRule type="cellIs" dxfId="9391" priority="57650" stopIfTrue="1" operator="notEqual">
      <formula>168</formula>
    </cfRule>
  </conditionalFormatting>
  <conditionalFormatting sqref="AA78">
    <cfRule type="cellIs" dxfId="9390" priority="57651" stopIfTrue="1" operator="notEqual">
      <formula>"POTW"</formula>
    </cfRule>
  </conditionalFormatting>
  <conditionalFormatting sqref="AB78">
    <cfRule type="cellIs" dxfId="9389" priority="57652" stopIfTrue="1" operator="notEqual">
      <formula>"Holding tank"</formula>
    </cfRule>
  </conditionalFormatting>
  <conditionalFormatting sqref="AC78">
    <cfRule type="cellIs" dxfId="9388" priority="57653" stopIfTrue="1" operator="notEqual">
      <formula>"manual transfer"</formula>
    </cfRule>
  </conditionalFormatting>
  <conditionalFormatting sqref="AD78">
    <cfRule type="cellIs" dxfId="9387" priority="57654" stopIfTrue="1" operator="notEqual">
      <formula>"non-hazardous"</formula>
    </cfRule>
  </conditionalFormatting>
  <conditionalFormatting sqref="AE78">
    <cfRule type="expression" dxfId="9386" priority="57655" stopIfTrue="1">
      <formula>NOT(ISBLANK($AE$78))</formula>
    </cfRule>
  </conditionalFormatting>
  <conditionalFormatting sqref="AF78">
    <cfRule type="cellIs" dxfId="9385" priority="57656" stopIfTrue="1" operator="notEqual">
      <formula>0</formula>
    </cfRule>
  </conditionalFormatting>
  <conditionalFormatting sqref="AG78">
    <cfRule type="expression" dxfId="9384" priority="57657" stopIfTrue="1">
      <formula>NOT(ISBLANK($AG$78))</formula>
    </cfRule>
  </conditionalFormatting>
  <conditionalFormatting sqref="AH78">
    <cfRule type="expression" dxfId="9383" priority="57658" stopIfTrue="1">
      <formula>NOT(ISBLANK($AH$78))</formula>
    </cfRule>
  </conditionalFormatting>
  <conditionalFormatting sqref="AI78">
    <cfRule type="cellIs" dxfId="9382" priority="57659" stopIfTrue="1" operator="notEqual">
      <formula>"fully automated"</formula>
    </cfRule>
  </conditionalFormatting>
  <conditionalFormatting sqref="AJ78">
    <cfRule type="expression" dxfId="9381" priority="57660" stopIfTrue="1">
      <formula>NOT(ISBLANK($AJ$78))</formula>
    </cfRule>
  </conditionalFormatting>
  <conditionalFormatting sqref="AK78">
    <cfRule type="expression" dxfId="9380" priority="57661" stopIfTrue="1">
      <formula>NOT(ISBLANK($AK$78))</formula>
    </cfRule>
  </conditionalFormatting>
  <conditionalFormatting sqref="AL78">
    <cfRule type="expression" dxfId="9379" priority="57662" stopIfTrue="1">
      <formula>NOT(ISBLANK($AL$78))</formula>
    </cfRule>
  </conditionalFormatting>
  <conditionalFormatting sqref="AM78">
    <cfRule type="expression" dxfId="9378" priority="57663" stopIfTrue="1">
      <formula>NOT(ISBLANK($AM$78))</formula>
    </cfRule>
  </conditionalFormatting>
  <conditionalFormatting sqref="AN78">
    <cfRule type="expression" dxfId="9377" priority="57664" stopIfTrue="1">
      <formula>NOT(ISBLANK($AN$78))</formula>
    </cfRule>
  </conditionalFormatting>
  <conditionalFormatting sqref="AO78">
    <cfRule type="expression" dxfId="9376" priority="57665" stopIfTrue="1">
      <formula>NOT(ISBLANK($AO$78))</formula>
    </cfRule>
  </conditionalFormatting>
  <conditionalFormatting sqref="AP78">
    <cfRule type="expression" dxfId="9375" priority="57666" stopIfTrue="1">
      <formula>NOT(ISBLANK($AP$78))</formula>
    </cfRule>
  </conditionalFormatting>
  <conditionalFormatting sqref="AQ78">
    <cfRule type="expression" dxfId="9374" priority="57667" stopIfTrue="1">
      <formula>NOT(ISBLANK($AQ$78))</formula>
    </cfRule>
  </conditionalFormatting>
  <conditionalFormatting sqref="A79">
    <cfRule type="cellIs" dxfId="9373" priority="57668" stopIfTrue="1" operator="notEqual">
      <formula>5</formula>
    </cfRule>
  </conditionalFormatting>
  <conditionalFormatting sqref="B79">
    <cfRule type="cellIs" dxfId="9372" priority="57669" stopIfTrue="1" operator="notEqual">
      <formula>1</formula>
    </cfRule>
  </conditionalFormatting>
  <conditionalFormatting sqref="C79">
    <cfRule type="cellIs" dxfId="9371" priority="57670" stopIfTrue="1" operator="notEqual">
      <formula>7</formula>
    </cfRule>
  </conditionalFormatting>
  <conditionalFormatting sqref="D79">
    <cfRule type="cellIs" dxfId="9370" priority="57671" stopIfTrue="1" operator="notEqual">
      <formula>22.614</formula>
    </cfRule>
  </conditionalFormatting>
  <conditionalFormatting sqref="E79">
    <cfRule type="cellIs" dxfId="9369" priority="57672" stopIfTrue="1" operator="notEqual">
      <formula>"MGD"</formula>
    </cfRule>
  </conditionalFormatting>
  <conditionalFormatting sqref="F79">
    <cfRule type="cellIs" dxfId="9368" priority="57673" stopIfTrue="1" operator="notEqual">
      <formula>11.066</formula>
    </cfRule>
  </conditionalFormatting>
  <conditionalFormatting sqref="G79">
    <cfRule type="cellIs" dxfId="9367" priority="57674" stopIfTrue="1" operator="notEqual">
      <formula>"MGD"</formula>
    </cfRule>
  </conditionalFormatting>
  <conditionalFormatting sqref="H79">
    <cfRule type="cellIs" dxfId="9366" priority="57675" stopIfTrue="1" operator="notEqual">
      <formula>"regeneration off-site (non-hazardous)"</formula>
    </cfRule>
  </conditionalFormatting>
  <conditionalFormatting sqref="I79">
    <cfRule type="cellIs" dxfId="9365" priority="57676" stopIfTrue="1" operator="notEqual">
      <formula>"carbon life value- bed volumes"</formula>
    </cfRule>
  </conditionalFormatting>
  <conditionalFormatting sqref="J79">
    <cfRule type="cellIs" dxfId="9364" priority="57677" stopIfTrue="1" operator="notEqual">
      <formula>95700</formula>
    </cfRule>
  </conditionalFormatting>
  <conditionalFormatting sqref="K79">
    <cfRule type="expression" dxfId="9363" priority="57678" stopIfTrue="1">
      <formula>NOT(ISBLANK($K$79))</formula>
    </cfRule>
  </conditionalFormatting>
  <conditionalFormatting sqref="L79">
    <cfRule type="expression" dxfId="9362" priority="57679" stopIfTrue="1">
      <formula>NOT(ISBLANK($L$79))</formula>
    </cfRule>
  </conditionalFormatting>
  <conditionalFormatting sqref="M79">
    <cfRule type="expression" dxfId="9361" priority="57680" stopIfTrue="1">
      <formula>NOT(ISBLANK($M$79))</formula>
    </cfRule>
  </conditionalFormatting>
  <conditionalFormatting sqref="N79">
    <cfRule type="cellIs" dxfId="9360" priority="57681" stopIfTrue="1" operator="notEqual">
      <formula>"EBCT"</formula>
    </cfRule>
  </conditionalFormatting>
  <conditionalFormatting sqref="O79">
    <cfRule type="cellIs" dxfId="9359" priority="57682" stopIfTrue="1" operator="notEqual">
      <formula>7.5</formula>
    </cfRule>
  </conditionalFormatting>
  <conditionalFormatting sqref="P79">
    <cfRule type="expression" dxfId="9358" priority="57683" stopIfTrue="1">
      <formula>NOT(ISBLANK($P$79))</formula>
    </cfRule>
  </conditionalFormatting>
  <conditionalFormatting sqref="Q79">
    <cfRule type="expression" dxfId="9357" priority="57684" stopIfTrue="1">
      <formula>NOT(ISBLANK($Q$79))</formula>
    </cfRule>
  </conditionalFormatting>
  <conditionalFormatting sqref="R79">
    <cfRule type="cellIs" dxfId="9356" priority="57685" stopIfTrue="1" operator="notEqual">
      <formula>1</formula>
    </cfRule>
  </conditionalFormatting>
  <conditionalFormatting sqref="S79">
    <cfRule type="cellIs" dxfId="9355" priority="57686" stopIfTrue="1" operator="notEqual">
      <formula>7.1</formula>
    </cfRule>
  </conditionalFormatting>
  <conditionalFormatting sqref="T79">
    <cfRule type="cellIs" dxfId="9354" priority="57687" stopIfTrue="1" operator="notEqual">
      <formula>"horizontal"</formula>
    </cfRule>
  </conditionalFormatting>
  <conditionalFormatting sqref="U79">
    <cfRule type="cellIs" dxfId="9353" priority="57688" stopIfTrue="1" operator="notEqual">
      <formula>20</formula>
    </cfRule>
  </conditionalFormatting>
  <conditionalFormatting sqref="V79">
    <cfRule type="cellIs" dxfId="9352" priority="57689" stopIfTrue="1" operator="notEqual">
      <formula>14</formula>
    </cfRule>
  </conditionalFormatting>
  <conditionalFormatting sqref="W79">
    <cfRule type="expression" dxfId="9351" priority="57690" stopIfTrue="1">
      <formula>NOT(ISBLANK($W$79))</formula>
    </cfRule>
  </conditionalFormatting>
  <conditionalFormatting sqref="X79">
    <cfRule type="expression" dxfId="9350" priority="57691" stopIfTrue="1">
      <formula>NOT(ISBLANK($X$79))</formula>
    </cfRule>
  </conditionalFormatting>
  <conditionalFormatting sqref="Y79">
    <cfRule type="expression" dxfId="9349" priority="57692" stopIfTrue="1">
      <formula>NOT(ISBLANK($Y$79))</formula>
    </cfRule>
  </conditionalFormatting>
  <conditionalFormatting sqref="Z79">
    <cfRule type="cellIs" dxfId="9348" priority="57693" stopIfTrue="1" operator="notEqual">
      <formula>168</formula>
    </cfRule>
  </conditionalFormatting>
  <conditionalFormatting sqref="AA79">
    <cfRule type="cellIs" dxfId="9347" priority="57694" stopIfTrue="1" operator="notEqual">
      <formula>"POTW"</formula>
    </cfRule>
  </conditionalFormatting>
  <conditionalFormatting sqref="AB79">
    <cfRule type="cellIs" dxfId="9346" priority="57695" stopIfTrue="1" operator="notEqual">
      <formula>"Holding tank"</formula>
    </cfRule>
  </conditionalFormatting>
  <conditionalFormatting sqref="AC79">
    <cfRule type="cellIs" dxfId="9345" priority="57696" stopIfTrue="1" operator="notEqual">
      <formula>"eductors"</formula>
    </cfRule>
  </conditionalFormatting>
  <conditionalFormatting sqref="AD79">
    <cfRule type="cellIs" dxfId="9344" priority="57697" stopIfTrue="1" operator="notEqual">
      <formula>"non-hazardous"</formula>
    </cfRule>
  </conditionalFormatting>
  <conditionalFormatting sqref="AE79">
    <cfRule type="expression" dxfId="9343" priority="57698" stopIfTrue="1">
      <formula>NOT(ISBLANK($AE$79))</formula>
    </cfRule>
  </conditionalFormatting>
  <conditionalFormatting sqref="AF79">
    <cfRule type="cellIs" dxfId="9342" priority="57699" stopIfTrue="1" operator="notEqual">
      <formula>0</formula>
    </cfRule>
  </conditionalFormatting>
  <conditionalFormatting sqref="AG79">
    <cfRule type="expression" dxfId="9341" priority="57700" stopIfTrue="1">
      <formula>NOT(ISBLANK($AG$79))</formula>
    </cfRule>
  </conditionalFormatting>
  <conditionalFormatting sqref="AH79">
    <cfRule type="expression" dxfId="9340" priority="57701" stopIfTrue="1">
      <formula>NOT(ISBLANK($AH$79))</formula>
    </cfRule>
  </conditionalFormatting>
  <conditionalFormatting sqref="AI79">
    <cfRule type="cellIs" dxfId="9339" priority="57702" stopIfTrue="1" operator="notEqual">
      <formula>"fully automated"</formula>
    </cfRule>
  </conditionalFormatting>
  <conditionalFormatting sqref="AJ79">
    <cfRule type="expression" dxfId="9338" priority="57703" stopIfTrue="1">
      <formula>NOT(ISBLANK($AJ$79))</formula>
    </cfRule>
  </conditionalFormatting>
  <conditionalFormatting sqref="AK79">
    <cfRule type="expression" dxfId="9337" priority="57704" stopIfTrue="1">
      <formula>NOT(ISBLANK($AK$79))</formula>
    </cfRule>
  </conditionalFormatting>
  <conditionalFormatting sqref="AL79">
    <cfRule type="expression" dxfId="9336" priority="57705" stopIfTrue="1">
      <formula>NOT(ISBLANK($AL$79))</formula>
    </cfRule>
  </conditionalFormatting>
  <conditionalFormatting sqref="AM79">
    <cfRule type="expression" dxfId="9335" priority="57706" stopIfTrue="1">
      <formula>NOT(ISBLANK($AM$79))</formula>
    </cfRule>
  </conditionalFormatting>
  <conditionalFormatting sqref="AN79">
    <cfRule type="expression" dxfId="9334" priority="57707" stopIfTrue="1">
      <formula>NOT(ISBLANK($AN$79))</formula>
    </cfRule>
  </conditionalFormatting>
  <conditionalFormatting sqref="AO79">
    <cfRule type="expression" dxfId="9333" priority="57708" stopIfTrue="1">
      <formula>NOT(ISBLANK($AO$79))</formula>
    </cfRule>
  </conditionalFormatting>
  <conditionalFormatting sqref="AP79">
    <cfRule type="expression" dxfId="9332" priority="57709" stopIfTrue="1">
      <formula>NOT(ISBLANK($AP$79))</formula>
    </cfRule>
  </conditionalFormatting>
  <conditionalFormatting sqref="AQ79">
    <cfRule type="expression" dxfId="9331" priority="57710" stopIfTrue="1">
      <formula>NOT(ISBLANK($AQ$79))</formula>
    </cfRule>
  </conditionalFormatting>
  <conditionalFormatting sqref="A80">
    <cfRule type="cellIs" dxfId="9330" priority="57711" stopIfTrue="1" operator="notEqual">
      <formula>5</formula>
    </cfRule>
  </conditionalFormatting>
  <conditionalFormatting sqref="B80">
    <cfRule type="cellIs" dxfId="9329" priority="57712" stopIfTrue="1" operator="notEqual">
      <formula>1</formula>
    </cfRule>
  </conditionalFormatting>
  <conditionalFormatting sqref="C80">
    <cfRule type="cellIs" dxfId="9328" priority="57713" stopIfTrue="1" operator="notEqual">
      <formula>8</formula>
    </cfRule>
  </conditionalFormatting>
  <conditionalFormatting sqref="D80">
    <cfRule type="cellIs" dxfId="9327" priority="57714" stopIfTrue="1" operator="notEqual">
      <formula>75.072</formula>
    </cfRule>
  </conditionalFormatting>
  <conditionalFormatting sqref="E80">
    <cfRule type="cellIs" dxfId="9326" priority="57715" stopIfTrue="1" operator="notEqual">
      <formula>"MGD"</formula>
    </cfRule>
  </conditionalFormatting>
  <conditionalFormatting sqref="F80">
    <cfRule type="cellIs" dxfId="9325" priority="57716" stopIfTrue="1" operator="notEqual">
      <formula>37.536</formula>
    </cfRule>
  </conditionalFormatting>
  <conditionalFormatting sqref="G80">
    <cfRule type="cellIs" dxfId="9324" priority="57717" stopIfTrue="1" operator="notEqual">
      <formula>"MGD"</formula>
    </cfRule>
  </conditionalFormatting>
  <conditionalFormatting sqref="H80">
    <cfRule type="cellIs" dxfId="9323" priority="57718" stopIfTrue="1" operator="notEqual">
      <formula>"regeneration off-site (non-hazardous)"</formula>
    </cfRule>
  </conditionalFormatting>
  <conditionalFormatting sqref="I80">
    <cfRule type="cellIs" dxfId="9322" priority="57719" stopIfTrue="1" operator="notEqual">
      <formula>"carbon life value- bed volumes"</formula>
    </cfRule>
  </conditionalFormatting>
  <conditionalFormatting sqref="J80">
    <cfRule type="cellIs" dxfId="9321" priority="57720" stopIfTrue="1" operator="notEqual">
      <formula>95700</formula>
    </cfRule>
  </conditionalFormatting>
  <conditionalFormatting sqref="K80">
    <cfRule type="expression" dxfId="9320" priority="57721" stopIfTrue="1">
      <formula>NOT(ISBLANK($K$80))</formula>
    </cfRule>
  </conditionalFormatting>
  <conditionalFormatting sqref="L80">
    <cfRule type="expression" dxfId="9319" priority="57722" stopIfTrue="1">
      <formula>NOT(ISBLANK($L$80))</formula>
    </cfRule>
  </conditionalFormatting>
  <conditionalFormatting sqref="M80">
    <cfRule type="expression" dxfId="9318" priority="57723" stopIfTrue="1">
      <formula>NOT(ISBLANK($M$80))</formula>
    </cfRule>
  </conditionalFormatting>
  <conditionalFormatting sqref="N80">
    <cfRule type="cellIs" dxfId="9317" priority="57724" stopIfTrue="1" operator="notEqual">
      <formula>"EBCT"</formula>
    </cfRule>
  </conditionalFormatting>
  <conditionalFormatting sqref="O80">
    <cfRule type="cellIs" dxfId="9316" priority="57725" stopIfTrue="1" operator="notEqual">
      <formula>7.5</formula>
    </cfRule>
  </conditionalFormatting>
  <conditionalFormatting sqref="P80">
    <cfRule type="expression" dxfId="9315" priority="57726" stopIfTrue="1">
      <formula>NOT(ISBLANK($P$80))</formula>
    </cfRule>
  </conditionalFormatting>
  <conditionalFormatting sqref="Q80">
    <cfRule type="expression" dxfId="9314" priority="57727" stopIfTrue="1">
      <formula>NOT(ISBLANK($Q$80))</formula>
    </cfRule>
  </conditionalFormatting>
  <conditionalFormatting sqref="R80">
    <cfRule type="cellIs" dxfId="9313" priority="57728" stopIfTrue="1" operator="notEqual">
      <formula>1</formula>
    </cfRule>
  </conditionalFormatting>
  <conditionalFormatting sqref="S80">
    <cfRule type="cellIs" dxfId="9312" priority="57729" stopIfTrue="1" operator="notEqual">
      <formula>7.2</formula>
    </cfRule>
  </conditionalFormatting>
  <conditionalFormatting sqref="T80">
    <cfRule type="cellIs" dxfId="9311" priority="57730" stopIfTrue="1" operator="notEqual">
      <formula>"horizontal"</formula>
    </cfRule>
  </conditionalFormatting>
  <conditionalFormatting sqref="U80">
    <cfRule type="cellIs" dxfId="9310" priority="57731" stopIfTrue="1" operator="notEqual">
      <formula>20</formula>
    </cfRule>
  </conditionalFormatting>
  <conditionalFormatting sqref="V80">
    <cfRule type="cellIs" dxfId="9309" priority="57732" stopIfTrue="1" operator="notEqual">
      <formula>14</formula>
    </cfRule>
  </conditionalFormatting>
  <conditionalFormatting sqref="W80">
    <cfRule type="expression" dxfId="9308" priority="57733" stopIfTrue="1">
      <formula>NOT(ISBLANK($W$80))</formula>
    </cfRule>
  </conditionalFormatting>
  <conditionalFormatting sqref="X80">
    <cfRule type="expression" dxfId="9307" priority="57734" stopIfTrue="1">
      <formula>NOT(ISBLANK($X$80))</formula>
    </cfRule>
  </conditionalFormatting>
  <conditionalFormatting sqref="Y80">
    <cfRule type="expression" dxfId="9306" priority="57735" stopIfTrue="1">
      <formula>NOT(ISBLANK($Y$80))</formula>
    </cfRule>
  </conditionalFormatting>
  <conditionalFormatting sqref="Z80">
    <cfRule type="cellIs" dxfId="9305" priority="57736" stopIfTrue="1" operator="notEqual">
      <formula>168</formula>
    </cfRule>
  </conditionalFormatting>
  <conditionalFormatting sqref="AA80">
    <cfRule type="cellIs" dxfId="9304" priority="57737" stopIfTrue="1" operator="notEqual">
      <formula>"POTW"</formula>
    </cfRule>
  </conditionalFormatting>
  <conditionalFormatting sqref="AB80">
    <cfRule type="cellIs" dxfId="9303" priority="57738" stopIfTrue="1" operator="notEqual">
      <formula>"Holding tank"</formula>
    </cfRule>
  </conditionalFormatting>
  <conditionalFormatting sqref="AC80">
    <cfRule type="cellIs" dxfId="9302" priority="57739" stopIfTrue="1" operator="notEqual">
      <formula>"eductors"</formula>
    </cfRule>
  </conditionalFormatting>
  <conditionalFormatting sqref="AD80">
    <cfRule type="cellIs" dxfId="9301" priority="57740" stopIfTrue="1" operator="notEqual">
      <formula>"non-hazardous"</formula>
    </cfRule>
  </conditionalFormatting>
  <conditionalFormatting sqref="AE80">
    <cfRule type="expression" dxfId="9300" priority="57741" stopIfTrue="1">
      <formula>NOT(ISBLANK($AE$80))</formula>
    </cfRule>
  </conditionalFormatting>
  <conditionalFormatting sqref="AF80">
    <cfRule type="cellIs" dxfId="9299" priority="57742" stopIfTrue="1" operator="notEqual">
      <formula>0</formula>
    </cfRule>
  </conditionalFormatting>
  <conditionalFormatting sqref="AG80">
    <cfRule type="expression" dxfId="9298" priority="57743" stopIfTrue="1">
      <formula>NOT(ISBLANK($AG$80))</formula>
    </cfRule>
  </conditionalFormatting>
  <conditionalFormatting sqref="AH80">
    <cfRule type="expression" dxfId="9297" priority="57744" stopIfTrue="1">
      <formula>NOT(ISBLANK($AH$80))</formula>
    </cfRule>
  </conditionalFormatting>
  <conditionalFormatting sqref="AI80">
    <cfRule type="cellIs" dxfId="9296" priority="57745" stopIfTrue="1" operator="notEqual">
      <formula>"fully automated"</formula>
    </cfRule>
  </conditionalFormatting>
  <conditionalFormatting sqref="AJ80">
    <cfRule type="expression" dxfId="9295" priority="57746" stopIfTrue="1">
      <formula>NOT(ISBLANK($AJ$80))</formula>
    </cfRule>
  </conditionalFormatting>
  <conditionalFormatting sqref="AK80">
    <cfRule type="expression" dxfId="9294" priority="57747" stopIfTrue="1">
      <formula>NOT(ISBLANK($AK$80))</formula>
    </cfRule>
  </conditionalFormatting>
  <conditionalFormatting sqref="AL80">
    <cfRule type="expression" dxfId="9293" priority="57748" stopIfTrue="1">
      <formula>NOT(ISBLANK($AL$80))</formula>
    </cfRule>
  </conditionalFormatting>
  <conditionalFormatting sqref="AM80">
    <cfRule type="expression" dxfId="9292" priority="57749" stopIfTrue="1">
      <formula>NOT(ISBLANK($AM$80))</formula>
    </cfRule>
  </conditionalFormatting>
  <conditionalFormatting sqref="AN80">
    <cfRule type="expression" dxfId="9291" priority="57750" stopIfTrue="1">
      <formula>NOT(ISBLANK($AN$80))</formula>
    </cfRule>
  </conditionalFormatting>
  <conditionalFormatting sqref="AO80">
    <cfRule type="expression" dxfId="9290" priority="57751" stopIfTrue="1">
      <formula>NOT(ISBLANK($AO$80))</formula>
    </cfRule>
  </conditionalFormatting>
  <conditionalFormatting sqref="AP80">
    <cfRule type="expression" dxfId="9289" priority="57752" stopIfTrue="1">
      <formula>NOT(ISBLANK($AP$80))</formula>
    </cfRule>
  </conditionalFormatting>
  <conditionalFormatting sqref="AQ80">
    <cfRule type="expression" dxfId="9288" priority="57753" stopIfTrue="1">
      <formula>NOT(ISBLANK($AQ$80))</formula>
    </cfRule>
  </conditionalFormatting>
  <conditionalFormatting sqref="A81">
    <cfRule type="cellIs" dxfId="9287" priority="57754" stopIfTrue="1" operator="notEqual">
      <formula>5</formula>
    </cfRule>
  </conditionalFormatting>
  <conditionalFormatting sqref="B81">
    <cfRule type="cellIs" dxfId="9286" priority="57755" stopIfTrue="1" operator="notEqual">
      <formula>2</formula>
    </cfRule>
  </conditionalFormatting>
  <conditionalFormatting sqref="C81">
    <cfRule type="cellIs" dxfId="9285" priority="57756" stopIfTrue="1" operator="notEqual">
      <formula>1</formula>
    </cfRule>
  </conditionalFormatting>
  <conditionalFormatting sqref="D81">
    <cfRule type="cellIs" dxfId="9284" priority="57757" stopIfTrue="1" operator="notEqual">
      <formula>0.03</formula>
    </cfRule>
  </conditionalFormatting>
  <conditionalFormatting sqref="E81">
    <cfRule type="cellIs" dxfId="9283" priority="57758" stopIfTrue="1" operator="notEqual">
      <formula>"MGD"</formula>
    </cfRule>
  </conditionalFormatting>
  <conditionalFormatting sqref="F81">
    <cfRule type="cellIs" dxfId="9282" priority="57759" stopIfTrue="1" operator="notEqual">
      <formula>0.007</formula>
    </cfRule>
  </conditionalFormatting>
  <conditionalFormatting sqref="G81">
    <cfRule type="cellIs" dxfId="9281" priority="57760" stopIfTrue="1" operator="notEqual">
      <formula>"MGD"</formula>
    </cfRule>
  </conditionalFormatting>
  <conditionalFormatting sqref="H81">
    <cfRule type="cellIs" dxfId="9280" priority="57761" stopIfTrue="1" operator="notEqual">
      <formula>"regeneration off-site (non-hazardous)"</formula>
    </cfRule>
  </conditionalFormatting>
  <conditionalFormatting sqref="I81">
    <cfRule type="cellIs" dxfId="9279" priority="57762" stopIfTrue="1" operator="notEqual">
      <formula>"carbon life value- bed volumes"</formula>
    </cfRule>
  </conditionalFormatting>
  <conditionalFormatting sqref="J81">
    <cfRule type="cellIs" dxfId="9278" priority="57763" stopIfTrue="1" operator="notEqual">
      <formula>95700</formula>
    </cfRule>
  </conditionalFormatting>
  <conditionalFormatting sqref="K81">
    <cfRule type="expression" dxfId="9277" priority="57764" stopIfTrue="1">
      <formula>NOT(ISBLANK($K$81))</formula>
    </cfRule>
  </conditionalFormatting>
  <conditionalFormatting sqref="L81">
    <cfRule type="expression" dxfId="9276" priority="57765" stopIfTrue="1">
      <formula>NOT(ISBLANK($L$81))</formula>
    </cfRule>
  </conditionalFormatting>
  <conditionalFormatting sqref="M81">
    <cfRule type="expression" dxfId="9275" priority="57766" stopIfTrue="1">
      <formula>NOT(ISBLANK($M$81))</formula>
    </cfRule>
  </conditionalFormatting>
  <conditionalFormatting sqref="N81">
    <cfRule type="cellIs" dxfId="9274" priority="57767" stopIfTrue="1" operator="notEqual">
      <formula>"EBCT"</formula>
    </cfRule>
  </conditionalFormatting>
  <conditionalFormatting sqref="O81">
    <cfRule type="cellIs" dxfId="9273" priority="57768" stopIfTrue="1" operator="notEqual">
      <formula>7.5</formula>
    </cfRule>
  </conditionalFormatting>
  <conditionalFormatting sqref="P81">
    <cfRule type="expression" dxfId="9272" priority="57769" stopIfTrue="1">
      <formula>NOT(ISBLANK($P$81))</formula>
    </cfRule>
  </conditionalFormatting>
  <conditionalFormatting sqref="Q81">
    <cfRule type="expression" dxfId="9271" priority="57770" stopIfTrue="1">
      <formula>NOT(ISBLANK($Q$81))</formula>
    </cfRule>
  </conditionalFormatting>
  <conditionalFormatting sqref="R81">
    <cfRule type="expression" dxfId="9270" priority="57771" stopIfTrue="1">
      <formula>NOT(ISBLANK($R$81))</formula>
    </cfRule>
  </conditionalFormatting>
  <conditionalFormatting sqref="S81">
    <cfRule type="expression" dxfId="9269" priority="57772" stopIfTrue="1">
      <formula>NOT(ISBLANK($S$81))</formula>
    </cfRule>
  </conditionalFormatting>
  <conditionalFormatting sqref="T81">
    <cfRule type="expression" dxfId="9268" priority="57773" stopIfTrue="1">
      <formula>NOT(ISBLANK($T$81))</formula>
    </cfRule>
  </conditionalFormatting>
  <conditionalFormatting sqref="U81">
    <cfRule type="expression" dxfId="9267" priority="57774" stopIfTrue="1">
      <formula>NOT(ISBLANK($U$81))</formula>
    </cfRule>
  </conditionalFormatting>
  <conditionalFormatting sqref="V81">
    <cfRule type="expression" dxfId="9266" priority="57775" stopIfTrue="1">
      <formula>NOT(ISBLANK($V$81))</formula>
    </cfRule>
  </conditionalFormatting>
  <conditionalFormatting sqref="W81">
    <cfRule type="cellIs" dxfId="9265" priority="57776" stopIfTrue="1" operator="notEqual">
      <formula>6</formula>
    </cfRule>
  </conditionalFormatting>
  <conditionalFormatting sqref="X81">
    <cfRule type="cellIs" dxfId="9264" priority="57777" stopIfTrue="1" operator="notEqual">
      <formula>6</formula>
    </cfRule>
  </conditionalFormatting>
  <conditionalFormatting sqref="Y81">
    <cfRule type="cellIs" dxfId="9263" priority="57778" stopIfTrue="1" operator="notEqual">
      <formula>3</formula>
    </cfRule>
  </conditionalFormatting>
  <conditionalFormatting sqref="Z81">
    <cfRule type="cellIs" dxfId="9262" priority="57779" stopIfTrue="1" operator="notEqual">
      <formula>168</formula>
    </cfRule>
  </conditionalFormatting>
  <conditionalFormatting sqref="AA81">
    <cfRule type="cellIs" dxfId="9261" priority="57780" stopIfTrue="1" operator="notEqual">
      <formula>"POTW"</formula>
    </cfRule>
  </conditionalFormatting>
  <conditionalFormatting sqref="AB81">
    <cfRule type="cellIs" dxfId="9260" priority="57781" stopIfTrue="1" operator="notEqual">
      <formula>"holding tank"</formula>
    </cfRule>
  </conditionalFormatting>
  <conditionalFormatting sqref="AC81">
    <cfRule type="cellIs" dxfId="9259" priority="57782" stopIfTrue="1" operator="notEqual">
      <formula>"manual transfer"</formula>
    </cfRule>
  </conditionalFormatting>
  <conditionalFormatting sqref="AD81">
    <cfRule type="cellIs" dxfId="9258" priority="57783" stopIfTrue="1" operator="notEqual">
      <formula>"non-hazardous"</formula>
    </cfRule>
  </conditionalFormatting>
  <conditionalFormatting sqref="AE81">
    <cfRule type="expression" dxfId="9257" priority="57784" stopIfTrue="1">
      <formula>NOT(ISBLANK($AE$81))</formula>
    </cfRule>
  </conditionalFormatting>
  <conditionalFormatting sqref="AF81">
    <cfRule type="expression" dxfId="9256" priority="57785" stopIfTrue="1">
      <formula>NOT(ISBLANK($AF$81))</formula>
    </cfRule>
  </conditionalFormatting>
  <conditionalFormatting sqref="AG81">
    <cfRule type="expression" dxfId="9255" priority="57786" stopIfTrue="1">
      <formula>NOT(ISBLANK($AG$81))</formula>
    </cfRule>
  </conditionalFormatting>
  <conditionalFormatting sqref="AH81">
    <cfRule type="expression" dxfId="9254" priority="57787" stopIfTrue="1">
      <formula>NOT(ISBLANK($AH$81))</formula>
    </cfRule>
  </conditionalFormatting>
  <conditionalFormatting sqref="AI81">
    <cfRule type="cellIs" dxfId="9253" priority="57788" stopIfTrue="1" operator="notEqual">
      <formula>"fully automated"</formula>
    </cfRule>
  </conditionalFormatting>
  <conditionalFormatting sqref="AJ81">
    <cfRule type="expression" dxfId="9252" priority="57789" stopIfTrue="1">
      <formula>NOT(ISBLANK($AJ$81))</formula>
    </cfRule>
  </conditionalFormatting>
  <conditionalFormatting sqref="AK81">
    <cfRule type="expression" dxfId="9251" priority="57790" stopIfTrue="1">
      <formula>NOT(ISBLANK($AK$81))</formula>
    </cfRule>
  </conditionalFormatting>
  <conditionalFormatting sqref="AL81">
    <cfRule type="expression" dxfId="9250" priority="57791" stopIfTrue="1">
      <formula>NOT(ISBLANK($AL$81))</formula>
    </cfRule>
  </conditionalFormatting>
  <conditionalFormatting sqref="AM81">
    <cfRule type="expression" dxfId="9249" priority="57792" stopIfTrue="1">
      <formula>NOT(ISBLANK($AM$81))</formula>
    </cfRule>
  </conditionalFormatting>
  <conditionalFormatting sqref="AN81">
    <cfRule type="expression" dxfId="9248" priority="57793" stopIfTrue="1">
      <formula>NOT(ISBLANK($AN$81))</formula>
    </cfRule>
  </conditionalFormatting>
  <conditionalFormatting sqref="AO81">
    <cfRule type="expression" dxfId="9247" priority="57794" stopIfTrue="1">
      <formula>NOT(ISBLANK($AO$81))</formula>
    </cfRule>
  </conditionalFormatting>
  <conditionalFormatting sqref="AP81">
    <cfRule type="expression" dxfId="9246" priority="57795" stopIfTrue="1">
      <formula>NOT(ISBLANK($AP$81))</formula>
    </cfRule>
  </conditionalFormatting>
  <conditionalFormatting sqref="AQ81">
    <cfRule type="expression" dxfId="9245" priority="57796" stopIfTrue="1">
      <formula>NOT(ISBLANK($AQ$81))</formula>
    </cfRule>
  </conditionalFormatting>
  <conditionalFormatting sqref="A82">
    <cfRule type="cellIs" dxfId="9244" priority="57797" stopIfTrue="1" operator="notEqual">
      <formula>5</formula>
    </cfRule>
  </conditionalFormatting>
  <conditionalFormatting sqref="B82">
    <cfRule type="cellIs" dxfId="9243" priority="57798" stopIfTrue="1" operator="notEqual">
      <formula>2</formula>
    </cfRule>
  </conditionalFormatting>
  <conditionalFormatting sqref="C82">
    <cfRule type="cellIs" dxfId="9242" priority="57799" stopIfTrue="1" operator="notEqual">
      <formula>2</formula>
    </cfRule>
  </conditionalFormatting>
  <conditionalFormatting sqref="D82">
    <cfRule type="cellIs" dxfId="9241" priority="57800" stopIfTrue="1" operator="notEqual">
      <formula>0.124</formula>
    </cfRule>
  </conditionalFormatting>
  <conditionalFormatting sqref="E82">
    <cfRule type="cellIs" dxfId="9240" priority="57801" stopIfTrue="1" operator="notEqual">
      <formula>"MGD"</formula>
    </cfRule>
  </conditionalFormatting>
  <conditionalFormatting sqref="F82">
    <cfRule type="cellIs" dxfId="9239" priority="57802" stopIfTrue="1" operator="notEqual">
      <formula>0.035</formula>
    </cfRule>
  </conditionalFormatting>
  <conditionalFormatting sqref="G82">
    <cfRule type="cellIs" dxfId="9238" priority="57803" stopIfTrue="1" operator="notEqual">
      <formula>"MGD"</formula>
    </cfRule>
  </conditionalFormatting>
  <conditionalFormatting sqref="H82">
    <cfRule type="cellIs" dxfId="9237" priority="57804" stopIfTrue="1" operator="notEqual">
      <formula>"regeneration off-site (non-hazardous)"</formula>
    </cfRule>
  </conditionalFormatting>
  <conditionalFormatting sqref="I82">
    <cfRule type="cellIs" dxfId="9236" priority="57805" stopIfTrue="1" operator="notEqual">
      <formula>"carbon life value- bed volumes"</formula>
    </cfRule>
  </conditionalFormatting>
  <conditionalFormatting sqref="J82">
    <cfRule type="cellIs" dxfId="9235" priority="57806" stopIfTrue="1" operator="notEqual">
      <formula>95700</formula>
    </cfRule>
  </conditionalFormatting>
  <conditionalFormatting sqref="K82">
    <cfRule type="expression" dxfId="9234" priority="57807" stopIfTrue="1">
      <formula>NOT(ISBLANK($K$82))</formula>
    </cfRule>
  </conditionalFormatting>
  <conditionalFormatting sqref="L82">
    <cfRule type="expression" dxfId="9233" priority="57808" stopIfTrue="1">
      <formula>NOT(ISBLANK($L$82))</formula>
    </cfRule>
  </conditionalFormatting>
  <conditionalFormatting sqref="M82">
    <cfRule type="expression" dxfId="9232" priority="57809" stopIfTrue="1">
      <formula>NOT(ISBLANK($M$82))</formula>
    </cfRule>
  </conditionalFormatting>
  <conditionalFormatting sqref="N82">
    <cfRule type="cellIs" dxfId="9231" priority="57810" stopIfTrue="1" operator="notEqual">
      <formula>"EBCT"</formula>
    </cfRule>
  </conditionalFormatting>
  <conditionalFormatting sqref="O82">
    <cfRule type="cellIs" dxfId="9230" priority="57811" stopIfTrue="1" operator="notEqual">
      <formula>7.5</formula>
    </cfRule>
  </conditionalFormatting>
  <conditionalFormatting sqref="P82">
    <cfRule type="expression" dxfId="9229" priority="57812" stopIfTrue="1">
      <formula>NOT(ISBLANK($P$82))</formula>
    </cfRule>
  </conditionalFormatting>
  <conditionalFormatting sqref="Q82">
    <cfRule type="expression" dxfId="9228" priority="57813" stopIfTrue="1">
      <formula>NOT(ISBLANK($Q$82))</formula>
    </cfRule>
  </conditionalFormatting>
  <conditionalFormatting sqref="R82">
    <cfRule type="expression" dxfId="9227" priority="57814" stopIfTrue="1">
      <formula>NOT(ISBLANK($R$82))</formula>
    </cfRule>
  </conditionalFormatting>
  <conditionalFormatting sqref="S82">
    <cfRule type="expression" dxfId="9226" priority="57815" stopIfTrue="1">
      <formula>NOT(ISBLANK($S$82))</formula>
    </cfRule>
  </conditionalFormatting>
  <conditionalFormatting sqref="T82">
    <cfRule type="expression" dxfId="9225" priority="57816" stopIfTrue="1">
      <formula>NOT(ISBLANK($T$82))</formula>
    </cfRule>
  </conditionalFormatting>
  <conditionalFormatting sqref="U82">
    <cfRule type="expression" dxfId="9224" priority="57817" stopIfTrue="1">
      <formula>NOT(ISBLANK($U$82))</formula>
    </cfRule>
  </conditionalFormatting>
  <conditionalFormatting sqref="V82">
    <cfRule type="expression" dxfId="9223" priority="57818" stopIfTrue="1">
      <formula>NOT(ISBLANK($V$82))</formula>
    </cfRule>
  </conditionalFormatting>
  <conditionalFormatting sqref="W82">
    <cfRule type="cellIs" dxfId="9222" priority="57819" stopIfTrue="1" operator="notEqual">
      <formula>6</formula>
    </cfRule>
  </conditionalFormatting>
  <conditionalFormatting sqref="X82">
    <cfRule type="cellIs" dxfId="9221" priority="57820" stopIfTrue="1" operator="notEqual">
      <formula>6</formula>
    </cfRule>
  </conditionalFormatting>
  <conditionalFormatting sqref="Y82">
    <cfRule type="cellIs" dxfId="9220" priority="57821" stopIfTrue="1" operator="notEqual">
      <formula>3</formula>
    </cfRule>
  </conditionalFormatting>
  <conditionalFormatting sqref="Z82">
    <cfRule type="cellIs" dxfId="9219" priority="57822" stopIfTrue="1" operator="notEqual">
      <formula>168</formula>
    </cfRule>
  </conditionalFormatting>
  <conditionalFormatting sqref="AA82">
    <cfRule type="cellIs" dxfId="9218" priority="57823" stopIfTrue="1" operator="notEqual">
      <formula>"POTW"</formula>
    </cfRule>
  </conditionalFormatting>
  <conditionalFormatting sqref="AB82">
    <cfRule type="cellIs" dxfId="9217" priority="57824" stopIfTrue="1" operator="notEqual">
      <formula>"holding tank"</formula>
    </cfRule>
  </conditionalFormatting>
  <conditionalFormatting sqref="AC82">
    <cfRule type="cellIs" dxfId="9216" priority="57825" stopIfTrue="1" operator="notEqual">
      <formula>"manual transfer"</formula>
    </cfRule>
  </conditionalFormatting>
  <conditionalFormatting sqref="AD82">
    <cfRule type="cellIs" dxfId="9215" priority="57826" stopIfTrue="1" operator="notEqual">
      <formula>"non-hazardous"</formula>
    </cfRule>
  </conditionalFormatting>
  <conditionalFormatting sqref="AE82">
    <cfRule type="expression" dxfId="9214" priority="57827" stopIfTrue="1">
      <formula>NOT(ISBLANK($AE$82))</formula>
    </cfRule>
  </conditionalFormatting>
  <conditionalFormatting sqref="AF82">
    <cfRule type="expression" dxfId="9213" priority="57828" stopIfTrue="1">
      <formula>NOT(ISBLANK($AF$82))</formula>
    </cfRule>
  </conditionalFormatting>
  <conditionalFormatting sqref="AG82">
    <cfRule type="expression" dxfId="9212" priority="57829" stopIfTrue="1">
      <formula>NOT(ISBLANK($AG$82))</formula>
    </cfRule>
  </conditionalFormatting>
  <conditionalFormatting sqref="AH82">
    <cfRule type="expression" dxfId="9211" priority="57830" stopIfTrue="1">
      <formula>NOT(ISBLANK($AH$82))</formula>
    </cfRule>
  </conditionalFormatting>
  <conditionalFormatting sqref="AI82">
    <cfRule type="cellIs" dxfId="9210" priority="57831" stopIfTrue="1" operator="notEqual">
      <formula>"fully automated"</formula>
    </cfRule>
  </conditionalFormatting>
  <conditionalFormatting sqref="AJ82">
    <cfRule type="expression" dxfId="9209" priority="57832" stopIfTrue="1">
      <formula>NOT(ISBLANK($AJ$82))</formula>
    </cfRule>
  </conditionalFormatting>
  <conditionalFormatting sqref="AK82">
    <cfRule type="expression" dxfId="9208" priority="57833" stopIfTrue="1">
      <formula>NOT(ISBLANK($AK$82))</formula>
    </cfRule>
  </conditionalFormatting>
  <conditionalFormatting sqref="AL82">
    <cfRule type="expression" dxfId="9207" priority="57834" stopIfTrue="1">
      <formula>NOT(ISBLANK($AL$82))</formula>
    </cfRule>
  </conditionalFormatting>
  <conditionalFormatting sqref="AM82">
    <cfRule type="expression" dxfId="9206" priority="57835" stopIfTrue="1">
      <formula>NOT(ISBLANK($AM$82))</formula>
    </cfRule>
  </conditionalFormatting>
  <conditionalFormatting sqref="AN82">
    <cfRule type="expression" dxfId="9205" priority="57836" stopIfTrue="1">
      <formula>NOT(ISBLANK($AN$82))</formula>
    </cfRule>
  </conditionalFormatting>
  <conditionalFormatting sqref="AO82">
    <cfRule type="expression" dxfId="9204" priority="57837" stopIfTrue="1">
      <formula>NOT(ISBLANK($AO$82))</formula>
    </cfRule>
  </conditionalFormatting>
  <conditionalFormatting sqref="AP82">
    <cfRule type="expression" dxfId="9203" priority="57838" stopIfTrue="1">
      <formula>NOT(ISBLANK($AP$82))</formula>
    </cfRule>
  </conditionalFormatting>
  <conditionalFormatting sqref="AQ82">
    <cfRule type="expression" dxfId="9202" priority="57839" stopIfTrue="1">
      <formula>NOT(ISBLANK($AQ$82))</formula>
    </cfRule>
  </conditionalFormatting>
  <conditionalFormatting sqref="A83">
    <cfRule type="cellIs" dxfId="9201" priority="57840" stopIfTrue="1" operator="notEqual">
      <formula>5</formula>
    </cfRule>
  </conditionalFormatting>
  <conditionalFormatting sqref="B83">
    <cfRule type="cellIs" dxfId="9200" priority="57841" stopIfTrue="1" operator="notEqual">
      <formula>2</formula>
    </cfRule>
  </conditionalFormatting>
  <conditionalFormatting sqref="C83">
    <cfRule type="cellIs" dxfId="9199" priority="57842" stopIfTrue="1" operator="notEqual">
      <formula>3</formula>
    </cfRule>
  </conditionalFormatting>
  <conditionalFormatting sqref="D83">
    <cfRule type="cellIs" dxfId="9198" priority="57843" stopIfTrue="1" operator="notEqual">
      <formula>0.305</formula>
    </cfRule>
  </conditionalFormatting>
  <conditionalFormatting sqref="E83">
    <cfRule type="cellIs" dxfId="9197" priority="57844" stopIfTrue="1" operator="notEqual">
      <formula>"MGD"</formula>
    </cfRule>
  </conditionalFormatting>
  <conditionalFormatting sqref="F83">
    <cfRule type="cellIs" dxfId="9196" priority="57845" stopIfTrue="1" operator="notEqual">
      <formula>0.094</formula>
    </cfRule>
  </conditionalFormatting>
  <conditionalFormatting sqref="G83">
    <cfRule type="cellIs" dxfId="9195" priority="57846" stopIfTrue="1" operator="notEqual">
      <formula>"MGD"</formula>
    </cfRule>
  </conditionalFormatting>
  <conditionalFormatting sqref="H83">
    <cfRule type="cellIs" dxfId="9194" priority="57847" stopIfTrue="1" operator="notEqual">
      <formula>"regeneration off-site (non-hazardous)"</formula>
    </cfRule>
  </conditionalFormatting>
  <conditionalFormatting sqref="I83">
    <cfRule type="cellIs" dxfId="9193" priority="57848" stopIfTrue="1" operator="notEqual">
      <formula>"carbon life value- bed volumes"</formula>
    </cfRule>
  </conditionalFormatting>
  <conditionalFormatting sqref="J83">
    <cfRule type="cellIs" dxfId="9192" priority="57849" stopIfTrue="1" operator="notEqual">
      <formula>95700</formula>
    </cfRule>
  </conditionalFormatting>
  <conditionalFormatting sqref="K83">
    <cfRule type="expression" dxfId="9191" priority="57850" stopIfTrue="1">
      <formula>NOT(ISBLANK($K$83))</formula>
    </cfRule>
  </conditionalFormatting>
  <conditionalFormatting sqref="L83">
    <cfRule type="expression" dxfId="9190" priority="57851" stopIfTrue="1">
      <formula>NOT(ISBLANK($L$83))</formula>
    </cfRule>
  </conditionalFormatting>
  <conditionalFormatting sqref="M83">
    <cfRule type="expression" dxfId="9189" priority="57852" stopIfTrue="1">
      <formula>NOT(ISBLANK($M$83))</formula>
    </cfRule>
  </conditionalFormatting>
  <conditionalFormatting sqref="N83">
    <cfRule type="cellIs" dxfId="9188" priority="57853" stopIfTrue="1" operator="notEqual">
      <formula>"EBCT"</formula>
    </cfRule>
  </conditionalFormatting>
  <conditionalFormatting sqref="O83">
    <cfRule type="cellIs" dxfId="9187" priority="57854" stopIfTrue="1" operator="notEqual">
      <formula>7.5</formula>
    </cfRule>
  </conditionalFormatting>
  <conditionalFormatting sqref="P83">
    <cfRule type="expression" dxfId="9186" priority="57855" stopIfTrue="1">
      <formula>NOT(ISBLANK($P$83))</formula>
    </cfRule>
  </conditionalFormatting>
  <conditionalFormatting sqref="Q83">
    <cfRule type="expression" dxfId="9185" priority="57856" stopIfTrue="1">
      <formula>NOT(ISBLANK($Q$83))</formula>
    </cfRule>
  </conditionalFormatting>
  <conditionalFormatting sqref="R83">
    <cfRule type="expression" dxfId="9184" priority="57857" stopIfTrue="1">
      <formula>NOT(ISBLANK($R$83))</formula>
    </cfRule>
  </conditionalFormatting>
  <conditionalFormatting sqref="S83">
    <cfRule type="expression" dxfId="9183" priority="57858" stopIfTrue="1">
      <formula>NOT(ISBLANK($S$83))</formula>
    </cfRule>
  </conditionalFormatting>
  <conditionalFormatting sqref="T83">
    <cfRule type="expression" dxfId="9182" priority="57859" stopIfTrue="1">
      <formula>NOT(ISBLANK($T$83))</formula>
    </cfRule>
  </conditionalFormatting>
  <conditionalFormatting sqref="U83">
    <cfRule type="expression" dxfId="9181" priority="57860" stopIfTrue="1">
      <formula>NOT(ISBLANK($U$83))</formula>
    </cfRule>
  </conditionalFormatting>
  <conditionalFormatting sqref="V83">
    <cfRule type="expression" dxfId="9180" priority="57861" stopIfTrue="1">
      <formula>NOT(ISBLANK($V$83))</formula>
    </cfRule>
  </conditionalFormatting>
  <conditionalFormatting sqref="W83">
    <cfRule type="cellIs" dxfId="9179" priority="57862" stopIfTrue="1" operator="notEqual">
      <formula>6</formula>
    </cfRule>
  </conditionalFormatting>
  <conditionalFormatting sqref="X83">
    <cfRule type="cellIs" dxfId="9178" priority="57863" stopIfTrue="1" operator="notEqual">
      <formula>6</formula>
    </cfRule>
  </conditionalFormatting>
  <conditionalFormatting sqref="Y83">
    <cfRule type="cellIs" dxfId="9177" priority="57864" stopIfTrue="1" operator="notEqual">
      <formula>3</formula>
    </cfRule>
  </conditionalFormatting>
  <conditionalFormatting sqref="Z83">
    <cfRule type="cellIs" dxfId="9176" priority="57865" stopIfTrue="1" operator="notEqual">
      <formula>168</formula>
    </cfRule>
  </conditionalFormatting>
  <conditionalFormatting sqref="AA83">
    <cfRule type="cellIs" dxfId="9175" priority="57866" stopIfTrue="1" operator="notEqual">
      <formula>"POTW"</formula>
    </cfRule>
  </conditionalFormatting>
  <conditionalFormatting sqref="AB83">
    <cfRule type="cellIs" dxfId="9174" priority="57867" stopIfTrue="1" operator="notEqual">
      <formula>"holding tank"</formula>
    </cfRule>
  </conditionalFormatting>
  <conditionalFormatting sqref="AC83">
    <cfRule type="cellIs" dxfId="9173" priority="57868" stopIfTrue="1" operator="notEqual">
      <formula>"manual transfer"</formula>
    </cfRule>
  </conditionalFormatting>
  <conditionalFormatting sqref="AD83">
    <cfRule type="cellIs" dxfId="9172" priority="57869" stopIfTrue="1" operator="notEqual">
      <formula>"non-hazardous"</formula>
    </cfRule>
  </conditionalFormatting>
  <conditionalFormatting sqref="AE83">
    <cfRule type="expression" dxfId="9171" priority="57870" stopIfTrue="1">
      <formula>NOT(ISBLANK($AE$83))</formula>
    </cfRule>
  </conditionalFormatting>
  <conditionalFormatting sqref="AF83">
    <cfRule type="expression" dxfId="9170" priority="57871" stopIfTrue="1">
      <formula>NOT(ISBLANK($AF$83))</formula>
    </cfRule>
  </conditionalFormatting>
  <conditionalFormatting sqref="AG83">
    <cfRule type="expression" dxfId="9169" priority="57872" stopIfTrue="1">
      <formula>NOT(ISBLANK($AG$83))</formula>
    </cfRule>
  </conditionalFormatting>
  <conditionalFormatting sqref="AH83">
    <cfRule type="expression" dxfId="9168" priority="57873" stopIfTrue="1">
      <formula>NOT(ISBLANK($AH$83))</formula>
    </cfRule>
  </conditionalFormatting>
  <conditionalFormatting sqref="AI83">
    <cfRule type="cellIs" dxfId="9167" priority="57874" stopIfTrue="1" operator="notEqual">
      <formula>"fully automated"</formula>
    </cfRule>
  </conditionalFormatting>
  <conditionalFormatting sqref="AJ83">
    <cfRule type="expression" dxfId="9166" priority="57875" stopIfTrue="1">
      <formula>NOT(ISBLANK($AJ$83))</formula>
    </cfRule>
  </conditionalFormatting>
  <conditionalFormatting sqref="AK83">
    <cfRule type="expression" dxfId="9165" priority="57876" stopIfTrue="1">
      <formula>NOT(ISBLANK($AK$83))</formula>
    </cfRule>
  </conditionalFormatting>
  <conditionalFormatting sqref="AL83">
    <cfRule type="expression" dxfId="9164" priority="57877" stopIfTrue="1">
      <formula>NOT(ISBLANK($AL$83))</formula>
    </cfRule>
  </conditionalFormatting>
  <conditionalFormatting sqref="AM83">
    <cfRule type="expression" dxfId="9163" priority="57878" stopIfTrue="1">
      <formula>NOT(ISBLANK($AM$83))</formula>
    </cfRule>
  </conditionalFormatting>
  <conditionalFormatting sqref="AN83">
    <cfRule type="expression" dxfId="9162" priority="57879" stopIfTrue="1">
      <formula>NOT(ISBLANK($AN$83))</formula>
    </cfRule>
  </conditionalFormatting>
  <conditionalFormatting sqref="AO83">
    <cfRule type="expression" dxfId="9161" priority="57880" stopIfTrue="1">
      <formula>NOT(ISBLANK($AO$83))</formula>
    </cfRule>
  </conditionalFormatting>
  <conditionalFormatting sqref="AP83">
    <cfRule type="expression" dxfId="9160" priority="57881" stopIfTrue="1">
      <formula>NOT(ISBLANK($AP$83))</formula>
    </cfRule>
  </conditionalFormatting>
  <conditionalFormatting sqref="AQ83">
    <cfRule type="expression" dxfId="9159" priority="57882" stopIfTrue="1">
      <formula>NOT(ISBLANK($AQ$83))</formula>
    </cfRule>
  </conditionalFormatting>
  <conditionalFormatting sqref="A84">
    <cfRule type="cellIs" dxfId="9158" priority="57883" stopIfTrue="1" operator="notEqual">
      <formula>5</formula>
    </cfRule>
  </conditionalFormatting>
  <conditionalFormatting sqref="B84">
    <cfRule type="cellIs" dxfId="9157" priority="57884" stopIfTrue="1" operator="notEqual">
      <formula>2</formula>
    </cfRule>
  </conditionalFormatting>
  <conditionalFormatting sqref="C84">
    <cfRule type="cellIs" dxfId="9156" priority="57885" stopIfTrue="1" operator="notEqual">
      <formula>4</formula>
    </cfRule>
  </conditionalFormatting>
  <conditionalFormatting sqref="D84">
    <cfRule type="cellIs" dxfId="9155" priority="57886" stopIfTrue="1" operator="notEqual">
      <formula>0.74</formula>
    </cfRule>
  </conditionalFormatting>
  <conditionalFormatting sqref="E84">
    <cfRule type="cellIs" dxfId="9154" priority="57887" stopIfTrue="1" operator="notEqual">
      <formula>"MGD"</formula>
    </cfRule>
  </conditionalFormatting>
  <conditionalFormatting sqref="F84">
    <cfRule type="cellIs" dxfId="9153" priority="57888" stopIfTrue="1" operator="notEqual">
      <formula>0.251</formula>
    </cfRule>
  </conditionalFormatting>
  <conditionalFormatting sqref="G84">
    <cfRule type="cellIs" dxfId="9152" priority="57889" stopIfTrue="1" operator="notEqual">
      <formula>"MGD"</formula>
    </cfRule>
  </conditionalFormatting>
  <conditionalFormatting sqref="H84">
    <cfRule type="cellIs" dxfId="9151" priority="57890" stopIfTrue="1" operator="notEqual">
      <formula>"regeneration off-site (non-hazardous)"</formula>
    </cfRule>
  </conditionalFormatting>
  <conditionalFormatting sqref="I84">
    <cfRule type="cellIs" dxfId="9150" priority="57891" stopIfTrue="1" operator="notEqual">
      <formula>"carbon life value- bed volumes"</formula>
    </cfRule>
  </conditionalFormatting>
  <conditionalFormatting sqref="J84">
    <cfRule type="cellIs" dxfId="9149" priority="57892" stopIfTrue="1" operator="notEqual">
      <formula>95700</formula>
    </cfRule>
  </conditionalFormatting>
  <conditionalFormatting sqref="K84">
    <cfRule type="expression" dxfId="9148" priority="57893" stopIfTrue="1">
      <formula>NOT(ISBLANK($K$84))</formula>
    </cfRule>
  </conditionalFormatting>
  <conditionalFormatting sqref="L84">
    <cfRule type="expression" dxfId="9147" priority="57894" stopIfTrue="1">
      <formula>NOT(ISBLANK($L$84))</formula>
    </cfRule>
  </conditionalFormatting>
  <conditionalFormatting sqref="M84">
    <cfRule type="expression" dxfId="9146" priority="57895" stopIfTrue="1">
      <formula>NOT(ISBLANK($M$84))</formula>
    </cfRule>
  </conditionalFormatting>
  <conditionalFormatting sqref="N84">
    <cfRule type="cellIs" dxfId="9145" priority="57896" stopIfTrue="1" operator="notEqual">
      <formula>"EBCT"</formula>
    </cfRule>
  </conditionalFormatting>
  <conditionalFormatting sqref="O84">
    <cfRule type="cellIs" dxfId="9144" priority="57897" stopIfTrue="1" operator="notEqual">
      <formula>7.5</formula>
    </cfRule>
  </conditionalFormatting>
  <conditionalFormatting sqref="P84">
    <cfRule type="expression" dxfId="9143" priority="57898" stopIfTrue="1">
      <formula>NOT(ISBLANK($P$84))</formula>
    </cfRule>
  </conditionalFormatting>
  <conditionalFormatting sqref="Q84">
    <cfRule type="expression" dxfId="9142" priority="57899" stopIfTrue="1">
      <formula>NOT(ISBLANK($Q$84))</formula>
    </cfRule>
  </conditionalFormatting>
  <conditionalFormatting sqref="R84">
    <cfRule type="expression" dxfId="9141" priority="57900" stopIfTrue="1">
      <formula>NOT(ISBLANK($R$84))</formula>
    </cfRule>
  </conditionalFormatting>
  <conditionalFormatting sqref="S84">
    <cfRule type="expression" dxfId="9140" priority="57901" stopIfTrue="1">
      <formula>NOT(ISBLANK($S$84))</formula>
    </cfRule>
  </conditionalFormatting>
  <conditionalFormatting sqref="T84">
    <cfRule type="expression" dxfId="9139" priority="57902" stopIfTrue="1">
      <formula>NOT(ISBLANK($T$84))</formula>
    </cfRule>
  </conditionalFormatting>
  <conditionalFormatting sqref="U84">
    <cfRule type="expression" dxfId="9138" priority="57903" stopIfTrue="1">
      <formula>NOT(ISBLANK($U$84))</formula>
    </cfRule>
  </conditionalFormatting>
  <conditionalFormatting sqref="V84">
    <cfRule type="expression" dxfId="9137" priority="57904" stopIfTrue="1">
      <formula>NOT(ISBLANK($V$84))</formula>
    </cfRule>
  </conditionalFormatting>
  <conditionalFormatting sqref="W84">
    <cfRule type="cellIs" dxfId="9136" priority="57905" stopIfTrue="1" operator="notEqual">
      <formula>7</formula>
    </cfRule>
  </conditionalFormatting>
  <conditionalFormatting sqref="X84">
    <cfRule type="cellIs" dxfId="9135" priority="57906" stopIfTrue="1" operator="notEqual">
      <formula>7</formula>
    </cfRule>
  </conditionalFormatting>
  <conditionalFormatting sqref="Y84">
    <cfRule type="cellIs" dxfId="9134" priority="57907" stopIfTrue="1" operator="notEqual">
      <formula>5.3</formula>
    </cfRule>
  </conditionalFormatting>
  <conditionalFormatting sqref="Z84">
    <cfRule type="cellIs" dxfId="9133" priority="57908" stopIfTrue="1" operator="notEqual">
      <formula>168</formula>
    </cfRule>
  </conditionalFormatting>
  <conditionalFormatting sqref="AA84">
    <cfRule type="cellIs" dxfId="9132" priority="57909" stopIfTrue="1" operator="notEqual">
      <formula>"POTW"</formula>
    </cfRule>
  </conditionalFormatting>
  <conditionalFormatting sqref="AB84">
    <cfRule type="cellIs" dxfId="9131" priority="57910" stopIfTrue="1" operator="notEqual">
      <formula>"holding tank"</formula>
    </cfRule>
  </conditionalFormatting>
  <conditionalFormatting sqref="AC84">
    <cfRule type="cellIs" dxfId="9130" priority="57911" stopIfTrue="1" operator="notEqual">
      <formula>"manual transfer"</formula>
    </cfRule>
  </conditionalFormatting>
  <conditionalFormatting sqref="AD84">
    <cfRule type="cellIs" dxfId="9129" priority="57912" stopIfTrue="1" operator="notEqual">
      <formula>"non-hazardous"</formula>
    </cfRule>
  </conditionalFormatting>
  <conditionalFormatting sqref="AE84">
    <cfRule type="expression" dxfId="9128" priority="57913" stopIfTrue="1">
      <formula>NOT(ISBLANK($AE$84))</formula>
    </cfRule>
  </conditionalFormatting>
  <conditionalFormatting sqref="AF84">
    <cfRule type="expression" dxfId="9127" priority="57914" stopIfTrue="1">
      <formula>NOT(ISBLANK($AF$84))</formula>
    </cfRule>
  </conditionalFormatting>
  <conditionalFormatting sqref="AG84">
    <cfRule type="expression" dxfId="9126" priority="57915" stopIfTrue="1">
      <formula>NOT(ISBLANK($AG$84))</formula>
    </cfRule>
  </conditionalFormatting>
  <conditionalFormatting sqref="AH84">
    <cfRule type="expression" dxfId="9125" priority="57916" stopIfTrue="1">
      <formula>NOT(ISBLANK($AH$84))</formula>
    </cfRule>
  </conditionalFormatting>
  <conditionalFormatting sqref="AI84">
    <cfRule type="cellIs" dxfId="9124" priority="57917" stopIfTrue="1" operator="notEqual">
      <formula>"fully automated"</formula>
    </cfRule>
  </conditionalFormatting>
  <conditionalFormatting sqref="AJ84">
    <cfRule type="expression" dxfId="9123" priority="57918" stopIfTrue="1">
      <formula>NOT(ISBLANK($AJ$84))</formula>
    </cfRule>
  </conditionalFormatting>
  <conditionalFormatting sqref="AK84">
    <cfRule type="expression" dxfId="9122" priority="57919" stopIfTrue="1">
      <formula>NOT(ISBLANK($AK$84))</formula>
    </cfRule>
  </conditionalFormatting>
  <conditionalFormatting sqref="AL84">
    <cfRule type="expression" dxfId="9121" priority="57920" stopIfTrue="1">
      <formula>NOT(ISBLANK($AL$84))</formula>
    </cfRule>
  </conditionalFormatting>
  <conditionalFormatting sqref="AM84">
    <cfRule type="expression" dxfId="9120" priority="57921" stopIfTrue="1">
      <formula>NOT(ISBLANK($AM$84))</formula>
    </cfRule>
  </conditionalFormatting>
  <conditionalFormatting sqref="AN84">
    <cfRule type="expression" dxfId="9119" priority="57922" stopIfTrue="1">
      <formula>NOT(ISBLANK($AN$84))</formula>
    </cfRule>
  </conditionalFormatting>
  <conditionalFormatting sqref="AO84">
    <cfRule type="expression" dxfId="9118" priority="57923" stopIfTrue="1">
      <formula>NOT(ISBLANK($AO$84))</formula>
    </cfRule>
  </conditionalFormatting>
  <conditionalFormatting sqref="AP84">
    <cfRule type="expression" dxfId="9117" priority="57924" stopIfTrue="1">
      <formula>NOT(ISBLANK($AP$84))</formula>
    </cfRule>
  </conditionalFormatting>
  <conditionalFormatting sqref="AQ84">
    <cfRule type="expression" dxfId="9116" priority="57925" stopIfTrue="1">
      <formula>NOT(ISBLANK($AQ$84))</formula>
    </cfRule>
  </conditionalFormatting>
  <conditionalFormatting sqref="A85">
    <cfRule type="cellIs" dxfId="9115" priority="57926" stopIfTrue="1" operator="notEqual">
      <formula>5</formula>
    </cfRule>
  </conditionalFormatting>
  <conditionalFormatting sqref="B85">
    <cfRule type="cellIs" dxfId="9114" priority="57927" stopIfTrue="1" operator="notEqual">
      <formula>2</formula>
    </cfRule>
  </conditionalFormatting>
  <conditionalFormatting sqref="C85">
    <cfRule type="cellIs" dxfId="9113" priority="57928" stopIfTrue="1" operator="notEqual">
      <formula>5</formula>
    </cfRule>
  </conditionalFormatting>
  <conditionalFormatting sqref="D85">
    <cfRule type="cellIs" dxfId="9112" priority="57929" stopIfTrue="1" operator="notEqual">
      <formula>2.152</formula>
    </cfRule>
  </conditionalFormatting>
  <conditionalFormatting sqref="E85">
    <cfRule type="cellIs" dxfId="9111" priority="57930" stopIfTrue="1" operator="notEqual">
      <formula>"MGD"</formula>
    </cfRule>
  </conditionalFormatting>
  <conditionalFormatting sqref="F85">
    <cfRule type="cellIs" dxfId="9110" priority="57931" stopIfTrue="1" operator="notEqual">
      <formula>0.819</formula>
    </cfRule>
  </conditionalFormatting>
  <conditionalFormatting sqref="G85">
    <cfRule type="cellIs" dxfId="9109" priority="57932" stopIfTrue="1" operator="notEqual">
      <formula>"MGD"</formula>
    </cfRule>
  </conditionalFormatting>
  <conditionalFormatting sqref="H85">
    <cfRule type="cellIs" dxfId="9108" priority="57933" stopIfTrue="1" operator="notEqual">
      <formula>"regeneration off-site (non-hazardous)"</formula>
    </cfRule>
  </conditionalFormatting>
  <conditionalFormatting sqref="I85">
    <cfRule type="cellIs" dxfId="9107" priority="57934" stopIfTrue="1" operator="notEqual">
      <formula>"carbon life value- bed volumes"</formula>
    </cfRule>
  </conditionalFormatting>
  <conditionalFormatting sqref="J85">
    <cfRule type="cellIs" dxfId="9106" priority="57935" stopIfTrue="1" operator="notEqual">
      <formula>95700</formula>
    </cfRule>
  </conditionalFormatting>
  <conditionalFormatting sqref="K85">
    <cfRule type="expression" dxfId="9105" priority="57936" stopIfTrue="1">
      <formula>NOT(ISBLANK($K$85))</formula>
    </cfRule>
  </conditionalFormatting>
  <conditionalFormatting sqref="L85">
    <cfRule type="expression" dxfId="9104" priority="57937" stopIfTrue="1">
      <formula>NOT(ISBLANK($L$85))</formula>
    </cfRule>
  </conditionalFormatting>
  <conditionalFormatting sqref="M85">
    <cfRule type="expression" dxfId="9103" priority="57938" stopIfTrue="1">
      <formula>NOT(ISBLANK($M$85))</formula>
    </cfRule>
  </conditionalFormatting>
  <conditionalFormatting sqref="N85">
    <cfRule type="cellIs" dxfId="9102" priority="57939" stopIfTrue="1" operator="notEqual">
      <formula>"EBCT"</formula>
    </cfRule>
  </conditionalFormatting>
  <conditionalFormatting sqref="O85">
    <cfRule type="cellIs" dxfId="9101" priority="57940" stopIfTrue="1" operator="notEqual">
      <formula>7.5</formula>
    </cfRule>
  </conditionalFormatting>
  <conditionalFormatting sqref="P85">
    <cfRule type="expression" dxfId="9100" priority="57941" stopIfTrue="1">
      <formula>NOT(ISBLANK($P$85))</formula>
    </cfRule>
  </conditionalFormatting>
  <conditionalFormatting sqref="Q85">
    <cfRule type="expression" dxfId="9099" priority="57942" stopIfTrue="1">
      <formula>NOT(ISBLANK($Q$85))</formula>
    </cfRule>
  </conditionalFormatting>
  <conditionalFormatting sqref="R85">
    <cfRule type="expression" dxfId="9098" priority="57943" stopIfTrue="1">
      <formula>NOT(ISBLANK($R$85))</formula>
    </cfRule>
  </conditionalFormatting>
  <conditionalFormatting sqref="S85">
    <cfRule type="expression" dxfId="9097" priority="57944" stopIfTrue="1">
      <formula>NOT(ISBLANK($S$85))</formula>
    </cfRule>
  </conditionalFormatting>
  <conditionalFormatting sqref="T85">
    <cfRule type="expression" dxfId="9096" priority="57945" stopIfTrue="1">
      <formula>NOT(ISBLANK($T$85))</formula>
    </cfRule>
  </conditionalFormatting>
  <conditionalFormatting sqref="U85">
    <cfRule type="expression" dxfId="9095" priority="57946" stopIfTrue="1">
      <formula>NOT(ISBLANK($U$85))</formula>
    </cfRule>
  </conditionalFormatting>
  <conditionalFormatting sqref="V85">
    <cfRule type="expression" dxfId="9094" priority="57947" stopIfTrue="1">
      <formula>NOT(ISBLANK($V$85))</formula>
    </cfRule>
  </conditionalFormatting>
  <conditionalFormatting sqref="W85">
    <cfRule type="cellIs" dxfId="9093" priority="57948" stopIfTrue="1" operator="notEqual">
      <formula>8</formula>
    </cfRule>
  </conditionalFormatting>
  <conditionalFormatting sqref="X85">
    <cfRule type="cellIs" dxfId="9092" priority="57949" stopIfTrue="1" operator="notEqual">
      <formula>8</formula>
    </cfRule>
  </conditionalFormatting>
  <conditionalFormatting sqref="Y85">
    <cfRule type="cellIs" dxfId="9091" priority="57950" stopIfTrue="1" operator="notEqual">
      <formula>7.9</formula>
    </cfRule>
  </conditionalFormatting>
  <conditionalFormatting sqref="Z85">
    <cfRule type="cellIs" dxfId="9090" priority="57951" stopIfTrue="1" operator="notEqual">
      <formula>168</formula>
    </cfRule>
  </conditionalFormatting>
  <conditionalFormatting sqref="AA85">
    <cfRule type="cellIs" dxfId="9089" priority="57952" stopIfTrue="1" operator="notEqual">
      <formula>"POTW"</formula>
    </cfRule>
  </conditionalFormatting>
  <conditionalFormatting sqref="AB85">
    <cfRule type="cellIs" dxfId="9088" priority="57953" stopIfTrue="1" operator="notEqual">
      <formula>"holding tank"</formula>
    </cfRule>
  </conditionalFormatting>
  <conditionalFormatting sqref="AC85">
    <cfRule type="cellIs" dxfId="9087" priority="57954" stopIfTrue="1" operator="notEqual">
      <formula>"manual transfer"</formula>
    </cfRule>
  </conditionalFormatting>
  <conditionalFormatting sqref="AD85">
    <cfRule type="cellIs" dxfId="9086" priority="57955" stopIfTrue="1" operator="notEqual">
      <formula>"non-hazardous"</formula>
    </cfRule>
  </conditionalFormatting>
  <conditionalFormatting sqref="AE85">
    <cfRule type="expression" dxfId="9085" priority="57956" stopIfTrue="1">
      <formula>NOT(ISBLANK($AE$85))</formula>
    </cfRule>
  </conditionalFormatting>
  <conditionalFormatting sqref="AF85">
    <cfRule type="expression" dxfId="9084" priority="57957" stopIfTrue="1">
      <formula>NOT(ISBLANK($AF$85))</formula>
    </cfRule>
  </conditionalFormatting>
  <conditionalFormatting sqref="AG85">
    <cfRule type="expression" dxfId="9083" priority="57958" stopIfTrue="1">
      <formula>NOT(ISBLANK($AG$85))</formula>
    </cfRule>
  </conditionalFormatting>
  <conditionalFormatting sqref="AH85">
    <cfRule type="expression" dxfId="9082" priority="57959" stopIfTrue="1">
      <formula>NOT(ISBLANK($AH$85))</formula>
    </cfRule>
  </conditionalFormatting>
  <conditionalFormatting sqref="AI85">
    <cfRule type="cellIs" dxfId="9081" priority="57960" stopIfTrue="1" operator="notEqual">
      <formula>"fully automated"</formula>
    </cfRule>
  </conditionalFormatting>
  <conditionalFormatting sqref="AJ85">
    <cfRule type="expression" dxfId="9080" priority="57961" stopIfTrue="1">
      <formula>NOT(ISBLANK($AJ$85))</formula>
    </cfRule>
  </conditionalFormatting>
  <conditionalFormatting sqref="AK85">
    <cfRule type="expression" dxfId="9079" priority="57962" stopIfTrue="1">
      <formula>NOT(ISBLANK($AK$85))</formula>
    </cfRule>
  </conditionalFormatting>
  <conditionalFormatting sqref="AL85">
    <cfRule type="expression" dxfId="9078" priority="57963" stopIfTrue="1">
      <formula>NOT(ISBLANK($AL$85))</formula>
    </cfRule>
  </conditionalFormatting>
  <conditionalFormatting sqref="AM85">
    <cfRule type="expression" dxfId="9077" priority="57964" stopIfTrue="1">
      <formula>NOT(ISBLANK($AM$85))</formula>
    </cfRule>
  </conditionalFormatting>
  <conditionalFormatting sqref="AN85">
    <cfRule type="expression" dxfId="9076" priority="57965" stopIfTrue="1">
      <formula>NOT(ISBLANK($AN$85))</formula>
    </cfRule>
  </conditionalFormatting>
  <conditionalFormatting sqref="AO85">
    <cfRule type="expression" dxfId="9075" priority="57966" stopIfTrue="1">
      <formula>NOT(ISBLANK($AO$85))</formula>
    </cfRule>
  </conditionalFormatting>
  <conditionalFormatting sqref="AP85">
    <cfRule type="expression" dxfId="9074" priority="57967" stopIfTrue="1">
      <formula>NOT(ISBLANK($AP$85))</formula>
    </cfRule>
  </conditionalFormatting>
  <conditionalFormatting sqref="AQ85">
    <cfRule type="expression" dxfId="9073" priority="57968" stopIfTrue="1">
      <formula>NOT(ISBLANK($AQ$85))</formula>
    </cfRule>
  </conditionalFormatting>
  <conditionalFormatting sqref="A86">
    <cfRule type="cellIs" dxfId="9072" priority="57969" stopIfTrue="1" operator="notEqual">
      <formula>5</formula>
    </cfRule>
  </conditionalFormatting>
  <conditionalFormatting sqref="B86">
    <cfRule type="cellIs" dxfId="9071" priority="57970" stopIfTrue="1" operator="notEqual">
      <formula>2</formula>
    </cfRule>
  </conditionalFormatting>
  <conditionalFormatting sqref="C86">
    <cfRule type="cellIs" dxfId="9070" priority="57971" stopIfTrue="1" operator="notEqual">
      <formula>6</formula>
    </cfRule>
  </conditionalFormatting>
  <conditionalFormatting sqref="D86">
    <cfRule type="cellIs" dxfId="9069" priority="57972" stopIfTrue="1" operator="notEqual">
      <formula>7.365</formula>
    </cfRule>
  </conditionalFormatting>
  <conditionalFormatting sqref="E86">
    <cfRule type="cellIs" dxfId="9068" priority="57973" stopIfTrue="1" operator="notEqual">
      <formula>"MGD"</formula>
    </cfRule>
  </conditionalFormatting>
  <conditionalFormatting sqref="F86">
    <cfRule type="cellIs" dxfId="9067" priority="57974" stopIfTrue="1" operator="notEqual">
      <formula>3.2</formula>
    </cfRule>
  </conditionalFormatting>
  <conditionalFormatting sqref="G86">
    <cfRule type="cellIs" dxfId="9066" priority="57975" stopIfTrue="1" operator="notEqual">
      <formula>"MGD"</formula>
    </cfRule>
  </conditionalFormatting>
  <conditionalFormatting sqref="H86">
    <cfRule type="cellIs" dxfId="9065" priority="57976" stopIfTrue="1" operator="notEqual">
      <formula>"regeneration off-site (non-hazardous)"</formula>
    </cfRule>
  </conditionalFormatting>
  <conditionalFormatting sqref="I86">
    <cfRule type="cellIs" dxfId="9064" priority="57977" stopIfTrue="1" operator="notEqual">
      <formula>"carbon life value- bed volumes"</formula>
    </cfRule>
  </conditionalFormatting>
  <conditionalFormatting sqref="J86">
    <cfRule type="cellIs" dxfId="9063" priority="57978" stopIfTrue="1" operator="notEqual">
      <formula>95700</formula>
    </cfRule>
  </conditionalFormatting>
  <conditionalFormatting sqref="K86">
    <cfRule type="expression" dxfId="9062" priority="57979" stopIfTrue="1">
      <formula>NOT(ISBLANK($K$86))</formula>
    </cfRule>
  </conditionalFormatting>
  <conditionalFormatting sqref="L86">
    <cfRule type="expression" dxfId="9061" priority="57980" stopIfTrue="1">
      <formula>NOT(ISBLANK($L$86))</formula>
    </cfRule>
  </conditionalFormatting>
  <conditionalFormatting sqref="M86">
    <cfRule type="expression" dxfId="9060" priority="57981" stopIfTrue="1">
      <formula>NOT(ISBLANK($M$86))</formula>
    </cfRule>
  </conditionalFormatting>
  <conditionalFormatting sqref="N86">
    <cfRule type="cellIs" dxfId="9059" priority="57982" stopIfTrue="1" operator="notEqual">
      <formula>"EBCT"</formula>
    </cfRule>
  </conditionalFormatting>
  <conditionalFormatting sqref="O86">
    <cfRule type="cellIs" dxfId="9058" priority="57983" stopIfTrue="1" operator="notEqual">
      <formula>7.5</formula>
    </cfRule>
  </conditionalFormatting>
  <conditionalFormatting sqref="P86">
    <cfRule type="expression" dxfId="9057" priority="57984" stopIfTrue="1">
      <formula>NOT(ISBLANK($P$86))</formula>
    </cfRule>
  </conditionalFormatting>
  <conditionalFormatting sqref="Q86">
    <cfRule type="expression" dxfId="9056" priority="57985" stopIfTrue="1">
      <formula>NOT(ISBLANK($Q$86))</formula>
    </cfRule>
  </conditionalFormatting>
  <conditionalFormatting sqref="R86">
    <cfRule type="expression" dxfId="9055" priority="57986" stopIfTrue="1">
      <formula>NOT(ISBLANK($R$86))</formula>
    </cfRule>
  </conditionalFormatting>
  <conditionalFormatting sqref="S86">
    <cfRule type="expression" dxfId="9054" priority="57987" stopIfTrue="1">
      <formula>NOT(ISBLANK($S$86))</formula>
    </cfRule>
  </conditionalFormatting>
  <conditionalFormatting sqref="T86">
    <cfRule type="expression" dxfId="9053" priority="57988" stopIfTrue="1">
      <formula>NOT(ISBLANK($T$86))</formula>
    </cfRule>
  </conditionalFormatting>
  <conditionalFormatting sqref="U86">
    <cfRule type="expression" dxfId="9052" priority="57989" stopIfTrue="1">
      <formula>NOT(ISBLANK($U$86))</formula>
    </cfRule>
  </conditionalFormatting>
  <conditionalFormatting sqref="V86">
    <cfRule type="expression" dxfId="9051" priority="57990" stopIfTrue="1">
      <formula>NOT(ISBLANK($V$86))</formula>
    </cfRule>
  </conditionalFormatting>
  <conditionalFormatting sqref="W86">
    <cfRule type="cellIs" dxfId="9050" priority="57991" stopIfTrue="1" operator="notEqual">
      <formula>11.5</formula>
    </cfRule>
  </conditionalFormatting>
  <conditionalFormatting sqref="X86">
    <cfRule type="cellIs" dxfId="9049" priority="57992" stopIfTrue="1" operator="notEqual">
      <formula>11.5</formula>
    </cfRule>
  </conditionalFormatting>
  <conditionalFormatting sqref="Y86">
    <cfRule type="cellIs" dxfId="9048" priority="57993" stopIfTrue="1" operator="notEqual">
      <formula>7.8</formula>
    </cfRule>
  </conditionalFormatting>
  <conditionalFormatting sqref="Z86">
    <cfRule type="cellIs" dxfId="9047" priority="57994" stopIfTrue="1" operator="notEqual">
      <formula>168</formula>
    </cfRule>
  </conditionalFormatting>
  <conditionalFormatting sqref="AA86">
    <cfRule type="cellIs" dxfId="9046" priority="57995" stopIfTrue="1" operator="notEqual">
      <formula>"POTW"</formula>
    </cfRule>
  </conditionalFormatting>
  <conditionalFormatting sqref="AB86">
    <cfRule type="cellIs" dxfId="9045" priority="57996" stopIfTrue="1" operator="notEqual">
      <formula>"holding tank"</formula>
    </cfRule>
  </conditionalFormatting>
  <conditionalFormatting sqref="AC86">
    <cfRule type="cellIs" dxfId="9044" priority="57997" stopIfTrue="1" operator="notEqual">
      <formula>"manual transfer"</formula>
    </cfRule>
  </conditionalFormatting>
  <conditionalFormatting sqref="AD86">
    <cfRule type="cellIs" dxfId="9043" priority="57998" stopIfTrue="1" operator="notEqual">
      <formula>"non-hazardous"</formula>
    </cfRule>
  </conditionalFormatting>
  <conditionalFormatting sqref="AE86">
    <cfRule type="expression" dxfId="9042" priority="57999" stopIfTrue="1">
      <formula>NOT(ISBLANK($AE$86))</formula>
    </cfRule>
  </conditionalFormatting>
  <conditionalFormatting sqref="AF86">
    <cfRule type="expression" dxfId="9041" priority="58000" stopIfTrue="1">
      <formula>NOT(ISBLANK($AF$86))</formula>
    </cfRule>
  </conditionalFormatting>
  <conditionalFormatting sqref="AG86">
    <cfRule type="expression" dxfId="9040" priority="58001" stopIfTrue="1">
      <formula>NOT(ISBLANK($AG$86))</formula>
    </cfRule>
  </conditionalFormatting>
  <conditionalFormatting sqref="AH86">
    <cfRule type="expression" dxfId="9039" priority="58002" stopIfTrue="1">
      <formula>NOT(ISBLANK($AH$86))</formula>
    </cfRule>
  </conditionalFormatting>
  <conditionalFormatting sqref="AI86">
    <cfRule type="cellIs" dxfId="9038" priority="58003" stopIfTrue="1" operator="notEqual">
      <formula>"fully automated"</formula>
    </cfRule>
  </conditionalFormatting>
  <conditionalFormatting sqref="AJ86">
    <cfRule type="expression" dxfId="9037" priority="58004" stopIfTrue="1">
      <formula>NOT(ISBLANK($AJ$86))</formula>
    </cfRule>
  </conditionalFormatting>
  <conditionalFormatting sqref="AK86">
    <cfRule type="expression" dxfId="9036" priority="58005" stopIfTrue="1">
      <formula>NOT(ISBLANK($AK$86))</formula>
    </cfRule>
  </conditionalFormatting>
  <conditionalFormatting sqref="AL86">
    <cfRule type="expression" dxfId="9035" priority="58006" stopIfTrue="1">
      <formula>NOT(ISBLANK($AL$86))</formula>
    </cfRule>
  </conditionalFormatting>
  <conditionalFormatting sqref="AM86">
    <cfRule type="expression" dxfId="9034" priority="58007" stopIfTrue="1">
      <formula>NOT(ISBLANK($AM$86))</formula>
    </cfRule>
  </conditionalFormatting>
  <conditionalFormatting sqref="AN86">
    <cfRule type="expression" dxfId="9033" priority="58008" stopIfTrue="1">
      <formula>NOT(ISBLANK($AN$86))</formula>
    </cfRule>
  </conditionalFormatting>
  <conditionalFormatting sqref="AO86">
    <cfRule type="expression" dxfId="9032" priority="58009" stopIfTrue="1">
      <formula>NOT(ISBLANK($AO$86))</formula>
    </cfRule>
  </conditionalFormatting>
  <conditionalFormatting sqref="AP86">
    <cfRule type="expression" dxfId="9031" priority="58010" stopIfTrue="1">
      <formula>NOT(ISBLANK($AP$86))</formula>
    </cfRule>
  </conditionalFormatting>
  <conditionalFormatting sqref="AQ86">
    <cfRule type="expression" dxfId="9030" priority="58011" stopIfTrue="1">
      <formula>NOT(ISBLANK($AQ$86))</formula>
    </cfRule>
  </conditionalFormatting>
  <conditionalFormatting sqref="A87">
    <cfRule type="cellIs" dxfId="9029" priority="58012" stopIfTrue="1" operator="notEqual">
      <formula>5</formula>
    </cfRule>
  </conditionalFormatting>
  <conditionalFormatting sqref="B87">
    <cfRule type="cellIs" dxfId="9028" priority="58013" stopIfTrue="1" operator="notEqual">
      <formula>2</formula>
    </cfRule>
  </conditionalFormatting>
  <conditionalFormatting sqref="C87">
    <cfRule type="cellIs" dxfId="9027" priority="58014" stopIfTrue="1" operator="notEqual">
      <formula>7</formula>
    </cfRule>
  </conditionalFormatting>
  <conditionalFormatting sqref="D87">
    <cfRule type="cellIs" dxfId="9026" priority="58015" stopIfTrue="1" operator="notEqual">
      <formula>22.614</formula>
    </cfRule>
  </conditionalFormatting>
  <conditionalFormatting sqref="E87">
    <cfRule type="cellIs" dxfId="9025" priority="58016" stopIfTrue="1" operator="notEqual">
      <formula>"MGD"</formula>
    </cfRule>
  </conditionalFormatting>
  <conditionalFormatting sqref="F87">
    <cfRule type="cellIs" dxfId="9024" priority="58017" stopIfTrue="1" operator="notEqual">
      <formula>11.066</formula>
    </cfRule>
  </conditionalFormatting>
  <conditionalFormatting sqref="G87">
    <cfRule type="cellIs" dxfId="9023" priority="58018" stopIfTrue="1" operator="notEqual">
      <formula>"MGD"</formula>
    </cfRule>
  </conditionalFormatting>
  <conditionalFormatting sqref="H87">
    <cfRule type="cellIs" dxfId="9022" priority="58019" stopIfTrue="1" operator="notEqual">
      <formula>"regeneration off-site (non-hazardous)"</formula>
    </cfRule>
  </conditionalFormatting>
  <conditionalFormatting sqref="I87">
    <cfRule type="cellIs" dxfId="9021" priority="58020" stopIfTrue="1" operator="notEqual">
      <formula>"carbon life value- bed volumes"</formula>
    </cfRule>
  </conditionalFormatting>
  <conditionalFormatting sqref="J87">
    <cfRule type="cellIs" dxfId="9020" priority="58021" stopIfTrue="1" operator="notEqual">
      <formula>95700</formula>
    </cfRule>
  </conditionalFormatting>
  <conditionalFormatting sqref="K87">
    <cfRule type="expression" dxfId="9019" priority="58022" stopIfTrue="1">
      <formula>NOT(ISBLANK($K$87))</formula>
    </cfRule>
  </conditionalFormatting>
  <conditionalFormatting sqref="L87">
    <cfRule type="expression" dxfId="9018" priority="58023" stopIfTrue="1">
      <formula>NOT(ISBLANK($L$87))</formula>
    </cfRule>
  </conditionalFormatting>
  <conditionalFormatting sqref="M87">
    <cfRule type="expression" dxfId="9017" priority="58024" stopIfTrue="1">
      <formula>NOT(ISBLANK($M$87))</formula>
    </cfRule>
  </conditionalFormatting>
  <conditionalFormatting sqref="N87">
    <cfRule type="cellIs" dxfId="9016" priority="58025" stopIfTrue="1" operator="notEqual">
      <formula>"EBCT"</formula>
    </cfRule>
  </conditionalFormatting>
  <conditionalFormatting sqref="O87">
    <cfRule type="cellIs" dxfId="9015" priority="58026" stopIfTrue="1" operator="notEqual">
      <formula>7.5</formula>
    </cfRule>
  </conditionalFormatting>
  <conditionalFormatting sqref="P87">
    <cfRule type="expression" dxfId="9014" priority="58027" stopIfTrue="1">
      <formula>NOT(ISBLANK($P$87))</formula>
    </cfRule>
  </conditionalFormatting>
  <conditionalFormatting sqref="Q87">
    <cfRule type="expression" dxfId="9013" priority="58028" stopIfTrue="1">
      <formula>NOT(ISBLANK($Q$87))</formula>
    </cfRule>
  </conditionalFormatting>
  <conditionalFormatting sqref="R87">
    <cfRule type="expression" dxfId="9012" priority="58029" stopIfTrue="1">
      <formula>NOT(ISBLANK($R$87))</formula>
    </cfRule>
  </conditionalFormatting>
  <conditionalFormatting sqref="S87">
    <cfRule type="expression" dxfId="9011" priority="58030" stopIfTrue="1">
      <formula>NOT(ISBLANK($S$87))</formula>
    </cfRule>
  </conditionalFormatting>
  <conditionalFormatting sqref="T87">
    <cfRule type="expression" dxfId="9010" priority="58031" stopIfTrue="1">
      <formula>NOT(ISBLANK($T$87))</formula>
    </cfRule>
  </conditionalFormatting>
  <conditionalFormatting sqref="U87">
    <cfRule type="expression" dxfId="9009" priority="58032" stopIfTrue="1">
      <formula>NOT(ISBLANK($U$87))</formula>
    </cfRule>
  </conditionalFormatting>
  <conditionalFormatting sqref="V87">
    <cfRule type="expression" dxfId="9008" priority="58033" stopIfTrue="1">
      <formula>NOT(ISBLANK($V$87))</formula>
    </cfRule>
  </conditionalFormatting>
  <conditionalFormatting sqref="W87">
    <cfRule type="cellIs" dxfId="9007" priority="58034" stopIfTrue="1" operator="notEqual">
      <formula>15</formula>
    </cfRule>
  </conditionalFormatting>
  <conditionalFormatting sqref="X87">
    <cfRule type="cellIs" dxfId="9006" priority="58035" stopIfTrue="1" operator="notEqual">
      <formula>15</formula>
    </cfRule>
  </conditionalFormatting>
  <conditionalFormatting sqref="Y87">
    <cfRule type="cellIs" dxfId="9005" priority="58036" stopIfTrue="1" operator="notEqual">
      <formula>7.8</formula>
    </cfRule>
  </conditionalFormatting>
  <conditionalFormatting sqref="Z87">
    <cfRule type="cellIs" dxfId="9004" priority="58037" stopIfTrue="1" operator="notEqual">
      <formula>168</formula>
    </cfRule>
  </conditionalFormatting>
  <conditionalFormatting sqref="AA87">
    <cfRule type="cellIs" dxfId="9003" priority="58038" stopIfTrue="1" operator="notEqual">
      <formula>"POTW"</formula>
    </cfRule>
  </conditionalFormatting>
  <conditionalFormatting sqref="AB87">
    <cfRule type="cellIs" dxfId="9002" priority="58039" stopIfTrue="1" operator="notEqual">
      <formula>"holding tank"</formula>
    </cfRule>
  </conditionalFormatting>
  <conditionalFormatting sqref="AC87">
    <cfRule type="cellIs" dxfId="9001" priority="58040" stopIfTrue="1" operator="notEqual">
      <formula>"eductors"</formula>
    </cfRule>
  </conditionalFormatting>
  <conditionalFormatting sqref="AD87">
    <cfRule type="cellIs" dxfId="9000" priority="58041" stopIfTrue="1" operator="notEqual">
      <formula>"non-hazardous"</formula>
    </cfRule>
  </conditionalFormatting>
  <conditionalFormatting sqref="AE87">
    <cfRule type="expression" dxfId="8999" priority="58042" stopIfTrue="1">
      <formula>NOT(ISBLANK($AE$87))</formula>
    </cfRule>
  </conditionalFormatting>
  <conditionalFormatting sqref="AF87">
    <cfRule type="expression" dxfId="8998" priority="58043" stopIfTrue="1">
      <formula>NOT(ISBLANK($AF$87))</formula>
    </cfRule>
  </conditionalFormatting>
  <conditionalFormatting sqref="AG87">
    <cfRule type="expression" dxfId="8997" priority="58044" stopIfTrue="1">
      <formula>NOT(ISBLANK($AG$87))</formula>
    </cfRule>
  </conditionalFormatting>
  <conditionalFormatting sqref="AH87">
    <cfRule type="expression" dxfId="8996" priority="58045" stopIfTrue="1">
      <formula>NOT(ISBLANK($AH$87))</formula>
    </cfRule>
  </conditionalFormatting>
  <conditionalFormatting sqref="AI87">
    <cfRule type="cellIs" dxfId="8995" priority="58046" stopIfTrue="1" operator="notEqual">
      <formula>"fully automated"</formula>
    </cfRule>
  </conditionalFormatting>
  <conditionalFormatting sqref="AJ87">
    <cfRule type="expression" dxfId="8994" priority="58047" stopIfTrue="1">
      <formula>NOT(ISBLANK($AJ$87))</formula>
    </cfRule>
  </conditionalFormatting>
  <conditionalFormatting sqref="AK87">
    <cfRule type="expression" dxfId="8993" priority="58048" stopIfTrue="1">
      <formula>NOT(ISBLANK($AK$87))</formula>
    </cfRule>
  </conditionalFormatting>
  <conditionalFormatting sqref="AL87">
    <cfRule type="expression" dxfId="8992" priority="58049" stopIfTrue="1">
      <formula>NOT(ISBLANK($AL$87))</formula>
    </cfRule>
  </conditionalFormatting>
  <conditionalFormatting sqref="AM87">
    <cfRule type="expression" dxfId="8991" priority="58050" stopIfTrue="1">
      <formula>NOT(ISBLANK($AM$87))</formula>
    </cfRule>
  </conditionalFormatting>
  <conditionalFormatting sqref="AN87">
    <cfRule type="expression" dxfId="8990" priority="58051" stopIfTrue="1">
      <formula>NOT(ISBLANK($AN$87))</formula>
    </cfRule>
  </conditionalFormatting>
  <conditionalFormatting sqref="AO87">
    <cfRule type="expression" dxfId="8989" priority="58052" stopIfTrue="1">
      <formula>NOT(ISBLANK($AO$87))</formula>
    </cfRule>
  </conditionalFormatting>
  <conditionalFormatting sqref="AP87">
    <cfRule type="expression" dxfId="8988" priority="58053" stopIfTrue="1">
      <formula>NOT(ISBLANK($AP$87))</formula>
    </cfRule>
  </conditionalFormatting>
  <conditionalFormatting sqref="AQ87">
    <cfRule type="expression" dxfId="8987" priority="58054" stopIfTrue="1">
      <formula>NOT(ISBLANK($AQ$87))</formula>
    </cfRule>
  </conditionalFormatting>
  <conditionalFormatting sqref="A88">
    <cfRule type="cellIs" dxfId="8986" priority="58055" stopIfTrue="1" operator="notEqual">
      <formula>5</formula>
    </cfRule>
  </conditionalFormatting>
  <conditionalFormatting sqref="B88">
    <cfRule type="cellIs" dxfId="8985" priority="58056" stopIfTrue="1" operator="notEqual">
      <formula>2</formula>
    </cfRule>
  </conditionalFormatting>
  <conditionalFormatting sqref="C88">
    <cfRule type="cellIs" dxfId="8984" priority="58057" stopIfTrue="1" operator="notEqual">
      <formula>8</formula>
    </cfRule>
  </conditionalFormatting>
  <conditionalFormatting sqref="D88">
    <cfRule type="cellIs" dxfId="8983" priority="58058" stopIfTrue="1" operator="notEqual">
      <formula>75.072</formula>
    </cfRule>
  </conditionalFormatting>
  <conditionalFormatting sqref="E88">
    <cfRule type="cellIs" dxfId="8982" priority="58059" stopIfTrue="1" operator="notEqual">
      <formula>"MGD"</formula>
    </cfRule>
  </conditionalFormatting>
  <conditionalFormatting sqref="F88">
    <cfRule type="cellIs" dxfId="8981" priority="58060" stopIfTrue="1" operator="notEqual">
      <formula>37.536</formula>
    </cfRule>
  </conditionalFormatting>
  <conditionalFormatting sqref="G88">
    <cfRule type="cellIs" dxfId="8980" priority="58061" stopIfTrue="1" operator="notEqual">
      <formula>"MGD"</formula>
    </cfRule>
  </conditionalFormatting>
  <conditionalFormatting sqref="H88">
    <cfRule type="cellIs" dxfId="8979" priority="58062" stopIfTrue="1" operator="notEqual">
      <formula>"regeneration off-site (non-hazardous)"</formula>
    </cfRule>
  </conditionalFormatting>
  <conditionalFormatting sqref="I88">
    <cfRule type="cellIs" dxfId="8978" priority="58063" stopIfTrue="1" operator="notEqual">
      <formula>"carbon life value- bed volumes"</formula>
    </cfRule>
  </conditionalFormatting>
  <conditionalFormatting sqref="J88">
    <cfRule type="cellIs" dxfId="8977" priority="58064" stopIfTrue="1" operator="notEqual">
      <formula>95700</formula>
    </cfRule>
  </conditionalFormatting>
  <conditionalFormatting sqref="K88">
    <cfRule type="expression" dxfId="8976" priority="58065" stopIfTrue="1">
      <formula>NOT(ISBLANK($K$88))</formula>
    </cfRule>
  </conditionalFormatting>
  <conditionalFormatting sqref="L88">
    <cfRule type="expression" dxfId="8975" priority="58066" stopIfTrue="1">
      <formula>NOT(ISBLANK($L$88))</formula>
    </cfRule>
  </conditionalFormatting>
  <conditionalFormatting sqref="M88">
    <cfRule type="expression" dxfId="8974" priority="58067" stopIfTrue="1">
      <formula>NOT(ISBLANK($M$88))</formula>
    </cfRule>
  </conditionalFormatting>
  <conditionalFormatting sqref="N88">
    <cfRule type="cellIs" dxfId="8973" priority="58068" stopIfTrue="1" operator="notEqual">
      <formula>"EBCT"</formula>
    </cfRule>
  </conditionalFormatting>
  <conditionalFormatting sqref="O88">
    <cfRule type="cellIs" dxfId="8972" priority="58069" stopIfTrue="1" operator="notEqual">
      <formula>7.5</formula>
    </cfRule>
  </conditionalFormatting>
  <conditionalFormatting sqref="P88">
    <cfRule type="expression" dxfId="8971" priority="58070" stopIfTrue="1">
      <formula>NOT(ISBLANK($P$88))</formula>
    </cfRule>
  </conditionalFormatting>
  <conditionalFormatting sqref="Q88">
    <cfRule type="expression" dxfId="8970" priority="58071" stopIfTrue="1">
      <formula>NOT(ISBLANK($Q$88))</formula>
    </cfRule>
  </conditionalFormatting>
  <conditionalFormatting sqref="R88">
    <cfRule type="expression" dxfId="8969" priority="58072" stopIfTrue="1">
      <formula>NOT(ISBLANK($R$88))</formula>
    </cfRule>
  </conditionalFormatting>
  <conditionalFormatting sqref="S88">
    <cfRule type="expression" dxfId="8968" priority="58073" stopIfTrue="1">
      <formula>NOT(ISBLANK($S$88))</formula>
    </cfRule>
  </conditionalFormatting>
  <conditionalFormatting sqref="T88">
    <cfRule type="expression" dxfId="8967" priority="58074" stopIfTrue="1">
      <formula>NOT(ISBLANK($T$88))</formula>
    </cfRule>
  </conditionalFormatting>
  <conditionalFormatting sqref="U88">
    <cfRule type="expression" dxfId="8966" priority="58075" stopIfTrue="1">
      <formula>NOT(ISBLANK($U$88))</formula>
    </cfRule>
  </conditionalFormatting>
  <conditionalFormatting sqref="V88">
    <cfRule type="expression" dxfId="8965" priority="58076" stopIfTrue="1">
      <formula>NOT(ISBLANK($V$88))</formula>
    </cfRule>
  </conditionalFormatting>
  <conditionalFormatting sqref="W88">
    <cfRule type="cellIs" dxfId="8964" priority="58077" stopIfTrue="1" operator="notEqual">
      <formula>21</formula>
    </cfRule>
  </conditionalFormatting>
  <conditionalFormatting sqref="X88">
    <cfRule type="cellIs" dxfId="8963" priority="58078" stopIfTrue="1" operator="notEqual">
      <formula>21</formula>
    </cfRule>
  </conditionalFormatting>
  <conditionalFormatting sqref="Y88">
    <cfRule type="cellIs" dxfId="8962" priority="58079" stopIfTrue="1" operator="notEqual">
      <formula>8</formula>
    </cfRule>
  </conditionalFormatting>
  <conditionalFormatting sqref="Z88">
    <cfRule type="cellIs" dxfId="8961" priority="58080" stopIfTrue="1" operator="notEqual">
      <formula>168</formula>
    </cfRule>
  </conditionalFormatting>
  <conditionalFormatting sqref="AA88">
    <cfRule type="cellIs" dxfId="8960" priority="58081" stopIfTrue="1" operator="notEqual">
      <formula>"POTW"</formula>
    </cfRule>
  </conditionalFormatting>
  <conditionalFormatting sqref="AB88">
    <cfRule type="cellIs" dxfId="8959" priority="58082" stopIfTrue="1" operator="notEqual">
      <formula>"holding tank"</formula>
    </cfRule>
  </conditionalFormatting>
  <conditionalFormatting sqref="AC88">
    <cfRule type="cellIs" dxfId="8958" priority="58083" stopIfTrue="1" operator="notEqual">
      <formula>"eductors"</formula>
    </cfRule>
  </conditionalFormatting>
  <conditionalFormatting sqref="AD88">
    <cfRule type="cellIs" dxfId="8957" priority="58084" stopIfTrue="1" operator="notEqual">
      <formula>"non-hazardous"</formula>
    </cfRule>
  </conditionalFormatting>
  <conditionalFormatting sqref="AE88">
    <cfRule type="expression" dxfId="8956" priority="58085" stopIfTrue="1">
      <formula>NOT(ISBLANK($AE$88))</formula>
    </cfRule>
  </conditionalFormatting>
  <conditionalFormatting sqref="AF88">
    <cfRule type="expression" dxfId="8955" priority="58086" stopIfTrue="1">
      <formula>NOT(ISBLANK($AF$88))</formula>
    </cfRule>
  </conditionalFormatting>
  <conditionalFormatting sqref="AG88">
    <cfRule type="expression" dxfId="8954" priority="58087" stopIfTrue="1">
      <formula>NOT(ISBLANK($AG$88))</formula>
    </cfRule>
  </conditionalFormatting>
  <conditionalFormatting sqref="AH88">
    <cfRule type="expression" dxfId="8953" priority="58088" stopIfTrue="1">
      <formula>NOT(ISBLANK($AH$88))</formula>
    </cfRule>
  </conditionalFormatting>
  <conditionalFormatting sqref="AI88">
    <cfRule type="cellIs" dxfId="8952" priority="58089" stopIfTrue="1" operator="notEqual">
      <formula>"fully automated"</formula>
    </cfRule>
  </conditionalFormatting>
  <conditionalFormatting sqref="AJ88">
    <cfRule type="expression" dxfId="8951" priority="58090" stopIfTrue="1">
      <formula>NOT(ISBLANK($AJ$88))</formula>
    </cfRule>
  </conditionalFormatting>
  <conditionalFormatting sqref="AK88">
    <cfRule type="expression" dxfId="8950" priority="58091" stopIfTrue="1">
      <formula>NOT(ISBLANK($AK$88))</formula>
    </cfRule>
  </conditionalFormatting>
  <conditionalFormatting sqref="AL88">
    <cfRule type="expression" dxfId="8949" priority="58092" stopIfTrue="1">
      <formula>NOT(ISBLANK($AL$88))</formula>
    </cfRule>
  </conditionalFormatting>
  <conditionalFormatting sqref="AM88">
    <cfRule type="expression" dxfId="8948" priority="58093" stopIfTrue="1">
      <formula>NOT(ISBLANK($AM$88))</formula>
    </cfRule>
  </conditionalFormatting>
  <conditionalFormatting sqref="AN88">
    <cfRule type="expression" dxfId="8947" priority="58094" stopIfTrue="1">
      <formula>NOT(ISBLANK($AN$88))</formula>
    </cfRule>
  </conditionalFormatting>
  <conditionalFormatting sqref="AO88">
    <cfRule type="expression" dxfId="8946" priority="58095" stopIfTrue="1">
      <formula>NOT(ISBLANK($AO$88))</formula>
    </cfRule>
  </conditionalFormatting>
  <conditionalFormatting sqref="AP88">
    <cfRule type="expression" dxfId="8945" priority="58096" stopIfTrue="1">
      <formula>NOT(ISBLANK($AP$88))</formula>
    </cfRule>
  </conditionalFormatting>
  <conditionalFormatting sqref="AQ88">
    <cfRule type="expression" dxfId="8944" priority="58097" stopIfTrue="1">
      <formula>NOT(ISBLANK($AQ$88))</formula>
    </cfRule>
  </conditionalFormatting>
  <conditionalFormatting sqref="A89">
    <cfRule type="cellIs" dxfId="8943" priority="58098" stopIfTrue="1" operator="notEqual">
      <formula>6</formula>
    </cfRule>
  </conditionalFormatting>
  <conditionalFormatting sqref="B89">
    <cfRule type="cellIs" dxfId="8942" priority="58099" stopIfTrue="1" operator="notEqual">
      <formula>1</formula>
    </cfRule>
  </conditionalFormatting>
  <conditionalFormatting sqref="C89">
    <cfRule type="cellIs" dxfId="8941" priority="58100" stopIfTrue="1" operator="notEqual">
      <formula>1</formula>
    </cfRule>
  </conditionalFormatting>
  <conditionalFormatting sqref="D89">
    <cfRule type="cellIs" dxfId="8940" priority="58101" stopIfTrue="1" operator="notEqual">
      <formula>0.03</formula>
    </cfRule>
  </conditionalFormatting>
  <conditionalFormatting sqref="E89">
    <cfRule type="cellIs" dxfId="8939" priority="58102" stopIfTrue="1" operator="notEqual">
      <formula>"MGD"</formula>
    </cfRule>
  </conditionalFormatting>
  <conditionalFormatting sqref="F89">
    <cfRule type="cellIs" dxfId="8938" priority="58103" stopIfTrue="1" operator="notEqual">
      <formula>0.007</formula>
    </cfRule>
  </conditionalFormatting>
  <conditionalFormatting sqref="G89">
    <cfRule type="cellIs" dxfId="8937" priority="58104" stopIfTrue="1" operator="notEqual">
      <formula>"MGD"</formula>
    </cfRule>
  </conditionalFormatting>
  <conditionalFormatting sqref="H89">
    <cfRule type="expression" dxfId="8936" priority="58105" stopIfTrue="1">
      <formula>NOT(ISBLANK($H$89))</formula>
    </cfRule>
  </conditionalFormatting>
  <conditionalFormatting sqref="I89">
    <cfRule type="expression" dxfId="8935" priority="58106" stopIfTrue="1">
      <formula>NOT(ISBLANK($I$89))</formula>
    </cfRule>
  </conditionalFormatting>
  <conditionalFormatting sqref="J89">
    <cfRule type="expression" dxfId="8934" priority="58107" stopIfTrue="1">
      <formula>NOT(ISBLANK($J$89))</formula>
    </cfRule>
  </conditionalFormatting>
  <conditionalFormatting sqref="K89">
    <cfRule type="expression" dxfId="8933" priority="58108" stopIfTrue="1">
      <formula>NOT(ISBLANK($K$89))</formula>
    </cfRule>
  </conditionalFormatting>
  <conditionalFormatting sqref="L89">
    <cfRule type="expression" dxfId="8932" priority="58109" stopIfTrue="1">
      <formula>NOT(ISBLANK($L$89))</formula>
    </cfRule>
  </conditionalFormatting>
  <conditionalFormatting sqref="M89">
    <cfRule type="expression" dxfId="8931" priority="58110" stopIfTrue="1">
      <formula>NOT(ISBLANK($M$89))</formula>
    </cfRule>
  </conditionalFormatting>
  <conditionalFormatting sqref="N89">
    <cfRule type="expression" dxfId="8930" priority="58111" stopIfTrue="1">
      <formula>NOT(ISBLANK($N$89))</formula>
    </cfRule>
  </conditionalFormatting>
  <conditionalFormatting sqref="O89">
    <cfRule type="expression" dxfId="8929" priority="58112" stopIfTrue="1">
      <formula>NOT(ISBLANK($O$89))</formula>
    </cfRule>
  </conditionalFormatting>
  <conditionalFormatting sqref="P89">
    <cfRule type="expression" dxfId="8928" priority="58113" stopIfTrue="1">
      <formula>NOT(ISBLANK($P$89))</formula>
    </cfRule>
  </conditionalFormatting>
  <conditionalFormatting sqref="Q89">
    <cfRule type="expression" dxfId="8927" priority="58114" stopIfTrue="1">
      <formula>NOT(ISBLANK($Q$89))</formula>
    </cfRule>
  </conditionalFormatting>
  <conditionalFormatting sqref="R89">
    <cfRule type="expression" dxfId="8926" priority="58115" stopIfTrue="1">
      <formula>NOT(ISBLANK($R$89))</formula>
    </cfRule>
  </conditionalFormatting>
  <conditionalFormatting sqref="S89">
    <cfRule type="expression" dxfId="8925" priority="58116" stopIfTrue="1">
      <formula>NOT(ISBLANK($S$89))</formula>
    </cfRule>
  </conditionalFormatting>
  <conditionalFormatting sqref="T89">
    <cfRule type="expression" dxfId="8924" priority="58117" stopIfTrue="1">
      <formula>NOT(ISBLANK($T$89))</formula>
    </cfRule>
  </conditionalFormatting>
  <conditionalFormatting sqref="U89">
    <cfRule type="expression" dxfId="8923" priority="58118" stopIfTrue="1">
      <formula>NOT(ISBLANK($U$89))</formula>
    </cfRule>
  </conditionalFormatting>
  <conditionalFormatting sqref="V89">
    <cfRule type="expression" dxfId="8922" priority="58119" stopIfTrue="1">
      <formula>NOT(ISBLANK($V$89))</formula>
    </cfRule>
  </conditionalFormatting>
  <conditionalFormatting sqref="W89">
    <cfRule type="expression" dxfId="8921" priority="58120" stopIfTrue="1">
      <formula>NOT(ISBLANK($W$89))</formula>
    </cfRule>
  </conditionalFormatting>
  <conditionalFormatting sqref="X89">
    <cfRule type="expression" dxfId="8920" priority="58121" stopIfTrue="1">
      <formula>NOT(ISBLANK($X$89))</formula>
    </cfRule>
  </conditionalFormatting>
  <conditionalFormatting sqref="Y89">
    <cfRule type="expression" dxfId="8919" priority="58122" stopIfTrue="1">
      <formula>NOT(ISBLANK($Y$89))</formula>
    </cfRule>
  </conditionalFormatting>
  <conditionalFormatting sqref="Z89">
    <cfRule type="expression" dxfId="8918" priority="58123" stopIfTrue="1">
      <formula>NOT(ISBLANK($Z$89))</formula>
    </cfRule>
  </conditionalFormatting>
  <conditionalFormatting sqref="AA89">
    <cfRule type="expression" dxfId="8917" priority="58124" stopIfTrue="1">
      <formula>NOT(ISBLANK($AA$89))</formula>
    </cfRule>
  </conditionalFormatting>
  <conditionalFormatting sqref="AB89">
    <cfRule type="expression" dxfId="8916" priority="58125" stopIfTrue="1">
      <formula>NOT(ISBLANK($AB$89))</formula>
    </cfRule>
  </conditionalFormatting>
  <conditionalFormatting sqref="AC89">
    <cfRule type="expression" dxfId="8915" priority="58126" stopIfTrue="1">
      <formula>NOT(ISBLANK($AC$89))</formula>
    </cfRule>
  </conditionalFormatting>
  <conditionalFormatting sqref="AD89">
    <cfRule type="expression" dxfId="8914" priority="58127" stopIfTrue="1">
      <formula>NOT(ISBLANK($AD$89))</formula>
    </cfRule>
  </conditionalFormatting>
  <conditionalFormatting sqref="AE89">
    <cfRule type="expression" dxfId="8913" priority="58128" stopIfTrue="1">
      <formula>NOT(ISBLANK($AE$89))</formula>
    </cfRule>
  </conditionalFormatting>
  <conditionalFormatting sqref="AF89">
    <cfRule type="expression" dxfId="8912" priority="58129" stopIfTrue="1">
      <formula>NOT(ISBLANK($AF$89))</formula>
    </cfRule>
  </conditionalFormatting>
  <conditionalFormatting sqref="AG89">
    <cfRule type="expression" dxfId="8911" priority="58130" stopIfTrue="1">
      <formula>NOT(ISBLANK($AG$89))</formula>
    </cfRule>
  </conditionalFormatting>
  <conditionalFormatting sqref="AH89">
    <cfRule type="expression" dxfId="8910" priority="58131" stopIfTrue="1">
      <formula>NOT(ISBLANK($AH$89))</formula>
    </cfRule>
  </conditionalFormatting>
  <conditionalFormatting sqref="AI89">
    <cfRule type="expression" dxfId="8909" priority="58132" stopIfTrue="1">
      <formula>NOT(ISBLANK($AI$89))</formula>
    </cfRule>
  </conditionalFormatting>
  <conditionalFormatting sqref="AJ89">
    <cfRule type="expression" dxfId="8908" priority="58133" stopIfTrue="1">
      <formula>NOT(ISBLANK($AJ$89))</formula>
    </cfRule>
  </conditionalFormatting>
  <conditionalFormatting sqref="AK89">
    <cfRule type="expression" dxfId="8907" priority="58134" stopIfTrue="1">
      <formula>NOT(ISBLANK($AK$89))</formula>
    </cfRule>
  </conditionalFormatting>
  <conditionalFormatting sqref="AL89">
    <cfRule type="expression" dxfId="8906" priority="58135" stopIfTrue="1">
      <formula>NOT(ISBLANK($AL$89))</formula>
    </cfRule>
  </conditionalFormatting>
  <conditionalFormatting sqref="AM89">
    <cfRule type="expression" dxfId="8905" priority="58136" stopIfTrue="1">
      <formula>NOT(ISBLANK($AM$89))</formula>
    </cfRule>
  </conditionalFormatting>
  <conditionalFormatting sqref="AN89">
    <cfRule type="expression" dxfId="8904" priority="58137" stopIfTrue="1">
      <formula>NOT(ISBLANK($AN$89))</formula>
    </cfRule>
  </conditionalFormatting>
  <conditionalFormatting sqref="AO89">
    <cfRule type="expression" dxfId="8903" priority="58138" stopIfTrue="1">
      <formula>NOT(ISBLANK($AO$89))</formula>
    </cfRule>
  </conditionalFormatting>
  <conditionalFormatting sqref="AP89">
    <cfRule type="expression" dxfId="8902" priority="58139" stopIfTrue="1">
      <formula>NOT(ISBLANK($AP$89))</formula>
    </cfRule>
  </conditionalFormatting>
  <conditionalFormatting sqref="AQ89">
    <cfRule type="expression" dxfId="8901" priority="58140" stopIfTrue="1">
      <formula>NOT(ISBLANK($AQ$89))</formula>
    </cfRule>
  </conditionalFormatting>
  <conditionalFormatting sqref="A90">
    <cfRule type="cellIs" dxfId="8900" priority="58141" stopIfTrue="1" operator="notEqual">
      <formula>6</formula>
    </cfRule>
  </conditionalFormatting>
  <conditionalFormatting sqref="B90">
    <cfRule type="cellIs" dxfId="8899" priority="58142" stopIfTrue="1" operator="notEqual">
      <formula>1</formula>
    </cfRule>
  </conditionalFormatting>
  <conditionalFormatting sqref="C90">
    <cfRule type="cellIs" dxfId="8898" priority="58143" stopIfTrue="1" operator="notEqual">
      <formula>2</formula>
    </cfRule>
  </conditionalFormatting>
  <conditionalFormatting sqref="D90">
    <cfRule type="cellIs" dxfId="8897" priority="58144" stopIfTrue="1" operator="notEqual">
      <formula>0.124</formula>
    </cfRule>
  </conditionalFormatting>
  <conditionalFormatting sqref="E90">
    <cfRule type="cellIs" dxfId="8896" priority="58145" stopIfTrue="1" operator="notEqual">
      <formula>"MGD"</formula>
    </cfRule>
  </conditionalFormatting>
  <conditionalFormatting sqref="F90">
    <cfRule type="cellIs" dxfId="8895" priority="58146" stopIfTrue="1" operator="notEqual">
      <formula>0.035</formula>
    </cfRule>
  </conditionalFormatting>
  <conditionalFormatting sqref="G90">
    <cfRule type="cellIs" dxfId="8894" priority="58147" stopIfTrue="1" operator="notEqual">
      <formula>"MGD"</formula>
    </cfRule>
  </conditionalFormatting>
  <conditionalFormatting sqref="H90">
    <cfRule type="expression" dxfId="8893" priority="58148" stopIfTrue="1">
      <formula>NOT(ISBLANK($H$90))</formula>
    </cfRule>
  </conditionalFormatting>
  <conditionalFormatting sqref="I90">
    <cfRule type="expression" dxfId="8892" priority="58149" stopIfTrue="1">
      <formula>NOT(ISBLANK($I$90))</formula>
    </cfRule>
  </conditionalFormatting>
  <conditionalFormatting sqref="J90">
    <cfRule type="expression" dxfId="8891" priority="58150" stopIfTrue="1">
      <formula>NOT(ISBLANK($J$90))</formula>
    </cfRule>
  </conditionalFormatting>
  <conditionalFormatting sqref="K90">
    <cfRule type="expression" dxfId="8890" priority="58151" stopIfTrue="1">
      <formula>NOT(ISBLANK($K$90))</formula>
    </cfRule>
  </conditionalFormatting>
  <conditionalFormatting sqref="L90">
    <cfRule type="expression" dxfId="8889" priority="58152" stopIfTrue="1">
      <formula>NOT(ISBLANK($L$90))</formula>
    </cfRule>
  </conditionalFormatting>
  <conditionalFormatting sqref="M90">
    <cfRule type="expression" dxfId="8888" priority="58153" stopIfTrue="1">
      <formula>NOT(ISBLANK($M$90))</formula>
    </cfRule>
  </conditionalFormatting>
  <conditionalFormatting sqref="N90">
    <cfRule type="expression" dxfId="8887" priority="58154" stopIfTrue="1">
      <formula>NOT(ISBLANK($N$90))</formula>
    </cfRule>
  </conditionalFormatting>
  <conditionalFormatting sqref="O90">
    <cfRule type="expression" dxfId="8886" priority="58155" stopIfTrue="1">
      <formula>NOT(ISBLANK($O$90))</formula>
    </cfRule>
  </conditionalFormatting>
  <conditionalFormatting sqref="P90">
    <cfRule type="expression" dxfId="8885" priority="58156" stopIfTrue="1">
      <formula>NOT(ISBLANK($P$90))</formula>
    </cfRule>
  </conditionalFormatting>
  <conditionalFormatting sqref="Q90">
    <cfRule type="expression" dxfId="8884" priority="58157" stopIfTrue="1">
      <formula>NOT(ISBLANK($Q$90))</formula>
    </cfRule>
  </conditionalFormatting>
  <conditionalFormatting sqref="R90">
    <cfRule type="expression" dxfId="8883" priority="58158" stopIfTrue="1">
      <formula>NOT(ISBLANK($R$90))</formula>
    </cfRule>
  </conditionalFormatting>
  <conditionalFormatting sqref="S90">
    <cfRule type="expression" dxfId="8882" priority="58159" stopIfTrue="1">
      <formula>NOT(ISBLANK($S$90))</formula>
    </cfRule>
  </conditionalFormatting>
  <conditionalFormatting sqref="T90">
    <cfRule type="expression" dxfId="8881" priority="58160" stopIfTrue="1">
      <formula>NOT(ISBLANK($T$90))</formula>
    </cfRule>
  </conditionalFormatting>
  <conditionalFormatting sqref="U90">
    <cfRule type="expression" dxfId="8880" priority="58161" stopIfTrue="1">
      <formula>NOT(ISBLANK($U$90))</formula>
    </cfRule>
  </conditionalFormatting>
  <conditionalFormatting sqref="V90">
    <cfRule type="expression" dxfId="8879" priority="58162" stopIfTrue="1">
      <formula>NOT(ISBLANK($V$90))</formula>
    </cfRule>
  </conditionalFormatting>
  <conditionalFormatting sqref="W90">
    <cfRule type="expression" dxfId="8878" priority="58163" stopIfTrue="1">
      <formula>NOT(ISBLANK($W$90))</formula>
    </cfRule>
  </conditionalFormatting>
  <conditionalFormatting sqref="X90">
    <cfRule type="expression" dxfId="8877" priority="58164" stopIfTrue="1">
      <formula>NOT(ISBLANK($X$90))</formula>
    </cfRule>
  </conditionalFormatting>
  <conditionalFormatting sqref="Y90">
    <cfRule type="expression" dxfId="8876" priority="58165" stopIfTrue="1">
      <formula>NOT(ISBLANK($Y$90))</formula>
    </cfRule>
  </conditionalFormatting>
  <conditionalFormatting sqref="Z90">
    <cfRule type="expression" dxfId="8875" priority="58166" stopIfTrue="1">
      <formula>NOT(ISBLANK($Z$90))</formula>
    </cfRule>
  </conditionalFormatting>
  <conditionalFormatting sqref="AA90">
    <cfRule type="expression" dxfId="8874" priority="58167" stopIfTrue="1">
      <formula>NOT(ISBLANK($AA$90))</formula>
    </cfRule>
  </conditionalFormatting>
  <conditionalFormatting sqref="AB90">
    <cfRule type="expression" dxfId="8873" priority="58168" stopIfTrue="1">
      <formula>NOT(ISBLANK($AB$90))</formula>
    </cfRule>
  </conditionalFormatting>
  <conditionalFormatting sqref="AC90">
    <cfRule type="expression" dxfId="8872" priority="58169" stopIfTrue="1">
      <formula>NOT(ISBLANK($AC$90))</formula>
    </cfRule>
  </conditionalFormatting>
  <conditionalFormatting sqref="AD90">
    <cfRule type="expression" dxfId="8871" priority="58170" stopIfTrue="1">
      <formula>NOT(ISBLANK($AD$90))</formula>
    </cfRule>
  </conditionalFormatting>
  <conditionalFormatting sqref="AE90">
    <cfRule type="expression" dxfId="8870" priority="58171" stopIfTrue="1">
      <formula>NOT(ISBLANK($AE$90))</formula>
    </cfRule>
  </conditionalFormatting>
  <conditionalFormatting sqref="AF90">
    <cfRule type="expression" dxfId="8869" priority="58172" stopIfTrue="1">
      <formula>NOT(ISBLANK($AF$90))</formula>
    </cfRule>
  </conditionalFormatting>
  <conditionalFormatting sqref="AG90">
    <cfRule type="expression" dxfId="8868" priority="58173" stopIfTrue="1">
      <formula>NOT(ISBLANK($AG$90))</formula>
    </cfRule>
  </conditionalFormatting>
  <conditionalFormatting sqref="AH90">
    <cfRule type="expression" dxfId="8867" priority="58174" stopIfTrue="1">
      <formula>NOT(ISBLANK($AH$90))</formula>
    </cfRule>
  </conditionalFormatting>
  <conditionalFormatting sqref="AI90">
    <cfRule type="expression" dxfId="8866" priority="58175" stopIfTrue="1">
      <formula>NOT(ISBLANK($AI$90))</formula>
    </cfRule>
  </conditionalFormatting>
  <conditionalFormatting sqref="AJ90">
    <cfRule type="expression" dxfId="8865" priority="58176" stopIfTrue="1">
      <formula>NOT(ISBLANK($AJ$90))</formula>
    </cfRule>
  </conditionalFormatting>
  <conditionalFormatting sqref="AK90">
    <cfRule type="expression" dxfId="8864" priority="58177" stopIfTrue="1">
      <formula>NOT(ISBLANK($AK$90))</formula>
    </cfRule>
  </conditionalFormatting>
  <conditionalFormatting sqref="AL90">
    <cfRule type="expression" dxfId="8863" priority="58178" stopIfTrue="1">
      <formula>NOT(ISBLANK($AL$90))</formula>
    </cfRule>
  </conditionalFormatting>
  <conditionalFormatting sqref="AM90">
    <cfRule type="expression" dxfId="8862" priority="58179" stopIfTrue="1">
      <formula>NOT(ISBLANK($AM$90))</formula>
    </cfRule>
  </conditionalFormatting>
  <conditionalFormatting sqref="AN90">
    <cfRule type="expression" dxfId="8861" priority="58180" stopIfTrue="1">
      <formula>NOT(ISBLANK($AN$90))</formula>
    </cfRule>
  </conditionalFormatting>
  <conditionalFormatting sqref="AO90">
    <cfRule type="expression" dxfId="8860" priority="58181" stopIfTrue="1">
      <formula>NOT(ISBLANK($AO$90))</formula>
    </cfRule>
  </conditionalFormatting>
  <conditionalFormatting sqref="AP90">
    <cfRule type="expression" dxfId="8859" priority="58182" stopIfTrue="1">
      <formula>NOT(ISBLANK($AP$90))</formula>
    </cfRule>
  </conditionalFormatting>
  <conditionalFormatting sqref="AQ90">
    <cfRule type="expression" dxfId="8858" priority="58183" stopIfTrue="1">
      <formula>NOT(ISBLANK($AQ$90))</formula>
    </cfRule>
  </conditionalFormatting>
  <conditionalFormatting sqref="A91">
    <cfRule type="cellIs" dxfId="8857" priority="58184" stopIfTrue="1" operator="notEqual">
      <formula>6</formula>
    </cfRule>
  </conditionalFormatting>
  <conditionalFormatting sqref="B91">
    <cfRule type="cellIs" dxfId="8856" priority="58185" stopIfTrue="1" operator="notEqual">
      <formula>1</formula>
    </cfRule>
  </conditionalFormatting>
  <conditionalFormatting sqref="C91">
    <cfRule type="cellIs" dxfId="8855" priority="58186" stopIfTrue="1" operator="notEqual">
      <formula>3</formula>
    </cfRule>
  </conditionalFormatting>
  <conditionalFormatting sqref="D91">
    <cfRule type="cellIs" dxfId="8854" priority="58187" stopIfTrue="1" operator="notEqual">
      <formula>0.305</formula>
    </cfRule>
  </conditionalFormatting>
  <conditionalFormatting sqref="E91">
    <cfRule type="cellIs" dxfId="8853" priority="58188" stopIfTrue="1" operator="notEqual">
      <formula>"MGD"</formula>
    </cfRule>
  </conditionalFormatting>
  <conditionalFormatting sqref="F91">
    <cfRule type="cellIs" dxfId="8852" priority="58189" stopIfTrue="1" operator="notEqual">
      <formula>0.094</formula>
    </cfRule>
  </conditionalFormatting>
  <conditionalFormatting sqref="G91">
    <cfRule type="cellIs" dxfId="8851" priority="58190" stopIfTrue="1" operator="notEqual">
      <formula>"MGD"</formula>
    </cfRule>
  </conditionalFormatting>
  <conditionalFormatting sqref="H91">
    <cfRule type="expression" dxfId="8850" priority="58191" stopIfTrue="1">
      <formula>NOT(ISBLANK($H$91))</formula>
    </cfRule>
  </conditionalFormatting>
  <conditionalFormatting sqref="I91">
    <cfRule type="expression" dxfId="8849" priority="58192" stopIfTrue="1">
      <formula>NOT(ISBLANK($I$91))</formula>
    </cfRule>
  </conditionalFormatting>
  <conditionalFormatting sqref="J91">
    <cfRule type="expression" dxfId="8848" priority="58193" stopIfTrue="1">
      <formula>NOT(ISBLANK($J$91))</formula>
    </cfRule>
  </conditionalFormatting>
  <conditionalFormatting sqref="K91">
    <cfRule type="expression" dxfId="8847" priority="58194" stopIfTrue="1">
      <formula>NOT(ISBLANK($K$91))</formula>
    </cfRule>
  </conditionalFormatting>
  <conditionalFormatting sqref="L91">
    <cfRule type="expression" dxfId="8846" priority="58195" stopIfTrue="1">
      <formula>NOT(ISBLANK($L$91))</formula>
    </cfRule>
  </conditionalFormatting>
  <conditionalFormatting sqref="M91">
    <cfRule type="expression" dxfId="8845" priority="58196" stopIfTrue="1">
      <formula>NOT(ISBLANK($M$91))</formula>
    </cfRule>
  </conditionalFormatting>
  <conditionalFormatting sqref="N91">
    <cfRule type="expression" dxfId="8844" priority="58197" stopIfTrue="1">
      <formula>NOT(ISBLANK($N$91))</formula>
    </cfRule>
  </conditionalFormatting>
  <conditionalFormatting sqref="O91">
    <cfRule type="expression" dxfId="8843" priority="58198" stopIfTrue="1">
      <formula>NOT(ISBLANK($O$91))</formula>
    </cfRule>
  </conditionalFormatting>
  <conditionalFormatting sqref="P91">
    <cfRule type="expression" dxfId="8842" priority="58199" stopIfTrue="1">
      <formula>NOT(ISBLANK($P$91))</formula>
    </cfRule>
  </conditionalFormatting>
  <conditionalFormatting sqref="Q91">
    <cfRule type="expression" dxfId="8841" priority="58200" stopIfTrue="1">
      <formula>NOT(ISBLANK($Q$91))</formula>
    </cfRule>
  </conditionalFormatting>
  <conditionalFormatting sqref="R91">
    <cfRule type="expression" dxfId="8840" priority="58201" stopIfTrue="1">
      <formula>NOT(ISBLANK($R$91))</formula>
    </cfRule>
  </conditionalFormatting>
  <conditionalFormatting sqref="S91">
    <cfRule type="expression" dxfId="8839" priority="58202" stopIfTrue="1">
      <formula>NOT(ISBLANK($S$91))</formula>
    </cfRule>
  </conditionalFormatting>
  <conditionalFormatting sqref="T91">
    <cfRule type="expression" dxfId="8838" priority="58203" stopIfTrue="1">
      <formula>NOT(ISBLANK($T$91))</formula>
    </cfRule>
  </conditionalFormatting>
  <conditionalFormatting sqref="U91">
    <cfRule type="expression" dxfId="8837" priority="58204" stopIfTrue="1">
      <formula>NOT(ISBLANK($U$91))</formula>
    </cfRule>
  </conditionalFormatting>
  <conditionalFormatting sqref="V91">
    <cfRule type="expression" dxfId="8836" priority="58205" stopIfTrue="1">
      <formula>NOT(ISBLANK($V$91))</formula>
    </cfRule>
  </conditionalFormatting>
  <conditionalFormatting sqref="W91">
    <cfRule type="expression" dxfId="8835" priority="58206" stopIfTrue="1">
      <formula>NOT(ISBLANK($W$91))</formula>
    </cfRule>
  </conditionalFormatting>
  <conditionalFormatting sqref="X91">
    <cfRule type="expression" dxfId="8834" priority="58207" stopIfTrue="1">
      <formula>NOT(ISBLANK($X$91))</formula>
    </cfRule>
  </conditionalFormatting>
  <conditionalFormatting sqref="Y91">
    <cfRule type="expression" dxfId="8833" priority="58208" stopIfTrue="1">
      <formula>NOT(ISBLANK($Y$91))</formula>
    </cfRule>
  </conditionalFormatting>
  <conditionalFormatting sqref="Z91">
    <cfRule type="expression" dxfId="8832" priority="58209" stopIfTrue="1">
      <formula>NOT(ISBLANK($Z$91))</formula>
    </cfRule>
  </conditionalFormatting>
  <conditionalFormatting sqref="AA91">
    <cfRule type="expression" dxfId="8831" priority="58210" stopIfTrue="1">
      <formula>NOT(ISBLANK($AA$91))</formula>
    </cfRule>
  </conditionalFormatting>
  <conditionalFormatting sqref="AB91">
    <cfRule type="expression" dxfId="8830" priority="58211" stopIfTrue="1">
      <formula>NOT(ISBLANK($AB$91))</formula>
    </cfRule>
  </conditionalFormatting>
  <conditionalFormatting sqref="AC91">
    <cfRule type="expression" dxfId="8829" priority="58212" stopIfTrue="1">
      <formula>NOT(ISBLANK($AC$91))</formula>
    </cfRule>
  </conditionalFormatting>
  <conditionalFormatting sqref="AD91">
    <cfRule type="expression" dxfId="8828" priority="58213" stopIfTrue="1">
      <formula>NOT(ISBLANK($AD$91))</formula>
    </cfRule>
  </conditionalFormatting>
  <conditionalFormatting sqref="AE91">
    <cfRule type="expression" dxfId="8827" priority="58214" stopIfTrue="1">
      <formula>NOT(ISBLANK($AE$91))</formula>
    </cfRule>
  </conditionalFormatting>
  <conditionalFormatting sqref="AF91">
    <cfRule type="expression" dxfId="8826" priority="58215" stopIfTrue="1">
      <formula>NOT(ISBLANK($AF$91))</formula>
    </cfRule>
  </conditionalFormatting>
  <conditionalFormatting sqref="AG91">
    <cfRule type="expression" dxfId="8825" priority="58216" stopIfTrue="1">
      <formula>NOT(ISBLANK($AG$91))</formula>
    </cfRule>
  </conditionalFormatting>
  <conditionalFormatting sqref="AH91">
    <cfRule type="expression" dxfId="8824" priority="58217" stopIfTrue="1">
      <formula>NOT(ISBLANK($AH$91))</formula>
    </cfRule>
  </conditionalFormatting>
  <conditionalFormatting sqref="AI91">
    <cfRule type="expression" dxfId="8823" priority="58218" stopIfTrue="1">
      <formula>NOT(ISBLANK($AI$91))</formula>
    </cfRule>
  </conditionalFormatting>
  <conditionalFormatting sqref="AJ91">
    <cfRule type="expression" dxfId="8822" priority="58219" stopIfTrue="1">
      <formula>NOT(ISBLANK($AJ$91))</formula>
    </cfRule>
  </conditionalFormatting>
  <conditionalFormatting sqref="AK91">
    <cfRule type="expression" dxfId="8821" priority="58220" stopIfTrue="1">
      <formula>NOT(ISBLANK($AK$91))</formula>
    </cfRule>
  </conditionalFormatting>
  <conditionalFormatting sqref="AL91">
    <cfRule type="expression" dxfId="8820" priority="58221" stopIfTrue="1">
      <formula>NOT(ISBLANK($AL$91))</formula>
    </cfRule>
  </conditionalFormatting>
  <conditionalFormatting sqref="AM91">
    <cfRule type="expression" dxfId="8819" priority="58222" stopIfTrue="1">
      <formula>NOT(ISBLANK($AM$91))</formula>
    </cfRule>
  </conditionalFormatting>
  <conditionalFormatting sqref="AN91">
    <cfRule type="expression" dxfId="8818" priority="58223" stopIfTrue="1">
      <formula>NOT(ISBLANK($AN$91))</formula>
    </cfRule>
  </conditionalFormatting>
  <conditionalFormatting sqref="AO91">
    <cfRule type="expression" dxfId="8817" priority="58224" stopIfTrue="1">
      <formula>NOT(ISBLANK($AO$91))</formula>
    </cfRule>
  </conditionalFormatting>
  <conditionalFormatting sqref="AP91">
    <cfRule type="expression" dxfId="8816" priority="58225" stopIfTrue="1">
      <formula>NOT(ISBLANK($AP$91))</formula>
    </cfRule>
  </conditionalFormatting>
  <conditionalFormatting sqref="AQ91">
    <cfRule type="expression" dxfId="8815" priority="58226" stopIfTrue="1">
      <formula>NOT(ISBLANK($AQ$91))</formula>
    </cfRule>
  </conditionalFormatting>
  <conditionalFormatting sqref="A92">
    <cfRule type="cellIs" dxfId="8814" priority="58227" stopIfTrue="1" operator="notEqual">
      <formula>6</formula>
    </cfRule>
  </conditionalFormatting>
  <conditionalFormatting sqref="B92">
    <cfRule type="cellIs" dxfId="8813" priority="58228" stopIfTrue="1" operator="notEqual">
      <formula>1</formula>
    </cfRule>
  </conditionalFormatting>
  <conditionalFormatting sqref="C92">
    <cfRule type="cellIs" dxfId="8812" priority="58229" stopIfTrue="1" operator="notEqual">
      <formula>4</formula>
    </cfRule>
  </conditionalFormatting>
  <conditionalFormatting sqref="D92">
    <cfRule type="cellIs" dxfId="8811" priority="58230" stopIfTrue="1" operator="notEqual">
      <formula>0.74</formula>
    </cfRule>
  </conditionalFormatting>
  <conditionalFormatting sqref="E92">
    <cfRule type="cellIs" dxfId="8810" priority="58231" stopIfTrue="1" operator="notEqual">
      <formula>"MGD"</formula>
    </cfRule>
  </conditionalFormatting>
  <conditionalFormatting sqref="F92">
    <cfRule type="cellIs" dxfId="8809" priority="58232" stopIfTrue="1" operator="notEqual">
      <formula>0.251</formula>
    </cfRule>
  </conditionalFormatting>
  <conditionalFormatting sqref="G92">
    <cfRule type="cellIs" dxfId="8808" priority="58233" stopIfTrue="1" operator="notEqual">
      <formula>"MGD"</formula>
    </cfRule>
  </conditionalFormatting>
  <conditionalFormatting sqref="H92">
    <cfRule type="expression" dxfId="8807" priority="58234" stopIfTrue="1">
      <formula>NOT(ISBLANK($H$92))</formula>
    </cfRule>
  </conditionalFormatting>
  <conditionalFormatting sqref="I92">
    <cfRule type="expression" dxfId="8806" priority="58235" stopIfTrue="1">
      <formula>NOT(ISBLANK($I$92))</formula>
    </cfRule>
  </conditionalFormatting>
  <conditionalFormatting sqref="J92">
    <cfRule type="expression" dxfId="8805" priority="58236" stopIfTrue="1">
      <formula>NOT(ISBLANK($J$92))</formula>
    </cfRule>
  </conditionalFormatting>
  <conditionalFormatting sqref="K92">
    <cfRule type="expression" dxfId="8804" priority="58237" stopIfTrue="1">
      <formula>NOT(ISBLANK($K$92))</formula>
    </cfRule>
  </conditionalFormatting>
  <conditionalFormatting sqref="L92">
    <cfRule type="expression" dxfId="8803" priority="58238" stopIfTrue="1">
      <formula>NOT(ISBLANK($L$92))</formula>
    </cfRule>
  </conditionalFormatting>
  <conditionalFormatting sqref="M92">
    <cfRule type="expression" dxfId="8802" priority="58239" stopIfTrue="1">
      <formula>NOT(ISBLANK($M$92))</formula>
    </cfRule>
  </conditionalFormatting>
  <conditionalFormatting sqref="N92">
    <cfRule type="expression" dxfId="8801" priority="58240" stopIfTrue="1">
      <formula>NOT(ISBLANK($N$92))</formula>
    </cfRule>
  </conditionalFormatting>
  <conditionalFormatting sqref="O92">
    <cfRule type="expression" dxfId="8800" priority="58241" stopIfTrue="1">
      <formula>NOT(ISBLANK($O$92))</formula>
    </cfRule>
  </conditionalFormatting>
  <conditionalFormatting sqref="P92">
    <cfRule type="expression" dxfId="8799" priority="58242" stopIfTrue="1">
      <formula>NOT(ISBLANK($P$92))</formula>
    </cfRule>
  </conditionalFormatting>
  <conditionalFormatting sqref="Q92">
    <cfRule type="expression" dxfId="8798" priority="58243" stopIfTrue="1">
      <formula>NOT(ISBLANK($Q$92))</formula>
    </cfRule>
  </conditionalFormatting>
  <conditionalFormatting sqref="R92">
    <cfRule type="expression" dxfId="8797" priority="58244" stopIfTrue="1">
      <formula>NOT(ISBLANK($R$92))</formula>
    </cfRule>
  </conditionalFormatting>
  <conditionalFormatting sqref="S92">
    <cfRule type="expression" dxfId="8796" priority="58245" stopIfTrue="1">
      <formula>NOT(ISBLANK($S$92))</formula>
    </cfRule>
  </conditionalFormatting>
  <conditionalFormatting sqref="T92">
    <cfRule type="expression" dxfId="8795" priority="58246" stopIfTrue="1">
      <formula>NOT(ISBLANK($T$92))</formula>
    </cfRule>
  </conditionalFormatting>
  <conditionalFormatting sqref="U92">
    <cfRule type="expression" dxfId="8794" priority="58247" stopIfTrue="1">
      <formula>NOT(ISBLANK($U$92))</formula>
    </cfRule>
  </conditionalFormatting>
  <conditionalFormatting sqref="V92">
    <cfRule type="expression" dxfId="8793" priority="58248" stopIfTrue="1">
      <formula>NOT(ISBLANK($V$92))</formula>
    </cfRule>
  </conditionalFormatting>
  <conditionalFormatting sqref="W92">
    <cfRule type="expression" dxfId="8792" priority="58249" stopIfTrue="1">
      <formula>NOT(ISBLANK($W$92))</formula>
    </cfRule>
  </conditionalFormatting>
  <conditionalFormatting sqref="X92">
    <cfRule type="expression" dxfId="8791" priority="58250" stopIfTrue="1">
      <formula>NOT(ISBLANK($X$92))</formula>
    </cfRule>
  </conditionalFormatting>
  <conditionalFormatting sqref="Y92">
    <cfRule type="expression" dxfId="8790" priority="58251" stopIfTrue="1">
      <formula>NOT(ISBLANK($Y$92))</formula>
    </cfRule>
  </conditionalFormatting>
  <conditionalFormatting sqref="Z92">
    <cfRule type="expression" dxfId="8789" priority="58252" stopIfTrue="1">
      <formula>NOT(ISBLANK($Z$92))</formula>
    </cfRule>
  </conditionalFormatting>
  <conditionalFormatting sqref="AA92">
    <cfRule type="expression" dxfId="8788" priority="58253" stopIfTrue="1">
      <formula>NOT(ISBLANK($AA$92))</formula>
    </cfRule>
  </conditionalFormatting>
  <conditionalFormatting sqref="AB92">
    <cfRule type="expression" dxfId="8787" priority="58254" stopIfTrue="1">
      <formula>NOT(ISBLANK($AB$92))</formula>
    </cfRule>
  </conditionalFormatting>
  <conditionalFormatting sqref="AC92">
    <cfRule type="expression" dxfId="8786" priority="58255" stopIfTrue="1">
      <formula>NOT(ISBLANK($AC$92))</formula>
    </cfRule>
  </conditionalFormatting>
  <conditionalFormatting sqref="AD92">
    <cfRule type="expression" dxfId="8785" priority="58256" stopIfTrue="1">
      <formula>NOT(ISBLANK($AD$92))</formula>
    </cfRule>
  </conditionalFormatting>
  <conditionalFormatting sqref="AE92">
    <cfRule type="expression" dxfId="8784" priority="58257" stopIfTrue="1">
      <formula>NOT(ISBLANK($AE$92))</formula>
    </cfRule>
  </conditionalFormatting>
  <conditionalFormatting sqref="AF92">
    <cfRule type="expression" dxfId="8783" priority="58258" stopIfTrue="1">
      <formula>NOT(ISBLANK($AF$92))</formula>
    </cfRule>
  </conditionalFormatting>
  <conditionalFormatting sqref="AG92">
    <cfRule type="expression" dxfId="8782" priority="58259" stopIfTrue="1">
      <formula>NOT(ISBLANK($AG$92))</formula>
    </cfRule>
  </conditionalFormatting>
  <conditionalFormatting sqref="AH92">
    <cfRule type="expression" dxfId="8781" priority="58260" stopIfTrue="1">
      <formula>NOT(ISBLANK($AH$92))</formula>
    </cfRule>
  </conditionalFormatting>
  <conditionalFormatting sqref="AI92">
    <cfRule type="expression" dxfId="8780" priority="58261" stopIfTrue="1">
      <formula>NOT(ISBLANK($AI$92))</formula>
    </cfRule>
  </conditionalFormatting>
  <conditionalFormatting sqref="AJ92">
    <cfRule type="expression" dxfId="8779" priority="58262" stopIfTrue="1">
      <formula>NOT(ISBLANK($AJ$92))</formula>
    </cfRule>
  </conditionalFormatting>
  <conditionalFormatting sqref="AK92">
    <cfRule type="expression" dxfId="8778" priority="58263" stopIfTrue="1">
      <formula>NOT(ISBLANK($AK$92))</formula>
    </cfRule>
  </conditionalFormatting>
  <conditionalFormatting sqref="AL92">
    <cfRule type="expression" dxfId="8777" priority="58264" stopIfTrue="1">
      <formula>NOT(ISBLANK($AL$92))</formula>
    </cfRule>
  </conditionalFormatting>
  <conditionalFormatting sqref="AM92">
    <cfRule type="expression" dxfId="8776" priority="58265" stopIfTrue="1">
      <formula>NOT(ISBLANK($AM$92))</formula>
    </cfRule>
  </conditionalFormatting>
  <conditionalFormatting sqref="AN92">
    <cfRule type="expression" dxfId="8775" priority="58266" stopIfTrue="1">
      <formula>NOT(ISBLANK($AN$92))</formula>
    </cfRule>
  </conditionalFormatting>
  <conditionalFormatting sqref="AO92">
    <cfRule type="expression" dxfId="8774" priority="58267" stopIfTrue="1">
      <formula>NOT(ISBLANK($AO$92))</formula>
    </cfRule>
  </conditionalFormatting>
  <conditionalFormatting sqref="AP92">
    <cfRule type="expression" dxfId="8773" priority="58268" stopIfTrue="1">
      <formula>NOT(ISBLANK($AP$92))</formula>
    </cfRule>
  </conditionalFormatting>
  <conditionalFormatting sqref="AQ92">
    <cfRule type="expression" dxfId="8772" priority="58269" stopIfTrue="1">
      <formula>NOT(ISBLANK($AQ$92))</formula>
    </cfRule>
  </conditionalFormatting>
  <conditionalFormatting sqref="A93">
    <cfRule type="cellIs" dxfId="8771" priority="58270" stopIfTrue="1" operator="notEqual">
      <formula>6</formula>
    </cfRule>
  </conditionalFormatting>
  <conditionalFormatting sqref="B93">
    <cfRule type="cellIs" dxfId="8770" priority="58271" stopIfTrue="1" operator="notEqual">
      <formula>1</formula>
    </cfRule>
  </conditionalFormatting>
  <conditionalFormatting sqref="C93">
    <cfRule type="cellIs" dxfId="8769" priority="58272" stopIfTrue="1" operator="notEqual">
      <formula>5</formula>
    </cfRule>
  </conditionalFormatting>
  <conditionalFormatting sqref="D93">
    <cfRule type="cellIs" dxfId="8768" priority="58273" stopIfTrue="1" operator="notEqual">
      <formula>2.152</formula>
    </cfRule>
  </conditionalFormatting>
  <conditionalFormatting sqref="E93">
    <cfRule type="cellIs" dxfId="8767" priority="58274" stopIfTrue="1" operator="notEqual">
      <formula>"MGD"</formula>
    </cfRule>
  </conditionalFormatting>
  <conditionalFormatting sqref="F93">
    <cfRule type="cellIs" dxfId="8766" priority="58275" stopIfTrue="1" operator="notEqual">
      <formula>0.819</formula>
    </cfRule>
  </conditionalFormatting>
  <conditionalFormatting sqref="G93">
    <cfRule type="cellIs" dxfId="8765" priority="58276" stopIfTrue="1" operator="notEqual">
      <formula>"MGD"</formula>
    </cfRule>
  </conditionalFormatting>
  <conditionalFormatting sqref="H93">
    <cfRule type="expression" dxfId="8764" priority="58277" stopIfTrue="1">
      <formula>NOT(ISBLANK($H$93))</formula>
    </cfRule>
  </conditionalFormatting>
  <conditionalFormatting sqref="I93">
    <cfRule type="expression" dxfId="8763" priority="58278" stopIfTrue="1">
      <formula>NOT(ISBLANK($I$93))</formula>
    </cfRule>
  </conditionalFormatting>
  <conditionalFormatting sqref="J93">
    <cfRule type="expression" dxfId="8762" priority="58279" stopIfTrue="1">
      <formula>NOT(ISBLANK($J$93))</formula>
    </cfRule>
  </conditionalFormatting>
  <conditionalFormatting sqref="K93">
    <cfRule type="expression" dxfId="8761" priority="58280" stopIfTrue="1">
      <formula>NOT(ISBLANK($K$93))</formula>
    </cfRule>
  </conditionalFormatting>
  <conditionalFormatting sqref="L93">
    <cfRule type="expression" dxfId="8760" priority="58281" stopIfTrue="1">
      <formula>NOT(ISBLANK($L$93))</formula>
    </cfRule>
  </conditionalFormatting>
  <conditionalFormatting sqref="M93">
    <cfRule type="expression" dxfId="8759" priority="58282" stopIfTrue="1">
      <formula>NOT(ISBLANK($M$93))</formula>
    </cfRule>
  </conditionalFormatting>
  <conditionalFormatting sqref="N93">
    <cfRule type="expression" dxfId="8758" priority="58283" stopIfTrue="1">
      <formula>NOT(ISBLANK($N$93))</formula>
    </cfRule>
  </conditionalFormatting>
  <conditionalFormatting sqref="O93">
    <cfRule type="expression" dxfId="8757" priority="58284" stopIfTrue="1">
      <formula>NOT(ISBLANK($O$93))</formula>
    </cfRule>
  </conditionalFormatting>
  <conditionalFormatting sqref="P93">
    <cfRule type="expression" dxfId="8756" priority="58285" stopIfTrue="1">
      <formula>NOT(ISBLANK($P$93))</formula>
    </cfRule>
  </conditionalFormatting>
  <conditionalFormatting sqref="Q93">
    <cfRule type="expression" dxfId="8755" priority="58286" stopIfTrue="1">
      <formula>NOT(ISBLANK($Q$93))</formula>
    </cfRule>
  </conditionalFormatting>
  <conditionalFormatting sqref="R93">
    <cfRule type="expression" dxfId="8754" priority="58287" stopIfTrue="1">
      <formula>NOT(ISBLANK($R$93))</formula>
    </cfRule>
  </conditionalFormatting>
  <conditionalFormatting sqref="S93">
    <cfRule type="expression" dxfId="8753" priority="58288" stopIfTrue="1">
      <formula>NOT(ISBLANK($S$93))</formula>
    </cfRule>
  </conditionalFormatting>
  <conditionalFormatting sqref="T93">
    <cfRule type="expression" dxfId="8752" priority="58289" stopIfTrue="1">
      <formula>NOT(ISBLANK($T$93))</formula>
    </cfRule>
  </conditionalFormatting>
  <conditionalFormatting sqref="U93">
    <cfRule type="expression" dxfId="8751" priority="58290" stopIfTrue="1">
      <formula>NOT(ISBLANK($U$93))</formula>
    </cfRule>
  </conditionalFormatting>
  <conditionalFormatting sqref="V93">
    <cfRule type="expression" dxfId="8750" priority="58291" stopIfTrue="1">
      <formula>NOT(ISBLANK($V$93))</formula>
    </cfRule>
  </conditionalFormatting>
  <conditionalFormatting sqref="W93">
    <cfRule type="expression" dxfId="8749" priority="58292" stopIfTrue="1">
      <formula>NOT(ISBLANK($W$93))</formula>
    </cfRule>
  </conditionalFormatting>
  <conditionalFormatting sqref="X93">
    <cfRule type="expression" dxfId="8748" priority="58293" stopIfTrue="1">
      <formula>NOT(ISBLANK($X$93))</formula>
    </cfRule>
  </conditionalFormatting>
  <conditionalFormatting sqref="Y93">
    <cfRule type="expression" dxfId="8747" priority="58294" stopIfTrue="1">
      <formula>NOT(ISBLANK($Y$93))</formula>
    </cfRule>
  </conditionalFormatting>
  <conditionalFormatting sqref="Z93">
    <cfRule type="expression" dxfId="8746" priority="58295" stopIfTrue="1">
      <formula>NOT(ISBLANK($Z$93))</formula>
    </cfRule>
  </conditionalFormatting>
  <conditionalFormatting sqref="AA93">
    <cfRule type="expression" dxfId="8745" priority="58296" stopIfTrue="1">
      <formula>NOT(ISBLANK($AA$93))</formula>
    </cfRule>
  </conditionalFormatting>
  <conditionalFormatting sqref="AB93">
    <cfRule type="expression" dxfId="8744" priority="58297" stopIfTrue="1">
      <formula>NOT(ISBLANK($AB$93))</formula>
    </cfRule>
  </conditionalFormatting>
  <conditionalFormatting sqref="AC93">
    <cfRule type="expression" dxfId="8743" priority="58298" stopIfTrue="1">
      <formula>NOT(ISBLANK($AC$93))</formula>
    </cfRule>
  </conditionalFormatting>
  <conditionalFormatting sqref="AD93">
    <cfRule type="expression" dxfId="8742" priority="58299" stopIfTrue="1">
      <formula>NOT(ISBLANK($AD$93))</formula>
    </cfRule>
  </conditionalFormatting>
  <conditionalFormatting sqref="AE93">
    <cfRule type="expression" dxfId="8741" priority="58300" stopIfTrue="1">
      <formula>NOT(ISBLANK($AE$93))</formula>
    </cfRule>
  </conditionalFormatting>
  <conditionalFormatting sqref="AF93">
    <cfRule type="expression" dxfId="8740" priority="58301" stopIfTrue="1">
      <formula>NOT(ISBLANK($AF$93))</formula>
    </cfRule>
  </conditionalFormatting>
  <conditionalFormatting sqref="AG93">
    <cfRule type="expression" dxfId="8739" priority="58302" stopIfTrue="1">
      <formula>NOT(ISBLANK($AG$93))</formula>
    </cfRule>
  </conditionalFormatting>
  <conditionalFormatting sqref="AH93">
    <cfRule type="expression" dxfId="8738" priority="58303" stopIfTrue="1">
      <formula>NOT(ISBLANK($AH$93))</formula>
    </cfRule>
  </conditionalFormatting>
  <conditionalFormatting sqref="AI93">
    <cfRule type="expression" dxfId="8737" priority="58304" stopIfTrue="1">
      <formula>NOT(ISBLANK($AI$93))</formula>
    </cfRule>
  </conditionalFormatting>
  <conditionalFormatting sqref="AJ93">
    <cfRule type="expression" dxfId="8736" priority="58305" stopIfTrue="1">
      <formula>NOT(ISBLANK($AJ$93))</formula>
    </cfRule>
  </conditionalFormatting>
  <conditionalFormatting sqref="AK93">
    <cfRule type="expression" dxfId="8735" priority="58306" stopIfTrue="1">
      <formula>NOT(ISBLANK($AK$93))</formula>
    </cfRule>
  </conditionalFormatting>
  <conditionalFormatting sqref="AL93">
    <cfRule type="expression" dxfId="8734" priority="58307" stopIfTrue="1">
      <formula>NOT(ISBLANK($AL$93))</formula>
    </cfRule>
  </conditionalFormatting>
  <conditionalFormatting sqref="AM93">
    <cfRule type="expression" dxfId="8733" priority="58308" stopIfTrue="1">
      <formula>NOT(ISBLANK($AM$93))</formula>
    </cfRule>
  </conditionalFormatting>
  <conditionalFormatting sqref="AN93">
    <cfRule type="expression" dxfId="8732" priority="58309" stopIfTrue="1">
      <formula>NOT(ISBLANK($AN$93))</formula>
    </cfRule>
  </conditionalFormatting>
  <conditionalFormatting sqref="AO93">
    <cfRule type="expression" dxfId="8731" priority="58310" stopIfTrue="1">
      <formula>NOT(ISBLANK($AO$93))</formula>
    </cfRule>
  </conditionalFormatting>
  <conditionalFormatting sqref="AP93">
    <cfRule type="expression" dxfId="8730" priority="58311" stopIfTrue="1">
      <formula>NOT(ISBLANK($AP$93))</formula>
    </cfRule>
  </conditionalFormatting>
  <conditionalFormatting sqref="AQ93">
    <cfRule type="expression" dxfId="8729" priority="58312" stopIfTrue="1">
      <formula>NOT(ISBLANK($AQ$93))</formula>
    </cfRule>
  </conditionalFormatting>
  <conditionalFormatting sqref="A94">
    <cfRule type="cellIs" dxfId="8728" priority="58313" stopIfTrue="1" operator="notEqual">
      <formula>6</formula>
    </cfRule>
  </conditionalFormatting>
  <conditionalFormatting sqref="B94">
    <cfRule type="cellIs" dxfId="8727" priority="58314" stopIfTrue="1" operator="notEqual">
      <formula>1</formula>
    </cfRule>
  </conditionalFormatting>
  <conditionalFormatting sqref="C94">
    <cfRule type="cellIs" dxfId="8726" priority="58315" stopIfTrue="1" operator="notEqual">
      <formula>6</formula>
    </cfRule>
  </conditionalFormatting>
  <conditionalFormatting sqref="D94">
    <cfRule type="cellIs" dxfId="8725" priority="58316" stopIfTrue="1" operator="notEqual">
      <formula>7.365</formula>
    </cfRule>
  </conditionalFormatting>
  <conditionalFormatting sqref="E94">
    <cfRule type="cellIs" dxfId="8724" priority="58317" stopIfTrue="1" operator="notEqual">
      <formula>"MGD"</formula>
    </cfRule>
  </conditionalFormatting>
  <conditionalFormatting sqref="F94">
    <cfRule type="cellIs" dxfId="8723" priority="58318" stopIfTrue="1" operator="notEqual">
      <formula>3.2</formula>
    </cfRule>
  </conditionalFormatting>
  <conditionalFormatting sqref="G94">
    <cfRule type="cellIs" dxfId="8722" priority="58319" stopIfTrue="1" operator="notEqual">
      <formula>"MGD"</formula>
    </cfRule>
  </conditionalFormatting>
  <conditionalFormatting sqref="H94">
    <cfRule type="expression" dxfId="8721" priority="58320" stopIfTrue="1">
      <formula>NOT(ISBLANK($H$94))</formula>
    </cfRule>
  </conditionalFormatting>
  <conditionalFormatting sqref="I94">
    <cfRule type="expression" dxfId="8720" priority="58321" stopIfTrue="1">
      <formula>NOT(ISBLANK($I$94))</formula>
    </cfRule>
  </conditionalFormatting>
  <conditionalFormatting sqref="J94">
    <cfRule type="expression" dxfId="8719" priority="58322" stopIfTrue="1">
      <formula>NOT(ISBLANK($J$94))</formula>
    </cfRule>
  </conditionalFormatting>
  <conditionalFormatting sqref="K94">
    <cfRule type="expression" dxfId="8718" priority="58323" stopIfTrue="1">
      <formula>NOT(ISBLANK($K$94))</formula>
    </cfRule>
  </conditionalFormatting>
  <conditionalFormatting sqref="L94">
    <cfRule type="expression" dxfId="8717" priority="58324" stopIfTrue="1">
      <formula>NOT(ISBLANK($L$94))</formula>
    </cfRule>
  </conditionalFormatting>
  <conditionalFormatting sqref="M94">
    <cfRule type="expression" dxfId="8716" priority="58325" stopIfTrue="1">
      <formula>NOT(ISBLANK($M$94))</formula>
    </cfRule>
  </conditionalFormatting>
  <conditionalFormatting sqref="N94">
    <cfRule type="expression" dxfId="8715" priority="58326" stopIfTrue="1">
      <formula>NOT(ISBLANK($N$94))</formula>
    </cfRule>
  </conditionalFormatting>
  <conditionalFormatting sqref="O94">
    <cfRule type="expression" dxfId="8714" priority="58327" stopIfTrue="1">
      <formula>NOT(ISBLANK($O$94))</formula>
    </cfRule>
  </conditionalFormatting>
  <conditionalFormatting sqref="P94">
    <cfRule type="expression" dxfId="8713" priority="58328" stopIfTrue="1">
      <formula>NOT(ISBLANK($P$94))</formula>
    </cfRule>
  </conditionalFormatting>
  <conditionalFormatting sqref="Q94">
    <cfRule type="expression" dxfId="8712" priority="58329" stopIfTrue="1">
      <formula>NOT(ISBLANK($Q$94))</formula>
    </cfRule>
  </conditionalFormatting>
  <conditionalFormatting sqref="R94">
    <cfRule type="expression" dxfId="8711" priority="58330" stopIfTrue="1">
      <formula>NOT(ISBLANK($R$94))</formula>
    </cfRule>
  </conditionalFormatting>
  <conditionalFormatting sqref="S94">
    <cfRule type="expression" dxfId="8710" priority="58331" stopIfTrue="1">
      <formula>NOT(ISBLANK($S$94))</formula>
    </cfRule>
  </conditionalFormatting>
  <conditionalFormatting sqref="T94">
    <cfRule type="expression" dxfId="8709" priority="58332" stopIfTrue="1">
      <formula>NOT(ISBLANK($T$94))</formula>
    </cfRule>
  </conditionalFormatting>
  <conditionalFormatting sqref="U94">
    <cfRule type="expression" dxfId="8708" priority="58333" stopIfTrue="1">
      <formula>NOT(ISBLANK($U$94))</formula>
    </cfRule>
  </conditionalFormatting>
  <conditionalFormatting sqref="V94">
    <cfRule type="expression" dxfId="8707" priority="58334" stopIfTrue="1">
      <formula>NOT(ISBLANK($V$94))</formula>
    </cfRule>
  </conditionalFormatting>
  <conditionalFormatting sqref="W94">
    <cfRule type="expression" dxfId="8706" priority="58335" stopIfTrue="1">
      <formula>NOT(ISBLANK($W$94))</formula>
    </cfRule>
  </conditionalFormatting>
  <conditionalFormatting sqref="X94">
    <cfRule type="expression" dxfId="8705" priority="58336" stopIfTrue="1">
      <formula>NOT(ISBLANK($X$94))</formula>
    </cfRule>
  </conditionalFormatting>
  <conditionalFormatting sqref="Y94">
    <cfRule type="expression" dxfId="8704" priority="58337" stopIfTrue="1">
      <formula>NOT(ISBLANK($Y$94))</formula>
    </cfRule>
  </conditionalFormatting>
  <conditionalFormatting sqref="Z94">
    <cfRule type="expression" dxfId="8703" priority="58338" stopIfTrue="1">
      <formula>NOT(ISBLANK($Z$94))</formula>
    </cfRule>
  </conditionalFormatting>
  <conditionalFormatting sqref="AA94">
    <cfRule type="expression" dxfId="8702" priority="58339" stopIfTrue="1">
      <formula>NOT(ISBLANK($AA$94))</formula>
    </cfRule>
  </conditionalFormatting>
  <conditionalFormatting sqref="AB94">
    <cfRule type="expression" dxfId="8701" priority="58340" stopIfTrue="1">
      <formula>NOT(ISBLANK($AB$94))</formula>
    </cfRule>
  </conditionalFormatting>
  <conditionalFormatting sqref="AC94">
    <cfRule type="expression" dxfId="8700" priority="58341" stopIfTrue="1">
      <formula>NOT(ISBLANK($AC$94))</formula>
    </cfRule>
  </conditionalFormatting>
  <conditionalFormatting sqref="AD94">
    <cfRule type="expression" dxfId="8699" priority="58342" stopIfTrue="1">
      <formula>NOT(ISBLANK($AD$94))</formula>
    </cfRule>
  </conditionalFormatting>
  <conditionalFormatting sqref="AE94">
    <cfRule type="expression" dxfId="8698" priority="58343" stopIfTrue="1">
      <formula>NOT(ISBLANK($AE$94))</formula>
    </cfRule>
  </conditionalFormatting>
  <conditionalFormatting sqref="AF94">
    <cfRule type="expression" dxfId="8697" priority="58344" stopIfTrue="1">
      <formula>NOT(ISBLANK($AF$94))</formula>
    </cfRule>
  </conditionalFormatting>
  <conditionalFormatting sqref="AG94">
    <cfRule type="expression" dxfId="8696" priority="58345" stopIfTrue="1">
      <formula>NOT(ISBLANK($AG$94))</formula>
    </cfRule>
  </conditionalFormatting>
  <conditionalFormatting sqref="AH94">
    <cfRule type="expression" dxfId="8695" priority="58346" stopIfTrue="1">
      <formula>NOT(ISBLANK($AH$94))</formula>
    </cfRule>
  </conditionalFormatting>
  <conditionalFormatting sqref="AI94">
    <cfRule type="expression" dxfId="8694" priority="58347" stopIfTrue="1">
      <formula>NOT(ISBLANK($AI$94))</formula>
    </cfRule>
  </conditionalFormatting>
  <conditionalFormatting sqref="AJ94">
    <cfRule type="expression" dxfId="8693" priority="58348" stopIfTrue="1">
      <formula>NOT(ISBLANK($AJ$94))</formula>
    </cfRule>
  </conditionalFormatting>
  <conditionalFormatting sqref="AK94">
    <cfRule type="expression" dxfId="8692" priority="58349" stopIfTrue="1">
      <formula>NOT(ISBLANK($AK$94))</formula>
    </cfRule>
  </conditionalFormatting>
  <conditionalFormatting sqref="AL94">
    <cfRule type="expression" dxfId="8691" priority="58350" stopIfTrue="1">
      <formula>NOT(ISBLANK($AL$94))</formula>
    </cfRule>
  </conditionalFormatting>
  <conditionalFormatting sqref="AM94">
    <cfRule type="expression" dxfId="8690" priority="58351" stopIfTrue="1">
      <formula>NOT(ISBLANK($AM$94))</formula>
    </cfRule>
  </conditionalFormatting>
  <conditionalFormatting sqref="AN94">
    <cfRule type="expression" dxfId="8689" priority="58352" stopIfTrue="1">
      <formula>NOT(ISBLANK($AN$94))</formula>
    </cfRule>
  </conditionalFormatting>
  <conditionalFormatting sqref="AO94">
    <cfRule type="expression" dxfId="8688" priority="58353" stopIfTrue="1">
      <formula>NOT(ISBLANK($AO$94))</formula>
    </cfRule>
  </conditionalFormatting>
  <conditionalFormatting sqref="AP94">
    <cfRule type="expression" dxfId="8687" priority="58354" stopIfTrue="1">
      <formula>NOT(ISBLANK($AP$94))</formula>
    </cfRule>
  </conditionalFormatting>
  <conditionalFormatting sqref="AQ94">
    <cfRule type="expression" dxfId="8686" priority="58355" stopIfTrue="1">
      <formula>NOT(ISBLANK($AQ$94))</formula>
    </cfRule>
  </conditionalFormatting>
  <conditionalFormatting sqref="A95">
    <cfRule type="cellIs" dxfId="8685" priority="58356" stopIfTrue="1" operator="notEqual">
      <formula>6</formula>
    </cfRule>
  </conditionalFormatting>
  <conditionalFormatting sqref="B95">
    <cfRule type="cellIs" dxfId="8684" priority="58357" stopIfTrue="1" operator="notEqual">
      <formula>1</formula>
    </cfRule>
  </conditionalFormatting>
  <conditionalFormatting sqref="C95">
    <cfRule type="cellIs" dxfId="8683" priority="58358" stopIfTrue="1" operator="notEqual">
      <formula>7</formula>
    </cfRule>
  </conditionalFormatting>
  <conditionalFormatting sqref="D95">
    <cfRule type="cellIs" dxfId="8682" priority="58359" stopIfTrue="1" operator="notEqual">
      <formula>22.614</formula>
    </cfRule>
  </conditionalFormatting>
  <conditionalFormatting sqref="E95">
    <cfRule type="cellIs" dxfId="8681" priority="58360" stopIfTrue="1" operator="notEqual">
      <formula>"MGD"</formula>
    </cfRule>
  </conditionalFormatting>
  <conditionalFormatting sqref="F95">
    <cfRule type="cellIs" dxfId="8680" priority="58361" stopIfTrue="1" operator="notEqual">
      <formula>11.066</formula>
    </cfRule>
  </conditionalFormatting>
  <conditionalFormatting sqref="G95">
    <cfRule type="cellIs" dxfId="8679" priority="58362" stopIfTrue="1" operator="notEqual">
      <formula>"MGD"</formula>
    </cfRule>
  </conditionalFormatting>
  <conditionalFormatting sqref="H95">
    <cfRule type="expression" dxfId="8678" priority="58363" stopIfTrue="1">
      <formula>NOT(ISBLANK($H$95))</formula>
    </cfRule>
  </conditionalFormatting>
  <conditionalFormatting sqref="I95">
    <cfRule type="expression" dxfId="8677" priority="58364" stopIfTrue="1">
      <formula>NOT(ISBLANK($I$95))</formula>
    </cfRule>
  </conditionalFormatting>
  <conditionalFormatting sqref="J95">
    <cfRule type="expression" dxfId="8676" priority="58365" stopIfTrue="1">
      <formula>NOT(ISBLANK($J$95))</formula>
    </cfRule>
  </conditionalFormatting>
  <conditionalFormatting sqref="K95">
    <cfRule type="expression" dxfId="8675" priority="58366" stopIfTrue="1">
      <formula>NOT(ISBLANK($K$95))</formula>
    </cfRule>
  </conditionalFormatting>
  <conditionalFormatting sqref="L95">
    <cfRule type="expression" dxfId="8674" priority="58367" stopIfTrue="1">
      <formula>NOT(ISBLANK($L$95))</formula>
    </cfRule>
  </conditionalFormatting>
  <conditionalFormatting sqref="M95">
    <cfRule type="expression" dxfId="8673" priority="58368" stopIfTrue="1">
      <formula>NOT(ISBLANK($M$95))</formula>
    </cfRule>
  </conditionalFormatting>
  <conditionalFormatting sqref="N95">
    <cfRule type="expression" dxfId="8672" priority="58369" stopIfTrue="1">
      <formula>NOT(ISBLANK($N$95))</formula>
    </cfRule>
  </conditionalFormatting>
  <conditionalFormatting sqref="O95">
    <cfRule type="expression" dxfId="8671" priority="58370" stopIfTrue="1">
      <formula>NOT(ISBLANK($O$95))</formula>
    </cfRule>
  </conditionalFormatting>
  <conditionalFormatting sqref="P95">
    <cfRule type="expression" dxfId="8670" priority="58371" stopIfTrue="1">
      <formula>NOT(ISBLANK($P$95))</formula>
    </cfRule>
  </conditionalFormatting>
  <conditionalFormatting sqref="Q95">
    <cfRule type="expression" dxfId="8669" priority="58372" stopIfTrue="1">
      <formula>NOT(ISBLANK($Q$95))</formula>
    </cfRule>
  </conditionalFormatting>
  <conditionalFormatting sqref="R95">
    <cfRule type="expression" dxfId="8668" priority="58373" stopIfTrue="1">
      <formula>NOT(ISBLANK($R$95))</formula>
    </cfRule>
  </conditionalFormatting>
  <conditionalFormatting sqref="S95">
    <cfRule type="expression" dxfId="8667" priority="58374" stopIfTrue="1">
      <formula>NOT(ISBLANK($S$95))</formula>
    </cfRule>
  </conditionalFormatting>
  <conditionalFormatting sqref="T95">
    <cfRule type="expression" dxfId="8666" priority="58375" stopIfTrue="1">
      <formula>NOT(ISBLANK($T$95))</formula>
    </cfRule>
  </conditionalFormatting>
  <conditionalFormatting sqref="U95">
    <cfRule type="expression" dxfId="8665" priority="58376" stopIfTrue="1">
      <formula>NOT(ISBLANK($U$95))</formula>
    </cfRule>
  </conditionalFormatting>
  <conditionalFormatting sqref="V95">
    <cfRule type="expression" dxfId="8664" priority="58377" stopIfTrue="1">
      <formula>NOT(ISBLANK($V$95))</formula>
    </cfRule>
  </conditionalFormatting>
  <conditionalFormatting sqref="W95">
    <cfRule type="expression" dxfId="8663" priority="58378" stopIfTrue="1">
      <formula>NOT(ISBLANK($W$95))</formula>
    </cfRule>
  </conditionalFormatting>
  <conditionalFormatting sqref="X95">
    <cfRule type="expression" dxfId="8662" priority="58379" stopIfTrue="1">
      <formula>NOT(ISBLANK($X$95))</formula>
    </cfRule>
  </conditionalFormatting>
  <conditionalFormatting sqref="Y95">
    <cfRule type="expression" dxfId="8661" priority="58380" stopIfTrue="1">
      <formula>NOT(ISBLANK($Y$95))</formula>
    </cfRule>
  </conditionalFormatting>
  <conditionalFormatting sqref="Z95">
    <cfRule type="expression" dxfId="8660" priority="58381" stopIfTrue="1">
      <formula>NOT(ISBLANK($Z$95))</formula>
    </cfRule>
  </conditionalFormatting>
  <conditionalFormatting sqref="AA95">
    <cfRule type="expression" dxfId="8659" priority="58382" stopIfTrue="1">
      <formula>NOT(ISBLANK($AA$95))</formula>
    </cfRule>
  </conditionalFormatting>
  <conditionalFormatting sqref="AB95">
    <cfRule type="expression" dxfId="8658" priority="58383" stopIfTrue="1">
      <formula>NOT(ISBLANK($AB$95))</formula>
    </cfRule>
  </conditionalFormatting>
  <conditionalFormatting sqref="AC95">
    <cfRule type="expression" dxfId="8657" priority="58384" stopIfTrue="1">
      <formula>NOT(ISBLANK($AC$95))</formula>
    </cfRule>
  </conditionalFormatting>
  <conditionalFormatting sqref="AD95">
    <cfRule type="expression" dxfId="8656" priority="58385" stopIfTrue="1">
      <formula>NOT(ISBLANK($AD$95))</formula>
    </cfRule>
  </conditionalFormatting>
  <conditionalFormatting sqref="AE95">
    <cfRule type="expression" dxfId="8655" priority="58386" stopIfTrue="1">
      <formula>NOT(ISBLANK($AE$95))</formula>
    </cfRule>
  </conditionalFormatting>
  <conditionalFormatting sqref="AF95">
    <cfRule type="expression" dxfId="8654" priority="58387" stopIfTrue="1">
      <formula>NOT(ISBLANK($AF$95))</formula>
    </cfRule>
  </conditionalFormatting>
  <conditionalFormatting sqref="AG95">
    <cfRule type="expression" dxfId="8653" priority="58388" stopIfTrue="1">
      <formula>NOT(ISBLANK($AG$95))</formula>
    </cfRule>
  </conditionalFormatting>
  <conditionalFormatting sqref="AH95">
    <cfRule type="expression" dxfId="8652" priority="58389" stopIfTrue="1">
      <formula>NOT(ISBLANK($AH$95))</formula>
    </cfRule>
  </conditionalFormatting>
  <conditionalFormatting sqref="AI95">
    <cfRule type="expression" dxfId="8651" priority="58390" stopIfTrue="1">
      <formula>NOT(ISBLANK($AI$95))</formula>
    </cfRule>
  </conditionalFormatting>
  <conditionalFormatting sqref="AJ95">
    <cfRule type="expression" dxfId="8650" priority="58391" stopIfTrue="1">
      <formula>NOT(ISBLANK($AJ$95))</formula>
    </cfRule>
  </conditionalFormatting>
  <conditionalFormatting sqref="AK95">
    <cfRule type="expression" dxfId="8649" priority="58392" stopIfTrue="1">
      <formula>NOT(ISBLANK($AK$95))</formula>
    </cfRule>
  </conditionalFormatting>
  <conditionalFormatting sqref="AL95">
    <cfRule type="expression" dxfId="8648" priority="58393" stopIfTrue="1">
      <formula>NOT(ISBLANK($AL$95))</formula>
    </cfRule>
  </conditionalFormatting>
  <conditionalFormatting sqref="AM95">
    <cfRule type="expression" dxfId="8647" priority="58394" stopIfTrue="1">
      <formula>NOT(ISBLANK($AM$95))</formula>
    </cfRule>
  </conditionalFormatting>
  <conditionalFormatting sqref="AN95">
    <cfRule type="expression" dxfId="8646" priority="58395" stopIfTrue="1">
      <formula>NOT(ISBLANK($AN$95))</formula>
    </cfRule>
  </conditionalFormatting>
  <conditionalFormatting sqref="AO95">
    <cfRule type="expression" dxfId="8645" priority="58396" stopIfTrue="1">
      <formula>NOT(ISBLANK($AO$95))</formula>
    </cfRule>
  </conditionalFormatting>
  <conditionalFormatting sqref="AP95">
    <cfRule type="expression" dxfId="8644" priority="58397" stopIfTrue="1">
      <formula>NOT(ISBLANK($AP$95))</formula>
    </cfRule>
  </conditionalFormatting>
  <conditionalFormatting sqref="AQ95">
    <cfRule type="expression" dxfId="8643" priority="58398" stopIfTrue="1">
      <formula>NOT(ISBLANK($AQ$95))</formula>
    </cfRule>
  </conditionalFormatting>
  <conditionalFormatting sqref="A96">
    <cfRule type="cellIs" dxfId="8642" priority="58399" stopIfTrue="1" operator="notEqual">
      <formula>6</formula>
    </cfRule>
  </conditionalFormatting>
  <conditionalFormatting sqref="B96">
    <cfRule type="cellIs" dxfId="8641" priority="58400" stopIfTrue="1" operator="notEqual">
      <formula>1</formula>
    </cfRule>
  </conditionalFormatting>
  <conditionalFormatting sqref="C96">
    <cfRule type="cellIs" dxfId="8640" priority="58401" stopIfTrue="1" operator="notEqual">
      <formula>8</formula>
    </cfRule>
  </conditionalFormatting>
  <conditionalFormatting sqref="D96">
    <cfRule type="cellIs" dxfId="8639" priority="58402" stopIfTrue="1" operator="notEqual">
      <formula>75.072</formula>
    </cfRule>
  </conditionalFormatting>
  <conditionalFormatting sqref="E96">
    <cfRule type="cellIs" dxfId="8638" priority="58403" stopIfTrue="1" operator="notEqual">
      <formula>"MGD"</formula>
    </cfRule>
  </conditionalFormatting>
  <conditionalFormatting sqref="F96">
    <cfRule type="cellIs" dxfId="8637" priority="58404" stopIfTrue="1" operator="notEqual">
      <formula>37.536</formula>
    </cfRule>
  </conditionalFormatting>
  <conditionalFormatting sqref="G96">
    <cfRule type="cellIs" dxfId="8636" priority="58405" stopIfTrue="1" operator="notEqual">
      <formula>"MGD"</formula>
    </cfRule>
  </conditionalFormatting>
  <conditionalFormatting sqref="H96">
    <cfRule type="expression" dxfId="8635" priority="58406" stopIfTrue="1">
      <formula>NOT(ISBLANK($H$96))</formula>
    </cfRule>
  </conditionalFormatting>
  <conditionalFormatting sqref="I96">
    <cfRule type="expression" dxfId="8634" priority="58407" stopIfTrue="1">
      <formula>NOT(ISBLANK($I$96))</formula>
    </cfRule>
  </conditionalFormatting>
  <conditionalFormatting sqref="J96">
    <cfRule type="expression" dxfId="8633" priority="58408" stopIfTrue="1">
      <formula>NOT(ISBLANK($J$96))</formula>
    </cfRule>
  </conditionalFormatting>
  <conditionalFormatting sqref="K96">
    <cfRule type="expression" dxfId="8632" priority="58409" stopIfTrue="1">
      <formula>NOT(ISBLANK($K$96))</formula>
    </cfRule>
  </conditionalFormatting>
  <conditionalFormatting sqref="L96">
    <cfRule type="expression" dxfId="8631" priority="58410" stopIfTrue="1">
      <formula>NOT(ISBLANK($L$96))</formula>
    </cfRule>
  </conditionalFormatting>
  <conditionalFormatting sqref="M96">
    <cfRule type="expression" dxfId="8630" priority="58411" stopIfTrue="1">
      <formula>NOT(ISBLANK($M$96))</formula>
    </cfRule>
  </conditionalFormatting>
  <conditionalFormatting sqref="N96">
    <cfRule type="expression" dxfId="8629" priority="58412" stopIfTrue="1">
      <formula>NOT(ISBLANK($N$96))</formula>
    </cfRule>
  </conditionalFormatting>
  <conditionalFormatting sqref="O96">
    <cfRule type="expression" dxfId="8628" priority="58413" stopIfTrue="1">
      <formula>NOT(ISBLANK($O$96))</formula>
    </cfRule>
  </conditionalFormatting>
  <conditionalFormatting sqref="P96">
    <cfRule type="expression" dxfId="8627" priority="58414" stopIfTrue="1">
      <formula>NOT(ISBLANK($P$96))</formula>
    </cfRule>
  </conditionalFormatting>
  <conditionalFormatting sqref="Q96">
    <cfRule type="expression" dxfId="8626" priority="58415" stopIfTrue="1">
      <formula>NOT(ISBLANK($Q$96))</formula>
    </cfRule>
  </conditionalFormatting>
  <conditionalFormatting sqref="R96">
    <cfRule type="expression" dxfId="8625" priority="58416" stopIfTrue="1">
      <formula>NOT(ISBLANK($R$96))</formula>
    </cfRule>
  </conditionalFormatting>
  <conditionalFormatting sqref="S96">
    <cfRule type="expression" dxfId="8624" priority="58417" stopIfTrue="1">
      <formula>NOT(ISBLANK($S$96))</formula>
    </cfRule>
  </conditionalFormatting>
  <conditionalFormatting sqref="T96">
    <cfRule type="expression" dxfId="8623" priority="58418" stopIfTrue="1">
      <formula>NOT(ISBLANK($T$96))</formula>
    </cfRule>
  </conditionalFormatting>
  <conditionalFormatting sqref="U96">
    <cfRule type="expression" dxfId="8622" priority="58419" stopIfTrue="1">
      <formula>NOT(ISBLANK($U$96))</formula>
    </cfRule>
  </conditionalFormatting>
  <conditionalFormatting sqref="V96">
    <cfRule type="expression" dxfId="8621" priority="58420" stopIfTrue="1">
      <formula>NOT(ISBLANK($V$96))</formula>
    </cfRule>
  </conditionalFormatting>
  <conditionalFormatting sqref="W96">
    <cfRule type="expression" dxfId="8620" priority="58421" stopIfTrue="1">
      <formula>NOT(ISBLANK($W$96))</formula>
    </cfRule>
  </conditionalFormatting>
  <conditionalFormatting sqref="X96">
    <cfRule type="expression" dxfId="8619" priority="58422" stopIfTrue="1">
      <formula>NOT(ISBLANK($X$96))</formula>
    </cfRule>
  </conditionalFormatting>
  <conditionalFormatting sqref="Y96">
    <cfRule type="expression" dxfId="8618" priority="58423" stopIfTrue="1">
      <formula>NOT(ISBLANK($Y$96))</formula>
    </cfRule>
  </conditionalFormatting>
  <conditionalFormatting sqref="Z96">
    <cfRule type="expression" dxfId="8617" priority="58424" stopIfTrue="1">
      <formula>NOT(ISBLANK($Z$96))</formula>
    </cfRule>
  </conditionalFormatting>
  <conditionalFormatting sqref="AA96">
    <cfRule type="expression" dxfId="8616" priority="58425" stopIfTrue="1">
      <formula>NOT(ISBLANK($AA$96))</formula>
    </cfRule>
  </conditionalFormatting>
  <conditionalFormatting sqref="AB96">
    <cfRule type="expression" dxfId="8615" priority="58426" stopIfTrue="1">
      <formula>NOT(ISBLANK($AB$96))</formula>
    </cfRule>
  </conditionalFormatting>
  <conditionalFormatting sqref="AC96">
    <cfRule type="expression" dxfId="8614" priority="58427" stopIfTrue="1">
      <formula>NOT(ISBLANK($AC$96))</formula>
    </cfRule>
  </conditionalFormatting>
  <conditionalFormatting sqref="AD96">
    <cfRule type="expression" dxfId="8613" priority="58428" stopIfTrue="1">
      <formula>NOT(ISBLANK($AD$96))</formula>
    </cfRule>
  </conditionalFormatting>
  <conditionalFormatting sqref="AE96">
    <cfRule type="expression" dxfId="8612" priority="58429" stopIfTrue="1">
      <formula>NOT(ISBLANK($AE$96))</formula>
    </cfRule>
  </conditionalFormatting>
  <conditionalFormatting sqref="AF96">
    <cfRule type="expression" dxfId="8611" priority="58430" stopIfTrue="1">
      <formula>NOT(ISBLANK($AF$96))</formula>
    </cfRule>
  </conditionalFormatting>
  <conditionalFormatting sqref="AG96">
    <cfRule type="expression" dxfId="8610" priority="58431" stopIfTrue="1">
      <formula>NOT(ISBLANK($AG$96))</formula>
    </cfRule>
  </conditionalFormatting>
  <conditionalFormatting sqref="AH96">
    <cfRule type="expression" dxfId="8609" priority="58432" stopIfTrue="1">
      <formula>NOT(ISBLANK($AH$96))</formula>
    </cfRule>
  </conditionalFormatting>
  <conditionalFormatting sqref="AI96">
    <cfRule type="expression" dxfId="8608" priority="58433" stopIfTrue="1">
      <formula>NOT(ISBLANK($AI$96))</formula>
    </cfRule>
  </conditionalFormatting>
  <conditionalFormatting sqref="AJ96">
    <cfRule type="expression" dxfId="8607" priority="58434" stopIfTrue="1">
      <formula>NOT(ISBLANK($AJ$96))</formula>
    </cfRule>
  </conditionalFormatting>
  <conditionalFormatting sqref="AK96">
    <cfRule type="expression" dxfId="8606" priority="58435" stopIfTrue="1">
      <formula>NOT(ISBLANK($AK$96))</formula>
    </cfRule>
  </conditionalFormatting>
  <conditionalFormatting sqref="AL96">
    <cfRule type="expression" dxfId="8605" priority="58436" stopIfTrue="1">
      <formula>NOT(ISBLANK($AL$96))</formula>
    </cfRule>
  </conditionalFormatting>
  <conditionalFormatting sqref="AM96">
    <cfRule type="expression" dxfId="8604" priority="58437" stopIfTrue="1">
      <formula>NOT(ISBLANK($AM$96))</formula>
    </cfRule>
  </conditionalFormatting>
  <conditionalFormatting sqref="AN96">
    <cfRule type="expression" dxfId="8603" priority="58438" stopIfTrue="1">
      <formula>NOT(ISBLANK($AN$96))</formula>
    </cfRule>
  </conditionalFormatting>
  <conditionalFormatting sqref="AO96">
    <cfRule type="expression" dxfId="8602" priority="58439" stopIfTrue="1">
      <formula>NOT(ISBLANK($AO$96))</formula>
    </cfRule>
  </conditionalFormatting>
  <conditionalFormatting sqref="AP96">
    <cfRule type="expression" dxfId="8601" priority="58440" stopIfTrue="1">
      <formula>NOT(ISBLANK($AP$96))</formula>
    </cfRule>
  </conditionalFormatting>
  <conditionalFormatting sqref="AQ96">
    <cfRule type="expression" dxfId="8600" priority="58441" stopIfTrue="1">
      <formula>NOT(ISBLANK($AQ$96))</formula>
    </cfRule>
  </conditionalFormatting>
  <conditionalFormatting sqref="A97">
    <cfRule type="cellIs" dxfId="8599" priority="58442" stopIfTrue="1" operator="notEqual">
      <formula>6</formula>
    </cfRule>
  </conditionalFormatting>
  <conditionalFormatting sqref="B97">
    <cfRule type="cellIs" dxfId="8598" priority="58443" stopIfTrue="1" operator="notEqual">
      <formula>2</formula>
    </cfRule>
  </conditionalFormatting>
  <conditionalFormatting sqref="C97">
    <cfRule type="cellIs" dxfId="8597" priority="58444" stopIfTrue="1" operator="notEqual">
      <formula>1</formula>
    </cfRule>
  </conditionalFormatting>
  <conditionalFormatting sqref="D97">
    <cfRule type="cellIs" dxfId="8596" priority="58445" stopIfTrue="1" operator="notEqual">
      <formula>0.03</formula>
    </cfRule>
  </conditionalFormatting>
  <conditionalFormatting sqref="E97">
    <cfRule type="cellIs" dxfId="8595" priority="58446" stopIfTrue="1" operator="notEqual">
      <formula>"MGD"</formula>
    </cfRule>
  </conditionalFormatting>
  <conditionalFormatting sqref="F97">
    <cfRule type="cellIs" dxfId="8594" priority="58447" stopIfTrue="1" operator="notEqual">
      <formula>0.007</formula>
    </cfRule>
  </conditionalFormatting>
  <conditionalFormatting sqref="G97">
    <cfRule type="cellIs" dxfId="8593" priority="58448" stopIfTrue="1" operator="notEqual">
      <formula>"MGD"</formula>
    </cfRule>
  </conditionalFormatting>
  <conditionalFormatting sqref="H97">
    <cfRule type="expression" dxfId="8592" priority="58449" stopIfTrue="1">
      <formula>NOT(ISBLANK($H$97))</formula>
    </cfRule>
  </conditionalFormatting>
  <conditionalFormatting sqref="I97">
    <cfRule type="expression" dxfId="8591" priority="58450" stopIfTrue="1">
      <formula>NOT(ISBLANK($I$97))</formula>
    </cfRule>
  </conditionalFormatting>
  <conditionalFormatting sqref="J97">
    <cfRule type="expression" dxfId="8590" priority="58451" stopIfTrue="1">
      <formula>NOT(ISBLANK($J$97))</formula>
    </cfRule>
  </conditionalFormatting>
  <conditionalFormatting sqref="K97">
    <cfRule type="expression" dxfId="8589" priority="58452" stopIfTrue="1">
      <formula>NOT(ISBLANK($K$97))</formula>
    </cfRule>
  </conditionalFormatting>
  <conditionalFormatting sqref="L97">
    <cfRule type="expression" dxfId="8588" priority="58453" stopIfTrue="1">
      <formula>NOT(ISBLANK($L$97))</formula>
    </cfRule>
  </conditionalFormatting>
  <conditionalFormatting sqref="M97">
    <cfRule type="expression" dxfId="8587" priority="58454" stopIfTrue="1">
      <formula>NOT(ISBLANK($M$97))</formula>
    </cfRule>
  </conditionalFormatting>
  <conditionalFormatting sqref="N97">
    <cfRule type="expression" dxfId="8586" priority="58455" stopIfTrue="1">
      <formula>NOT(ISBLANK($N$97))</formula>
    </cfRule>
  </conditionalFormatting>
  <conditionalFormatting sqref="O97">
    <cfRule type="expression" dxfId="8585" priority="58456" stopIfTrue="1">
      <formula>NOT(ISBLANK($O$97))</formula>
    </cfRule>
  </conditionalFormatting>
  <conditionalFormatting sqref="P97">
    <cfRule type="expression" dxfId="8584" priority="58457" stopIfTrue="1">
      <formula>NOT(ISBLANK($P$97))</formula>
    </cfRule>
  </conditionalFormatting>
  <conditionalFormatting sqref="Q97">
    <cfRule type="expression" dxfId="8583" priority="58458" stopIfTrue="1">
      <formula>NOT(ISBLANK($Q$97))</formula>
    </cfRule>
  </conditionalFormatting>
  <conditionalFormatting sqref="R97">
    <cfRule type="expression" dxfId="8582" priority="58459" stopIfTrue="1">
      <formula>NOT(ISBLANK($R$97))</formula>
    </cfRule>
  </conditionalFormatting>
  <conditionalFormatting sqref="S97">
    <cfRule type="expression" dxfId="8581" priority="58460" stopIfTrue="1">
      <formula>NOT(ISBLANK($S$97))</formula>
    </cfRule>
  </conditionalFormatting>
  <conditionalFormatting sqref="T97">
    <cfRule type="expression" dxfId="8580" priority="58461" stopIfTrue="1">
      <formula>NOT(ISBLANK($T$97))</formula>
    </cfRule>
  </conditionalFormatting>
  <conditionalFormatting sqref="U97">
    <cfRule type="expression" dxfId="8579" priority="58462" stopIfTrue="1">
      <formula>NOT(ISBLANK($U$97))</formula>
    </cfRule>
  </conditionalFormatting>
  <conditionalFormatting sqref="V97">
    <cfRule type="expression" dxfId="8578" priority="58463" stopIfTrue="1">
      <formula>NOT(ISBLANK($V$97))</formula>
    </cfRule>
  </conditionalFormatting>
  <conditionalFormatting sqref="W97">
    <cfRule type="expression" dxfId="8577" priority="58464" stopIfTrue="1">
      <formula>NOT(ISBLANK($W$97))</formula>
    </cfRule>
  </conditionalFormatting>
  <conditionalFormatting sqref="X97">
    <cfRule type="expression" dxfId="8576" priority="58465" stopIfTrue="1">
      <formula>NOT(ISBLANK($X$97))</formula>
    </cfRule>
  </conditionalFormatting>
  <conditionalFormatting sqref="Y97">
    <cfRule type="expression" dxfId="8575" priority="58466" stopIfTrue="1">
      <formula>NOT(ISBLANK($Y$97))</formula>
    </cfRule>
  </conditionalFormatting>
  <conditionalFormatting sqref="Z97">
    <cfRule type="expression" dxfId="8574" priority="58467" stopIfTrue="1">
      <formula>NOT(ISBLANK($Z$97))</formula>
    </cfRule>
  </conditionalFormatting>
  <conditionalFormatting sqref="AA97">
    <cfRule type="expression" dxfId="8573" priority="58468" stopIfTrue="1">
      <formula>NOT(ISBLANK($AA$97))</formula>
    </cfRule>
  </conditionalFormatting>
  <conditionalFormatting sqref="AB97">
    <cfRule type="expression" dxfId="8572" priority="58469" stopIfTrue="1">
      <formula>NOT(ISBLANK($AB$97))</formula>
    </cfRule>
  </conditionalFormatting>
  <conditionalFormatting sqref="AC97">
    <cfRule type="expression" dxfId="8571" priority="58470" stopIfTrue="1">
      <formula>NOT(ISBLANK($AC$97))</formula>
    </cfRule>
  </conditionalFormatting>
  <conditionalFormatting sqref="AD97">
    <cfRule type="expression" dxfId="8570" priority="58471" stopIfTrue="1">
      <formula>NOT(ISBLANK($AD$97))</formula>
    </cfRule>
  </conditionalFormatting>
  <conditionalFormatting sqref="AE97">
    <cfRule type="expression" dxfId="8569" priority="58472" stopIfTrue="1">
      <formula>NOT(ISBLANK($AE$97))</formula>
    </cfRule>
  </conditionalFormatting>
  <conditionalFormatting sqref="AF97">
    <cfRule type="expression" dxfId="8568" priority="58473" stopIfTrue="1">
      <formula>NOT(ISBLANK($AF$97))</formula>
    </cfRule>
  </conditionalFormatting>
  <conditionalFormatting sqref="AG97">
    <cfRule type="expression" dxfId="8567" priority="58474" stopIfTrue="1">
      <formula>NOT(ISBLANK($AG$97))</formula>
    </cfRule>
  </conditionalFormatting>
  <conditionalFormatting sqref="AH97">
    <cfRule type="expression" dxfId="8566" priority="58475" stopIfTrue="1">
      <formula>NOT(ISBLANK($AH$97))</formula>
    </cfRule>
  </conditionalFormatting>
  <conditionalFormatting sqref="AI97">
    <cfRule type="expression" dxfId="8565" priority="58476" stopIfTrue="1">
      <formula>NOT(ISBLANK($AI$97))</formula>
    </cfRule>
  </conditionalFormatting>
  <conditionalFormatting sqref="AJ97">
    <cfRule type="expression" dxfId="8564" priority="58477" stopIfTrue="1">
      <formula>NOT(ISBLANK($AJ$97))</formula>
    </cfRule>
  </conditionalFormatting>
  <conditionalFormatting sqref="AK97">
    <cfRule type="expression" dxfId="8563" priority="58478" stopIfTrue="1">
      <formula>NOT(ISBLANK($AK$97))</formula>
    </cfRule>
  </conditionalFormatting>
  <conditionalFormatting sqref="AL97">
    <cfRule type="expression" dxfId="8562" priority="58479" stopIfTrue="1">
      <formula>NOT(ISBLANK($AL$97))</formula>
    </cfRule>
  </conditionalFormatting>
  <conditionalFormatting sqref="AM97">
    <cfRule type="expression" dxfId="8561" priority="58480" stopIfTrue="1">
      <formula>NOT(ISBLANK($AM$97))</formula>
    </cfRule>
  </conditionalFormatting>
  <conditionalFormatting sqref="AN97">
    <cfRule type="expression" dxfId="8560" priority="58481" stopIfTrue="1">
      <formula>NOT(ISBLANK($AN$97))</formula>
    </cfRule>
  </conditionalFormatting>
  <conditionalFormatting sqref="AO97">
    <cfRule type="expression" dxfId="8559" priority="58482" stopIfTrue="1">
      <formula>NOT(ISBLANK($AO$97))</formula>
    </cfRule>
  </conditionalFormatting>
  <conditionalFormatting sqref="AP97">
    <cfRule type="expression" dxfId="8558" priority="58483" stopIfTrue="1">
      <formula>NOT(ISBLANK($AP$97))</formula>
    </cfRule>
  </conditionalFormatting>
  <conditionalFormatting sqref="AQ97">
    <cfRule type="expression" dxfId="8557" priority="58484" stopIfTrue="1">
      <formula>NOT(ISBLANK($AQ$97))</formula>
    </cfRule>
  </conditionalFormatting>
  <conditionalFormatting sqref="A98">
    <cfRule type="cellIs" dxfId="8556" priority="58485" stopIfTrue="1" operator="notEqual">
      <formula>6</formula>
    </cfRule>
  </conditionalFormatting>
  <conditionalFormatting sqref="B98">
    <cfRule type="cellIs" dxfId="8555" priority="58486" stopIfTrue="1" operator="notEqual">
      <formula>2</formula>
    </cfRule>
  </conditionalFormatting>
  <conditionalFormatting sqref="C98">
    <cfRule type="cellIs" dxfId="8554" priority="58487" stopIfTrue="1" operator="notEqual">
      <formula>2</formula>
    </cfRule>
  </conditionalFormatting>
  <conditionalFormatting sqref="D98">
    <cfRule type="cellIs" dxfId="8553" priority="58488" stopIfTrue="1" operator="notEqual">
      <formula>0.124</formula>
    </cfRule>
  </conditionalFormatting>
  <conditionalFormatting sqref="E98">
    <cfRule type="cellIs" dxfId="8552" priority="58489" stopIfTrue="1" operator="notEqual">
      <formula>"MGD"</formula>
    </cfRule>
  </conditionalFormatting>
  <conditionalFormatting sqref="F98">
    <cfRule type="cellIs" dxfId="8551" priority="58490" stopIfTrue="1" operator="notEqual">
      <formula>0.035</formula>
    </cfRule>
  </conditionalFormatting>
  <conditionalFormatting sqref="G98">
    <cfRule type="cellIs" dxfId="8550" priority="58491" stopIfTrue="1" operator="notEqual">
      <formula>"MGD"</formula>
    </cfRule>
  </conditionalFormatting>
  <conditionalFormatting sqref="H98">
    <cfRule type="expression" dxfId="8549" priority="58492" stopIfTrue="1">
      <formula>NOT(ISBLANK($H$98))</formula>
    </cfRule>
  </conditionalFormatting>
  <conditionalFormatting sqref="I98">
    <cfRule type="expression" dxfId="8548" priority="58493" stopIfTrue="1">
      <formula>NOT(ISBLANK($I$98))</formula>
    </cfRule>
  </conditionalFormatting>
  <conditionalFormatting sqref="J98">
    <cfRule type="expression" dxfId="8547" priority="58494" stopIfTrue="1">
      <formula>NOT(ISBLANK($J$98))</formula>
    </cfRule>
  </conditionalFormatting>
  <conditionalFormatting sqref="K98">
    <cfRule type="expression" dxfId="8546" priority="58495" stopIfTrue="1">
      <formula>NOT(ISBLANK($K$98))</formula>
    </cfRule>
  </conditionalFormatting>
  <conditionalFormatting sqref="L98">
    <cfRule type="expression" dxfId="8545" priority="58496" stopIfTrue="1">
      <formula>NOT(ISBLANK($L$98))</formula>
    </cfRule>
  </conditionalFormatting>
  <conditionalFormatting sqref="M98">
    <cfRule type="expression" dxfId="8544" priority="58497" stopIfTrue="1">
      <formula>NOT(ISBLANK($M$98))</formula>
    </cfRule>
  </conditionalFormatting>
  <conditionalFormatting sqref="N98">
    <cfRule type="expression" dxfId="8543" priority="58498" stopIfTrue="1">
      <formula>NOT(ISBLANK($N$98))</formula>
    </cfRule>
  </conditionalFormatting>
  <conditionalFormatting sqref="O98">
    <cfRule type="expression" dxfId="8542" priority="58499" stopIfTrue="1">
      <formula>NOT(ISBLANK($O$98))</formula>
    </cfRule>
  </conditionalFormatting>
  <conditionalFormatting sqref="P98">
    <cfRule type="expression" dxfId="8541" priority="58500" stopIfTrue="1">
      <formula>NOT(ISBLANK($P$98))</formula>
    </cfRule>
  </conditionalFormatting>
  <conditionalFormatting sqref="Q98">
    <cfRule type="expression" dxfId="8540" priority="58501" stopIfTrue="1">
      <formula>NOT(ISBLANK($Q$98))</formula>
    </cfRule>
  </conditionalFormatting>
  <conditionalFormatting sqref="R98">
    <cfRule type="expression" dxfId="8539" priority="58502" stopIfTrue="1">
      <formula>NOT(ISBLANK($R$98))</formula>
    </cfRule>
  </conditionalFormatting>
  <conditionalFormatting sqref="S98">
    <cfRule type="expression" dxfId="8538" priority="58503" stopIfTrue="1">
      <formula>NOT(ISBLANK($S$98))</formula>
    </cfRule>
  </conditionalFormatting>
  <conditionalFormatting sqref="T98">
    <cfRule type="expression" dxfId="8537" priority="58504" stopIfTrue="1">
      <formula>NOT(ISBLANK($T$98))</formula>
    </cfRule>
  </conditionalFormatting>
  <conditionalFormatting sqref="U98">
    <cfRule type="expression" dxfId="8536" priority="58505" stopIfTrue="1">
      <formula>NOT(ISBLANK($U$98))</formula>
    </cfRule>
  </conditionalFormatting>
  <conditionalFormatting sqref="V98">
    <cfRule type="expression" dxfId="8535" priority="58506" stopIfTrue="1">
      <formula>NOT(ISBLANK($V$98))</formula>
    </cfRule>
  </conditionalFormatting>
  <conditionalFormatting sqref="W98">
    <cfRule type="expression" dxfId="8534" priority="58507" stopIfTrue="1">
      <formula>NOT(ISBLANK($W$98))</formula>
    </cfRule>
  </conditionalFormatting>
  <conditionalFormatting sqref="X98">
    <cfRule type="expression" dxfId="8533" priority="58508" stopIfTrue="1">
      <formula>NOT(ISBLANK($X$98))</formula>
    </cfRule>
  </conditionalFormatting>
  <conditionalFormatting sqref="Y98">
    <cfRule type="expression" dxfId="8532" priority="58509" stopIfTrue="1">
      <formula>NOT(ISBLANK($Y$98))</formula>
    </cfRule>
  </conditionalFormatting>
  <conditionalFormatting sqref="Z98">
    <cfRule type="expression" dxfId="8531" priority="58510" stopIfTrue="1">
      <formula>NOT(ISBLANK($Z$98))</formula>
    </cfRule>
  </conditionalFormatting>
  <conditionalFormatting sqref="AA98">
    <cfRule type="expression" dxfId="8530" priority="58511" stopIfTrue="1">
      <formula>NOT(ISBLANK($AA$98))</formula>
    </cfRule>
  </conditionalFormatting>
  <conditionalFormatting sqref="AB98">
    <cfRule type="expression" dxfId="8529" priority="58512" stopIfTrue="1">
      <formula>NOT(ISBLANK($AB$98))</formula>
    </cfRule>
  </conditionalFormatting>
  <conditionalFormatting sqref="AC98">
    <cfRule type="expression" dxfId="8528" priority="58513" stopIfTrue="1">
      <formula>NOT(ISBLANK($AC$98))</formula>
    </cfRule>
  </conditionalFormatting>
  <conditionalFormatting sqref="AD98">
    <cfRule type="expression" dxfId="8527" priority="58514" stopIfTrue="1">
      <formula>NOT(ISBLANK($AD$98))</formula>
    </cfRule>
  </conditionalFormatting>
  <conditionalFormatting sqref="AE98">
    <cfRule type="expression" dxfId="8526" priority="58515" stopIfTrue="1">
      <formula>NOT(ISBLANK($AE$98))</formula>
    </cfRule>
  </conditionalFormatting>
  <conditionalFormatting sqref="AF98">
    <cfRule type="expression" dxfId="8525" priority="58516" stopIfTrue="1">
      <formula>NOT(ISBLANK($AF$98))</formula>
    </cfRule>
  </conditionalFormatting>
  <conditionalFormatting sqref="AG98">
    <cfRule type="expression" dxfId="8524" priority="58517" stopIfTrue="1">
      <formula>NOT(ISBLANK($AG$98))</formula>
    </cfRule>
  </conditionalFormatting>
  <conditionalFormatting sqref="AH98">
    <cfRule type="expression" dxfId="8523" priority="58518" stopIfTrue="1">
      <formula>NOT(ISBLANK($AH$98))</formula>
    </cfRule>
  </conditionalFormatting>
  <conditionalFormatting sqref="AI98">
    <cfRule type="expression" dxfId="8522" priority="58519" stopIfTrue="1">
      <formula>NOT(ISBLANK($AI$98))</formula>
    </cfRule>
  </conditionalFormatting>
  <conditionalFormatting sqref="AJ98">
    <cfRule type="expression" dxfId="8521" priority="58520" stopIfTrue="1">
      <formula>NOT(ISBLANK($AJ$98))</formula>
    </cfRule>
  </conditionalFormatting>
  <conditionalFormatting sqref="AK98">
    <cfRule type="expression" dxfId="8520" priority="58521" stopIfTrue="1">
      <formula>NOT(ISBLANK($AK$98))</formula>
    </cfRule>
  </conditionalFormatting>
  <conditionalFormatting sqref="AL98">
    <cfRule type="expression" dxfId="8519" priority="58522" stopIfTrue="1">
      <formula>NOT(ISBLANK($AL$98))</formula>
    </cfRule>
  </conditionalFormatting>
  <conditionalFormatting sqref="AM98">
    <cfRule type="expression" dxfId="8518" priority="58523" stopIfTrue="1">
      <formula>NOT(ISBLANK($AM$98))</formula>
    </cfRule>
  </conditionalFormatting>
  <conditionalFormatting sqref="AN98">
    <cfRule type="expression" dxfId="8517" priority="58524" stopIfTrue="1">
      <formula>NOT(ISBLANK($AN$98))</formula>
    </cfRule>
  </conditionalFormatting>
  <conditionalFormatting sqref="AO98">
    <cfRule type="expression" dxfId="8516" priority="58525" stopIfTrue="1">
      <formula>NOT(ISBLANK($AO$98))</formula>
    </cfRule>
  </conditionalFormatting>
  <conditionalFormatting sqref="AP98">
    <cfRule type="expression" dxfId="8515" priority="58526" stopIfTrue="1">
      <formula>NOT(ISBLANK($AP$98))</formula>
    </cfRule>
  </conditionalFormatting>
  <conditionalFormatting sqref="AQ98">
    <cfRule type="expression" dxfId="8514" priority="58527" stopIfTrue="1">
      <formula>NOT(ISBLANK($AQ$98))</formula>
    </cfRule>
  </conditionalFormatting>
  <conditionalFormatting sqref="A99">
    <cfRule type="cellIs" dxfId="8513" priority="58528" stopIfTrue="1" operator="notEqual">
      <formula>6</formula>
    </cfRule>
  </conditionalFormatting>
  <conditionalFormatting sqref="B99">
    <cfRule type="cellIs" dxfId="8512" priority="58529" stopIfTrue="1" operator="notEqual">
      <formula>2</formula>
    </cfRule>
  </conditionalFormatting>
  <conditionalFormatting sqref="C99">
    <cfRule type="cellIs" dxfId="8511" priority="58530" stopIfTrue="1" operator="notEqual">
      <formula>3</formula>
    </cfRule>
  </conditionalFormatting>
  <conditionalFormatting sqref="D99">
    <cfRule type="cellIs" dxfId="8510" priority="58531" stopIfTrue="1" operator="notEqual">
      <formula>0.305</formula>
    </cfRule>
  </conditionalFormatting>
  <conditionalFormatting sqref="E99">
    <cfRule type="cellIs" dxfId="8509" priority="58532" stopIfTrue="1" operator="notEqual">
      <formula>"MGD"</formula>
    </cfRule>
  </conditionalFormatting>
  <conditionalFormatting sqref="F99">
    <cfRule type="cellIs" dxfId="8508" priority="58533" stopIfTrue="1" operator="notEqual">
      <formula>0.094</formula>
    </cfRule>
  </conditionalFormatting>
  <conditionalFormatting sqref="G99">
    <cfRule type="cellIs" dxfId="8507" priority="58534" stopIfTrue="1" operator="notEqual">
      <formula>"MGD"</formula>
    </cfRule>
  </conditionalFormatting>
  <conditionalFormatting sqref="H99">
    <cfRule type="expression" dxfId="8506" priority="58535" stopIfTrue="1">
      <formula>NOT(ISBLANK($H$99))</formula>
    </cfRule>
  </conditionalFormatting>
  <conditionalFormatting sqref="I99">
    <cfRule type="expression" dxfId="8505" priority="58536" stopIfTrue="1">
      <formula>NOT(ISBLANK($I$99))</formula>
    </cfRule>
  </conditionalFormatting>
  <conditionalFormatting sqref="J99">
    <cfRule type="expression" dxfId="8504" priority="58537" stopIfTrue="1">
      <formula>NOT(ISBLANK($J$99))</formula>
    </cfRule>
  </conditionalFormatting>
  <conditionalFormatting sqref="K99">
    <cfRule type="expression" dxfId="8503" priority="58538" stopIfTrue="1">
      <formula>NOT(ISBLANK($K$99))</formula>
    </cfRule>
  </conditionalFormatting>
  <conditionalFormatting sqref="L99">
    <cfRule type="expression" dxfId="8502" priority="58539" stopIfTrue="1">
      <formula>NOT(ISBLANK($L$99))</formula>
    </cfRule>
  </conditionalFormatting>
  <conditionalFormatting sqref="M99">
    <cfRule type="expression" dxfId="8501" priority="58540" stopIfTrue="1">
      <formula>NOT(ISBLANK($M$99))</formula>
    </cfRule>
  </conditionalFormatting>
  <conditionalFormatting sqref="N99">
    <cfRule type="expression" dxfId="8500" priority="58541" stopIfTrue="1">
      <formula>NOT(ISBLANK($N$99))</formula>
    </cfRule>
  </conditionalFormatting>
  <conditionalFormatting sqref="O99">
    <cfRule type="expression" dxfId="8499" priority="58542" stopIfTrue="1">
      <formula>NOT(ISBLANK($O$99))</formula>
    </cfRule>
  </conditionalFormatting>
  <conditionalFormatting sqref="P99">
    <cfRule type="expression" dxfId="8498" priority="58543" stopIfTrue="1">
      <formula>NOT(ISBLANK($P$99))</formula>
    </cfRule>
  </conditionalFormatting>
  <conditionalFormatting sqref="Q99">
    <cfRule type="expression" dxfId="8497" priority="58544" stopIfTrue="1">
      <formula>NOT(ISBLANK($Q$99))</formula>
    </cfRule>
  </conditionalFormatting>
  <conditionalFormatting sqref="R99">
    <cfRule type="expression" dxfId="8496" priority="58545" stopIfTrue="1">
      <formula>NOT(ISBLANK($R$99))</formula>
    </cfRule>
  </conditionalFormatting>
  <conditionalFormatting sqref="S99">
    <cfRule type="expression" dxfId="8495" priority="58546" stopIfTrue="1">
      <formula>NOT(ISBLANK($S$99))</formula>
    </cfRule>
  </conditionalFormatting>
  <conditionalFormatting sqref="T99">
    <cfRule type="expression" dxfId="8494" priority="58547" stopIfTrue="1">
      <formula>NOT(ISBLANK($T$99))</formula>
    </cfRule>
  </conditionalFormatting>
  <conditionalFormatting sqref="U99">
    <cfRule type="expression" dxfId="8493" priority="58548" stopIfTrue="1">
      <formula>NOT(ISBLANK($U$99))</formula>
    </cfRule>
  </conditionalFormatting>
  <conditionalFormatting sqref="V99">
    <cfRule type="expression" dxfId="8492" priority="58549" stopIfTrue="1">
      <formula>NOT(ISBLANK($V$99))</formula>
    </cfRule>
  </conditionalFormatting>
  <conditionalFormatting sqref="W99">
    <cfRule type="expression" dxfId="8491" priority="58550" stopIfTrue="1">
      <formula>NOT(ISBLANK($W$99))</formula>
    </cfRule>
  </conditionalFormatting>
  <conditionalFormatting sqref="X99">
    <cfRule type="expression" dxfId="8490" priority="58551" stopIfTrue="1">
      <formula>NOT(ISBLANK($X$99))</formula>
    </cfRule>
  </conditionalFormatting>
  <conditionalFormatting sqref="Y99">
    <cfRule type="expression" dxfId="8489" priority="58552" stopIfTrue="1">
      <formula>NOT(ISBLANK($Y$99))</formula>
    </cfRule>
  </conditionalFormatting>
  <conditionalFormatting sqref="Z99">
    <cfRule type="expression" dxfId="8488" priority="58553" stopIfTrue="1">
      <formula>NOT(ISBLANK($Z$99))</formula>
    </cfRule>
  </conditionalFormatting>
  <conditionalFormatting sqref="AA99">
    <cfRule type="expression" dxfId="8487" priority="58554" stopIfTrue="1">
      <formula>NOT(ISBLANK($AA$99))</formula>
    </cfRule>
  </conditionalFormatting>
  <conditionalFormatting sqref="AB99">
    <cfRule type="expression" dxfId="8486" priority="58555" stopIfTrue="1">
      <formula>NOT(ISBLANK($AB$99))</formula>
    </cfRule>
  </conditionalFormatting>
  <conditionalFormatting sqref="AC99">
    <cfRule type="expression" dxfId="8485" priority="58556" stopIfTrue="1">
      <formula>NOT(ISBLANK($AC$99))</formula>
    </cfRule>
  </conditionalFormatting>
  <conditionalFormatting sqref="AD99">
    <cfRule type="expression" dxfId="8484" priority="58557" stopIfTrue="1">
      <formula>NOT(ISBLANK($AD$99))</formula>
    </cfRule>
  </conditionalFormatting>
  <conditionalFormatting sqref="AE99">
    <cfRule type="expression" dxfId="8483" priority="58558" stopIfTrue="1">
      <formula>NOT(ISBLANK($AE$99))</formula>
    </cfRule>
  </conditionalFormatting>
  <conditionalFormatting sqref="AF99">
    <cfRule type="expression" dxfId="8482" priority="58559" stopIfTrue="1">
      <formula>NOT(ISBLANK($AF$99))</formula>
    </cfRule>
  </conditionalFormatting>
  <conditionalFormatting sqref="AG99">
    <cfRule type="expression" dxfId="8481" priority="58560" stopIfTrue="1">
      <formula>NOT(ISBLANK($AG$99))</formula>
    </cfRule>
  </conditionalFormatting>
  <conditionalFormatting sqref="AH99">
    <cfRule type="expression" dxfId="8480" priority="58561" stopIfTrue="1">
      <formula>NOT(ISBLANK($AH$99))</formula>
    </cfRule>
  </conditionalFormatting>
  <conditionalFormatting sqref="AI99">
    <cfRule type="expression" dxfId="8479" priority="58562" stopIfTrue="1">
      <formula>NOT(ISBLANK($AI$99))</formula>
    </cfRule>
  </conditionalFormatting>
  <conditionalFormatting sqref="AJ99">
    <cfRule type="expression" dxfId="8478" priority="58563" stopIfTrue="1">
      <formula>NOT(ISBLANK($AJ$99))</formula>
    </cfRule>
  </conditionalFormatting>
  <conditionalFormatting sqref="AK99">
    <cfRule type="expression" dxfId="8477" priority="58564" stopIfTrue="1">
      <formula>NOT(ISBLANK($AK$99))</formula>
    </cfRule>
  </conditionalFormatting>
  <conditionalFormatting sqref="AL99">
    <cfRule type="expression" dxfId="8476" priority="58565" stopIfTrue="1">
      <formula>NOT(ISBLANK($AL$99))</formula>
    </cfRule>
  </conditionalFormatting>
  <conditionalFormatting sqref="AM99">
    <cfRule type="expression" dxfId="8475" priority="58566" stopIfTrue="1">
      <formula>NOT(ISBLANK($AM$99))</formula>
    </cfRule>
  </conditionalFormatting>
  <conditionalFormatting sqref="AN99">
    <cfRule type="expression" dxfId="8474" priority="58567" stopIfTrue="1">
      <formula>NOT(ISBLANK($AN$99))</formula>
    </cfRule>
  </conditionalFormatting>
  <conditionalFormatting sqref="AO99">
    <cfRule type="expression" dxfId="8473" priority="58568" stopIfTrue="1">
      <formula>NOT(ISBLANK($AO$99))</formula>
    </cfRule>
  </conditionalFormatting>
  <conditionalFormatting sqref="AP99">
    <cfRule type="expression" dxfId="8472" priority="58569" stopIfTrue="1">
      <formula>NOT(ISBLANK($AP$99))</formula>
    </cfRule>
  </conditionalFormatting>
  <conditionalFormatting sqref="AQ99">
    <cfRule type="expression" dxfId="8471" priority="58570" stopIfTrue="1">
      <formula>NOT(ISBLANK($AQ$99))</formula>
    </cfRule>
  </conditionalFormatting>
  <conditionalFormatting sqref="A100">
    <cfRule type="cellIs" dxfId="8470" priority="58571" stopIfTrue="1" operator="notEqual">
      <formula>6</formula>
    </cfRule>
  </conditionalFormatting>
  <conditionalFormatting sqref="B100">
    <cfRule type="cellIs" dxfId="8469" priority="58572" stopIfTrue="1" operator="notEqual">
      <formula>2</formula>
    </cfRule>
  </conditionalFormatting>
  <conditionalFormatting sqref="C100">
    <cfRule type="cellIs" dxfId="8468" priority="58573" stopIfTrue="1" operator="notEqual">
      <formula>4</formula>
    </cfRule>
  </conditionalFormatting>
  <conditionalFormatting sqref="D100">
    <cfRule type="cellIs" dxfId="8467" priority="58574" stopIfTrue="1" operator="notEqual">
      <formula>0.74</formula>
    </cfRule>
  </conditionalFormatting>
  <conditionalFormatting sqref="E100">
    <cfRule type="cellIs" dxfId="8466" priority="58575" stopIfTrue="1" operator="notEqual">
      <formula>"MGD"</formula>
    </cfRule>
  </conditionalFormatting>
  <conditionalFormatting sqref="F100">
    <cfRule type="cellIs" dxfId="8465" priority="58576" stopIfTrue="1" operator="notEqual">
      <formula>0.251</formula>
    </cfRule>
  </conditionalFormatting>
  <conditionalFormatting sqref="G100">
    <cfRule type="cellIs" dxfId="8464" priority="58577" stopIfTrue="1" operator="notEqual">
      <formula>"MGD"</formula>
    </cfRule>
  </conditionalFormatting>
  <conditionalFormatting sqref="H100">
    <cfRule type="expression" dxfId="8463" priority="58578" stopIfTrue="1">
      <formula>NOT(ISBLANK($H$100))</formula>
    </cfRule>
  </conditionalFormatting>
  <conditionalFormatting sqref="I100">
    <cfRule type="expression" dxfId="8462" priority="58579" stopIfTrue="1">
      <formula>NOT(ISBLANK($I$100))</formula>
    </cfRule>
  </conditionalFormatting>
  <conditionalFormatting sqref="J100">
    <cfRule type="expression" dxfId="8461" priority="58580" stopIfTrue="1">
      <formula>NOT(ISBLANK($J$100))</formula>
    </cfRule>
  </conditionalFormatting>
  <conditionalFormatting sqref="K100">
    <cfRule type="expression" dxfId="8460" priority="58581" stopIfTrue="1">
      <formula>NOT(ISBLANK($K$100))</formula>
    </cfRule>
  </conditionalFormatting>
  <conditionalFormatting sqref="L100">
    <cfRule type="expression" dxfId="8459" priority="58582" stopIfTrue="1">
      <formula>NOT(ISBLANK($L$100))</formula>
    </cfRule>
  </conditionalFormatting>
  <conditionalFormatting sqref="M100">
    <cfRule type="expression" dxfId="8458" priority="58583" stopIfTrue="1">
      <formula>NOT(ISBLANK($M$100))</formula>
    </cfRule>
  </conditionalFormatting>
  <conditionalFormatting sqref="N100">
    <cfRule type="expression" dxfId="8457" priority="58584" stopIfTrue="1">
      <formula>NOT(ISBLANK($N$100))</formula>
    </cfRule>
  </conditionalFormatting>
  <conditionalFormatting sqref="O100">
    <cfRule type="expression" dxfId="8456" priority="58585" stopIfTrue="1">
      <formula>NOT(ISBLANK($O$100))</formula>
    </cfRule>
  </conditionalFormatting>
  <conditionalFormatting sqref="P100">
    <cfRule type="expression" dxfId="8455" priority="58586" stopIfTrue="1">
      <formula>NOT(ISBLANK($P$100))</formula>
    </cfRule>
  </conditionalFormatting>
  <conditionalFormatting sqref="Q100">
    <cfRule type="expression" dxfId="8454" priority="58587" stopIfTrue="1">
      <formula>NOT(ISBLANK($Q$100))</formula>
    </cfRule>
  </conditionalFormatting>
  <conditionalFormatting sqref="R100">
    <cfRule type="expression" dxfId="8453" priority="58588" stopIfTrue="1">
      <formula>NOT(ISBLANK($R$100))</formula>
    </cfRule>
  </conditionalFormatting>
  <conditionalFormatting sqref="S100">
    <cfRule type="expression" dxfId="8452" priority="58589" stopIfTrue="1">
      <formula>NOT(ISBLANK($S$100))</formula>
    </cfRule>
  </conditionalFormatting>
  <conditionalFormatting sqref="T100">
    <cfRule type="expression" dxfId="8451" priority="58590" stopIfTrue="1">
      <formula>NOT(ISBLANK($T$100))</formula>
    </cfRule>
  </conditionalFormatting>
  <conditionalFormatting sqref="U100">
    <cfRule type="expression" dxfId="8450" priority="58591" stopIfTrue="1">
      <formula>NOT(ISBLANK($U$100))</formula>
    </cfRule>
  </conditionalFormatting>
  <conditionalFormatting sqref="V100">
    <cfRule type="expression" dxfId="8449" priority="58592" stopIfTrue="1">
      <formula>NOT(ISBLANK($V$100))</formula>
    </cfRule>
  </conditionalFormatting>
  <conditionalFormatting sqref="W100">
    <cfRule type="expression" dxfId="8448" priority="58593" stopIfTrue="1">
      <formula>NOT(ISBLANK($W$100))</formula>
    </cfRule>
  </conditionalFormatting>
  <conditionalFormatting sqref="X100">
    <cfRule type="expression" dxfId="8447" priority="58594" stopIfTrue="1">
      <formula>NOT(ISBLANK($X$100))</formula>
    </cfRule>
  </conditionalFormatting>
  <conditionalFormatting sqref="Y100">
    <cfRule type="expression" dxfId="8446" priority="58595" stopIfTrue="1">
      <formula>NOT(ISBLANK($Y$100))</formula>
    </cfRule>
  </conditionalFormatting>
  <conditionalFormatting sqref="Z100">
    <cfRule type="expression" dxfId="8445" priority="58596" stopIfTrue="1">
      <formula>NOT(ISBLANK($Z$100))</formula>
    </cfRule>
  </conditionalFormatting>
  <conditionalFormatting sqref="AA100">
    <cfRule type="expression" dxfId="8444" priority="58597" stopIfTrue="1">
      <formula>NOT(ISBLANK($AA$100))</formula>
    </cfRule>
  </conditionalFormatting>
  <conditionalFormatting sqref="AB100">
    <cfRule type="expression" dxfId="8443" priority="58598" stopIfTrue="1">
      <formula>NOT(ISBLANK($AB$100))</formula>
    </cfRule>
  </conditionalFormatting>
  <conditionalFormatting sqref="AC100">
    <cfRule type="expression" dxfId="8442" priority="58599" stopIfTrue="1">
      <formula>NOT(ISBLANK($AC$100))</formula>
    </cfRule>
  </conditionalFormatting>
  <conditionalFormatting sqref="AD100">
    <cfRule type="expression" dxfId="8441" priority="58600" stopIfTrue="1">
      <formula>NOT(ISBLANK($AD$100))</formula>
    </cfRule>
  </conditionalFormatting>
  <conditionalFormatting sqref="AE100">
    <cfRule type="expression" dxfId="8440" priority="58601" stopIfTrue="1">
      <formula>NOT(ISBLANK($AE$100))</formula>
    </cfRule>
  </conditionalFormatting>
  <conditionalFormatting sqref="AF100">
    <cfRule type="expression" dxfId="8439" priority="58602" stopIfTrue="1">
      <formula>NOT(ISBLANK($AF$100))</formula>
    </cfRule>
  </conditionalFormatting>
  <conditionalFormatting sqref="AG100">
    <cfRule type="expression" dxfId="8438" priority="58603" stopIfTrue="1">
      <formula>NOT(ISBLANK($AG$100))</formula>
    </cfRule>
  </conditionalFormatting>
  <conditionalFormatting sqref="AH100">
    <cfRule type="expression" dxfId="8437" priority="58604" stopIfTrue="1">
      <formula>NOT(ISBLANK($AH$100))</formula>
    </cfRule>
  </conditionalFormatting>
  <conditionalFormatting sqref="AI100">
    <cfRule type="expression" dxfId="8436" priority="58605" stopIfTrue="1">
      <formula>NOT(ISBLANK($AI$100))</formula>
    </cfRule>
  </conditionalFormatting>
  <conditionalFormatting sqref="AJ100">
    <cfRule type="expression" dxfId="8435" priority="58606" stopIfTrue="1">
      <formula>NOT(ISBLANK($AJ$100))</formula>
    </cfRule>
  </conditionalFormatting>
  <conditionalFormatting sqref="AK100">
    <cfRule type="expression" dxfId="8434" priority="58607" stopIfTrue="1">
      <formula>NOT(ISBLANK($AK$100))</formula>
    </cfRule>
  </conditionalFormatting>
  <conditionalFormatting sqref="AL100">
    <cfRule type="expression" dxfId="8433" priority="58608" stopIfTrue="1">
      <formula>NOT(ISBLANK($AL$100))</formula>
    </cfRule>
  </conditionalFormatting>
  <conditionalFormatting sqref="AM100">
    <cfRule type="expression" dxfId="8432" priority="58609" stopIfTrue="1">
      <formula>NOT(ISBLANK($AM$100))</formula>
    </cfRule>
  </conditionalFormatting>
  <conditionalFormatting sqref="AN100">
    <cfRule type="expression" dxfId="8431" priority="58610" stopIfTrue="1">
      <formula>NOT(ISBLANK($AN$100))</formula>
    </cfRule>
  </conditionalFormatting>
  <conditionalFormatting sqref="AO100">
    <cfRule type="expression" dxfId="8430" priority="58611" stopIfTrue="1">
      <formula>NOT(ISBLANK($AO$100))</formula>
    </cfRule>
  </conditionalFormatting>
  <conditionalFormatting sqref="AP100">
    <cfRule type="expression" dxfId="8429" priority="58612" stopIfTrue="1">
      <formula>NOT(ISBLANK($AP$100))</formula>
    </cfRule>
  </conditionalFormatting>
  <conditionalFormatting sqref="AQ100">
    <cfRule type="expression" dxfId="8428" priority="58613" stopIfTrue="1">
      <formula>NOT(ISBLANK($AQ$100))</formula>
    </cfRule>
  </conditionalFormatting>
  <conditionalFormatting sqref="A101">
    <cfRule type="cellIs" dxfId="8427" priority="58614" stopIfTrue="1" operator="notEqual">
      <formula>6</formula>
    </cfRule>
  </conditionalFormatting>
  <conditionalFormatting sqref="B101">
    <cfRule type="cellIs" dxfId="8426" priority="58615" stopIfTrue="1" operator="notEqual">
      <formula>2</formula>
    </cfRule>
  </conditionalFormatting>
  <conditionalFormatting sqref="C101">
    <cfRule type="cellIs" dxfId="8425" priority="58616" stopIfTrue="1" operator="notEqual">
      <formula>5</formula>
    </cfRule>
  </conditionalFormatting>
  <conditionalFormatting sqref="D101">
    <cfRule type="cellIs" dxfId="8424" priority="58617" stopIfTrue="1" operator="notEqual">
      <formula>2.152</formula>
    </cfRule>
  </conditionalFormatting>
  <conditionalFormatting sqref="E101">
    <cfRule type="cellIs" dxfId="8423" priority="58618" stopIfTrue="1" operator="notEqual">
      <formula>"MGD"</formula>
    </cfRule>
  </conditionalFormatting>
  <conditionalFormatting sqref="F101">
    <cfRule type="cellIs" dxfId="8422" priority="58619" stopIfTrue="1" operator="notEqual">
      <formula>0.819</formula>
    </cfRule>
  </conditionalFormatting>
  <conditionalFormatting sqref="G101">
    <cfRule type="cellIs" dxfId="8421" priority="58620" stopIfTrue="1" operator="notEqual">
      <formula>"MGD"</formula>
    </cfRule>
  </conditionalFormatting>
  <conditionalFormatting sqref="H101">
    <cfRule type="expression" dxfId="8420" priority="58621" stopIfTrue="1">
      <formula>NOT(ISBLANK($H$101))</formula>
    </cfRule>
  </conditionalFormatting>
  <conditionalFormatting sqref="I101">
    <cfRule type="expression" dxfId="8419" priority="58622" stopIfTrue="1">
      <formula>NOT(ISBLANK($I$101))</formula>
    </cfRule>
  </conditionalFormatting>
  <conditionalFormatting sqref="J101">
    <cfRule type="expression" dxfId="8418" priority="58623" stopIfTrue="1">
      <formula>NOT(ISBLANK($J$101))</formula>
    </cfRule>
  </conditionalFormatting>
  <conditionalFormatting sqref="K101">
    <cfRule type="expression" dxfId="8417" priority="58624" stopIfTrue="1">
      <formula>NOT(ISBLANK($K$101))</formula>
    </cfRule>
  </conditionalFormatting>
  <conditionalFormatting sqref="L101">
    <cfRule type="expression" dxfId="8416" priority="58625" stopIfTrue="1">
      <formula>NOT(ISBLANK($L$101))</formula>
    </cfRule>
  </conditionalFormatting>
  <conditionalFormatting sqref="M101">
    <cfRule type="expression" dxfId="8415" priority="58626" stopIfTrue="1">
      <formula>NOT(ISBLANK($M$101))</formula>
    </cfRule>
  </conditionalFormatting>
  <conditionalFormatting sqref="N101">
    <cfRule type="expression" dxfId="8414" priority="58627" stopIfTrue="1">
      <formula>NOT(ISBLANK($N$101))</formula>
    </cfRule>
  </conditionalFormatting>
  <conditionalFormatting sqref="O101">
    <cfRule type="expression" dxfId="8413" priority="58628" stopIfTrue="1">
      <formula>NOT(ISBLANK($O$101))</formula>
    </cfRule>
  </conditionalFormatting>
  <conditionalFormatting sqref="P101">
    <cfRule type="expression" dxfId="8412" priority="58629" stopIfTrue="1">
      <formula>NOT(ISBLANK($P$101))</formula>
    </cfRule>
  </conditionalFormatting>
  <conditionalFormatting sqref="Q101">
    <cfRule type="expression" dxfId="8411" priority="58630" stopIfTrue="1">
      <formula>NOT(ISBLANK($Q$101))</formula>
    </cfRule>
  </conditionalFormatting>
  <conditionalFormatting sqref="R101">
    <cfRule type="expression" dxfId="8410" priority="58631" stopIfTrue="1">
      <formula>NOT(ISBLANK($R$101))</formula>
    </cfRule>
  </conditionalFormatting>
  <conditionalFormatting sqref="S101">
    <cfRule type="expression" dxfId="8409" priority="58632" stopIfTrue="1">
      <formula>NOT(ISBLANK($S$101))</formula>
    </cfRule>
  </conditionalFormatting>
  <conditionalFormatting sqref="T101">
    <cfRule type="expression" dxfId="8408" priority="58633" stopIfTrue="1">
      <formula>NOT(ISBLANK($T$101))</formula>
    </cfRule>
  </conditionalFormatting>
  <conditionalFormatting sqref="U101">
    <cfRule type="expression" dxfId="8407" priority="58634" stopIfTrue="1">
      <formula>NOT(ISBLANK($U$101))</formula>
    </cfRule>
  </conditionalFormatting>
  <conditionalFormatting sqref="V101">
    <cfRule type="expression" dxfId="8406" priority="58635" stopIfTrue="1">
      <formula>NOT(ISBLANK($V$101))</formula>
    </cfRule>
  </conditionalFormatting>
  <conditionalFormatting sqref="W101">
    <cfRule type="expression" dxfId="8405" priority="58636" stopIfTrue="1">
      <formula>NOT(ISBLANK($W$101))</formula>
    </cfRule>
  </conditionalFormatting>
  <conditionalFormatting sqref="X101">
    <cfRule type="expression" dxfId="8404" priority="58637" stopIfTrue="1">
      <formula>NOT(ISBLANK($X$101))</formula>
    </cfRule>
  </conditionalFormatting>
  <conditionalFormatting sqref="Y101">
    <cfRule type="expression" dxfId="8403" priority="58638" stopIfTrue="1">
      <formula>NOT(ISBLANK($Y$101))</formula>
    </cfRule>
  </conditionalFormatting>
  <conditionalFormatting sqref="Z101">
    <cfRule type="expression" dxfId="8402" priority="58639" stopIfTrue="1">
      <formula>NOT(ISBLANK($Z$101))</formula>
    </cfRule>
  </conditionalFormatting>
  <conditionalFormatting sqref="AA101">
    <cfRule type="expression" dxfId="8401" priority="58640" stopIfTrue="1">
      <formula>NOT(ISBLANK($AA$101))</formula>
    </cfRule>
  </conditionalFormatting>
  <conditionalFormatting sqref="AB101">
    <cfRule type="expression" dxfId="8400" priority="58641" stopIfTrue="1">
      <formula>NOT(ISBLANK($AB$101))</formula>
    </cfRule>
  </conditionalFormatting>
  <conditionalFormatting sqref="AC101">
    <cfRule type="expression" dxfId="8399" priority="58642" stopIfTrue="1">
      <formula>NOT(ISBLANK($AC$101))</formula>
    </cfRule>
  </conditionalFormatting>
  <conditionalFormatting sqref="AD101">
    <cfRule type="expression" dxfId="8398" priority="58643" stopIfTrue="1">
      <formula>NOT(ISBLANK($AD$101))</formula>
    </cfRule>
  </conditionalFormatting>
  <conditionalFormatting sqref="AE101">
    <cfRule type="expression" dxfId="8397" priority="58644" stopIfTrue="1">
      <formula>NOT(ISBLANK($AE$101))</formula>
    </cfRule>
  </conditionalFormatting>
  <conditionalFormatting sqref="AF101">
    <cfRule type="expression" dxfId="8396" priority="58645" stopIfTrue="1">
      <formula>NOT(ISBLANK($AF$101))</formula>
    </cfRule>
  </conditionalFormatting>
  <conditionalFormatting sqref="AG101">
    <cfRule type="expression" dxfId="8395" priority="58646" stopIfTrue="1">
      <formula>NOT(ISBLANK($AG$101))</formula>
    </cfRule>
  </conditionalFormatting>
  <conditionalFormatting sqref="AH101">
    <cfRule type="expression" dxfId="8394" priority="58647" stopIfTrue="1">
      <formula>NOT(ISBLANK($AH$101))</formula>
    </cfRule>
  </conditionalFormatting>
  <conditionalFormatting sqref="AI101">
    <cfRule type="expression" dxfId="8393" priority="58648" stopIfTrue="1">
      <formula>NOT(ISBLANK($AI$101))</formula>
    </cfRule>
  </conditionalFormatting>
  <conditionalFormatting sqref="AJ101">
    <cfRule type="expression" dxfId="8392" priority="58649" stopIfTrue="1">
      <formula>NOT(ISBLANK($AJ$101))</formula>
    </cfRule>
  </conditionalFormatting>
  <conditionalFormatting sqref="AK101">
    <cfRule type="expression" dxfId="8391" priority="58650" stopIfTrue="1">
      <formula>NOT(ISBLANK($AK$101))</formula>
    </cfRule>
  </conditionalFormatting>
  <conditionalFormatting sqref="AL101">
    <cfRule type="expression" dxfId="8390" priority="58651" stopIfTrue="1">
      <formula>NOT(ISBLANK($AL$101))</formula>
    </cfRule>
  </conditionalFormatting>
  <conditionalFormatting sqref="AM101">
    <cfRule type="expression" dxfId="8389" priority="58652" stopIfTrue="1">
      <formula>NOT(ISBLANK($AM$101))</formula>
    </cfRule>
  </conditionalFormatting>
  <conditionalFormatting sqref="AN101">
    <cfRule type="expression" dxfId="8388" priority="58653" stopIfTrue="1">
      <formula>NOT(ISBLANK($AN$101))</formula>
    </cfRule>
  </conditionalFormatting>
  <conditionalFormatting sqref="AO101">
    <cfRule type="expression" dxfId="8387" priority="58654" stopIfTrue="1">
      <formula>NOT(ISBLANK($AO$101))</formula>
    </cfRule>
  </conditionalFormatting>
  <conditionalFormatting sqref="AP101">
    <cfRule type="expression" dxfId="8386" priority="58655" stopIfTrue="1">
      <formula>NOT(ISBLANK($AP$101))</formula>
    </cfRule>
  </conditionalFormatting>
  <conditionalFormatting sqref="AQ101">
    <cfRule type="expression" dxfId="8385" priority="58656" stopIfTrue="1">
      <formula>NOT(ISBLANK($AQ$101))</formula>
    </cfRule>
  </conditionalFormatting>
  <conditionalFormatting sqref="A102">
    <cfRule type="cellIs" dxfId="8384" priority="58657" stopIfTrue="1" operator="notEqual">
      <formula>6</formula>
    </cfRule>
  </conditionalFormatting>
  <conditionalFormatting sqref="B102">
    <cfRule type="cellIs" dxfId="8383" priority="58658" stopIfTrue="1" operator="notEqual">
      <formula>2</formula>
    </cfRule>
  </conditionalFormatting>
  <conditionalFormatting sqref="C102">
    <cfRule type="cellIs" dxfId="8382" priority="58659" stopIfTrue="1" operator="notEqual">
      <formula>6</formula>
    </cfRule>
  </conditionalFormatting>
  <conditionalFormatting sqref="D102">
    <cfRule type="cellIs" dxfId="8381" priority="58660" stopIfTrue="1" operator="notEqual">
      <formula>7.365</formula>
    </cfRule>
  </conditionalFormatting>
  <conditionalFormatting sqref="E102">
    <cfRule type="cellIs" dxfId="8380" priority="58661" stopIfTrue="1" operator="notEqual">
      <formula>"MGD"</formula>
    </cfRule>
  </conditionalFormatting>
  <conditionalFormatting sqref="F102">
    <cfRule type="cellIs" dxfId="8379" priority="58662" stopIfTrue="1" operator="notEqual">
      <formula>3.2</formula>
    </cfRule>
  </conditionalFormatting>
  <conditionalFormatting sqref="G102">
    <cfRule type="cellIs" dxfId="8378" priority="58663" stopIfTrue="1" operator="notEqual">
      <formula>"MGD"</formula>
    </cfRule>
  </conditionalFormatting>
  <conditionalFormatting sqref="H102">
    <cfRule type="expression" dxfId="8377" priority="58664" stopIfTrue="1">
      <formula>NOT(ISBLANK($H$102))</formula>
    </cfRule>
  </conditionalFormatting>
  <conditionalFormatting sqref="I102">
    <cfRule type="expression" dxfId="8376" priority="58665" stopIfTrue="1">
      <formula>NOT(ISBLANK($I$102))</formula>
    </cfRule>
  </conditionalFormatting>
  <conditionalFormatting sqref="J102">
    <cfRule type="expression" dxfId="8375" priority="58666" stopIfTrue="1">
      <formula>NOT(ISBLANK($J$102))</formula>
    </cfRule>
  </conditionalFormatting>
  <conditionalFormatting sqref="K102">
    <cfRule type="expression" dxfId="8374" priority="58667" stopIfTrue="1">
      <formula>NOT(ISBLANK($K$102))</formula>
    </cfRule>
  </conditionalFormatting>
  <conditionalFormatting sqref="L102">
    <cfRule type="expression" dxfId="8373" priority="58668" stopIfTrue="1">
      <formula>NOT(ISBLANK($L$102))</formula>
    </cfRule>
  </conditionalFormatting>
  <conditionalFormatting sqref="M102">
    <cfRule type="expression" dxfId="8372" priority="58669" stopIfTrue="1">
      <formula>NOT(ISBLANK($M$102))</formula>
    </cfRule>
  </conditionalFormatting>
  <conditionalFormatting sqref="N102">
    <cfRule type="expression" dxfId="8371" priority="58670" stopIfTrue="1">
      <formula>NOT(ISBLANK($N$102))</formula>
    </cfRule>
  </conditionalFormatting>
  <conditionalFormatting sqref="O102">
    <cfRule type="expression" dxfId="8370" priority="58671" stopIfTrue="1">
      <formula>NOT(ISBLANK($O$102))</formula>
    </cfRule>
  </conditionalFormatting>
  <conditionalFormatting sqref="P102">
    <cfRule type="expression" dxfId="8369" priority="58672" stopIfTrue="1">
      <formula>NOT(ISBLANK($P$102))</formula>
    </cfRule>
  </conditionalFormatting>
  <conditionalFormatting sqref="Q102">
    <cfRule type="expression" dxfId="8368" priority="58673" stopIfTrue="1">
      <formula>NOT(ISBLANK($Q$102))</formula>
    </cfRule>
  </conditionalFormatting>
  <conditionalFormatting sqref="R102">
    <cfRule type="expression" dxfId="8367" priority="58674" stopIfTrue="1">
      <formula>NOT(ISBLANK($R$102))</formula>
    </cfRule>
  </conditionalFormatting>
  <conditionalFormatting sqref="S102">
    <cfRule type="expression" dxfId="8366" priority="58675" stopIfTrue="1">
      <formula>NOT(ISBLANK($S$102))</formula>
    </cfRule>
  </conditionalFormatting>
  <conditionalFormatting sqref="T102">
    <cfRule type="expression" dxfId="8365" priority="58676" stopIfTrue="1">
      <formula>NOT(ISBLANK($T$102))</formula>
    </cfRule>
  </conditionalFormatting>
  <conditionalFormatting sqref="U102">
    <cfRule type="expression" dxfId="8364" priority="58677" stopIfTrue="1">
      <formula>NOT(ISBLANK($U$102))</formula>
    </cfRule>
  </conditionalFormatting>
  <conditionalFormatting sqref="V102">
    <cfRule type="expression" dxfId="8363" priority="58678" stopIfTrue="1">
      <formula>NOT(ISBLANK($V$102))</formula>
    </cfRule>
  </conditionalFormatting>
  <conditionalFormatting sqref="W102">
    <cfRule type="expression" dxfId="8362" priority="58679" stopIfTrue="1">
      <formula>NOT(ISBLANK($W$102))</formula>
    </cfRule>
  </conditionalFormatting>
  <conditionalFormatting sqref="X102">
    <cfRule type="expression" dxfId="8361" priority="58680" stopIfTrue="1">
      <formula>NOT(ISBLANK($X$102))</formula>
    </cfRule>
  </conditionalFormatting>
  <conditionalFormatting sqref="Y102">
    <cfRule type="expression" dxfId="8360" priority="58681" stopIfTrue="1">
      <formula>NOT(ISBLANK($Y$102))</formula>
    </cfRule>
  </conditionalFormatting>
  <conditionalFormatting sqref="Z102">
    <cfRule type="expression" dxfId="8359" priority="58682" stopIfTrue="1">
      <formula>NOT(ISBLANK($Z$102))</formula>
    </cfRule>
  </conditionalFormatting>
  <conditionalFormatting sqref="AA102">
    <cfRule type="expression" dxfId="8358" priority="58683" stopIfTrue="1">
      <formula>NOT(ISBLANK($AA$102))</formula>
    </cfRule>
  </conditionalFormatting>
  <conditionalFormatting sqref="AB102">
    <cfRule type="expression" dxfId="8357" priority="58684" stopIfTrue="1">
      <formula>NOT(ISBLANK($AB$102))</formula>
    </cfRule>
  </conditionalFormatting>
  <conditionalFormatting sqref="AC102">
    <cfRule type="expression" dxfId="8356" priority="58685" stopIfTrue="1">
      <formula>NOT(ISBLANK($AC$102))</formula>
    </cfRule>
  </conditionalFormatting>
  <conditionalFormatting sqref="AD102">
    <cfRule type="expression" dxfId="8355" priority="58686" stopIfTrue="1">
      <formula>NOT(ISBLANK($AD$102))</formula>
    </cfRule>
  </conditionalFormatting>
  <conditionalFormatting sqref="AE102">
    <cfRule type="expression" dxfId="8354" priority="58687" stopIfTrue="1">
      <formula>NOT(ISBLANK($AE$102))</formula>
    </cfRule>
  </conditionalFormatting>
  <conditionalFormatting sqref="AF102">
    <cfRule type="expression" dxfId="8353" priority="58688" stopIfTrue="1">
      <formula>NOT(ISBLANK($AF$102))</formula>
    </cfRule>
  </conditionalFormatting>
  <conditionalFormatting sqref="AG102">
    <cfRule type="expression" dxfId="8352" priority="58689" stopIfTrue="1">
      <formula>NOT(ISBLANK($AG$102))</formula>
    </cfRule>
  </conditionalFormatting>
  <conditionalFormatting sqref="AH102">
    <cfRule type="expression" dxfId="8351" priority="58690" stopIfTrue="1">
      <formula>NOT(ISBLANK($AH$102))</formula>
    </cfRule>
  </conditionalFormatting>
  <conditionalFormatting sqref="AI102">
    <cfRule type="expression" dxfId="8350" priority="58691" stopIfTrue="1">
      <formula>NOT(ISBLANK($AI$102))</formula>
    </cfRule>
  </conditionalFormatting>
  <conditionalFormatting sqref="AJ102">
    <cfRule type="expression" dxfId="8349" priority="58692" stopIfTrue="1">
      <formula>NOT(ISBLANK($AJ$102))</formula>
    </cfRule>
  </conditionalFormatting>
  <conditionalFormatting sqref="AK102">
    <cfRule type="expression" dxfId="8348" priority="58693" stopIfTrue="1">
      <formula>NOT(ISBLANK($AK$102))</formula>
    </cfRule>
  </conditionalFormatting>
  <conditionalFormatting sqref="AL102">
    <cfRule type="expression" dxfId="8347" priority="58694" stopIfTrue="1">
      <formula>NOT(ISBLANK($AL$102))</formula>
    </cfRule>
  </conditionalFormatting>
  <conditionalFormatting sqref="AM102">
    <cfRule type="expression" dxfId="8346" priority="58695" stopIfTrue="1">
      <formula>NOT(ISBLANK($AM$102))</formula>
    </cfRule>
  </conditionalFormatting>
  <conditionalFormatting sqref="AN102">
    <cfRule type="expression" dxfId="8345" priority="58696" stopIfTrue="1">
      <formula>NOT(ISBLANK($AN$102))</formula>
    </cfRule>
  </conditionalFormatting>
  <conditionalFormatting sqref="AO102">
    <cfRule type="expression" dxfId="8344" priority="58697" stopIfTrue="1">
      <formula>NOT(ISBLANK($AO$102))</formula>
    </cfRule>
  </conditionalFormatting>
  <conditionalFormatting sqref="AP102">
    <cfRule type="expression" dxfId="8343" priority="58698" stopIfTrue="1">
      <formula>NOT(ISBLANK($AP$102))</formula>
    </cfRule>
  </conditionalFormatting>
  <conditionalFormatting sqref="AQ102">
    <cfRule type="expression" dxfId="8342" priority="58699" stopIfTrue="1">
      <formula>NOT(ISBLANK($AQ$102))</formula>
    </cfRule>
  </conditionalFormatting>
  <conditionalFormatting sqref="A103">
    <cfRule type="cellIs" dxfId="8341" priority="58700" stopIfTrue="1" operator="notEqual">
      <formula>6</formula>
    </cfRule>
  </conditionalFormatting>
  <conditionalFormatting sqref="B103">
    <cfRule type="cellIs" dxfId="8340" priority="58701" stopIfTrue="1" operator="notEqual">
      <formula>2</formula>
    </cfRule>
  </conditionalFormatting>
  <conditionalFormatting sqref="C103">
    <cfRule type="cellIs" dxfId="8339" priority="58702" stopIfTrue="1" operator="notEqual">
      <formula>7</formula>
    </cfRule>
  </conditionalFormatting>
  <conditionalFormatting sqref="D103">
    <cfRule type="cellIs" dxfId="8338" priority="58703" stopIfTrue="1" operator="notEqual">
      <formula>22.614</formula>
    </cfRule>
  </conditionalFormatting>
  <conditionalFormatting sqref="E103">
    <cfRule type="cellIs" dxfId="8337" priority="58704" stopIfTrue="1" operator="notEqual">
      <formula>"MGD"</formula>
    </cfRule>
  </conditionalFormatting>
  <conditionalFormatting sqref="F103">
    <cfRule type="cellIs" dxfId="8336" priority="58705" stopIfTrue="1" operator="notEqual">
      <formula>11.066</formula>
    </cfRule>
  </conditionalFormatting>
  <conditionalFormatting sqref="G103">
    <cfRule type="cellIs" dxfId="8335" priority="58706" stopIfTrue="1" operator="notEqual">
      <formula>"MGD"</formula>
    </cfRule>
  </conditionalFormatting>
  <conditionalFormatting sqref="H103">
    <cfRule type="expression" dxfId="8334" priority="58707" stopIfTrue="1">
      <formula>NOT(ISBLANK($H$103))</formula>
    </cfRule>
  </conditionalFormatting>
  <conditionalFormatting sqref="I103">
    <cfRule type="expression" dxfId="8333" priority="58708" stopIfTrue="1">
      <formula>NOT(ISBLANK($I$103))</formula>
    </cfRule>
  </conditionalFormatting>
  <conditionalFormatting sqref="J103">
    <cfRule type="expression" dxfId="8332" priority="58709" stopIfTrue="1">
      <formula>NOT(ISBLANK($J$103))</formula>
    </cfRule>
  </conditionalFormatting>
  <conditionalFormatting sqref="K103">
    <cfRule type="expression" dxfId="8331" priority="58710" stopIfTrue="1">
      <formula>NOT(ISBLANK($K$103))</formula>
    </cfRule>
  </conditionalFormatting>
  <conditionalFormatting sqref="L103">
    <cfRule type="expression" dxfId="8330" priority="58711" stopIfTrue="1">
      <formula>NOT(ISBLANK($L$103))</formula>
    </cfRule>
  </conditionalFormatting>
  <conditionalFormatting sqref="M103">
    <cfRule type="expression" dxfId="8329" priority="58712" stopIfTrue="1">
      <formula>NOT(ISBLANK($M$103))</formula>
    </cfRule>
  </conditionalFormatting>
  <conditionalFormatting sqref="N103">
    <cfRule type="expression" dxfId="8328" priority="58713" stopIfTrue="1">
      <formula>NOT(ISBLANK($N$103))</formula>
    </cfRule>
  </conditionalFormatting>
  <conditionalFormatting sqref="O103">
    <cfRule type="expression" dxfId="8327" priority="58714" stopIfTrue="1">
      <formula>NOT(ISBLANK($O$103))</formula>
    </cfRule>
  </conditionalFormatting>
  <conditionalFormatting sqref="P103">
    <cfRule type="expression" dxfId="8326" priority="58715" stopIfTrue="1">
      <formula>NOT(ISBLANK($P$103))</formula>
    </cfRule>
  </conditionalFormatting>
  <conditionalFormatting sqref="Q103">
    <cfRule type="expression" dxfId="8325" priority="58716" stopIfTrue="1">
      <formula>NOT(ISBLANK($Q$103))</formula>
    </cfRule>
  </conditionalFormatting>
  <conditionalFormatting sqref="R103">
    <cfRule type="expression" dxfId="8324" priority="58717" stopIfTrue="1">
      <formula>NOT(ISBLANK($R$103))</formula>
    </cfRule>
  </conditionalFormatting>
  <conditionalFormatting sqref="S103">
    <cfRule type="expression" dxfId="8323" priority="58718" stopIfTrue="1">
      <formula>NOT(ISBLANK($S$103))</formula>
    </cfRule>
  </conditionalFormatting>
  <conditionalFormatting sqref="T103">
    <cfRule type="expression" dxfId="8322" priority="58719" stopIfTrue="1">
      <formula>NOT(ISBLANK($T$103))</formula>
    </cfRule>
  </conditionalFormatting>
  <conditionalFormatting sqref="U103">
    <cfRule type="expression" dxfId="8321" priority="58720" stopIfTrue="1">
      <formula>NOT(ISBLANK($U$103))</formula>
    </cfRule>
  </conditionalFormatting>
  <conditionalFormatting sqref="V103">
    <cfRule type="expression" dxfId="8320" priority="58721" stopIfTrue="1">
      <formula>NOT(ISBLANK($V$103))</formula>
    </cfRule>
  </conditionalFormatting>
  <conditionalFormatting sqref="W103">
    <cfRule type="expression" dxfId="8319" priority="58722" stopIfTrue="1">
      <formula>NOT(ISBLANK($W$103))</formula>
    </cfRule>
  </conditionalFormatting>
  <conditionalFormatting sqref="X103">
    <cfRule type="expression" dxfId="8318" priority="58723" stopIfTrue="1">
      <formula>NOT(ISBLANK($X$103))</formula>
    </cfRule>
  </conditionalFormatting>
  <conditionalFormatting sqref="Y103">
    <cfRule type="expression" dxfId="8317" priority="58724" stopIfTrue="1">
      <formula>NOT(ISBLANK($Y$103))</formula>
    </cfRule>
  </conditionalFormatting>
  <conditionalFormatting sqref="Z103">
    <cfRule type="expression" dxfId="8316" priority="58725" stopIfTrue="1">
      <formula>NOT(ISBLANK($Z$103))</formula>
    </cfRule>
  </conditionalFormatting>
  <conditionalFormatting sqref="AA103">
    <cfRule type="expression" dxfId="8315" priority="58726" stopIfTrue="1">
      <formula>NOT(ISBLANK($AA$103))</formula>
    </cfRule>
  </conditionalFormatting>
  <conditionalFormatting sqref="AB103">
    <cfRule type="expression" dxfId="8314" priority="58727" stopIfTrue="1">
      <formula>NOT(ISBLANK($AB$103))</formula>
    </cfRule>
  </conditionalFormatting>
  <conditionalFormatting sqref="AC103">
    <cfRule type="expression" dxfId="8313" priority="58728" stopIfTrue="1">
      <formula>NOT(ISBLANK($AC$103))</formula>
    </cfRule>
  </conditionalFormatting>
  <conditionalFormatting sqref="AD103">
    <cfRule type="expression" dxfId="8312" priority="58729" stopIfTrue="1">
      <formula>NOT(ISBLANK($AD$103))</formula>
    </cfRule>
  </conditionalFormatting>
  <conditionalFormatting sqref="AE103">
    <cfRule type="expression" dxfId="8311" priority="58730" stopIfTrue="1">
      <formula>NOT(ISBLANK($AE$103))</formula>
    </cfRule>
  </conditionalFormatting>
  <conditionalFormatting sqref="AF103">
    <cfRule type="expression" dxfId="8310" priority="58731" stopIfTrue="1">
      <formula>NOT(ISBLANK($AF$103))</formula>
    </cfRule>
  </conditionalFormatting>
  <conditionalFormatting sqref="AG103">
    <cfRule type="expression" dxfId="8309" priority="58732" stopIfTrue="1">
      <formula>NOT(ISBLANK($AG$103))</formula>
    </cfRule>
  </conditionalFormatting>
  <conditionalFormatting sqref="AH103">
    <cfRule type="expression" dxfId="8308" priority="58733" stopIfTrue="1">
      <formula>NOT(ISBLANK($AH$103))</formula>
    </cfRule>
  </conditionalFormatting>
  <conditionalFormatting sqref="AI103">
    <cfRule type="expression" dxfId="8307" priority="58734" stopIfTrue="1">
      <formula>NOT(ISBLANK($AI$103))</formula>
    </cfRule>
  </conditionalFormatting>
  <conditionalFormatting sqref="AJ103">
    <cfRule type="expression" dxfId="8306" priority="58735" stopIfTrue="1">
      <formula>NOT(ISBLANK($AJ$103))</formula>
    </cfRule>
  </conditionalFormatting>
  <conditionalFormatting sqref="AK103">
    <cfRule type="expression" dxfId="8305" priority="58736" stopIfTrue="1">
      <formula>NOT(ISBLANK($AK$103))</formula>
    </cfRule>
  </conditionalFormatting>
  <conditionalFormatting sqref="AL103">
    <cfRule type="expression" dxfId="8304" priority="58737" stopIfTrue="1">
      <formula>NOT(ISBLANK($AL$103))</formula>
    </cfRule>
  </conditionalFormatting>
  <conditionalFormatting sqref="AM103">
    <cfRule type="expression" dxfId="8303" priority="58738" stopIfTrue="1">
      <formula>NOT(ISBLANK($AM$103))</formula>
    </cfRule>
  </conditionalFormatting>
  <conditionalFormatting sqref="AN103">
    <cfRule type="expression" dxfId="8302" priority="58739" stopIfTrue="1">
      <formula>NOT(ISBLANK($AN$103))</formula>
    </cfRule>
  </conditionalFormatting>
  <conditionalFormatting sqref="AO103">
    <cfRule type="expression" dxfId="8301" priority="58740" stopIfTrue="1">
      <formula>NOT(ISBLANK($AO$103))</formula>
    </cfRule>
  </conditionalFormatting>
  <conditionalFormatting sqref="AP103">
    <cfRule type="expression" dxfId="8300" priority="58741" stopIfTrue="1">
      <formula>NOT(ISBLANK($AP$103))</formula>
    </cfRule>
  </conditionalFormatting>
  <conditionalFormatting sqref="AQ103">
    <cfRule type="expression" dxfId="8299" priority="58742" stopIfTrue="1">
      <formula>NOT(ISBLANK($AQ$103))</formula>
    </cfRule>
  </conditionalFormatting>
  <conditionalFormatting sqref="A104">
    <cfRule type="cellIs" dxfId="8298" priority="58743" stopIfTrue="1" operator="notEqual">
      <formula>6</formula>
    </cfRule>
  </conditionalFormatting>
  <conditionalFormatting sqref="B104">
    <cfRule type="cellIs" dxfId="8297" priority="58744" stopIfTrue="1" operator="notEqual">
      <formula>2</formula>
    </cfRule>
  </conditionalFormatting>
  <conditionalFormatting sqref="C104">
    <cfRule type="cellIs" dxfId="8296" priority="58745" stopIfTrue="1" operator="notEqual">
      <formula>8</formula>
    </cfRule>
  </conditionalFormatting>
  <conditionalFormatting sqref="D104">
    <cfRule type="cellIs" dxfId="8295" priority="58746" stopIfTrue="1" operator="notEqual">
      <formula>75.072</formula>
    </cfRule>
  </conditionalFormatting>
  <conditionalFormatting sqref="E104">
    <cfRule type="cellIs" dxfId="8294" priority="58747" stopIfTrue="1" operator="notEqual">
      <formula>"MGD"</formula>
    </cfRule>
  </conditionalFormatting>
  <conditionalFormatting sqref="F104">
    <cfRule type="cellIs" dxfId="8293" priority="58748" stopIfTrue="1" operator="notEqual">
      <formula>37.536</formula>
    </cfRule>
  </conditionalFormatting>
  <conditionalFormatting sqref="G104">
    <cfRule type="cellIs" dxfId="8292" priority="58749" stopIfTrue="1" operator="notEqual">
      <formula>"MGD"</formula>
    </cfRule>
  </conditionalFormatting>
  <conditionalFormatting sqref="H104">
    <cfRule type="expression" dxfId="8291" priority="58750" stopIfTrue="1">
      <formula>NOT(ISBLANK($H$104))</formula>
    </cfRule>
  </conditionalFormatting>
  <conditionalFormatting sqref="I104">
    <cfRule type="expression" dxfId="8290" priority="58751" stopIfTrue="1">
      <formula>NOT(ISBLANK($I$104))</formula>
    </cfRule>
  </conditionalFormatting>
  <conditionalFormatting sqref="J104">
    <cfRule type="expression" dxfId="8289" priority="58752" stopIfTrue="1">
      <formula>NOT(ISBLANK($J$104))</formula>
    </cfRule>
  </conditionalFormatting>
  <conditionalFormatting sqref="K104">
    <cfRule type="expression" dxfId="8288" priority="58753" stopIfTrue="1">
      <formula>NOT(ISBLANK($K$104))</formula>
    </cfRule>
  </conditionalFormatting>
  <conditionalFormatting sqref="L104">
    <cfRule type="expression" dxfId="8287" priority="58754" stopIfTrue="1">
      <formula>NOT(ISBLANK($L$104))</formula>
    </cfRule>
  </conditionalFormatting>
  <conditionalFormatting sqref="M104">
    <cfRule type="expression" dxfId="8286" priority="58755" stopIfTrue="1">
      <formula>NOT(ISBLANK($M$104))</formula>
    </cfRule>
  </conditionalFormatting>
  <conditionalFormatting sqref="N104">
    <cfRule type="expression" dxfId="8285" priority="58756" stopIfTrue="1">
      <formula>NOT(ISBLANK($N$104))</formula>
    </cfRule>
  </conditionalFormatting>
  <conditionalFormatting sqref="O104">
    <cfRule type="expression" dxfId="8284" priority="58757" stopIfTrue="1">
      <formula>NOT(ISBLANK($O$104))</formula>
    </cfRule>
  </conditionalFormatting>
  <conditionalFormatting sqref="P104">
    <cfRule type="expression" dxfId="8283" priority="58758" stopIfTrue="1">
      <formula>NOT(ISBLANK($P$104))</formula>
    </cfRule>
  </conditionalFormatting>
  <conditionalFormatting sqref="Q104">
    <cfRule type="expression" dxfId="8282" priority="58759" stopIfTrue="1">
      <formula>NOT(ISBLANK($Q$104))</formula>
    </cfRule>
  </conditionalFormatting>
  <conditionalFormatting sqref="R104">
    <cfRule type="expression" dxfId="8281" priority="58760" stopIfTrue="1">
      <formula>NOT(ISBLANK($R$104))</formula>
    </cfRule>
  </conditionalFormatting>
  <conditionalFormatting sqref="S104">
    <cfRule type="expression" dxfId="8280" priority="58761" stopIfTrue="1">
      <formula>NOT(ISBLANK($S$104))</formula>
    </cfRule>
  </conditionalFormatting>
  <conditionalFormatting sqref="T104">
    <cfRule type="expression" dxfId="8279" priority="58762" stopIfTrue="1">
      <formula>NOT(ISBLANK($T$104))</formula>
    </cfRule>
  </conditionalFormatting>
  <conditionalFormatting sqref="U104">
    <cfRule type="expression" dxfId="8278" priority="58763" stopIfTrue="1">
      <formula>NOT(ISBLANK($U$104))</formula>
    </cfRule>
  </conditionalFormatting>
  <conditionalFormatting sqref="V104">
    <cfRule type="expression" dxfId="8277" priority="58764" stopIfTrue="1">
      <formula>NOT(ISBLANK($V$104))</formula>
    </cfRule>
  </conditionalFormatting>
  <conditionalFormatting sqref="W104">
    <cfRule type="expression" dxfId="8276" priority="58765" stopIfTrue="1">
      <formula>NOT(ISBLANK($W$104))</formula>
    </cfRule>
  </conditionalFormatting>
  <conditionalFormatting sqref="X104">
    <cfRule type="expression" dxfId="8275" priority="58766" stopIfTrue="1">
      <formula>NOT(ISBLANK($X$104))</formula>
    </cfRule>
  </conditionalFormatting>
  <conditionalFormatting sqref="Y104">
    <cfRule type="expression" dxfId="8274" priority="58767" stopIfTrue="1">
      <formula>NOT(ISBLANK($Y$104))</formula>
    </cfRule>
  </conditionalFormatting>
  <conditionalFormatting sqref="Z104">
    <cfRule type="expression" dxfId="8273" priority="58768" stopIfTrue="1">
      <formula>NOT(ISBLANK($Z$104))</formula>
    </cfRule>
  </conditionalFormatting>
  <conditionalFormatting sqref="AA104">
    <cfRule type="expression" dxfId="8272" priority="58769" stopIfTrue="1">
      <formula>NOT(ISBLANK($AA$104))</formula>
    </cfRule>
  </conditionalFormatting>
  <conditionalFormatting sqref="AB104">
    <cfRule type="expression" dxfId="8271" priority="58770" stopIfTrue="1">
      <formula>NOT(ISBLANK($AB$104))</formula>
    </cfRule>
  </conditionalFormatting>
  <conditionalFormatting sqref="AC104">
    <cfRule type="expression" dxfId="8270" priority="58771" stopIfTrue="1">
      <formula>NOT(ISBLANK($AC$104))</formula>
    </cfRule>
  </conditionalFormatting>
  <conditionalFormatting sqref="AD104">
    <cfRule type="expression" dxfId="8269" priority="58772" stopIfTrue="1">
      <formula>NOT(ISBLANK($AD$104))</formula>
    </cfRule>
  </conditionalFormatting>
  <conditionalFormatting sqref="AE104">
    <cfRule type="expression" dxfId="8268" priority="58773" stopIfTrue="1">
      <formula>NOT(ISBLANK($AE$104))</formula>
    </cfRule>
  </conditionalFormatting>
  <conditionalFormatting sqref="AF104">
    <cfRule type="expression" dxfId="8267" priority="58774" stopIfTrue="1">
      <formula>NOT(ISBLANK($AF$104))</formula>
    </cfRule>
  </conditionalFormatting>
  <conditionalFormatting sqref="AG104">
    <cfRule type="expression" dxfId="8266" priority="58775" stopIfTrue="1">
      <formula>NOT(ISBLANK($AG$104))</formula>
    </cfRule>
  </conditionalFormatting>
  <conditionalFormatting sqref="AH104">
    <cfRule type="expression" dxfId="8265" priority="58776" stopIfTrue="1">
      <formula>NOT(ISBLANK($AH$104))</formula>
    </cfRule>
  </conditionalFormatting>
  <conditionalFormatting sqref="AI104">
    <cfRule type="expression" dxfId="8264" priority="58777" stopIfTrue="1">
      <formula>NOT(ISBLANK($AI$104))</formula>
    </cfRule>
  </conditionalFormatting>
  <conditionalFormatting sqref="AJ104">
    <cfRule type="expression" dxfId="8263" priority="58778" stopIfTrue="1">
      <formula>NOT(ISBLANK($AJ$104))</formula>
    </cfRule>
  </conditionalFormatting>
  <conditionalFormatting sqref="AK104">
    <cfRule type="expression" dxfId="8262" priority="58779" stopIfTrue="1">
      <formula>NOT(ISBLANK($AK$104))</formula>
    </cfRule>
  </conditionalFormatting>
  <conditionalFormatting sqref="AL104">
    <cfRule type="expression" dxfId="8261" priority="58780" stopIfTrue="1">
      <formula>NOT(ISBLANK($AL$104))</formula>
    </cfRule>
  </conditionalFormatting>
  <conditionalFormatting sqref="AM104">
    <cfRule type="expression" dxfId="8260" priority="58781" stopIfTrue="1">
      <formula>NOT(ISBLANK($AM$104))</formula>
    </cfRule>
  </conditionalFormatting>
  <conditionalFormatting sqref="AN104">
    <cfRule type="expression" dxfId="8259" priority="58782" stopIfTrue="1">
      <formula>NOT(ISBLANK($AN$104))</formula>
    </cfRule>
  </conditionalFormatting>
  <conditionalFormatting sqref="AO104">
    <cfRule type="expression" dxfId="8258" priority="58783" stopIfTrue="1">
      <formula>NOT(ISBLANK($AO$104))</formula>
    </cfRule>
  </conditionalFormatting>
  <conditionalFormatting sqref="AP104">
    <cfRule type="expression" dxfId="8257" priority="58784" stopIfTrue="1">
      <formula>NOT(ISBLANK($AP$104))</formula>
    </cfRule>
  </conditionalFormatting>
  <conditionalFormatting sqref="AQ104">
    <cfRule type="expression" dxfId="8256" priority="58785" stopIfTrue="1">
      <formula>NOT(ISBLANK($AQ$104))</formula>
    </cfRule>
  </conditionalFormatting>
  <conditionalFormatting sqref="A105">
    <cfRule type="cellIs" dxfId="8255" priority="58786" stopIfTrue="1" operator="notEqual">
      <formula>7</formula>
    </cfRule>
  </conditionalFormatting>
  <conditionalFormatting sqref="B105">
    <cfRule type="cellIs" dxfId="8254" priority="58787" stopIfTrue="1" operator="notEqual">
      <formula>1</formula>
    </cfRule>
  </conditionalFormatting>
  <conditionalFormatting sqref="C105">
    <cfRule type="cellIs" dxfId="8253" priority="58788" stopIfTrue="1" operator="notEqual">
      <formula>1</formula>
    </cfRule>
  </conditionalFormatting>
  <conditionalFormatting sqref="D105">
    <cfRule type="cellIs" dxfId="8252" priority="58789" stopIfTrue="1" operator="notEqual">
      <formula>0.03</formula>
    </cfRule>
  </conditionalFormatting>
  <conditionalFormatting sqref="E105">
    <cfRule type="cellIs" dxfId="8251" priority="58790" stopIfTrue="1" operator="notEqual">
      <formula>"MGD"</formula>
    </cfRule>
  </conditionalFormatting>
  <conditionalFormatting sqref="F105">
    <cfRule type="cellIs" dxfId="8250" priority="58791" stopIfTrue="1" operator="notEqual">
      <formula>0.007</formula>
    </cfRule>
  </conditionalFormatting>
  <conditionalFormatting sqref="G105">
    <cfRule type="cellIs" dxfId="8249" priority="58792" stopIfTrue="1" operator="notEqual">
      <formula>"MGD"</formula>
    </cfRule>
  </conditionalFormatting>
  <conditionalFormatting sqref="H105">
    <cfRule type="cellIs" dxfId="8248" priority="58793" stopIfTrue="1" operator="notEqual">
      <formula>"regeneration off-site (non-hazardous)"</formula>
    </cfRule>
  </conditionalFormatting>
  <conditionalFormatting sqref="I105">
    <cfRule type="cellIs" dxfId="8247" priority="58794" stopIfTrue="1" operator="notEqual">
      <formula>"carbon life value- bed volumes"</formula>
    </cfRule>
  </conditionalFormatting>
  <conditionalFormatting sqref="J105">
    <cfRule type="cellIs" dxfId="8246" priority="58795" stopIfTrue="1" operator="notEqual">
      <formula>29200</formula>
    </cfRule>
  </conditionalFormatting>
  <conditionalFormatting sqref="K105">
    <cfRule type="expression" dxfId="8245" priority="58796" stopIfTrue="1">
      <formula>NOT(ISBLANK($K$105))</formula>
    </cfRule>
  </conditionalFormatting>
  <conditionalFormatting sqref="L105">
    <cfRule type="expression" dxfId="8244" priority="58797" stopIfTrue="1">
      <formula>NOT(ISBLANK($L$105))</formula>
    </cfRule>
  </conditionalFormatting>
  <conditionalFormatting sqref="M105">
    <cfRule type="expression" dxfId="8243" priority="58798" stopIfTrue="1">
      <formula>NOT(ISBLANK($M$105))</formula>
    </cfRule>
  </conditionalFormatting>
  <conditionalFormatting sqref="N105">
    <cfRule type="cellIs" dxfId="8242" priority="58799" stopIfTrue="1" operator="notEqual">
      <formula>"EBCT"</formula>
    </cfRule>
  </conditionalFormatting>
  <conditionalFormatting sqref="O105">
    <cfRule type="cellIs" dxfId="8241" priority="58800" stopIfTrue="1" operator="notEqual">
      <formula>7.5</formula>
    </cfRule>
  </conditionalFormatting>
  <conditionalFormatting sqref="P105">
    <cfRule type="expression" dxfId="8240" priority="58801" stopIfTrue="1">
      <formula>NOT(ISBLANK($P$105))</formula>
    </cfRule>
  </conditionalFormatting>
  <conditionalFormatting sqref="Q105">
    <cfRule type="expression" dxfId="8239" priority="58802" stopIfTrue="1">
      <formula>NOT(ISBLANK($Q$105))</formula>
    </cfRule>
  </conditionalFormatting>
  <conditionalFormatting sqref="R105">
    <cfRule type="cellIs" dxfId="8238" priority="58803" stopIfTrue="1" operator="notEqual">
      <formula>1</formula>
    </cfRule>
  </conditionalFormatting>
  <conditionalFormatting sqref="S105">
    <cfRule type="cellIs" dxfId="8237" priority="58804" stopIfTrue="1" operator="notEqual">
      <formula>3.4</formula>
    </cfRule>
  </conditionalFormatting>
  <conditionalFormatting sqref="T105">
    <cfRule type="cellIs" dxfId="8236" priority="58805" stopIfTrue="1" operator="notEqual">
      <formula>"upright"</formula>
    </cfRule>
  </conditionalFormatting>
  <conditionalFormatting sqref="U105">
    <cfRule type="cellIs" dxfId="8235" priority="58806" stopIfTrue="1" operator="notEqual">
      <formula>6</formula>
    </cfRule>
  </conditionalFormatting>
  <conditionalFormatting sqref="V105">
    <cfRule type="cellIs" dxfId="8234" priority="58807" stopIfTrue="1" operator="notEqual">
      <formula>2</formula>
    </cfRule>
  </conditionalFormatting>
  <conditionalFormatting sqref="W105">
    <cfRule type="expression" dxfId="8233" priority="58808" stopIfTrue="1">
      <formula>NOT(ISBLANK($W$105))</formula>
    </cfRule>
  </conditionalFormatting>
  <conditionalFormatting sqref="X105">
    <cfRule type="expression" dxfId="8232" priority="58809" stopIfTrue="1">
      <formula>NOT(ISBLANK($X$105))</formula>
    </cfRule>
  </conditionalFormatting>
  <conditionalFormatting sqref="Y105">
    <cfRule type="expression" dxfId="8231" priority="58810" stopIfTrue="1">
      <formula>NOT(ISBLANK($Y$105))</formula>
    </cfRule>
  </conditionalFormatting>
  <conditionalFormatting sqref="Z105">
    <cfRule type="cellIs" dxfId="8230" priority="58811" stopIfTrue="1" operator="notEqual">
      <formula>168</formula>
    </cfRule>
  </conditionalFormatting>
  <conditionalFormatting sqref="AA105">
    <cfRule type="cellIs" dxfId="8229" priority="58812" stopIfTrue="1" operator="notEqual">
      <formula>"POTW"</formula>
    </cfRule>
  </conditionalFormatting>
  <conditionalFormatting sqref="AB105">
    <cfRule type="cellIs" dxfId="8228" priority="58813" stopIfTrue="1" operator="notEqual">
      <formula>"no holding tank"</formula>
    </cfRule>
  </conditionalFormatting>
  <conditionalFormatting sqref="AC105">
    <cfRule type="cellIs" dxfId="8227" priority="58814" stopIfTrue="1" operator="notEqual">
      <formula>"manual transfer"</formula>
    </cfRule>
  </conditionalFormatting>
  <conditionalFormatting sqref="AD105">
    <cfRule type="expression" dxfId="8226" priority="58815" stopIfTrue="1">
      <formula>NOT(ISBLANK($AD$105))</formula>
    </cfRule>
  </conditionalFormatting>
  <conditionalFormatting sqref="AE105">
    <cfRule type="expression" dxfId="8225" priority="58816" stopIfTrue="1">
      <formula>NOT(ISBLANK($AE$105))</formula>
    </cfRule>
  </conditionalFormatting>
  <conditionalFormatting sqref="AF105">
    <cfRule type="cellIs" dxfId="8224" priority="58817" stopIfTrue="1" operator="notEqual">
      <formula>0</formula>
    </cfRule>
  </conditionalFormatting>
  <conditionalFormatting sqref="AG105">
    <cfRule type="expression" dxfId="8223" priority="58818" stopIfTrue="1">
      <formula>NOT(ISBLANK($AG$105))</formula>
    </cfRule>
  </conditionalFormatting>
  <conditionalFormatting sqref="AH105">
    <cfRule type="expression" dxfId="8222" priority="58819" stopIfTrue="1">
      <formula>NOT(ISBLANK($AH$105))</formula>
    </cfRule>
  </conditionalFormatting>
  <conditionalFormatting sqref="AI105">
    <cfRule type="cellIs" dxfId="8221" priority="58820" stopIfTrue="1" operator="notEqual">
      <formula>"fully automated"</formula>
    </cfRule>
  </conditionalFormatting>
  <conditionalFormatting sqref="AJ105">
    <cfRule type="expression" dxfId="8220" priority="58821" stopIfTrue="1">
      <formula>NOT(ISBLANK($AJ$105))</formula>
    </cfRule>
  </conditionalFormatting>
  <conditionalFormatting sqref="AK105">
    <cfRule type="expression" dxfId="8219" priority="58822" stopIfTrue="1">
      <formula>NOT(ISBLANK($AK$105))</formula>
    </cfRule>
  </conditionalFormatting>
  <conditionalFormatting sqref="AL105">
    <cfRule type="expression" dxfId="8218" priority="58823" stopIfTrue="1">
      <formula>NOT(ISBLANK($AL$105))</formula>
    </cfRule>
  </conditionalFormatting>
  <conditionalFormatting sqref="AM105">
    <cfRule type="expression" dxfId="8217" priority="58824" stopIfTrue="1">
      <formula>NOT(ISBLANK($AM$105))</formula>
    </cfRule>
  </conditionalFormatting>
  <conditionalFormatting sqref="AN105">
    <cfRule type="expression" dxfId="8216" priority="58825" stopIfTrue="1">
      <formula>NOT(ISBLANK($AN$105))</formula>
    </cfRule>
  </conditionalFormatting>
  <conditionalFormatting sqref="AO105">
    <cfRule type="expression" dxfId="8215" priority="58826" stopIfTrue="1">
      <formula>NOT(ISBLANK($AO$105))</formula>
    </cfRule>
  </conditionalFormatting>
  <conditionalFormatting sqref="AP105">
    <cfRule type="expression" dxfId="8214" priority="58827" stopIfTrue="1">
      <formula>NOT(ISBLANK($AP$105))</formula>
    </cfRule>
  </conditionalFormatting>
  <conditionalFormatting sqref="AQ105">
    <cfRule type="expression" dxfId="8213" priority="58828" stopIfTrue="1">
      <formula>NOT(ISBLANK($AQ$105))</formula>
    </cfRule>
  </conditionalFormatting>
  <conditionalFormatting sqref="A106">
    <cfRule type="cellIs" dxfId="8212" priority="58829" stopIfTrue="1" operator="notEqual">
      <formula>7</formula>
    </cfRule>
  </conditionalFormatting>
  <conditionalFormatting sqref="B106">
    <cfRule type="cellIs" dxfId="8211" priority="58830" stopIfTrue="1" operator="notEqual">
      <formula>1</formula>
    </cfRule>
  </conditionalFormatting>
  <conditionalFormatting sqref="C106">
    <cfRule type="cellIs" dxfId="8210" priority="58831" stopIfTrue="1" operator="notEqual">
      <formula>2</formula>
    </cfRule>
  </conditionalFormatting>
  <conditionalFormatting sqref="D106">
    <cfRule type="cellIs" dxfId="8209" priority="58832" stopIfTrue="1" operator="notEqual">
      <formula>0.124</formula>
    </cfRule>
  </conditionalFormatting>
  <conditionalFormatting sqref="E106">
    <cfRule type="cellIs" dxfId="8208" priority="58833" stopIfTrue="1" operator="notEqual">
      <formula>"MGD"</formula>
    </cfRule>
  </conditionalFormatting>
  <conditionalFormatting sqref="F106">
    <cfRule type="cellIs" dxfId="8207" priority="58834" stopIfTrue="1" operator="notEqual">
      <formula>0.035</formula>
    </cfRule>
  </conditionalFormatting>
  <conditionalFormatting sqref="G106">
    <cfRule type="cellIs" dxfId="8206" priority="58835" stopIfTrue="1" operator="notEqual">
      <formula>"MGD"</formula>
    </cfRule>
  </conditionalFormatting>
  <conditionalFormatting sqref="H106">
    <cfRule type="cellIs" dxfId="8205" priority="58836" stopIfTrue="1" operator="notEqual">
      <formula>"regeneration off-site (non-hazardous)"</formula>
    </cfRule>
  </conditionalFormatting>
  <conditionalFormatting sqref="I106">
    <cfRule type="cellIs" dxfId="8204" priority="58837" stopIfTrue="1" operator="notEqual">
      <formula>"carbon life value- bed volumes"</formula>
    </cfRule>
  </conditionalFormatting>
  <conditionalFormatting sqref="J106">
    <cfRule type="cellIs" dxfId="8203" priority="58838" stopIfTrue="1" operator="notEqual">
      <formula>29200</formula>
    </cfRule>
  </conditionalFormatting>
  <conditionalFormatting sqref="K106">
    <cfRule type="expression" dxfId="8202" priority="58839" stopIfTrue="1">
      <formula>NOT(ISBLANK($K$106))</formula>
    </cfRule>
  </conditionalFormatting>
  <conditionalFormatting sqref="L106">
    <cfRule type="expression" dxfId="8201" priority="58840" stopIfTrue="1">
      <formula>NOT(ISBLANK($L$106))</formula>
    </cfRule>
  </conditionalFormatting>
  <conditionalFormatting sqref="M106">
    <cfRule type="expression" dxfId="8200" priority="58841" stopIfTrue="1">
      <formula>NOT(ISBLANK($M$106))</formula>
    </cfRule>
  </conditionalFormatting>
  <conditionalFormatting sqref="N106">
    <cfRule type="cellIs" dxfId="8199" priority="58842" stopIfTrue="1" operator="notEqual">
      <formula>"EBCT"</formula>
    </cfRule>
  </conditionalFormatting>
  <conditionalFormatting sqref="O106">
    <cfRule type="cellIs" dxfId="8198" priority="58843" stopIfTrue="1" operator="notEqual">
      <formula>7.5</formula>
    </cfRule>
  </conditionalFormatting>
  <conditionalFormatting sqref="P106">
    <cfRule type="expression" dxfId="8197" priority="58844" stopIfTrue="1">
      <formula>NOT(ISBLANK($P$106))</formula>
    </cfRule>
  </conditionalFormatting>
  <conditionalFormatting sqref="Q106">
    <cfRule type="expression" dxfId="8196" priority="58845" stopIfTrue="1">
      <formula>NOT(ISBLANK($Q$106))</formula>
    </cfRule>
  </conditionalFormatting>
  <conditionalFormatting sqref="R106">
    <cfRule type="cellIs" dxfId="8195" priority="58846" stopIfTrue="1" operator="notEqual">
      <formula>1</formula>
    </cfRule>
  </conditionalFormatting>
  <conditionalFormatting sqref="S106">
    <cfRule type="cellIs" dxfId="8194" priority="58847" stopIfTrue="1" operator="notEqual">
      <formula>6.9</formula>
    </cfRule>
  </conditionalFormatting>
  <conditionalFormatting sqref="T106">
    <cfRule type="cellIs" dxfId="8193" priority="58848" stopIfTrue="1" operator="notEqual">
      <formula>"upright"</formula>
    </cfRule>
  </conditionalFormatting>
  <conditionalFormatting sqref="U106">
    <cfRule type="cellIs" dxfId="8192" priority="58849" stopIfTrue="1" operator="notEqual">
      <formula>11</formula>
    </cfRule>
  </conditionalFormatting>
  <conditionalFormatting sqref="V106">
    <cfRule type="cellIs" dxfId="8191" priority="58850" stopIfTrue="1" operator="notEqual">
      <formula>4</formula>
    </cfRule>
  </conditionalFormatting>
  <conditionalFormatting sqref="W106">
    <cfRule type="expression" dxfId="8190" priority="58851" stopIfTrue="1">
      <formula>NOT(ISBLANK($W$106))</formula>
    </cfRule>
  </conditionalFormatting>
  <conditionalFormatting sqref="X106">
    <cfRule type="expression" dxfId="8189" priority="58852" stopIfTrue="1">
      <formula>NOT(ISBLANK($X$106))</formula>
    </cfRule>
  </conditionalFormatting>
  <conditionalFormatting sqref="Y106">
    <cfRule type="expression" dxfId="8188" priority="58853" stopIfTrue="1">
      <formula>NOT(ISBLANK($Y$106))</formula>
    </cfRule>
  </conditionalFormatting>
  <conditionalFormatting sqref="Z106">
    <cfRule type="cellIs" dxfId="8187" priority="58854" stopIfTrue="1" operator="notEqual">
      <formula>168</formula>
    </cfRule>
  </conditionalFormatting>
  <conditionalFormatting sqref="AA106">
    <cfRule type="cellIs" dxfId="8186" priority="58855" stopIfTrue="1" operator="notEqual">
      <formula>"POTW"</formula>
    </cfRule>
  </conditionalFormatting>
  <conditionalFormatting sqref="AB106">
    <cfRule type="cellIs" dxfId="8185" priority="58856" stopIfTrue="1" operator="notEqual">
      <formula>"Holding tank"</formula>
    </cfRule>
  </conditionalFormatting>
  <conditionalFormatting sqref="AC106">
    <cfRule type="cellIs" dxfId="8184" priority="58857" stopIfTrue="1" operator="notEqual">
      <formula>"manual transfer"</formula>
    </cfRule>
  </conditionalFormatting>
  <conditionalFormatting sqref="AD106">
    <cfRule type="cellIs" dxfId="8183" priority="58858" stopIfTrue="1" operator="notEqual">
      <formula>"non-hazardous"</formula>
    </cfRule>
  </conditionalFormatting>
  <conditionalFormatting sqref="AE106">
    <cfRule type="expression" dxfId="8182" priority="58859" stopIfTrue="1">
      <formula>NOT(ISBLANK($AE$106))</formula>
    </cfRule>
  </conditionalFormatting>
  <conditionalFormatting sqref="AF106">
    <cfRule type="cellIs" dxfId="8181" priority="58860" stopIfTrue="1" operator="notEqual">
      <formula>0</formula>
    </cfRule>
  </conditionalFormatting>
  <conditionalFormatting sqref="AG106">
    <cfRule type="expression" dxfId="8180" priority="58861" stopIfTrue="1">
      <formula>NOT(ISBLANK($AG$106))</formula>
    </cfRule>
  </conditionalFormatting>
  <conditionalFormatting sqref="AH106">
    <cfRule type="expression" dxfId="8179" priority="58862" stopIfTrue="1">
      <formula>NOT(ISBLANK($AH$106))</formula>
    </cfRule>
  </conditionalFormatting>
  <conditionalFormatting sqref="AI106">
    <cfRule type="cellIs" dxfId="8178" priority="58863" stopIfTrue="1" operator="notEqual">
      <formula>"fully automated"</formula>
    </cfRule>
  </conditionalFormatting>
  <conditionalFormatting sqref="AJ106">
    <cfRule type="expression" dxfId="8177" priority="58864" stopIfTrue="1">
      <formula>NOT(ISBLANK($AJ$106))</formula>
    </cfRule>
  </conditionalFormatting>
  <conditionalFormatting sqref="AK106">
    <cfRule type="expression" dxfId="8176" priority="58865" stopIfTrue="1">
      <formula>NOT(ISBLANK($AK$106))</formula>
    </cfRule>
  </conditionalFormatting>
  <conditionalFormatting sqref="AL106">
    <cfRule type="expression" dxfId="8175" priority="58866" stopIfTrue="1">
      <formula>NOT(ISBLANK($AL$106))</formula>
    </cfRule>
  </conditionalFormatting>
  <conditionalFormatting sqref="AM106">
    <cfRule type="expression" dxfId="8174" priority="58867" stopIfTrue="1">
      <formula>NOT(ISBLANK($AM$106))</formula>
    </cfRule>
  </conditionalFormatting>
  <conditionalFormatting sqref="AN106">
    <cfRule type="expression" dxfId="8173" priority="58868" stopIfTrue="1">
      <formula>NOT(ISBLANK($AN$106))</formula>
    </cfRule>
  </conditionalFormatting>
  <conditionalFormatting sqref="AO106">
    <cfRule type="expression" dxfId="8172" priority="58869" stopIfTrue="1">
      <formula>NOT(ISBLANK($AO$106))</formula>
    </cfRule>
  </conditionalFormatting>
  <conditionalFormatting sqref="AP106">
    <cfRule type="expression" dxfId="8171" priority="58870" stopIfTrue="1">
      <formula>NOT(ISBLANK($AP$106))</formula>
    </cfRule>
  </conditionalFormatting>
  <conditionalFormatting sqref="AQ106">
    <cfRule type="expression" dxfId="8170" priority="58871" stopIfTrue="1">
      <formula>NOT(ISBLANK($AQ$106))</formula>
    </cfRule>
  </conditionalFormatting>
  <conditionalFormatting sqref="A107">
    <cfRule type="cellIs" dxfId="8169" priority="58872" stopIfTrue="1" operator="notEqual">
      <formula>7</formula>
    </cfRule>
  </conditionalFormatting>
  <conditionalFormatting sqref="B107">
    <cfRule type="cellIs" dxfId="8168" priority="58873" stopIfTrue="1" operator="notEqual">
      <formula>1</formula>
    </cfRule>
  </conditionalFormatting>
  <conditionalFormatting sqref="C107">
    <cfRule type="cellIs" dxfId="8167" priority="58874" stopIfTrue="1" operator="notEqual">
      <formula>3</formula>
    </cfRule>
  </conditionalFormatting>
  <conditionalFormatting sqref="D107">
    <cfRule type="cellIs" dxfId="8166" priority="58875" stopIfTrue="1" operator="notEqual">
      <formula>0.305</formula>
    </cfRule>
  </conditionalFormatting>
  <conditionalFormatting sqref="E107">
    <cfRule type="cellIs" dxfId="8165" priority="58876" stopIfTrue="1" operator="notEqual">
      <formula>"MGD"</formula>
    </cfRule>
  </conditionalFormatting>
  <conditionalFormatting sqref="F107">
    <cfRule type="cellIs" dxfId="8164" priority="58877" stopIfTrue="1" operator="notEqual">
      <formula>0.094</formula>
    </cfRule>
  </conditionalFormatting>
  <conditionalFormatting sqref="G107">
    <cfRule type="cellIs" dxfId="8163" priority="58878" stopIfTrue="1" operator="notEqual">
      <formula>"MGD"</formula>
    </cfRule>
  </conditionalFormatting>
  <conditionalFormatting sqref="H107">
    <cfRule type="cellIs" dxfId="8162" priority="58879" stopIfTrue="1" operator="notEqual">
      <formula>"regeneration off-site (non-hazardous)"</formula>
    </cfRule>
  </conditionalFormatting>
  <conditionalFormatting sqref="I107">
    <cfRule type="cellIs" dxfId="8161" priority="58880" stopIfTrue="1" operator="notEqual">
      <formula>"carbon life value- bed volumes"</formula>
    </cfRule>
  </conditionalFormatting>
  <conditionalFormatting sqref="J107">
    <cfRule type="cellIs" dxfId="8160" priority="58881" stopIfTrue="1" operator="notEqual">
      <formula>29200</formula>
    </cfRule>
  </conditionalFormatting>
  <conditionalFormatting sqref="K107">
    <cfRule type="expression" dxfId="8159" priority="58882" stopIfTrue="1">
      <formula>NOT(ISBLANK($K$107))</formula>
    </cfRule>
  </conditionalFormatting>
  <conditionalFormatting sqref="L107">
    <cfRule type="expression" dxfId="8158" priority="58883" stopIfTrue="1">
      <formula>NOT(ISBLANK($L$107))</formula>
    </cfRule>
  </conditionalFormatting>
  <conditionalFormatting sqref="M107">
    <cfRule type="expression" dxfId="8157" priority="58884" stopIfTrue="1">
      <formula>NOT(ISBLANK($M$107))</formula>
    </cfRule>
  </conditionalFormatting>
  <conditionalFormatting sqref="N107">
    <cfRule type="cellIs" dxfId="8156" priority="58885" stopIfTrue="1" operator="notEqual">
      <formula>"EBCT"</formula>
    </cfRule>
  </conditionalFormatting>
  <conditionalFormatting sqref="O107">
    <cfRule type="cellIs" dxfId="8155" priority="58886" stopIfTrue="1" operator="notEqual">
      <formula>7.5</formula>
    </cfRule>
  </conditionalFormatting>
  <conditionalFormatting sqref="P107">
    <cfRule type="expression" dxfId="8154" priority="58887" stopIfTrue="1">
      <formula>NOT(ISBLANK($P$107))</formula>
    </cfRule>
  </conditionalFormatting>
  <conditionalFormatting sqref="Q107">
    <cfRule type="expression" dxfId="8153" priority="58888" stopIfTrue="1">
      <formula>NOT(ISBLANK($Q$107))</formula>
    </cfRule>
  </conditionalFormatting>
  <conditionalFormatting sqref="R107">
    <cfRule type="cellIs" dxfId="8152" priority="58889" stopIfTrue="1" operator="notEqual">
      <formula>1</formula>
    </cfRule>
  </conditionalFormatting>
  <conditionalFormatting sqref="S107">
    <cfRule type="cellIs" dxfId="8151" priority="58890" stopIfTrue="1" operator="notEqual">
      <formula>6.7</formula>
    </cfRule>
  </conditionalFormatting>
  <conditionalFormatting sqref="T107">
    <cfRule type="cellIs" dxfId="8150" priority="58891" stopIfTrue="1" operator="notEqual">
      <formula>"upright"</formula>
    </cfRule>
  </conditionalFormatting>
  <conditionalFormatting sqref="U107">
    <cfRule type="cellIs" dxfId="8149" priority="58892" stopIfTrue="1" operator="notEqual">
      <formula>11</formula>
    </cfRule>
  </conditionalFormatting>
  <conditionalFormatting sqref="V107">
    <cfRule type="cellIs" dxfId="8148" priority="58893" stopIfTrue="1" operator="notEqual">
      <formula>4.5</formula>
    </cfRule>
  </conditionalFormatting>
  <conditionalFormatting sqref="W107">
    <cfRule type="expression" dxfId="8147" priority="58894" stopIfTrue="1">
      <formula>NOT(ISBLANK($W$107))</formula>
    </cfRule>
  </conditionalFormatting>
  <conditionalFormatting sqref="X107">
    <cfRule type="expression" dxfId="8146" priority="58895" stopIfTrue="1">
      <formula>NOT(ISBLANK($X$107))</formula>
    </cfRule>
  </conditionalFormatting>
  <conditionalFormatting sqref="Y107">
    <cfRule type="expression" dxfId="8145" priority="58896" stopIfTrue="1">
      <formula>NOT(ISBLANK($Y$107))</formula>
    </cfRule>
  </conditionalFormatting>
  <conditionalFormatting sqref="Z107">
    <cfRule type="cellIs" dxfId="8144" priority="58897" stopIfTrue="1" operator="notEqual">
      <formula>168</formula>
    </cfRule>
  </conditionalFormatting>
  <conditionalFormatting sqref="AA107">
    <cfRule type="cellIs" dxfId="8143" priority="58898" stopIfTrue="1" operator="notEqual">
      <formula>"POTW"</formula>
    </cfRule>
  </conditionalFormatting>
  <conditionalFormatting sqref="AB107">
    <cfRule type="cellIs" dxfId="8142" priority="58899" stopIfTrue="1" operator="notEqual">
      <formula>"Holding tank"</formula>
    </cfRule>
  </conditionalFormatting>
  <conditionalFormatting sqref="AC107">
    <cfRule type="cellIs" dxfId="8141" priority="58900" stopIfTrue="1" operator="notEqual">
      <formula>"manual transfer"</formula>
    </cfRule>
  </conditionalFormatting>
  <conditionalFormatting sqref="AD107">
    <cfRule type="cellIs" dxfId="8140" priority="58901" stopIfTrue="1" operator="notEqual">
      <formula>"non-hazardous"</formula>
    </cfRule>
  </conditionalFormatting>
  <conditionalFormatting sqref="AE107">
    <cfRule type="expression" dxfId="8139" priority="58902" stopIfTrue="1">
      <formula>NOT(ISBLANK($AE$107))</formula>
    </cfRule>
  </conditionalFormatting>
  <conditionalFormatting sqref="AF107">
    <cfRule type="cellIs" dxfId="8138" priority="58903" stopIfTrue="1" operator="notEqual">
      <formula>0</formula>
    </cfRule>
  </conditionalFormatting>
  <conditionalFormatting sqref="AG107">
    <cfRule type="expression" dxfId="8137" priority="58904" stopIfTrue="1">
      <formula>NOT(ISBLANK($AG$107))</formula>
    </cfRule>
  </conditionalFormatting>
  <conditionalFormatting sqref="AH107">
    <cfRule type="expression" dxfId="8136" priority="58905" stopIfTrue="1">
      <formula>NOT(ISBLANK($AH$107))</formula>
    </cfRule>
  </conditionalFormatting>
  <conditionalFormatting sqref="AI107">
    <cfRule type="cellIs" dxfId="8135" priority="58906" stopIfTrue="1" operator="notEqual">
      <formula>"fully automated"</formula>
    </cfRule>
  </conditionalFormatting>
  <conditionalFormatting sqref="AJ107">
    <cfRule type="expression" dxfId="8134" priority="58907" stopIfTrue="1">
      <formula>NOT(ISBLANK($AJ$107))</formula>
    </cfRule>
  </conditionalFormatting>
  <conditionalFormatting sqref="AK107">
    <cfRule type="expression" dxfId="8133" priority="58908" stopIfTrue="1">
      <formula>NOT(ISBLANK($AK$107))</formula>
    </cfRule>
  </conditionalFormatting>
  <conditionalFormatting sqref="AL107">
    <cfRule type="expression" dxfId="8132" priority="58909" stopIfTrue="1">
      <formula>NOT(ISBLANK($AL$107))</formula>
    </cfRule>
  </conditionalFormatting>
  <conditionalFormatting sqref="AM107">
    <cfRule type="expression" dxfId="8131" priority="58910" stopIfTrue="1">
      <formula>NOT(ISBLANK($AM$107))</formula>
    </cfRule>
  </conditionalFormatting>
  <conditionalFormatting sqref="AN107">
    <cfRule type="expression" dxfId="8130" priority="58911" stopIfTrue="1">
      <formula>NOT(ISBLANK($AN$107))</formula>
    </cfRule>
  </conditionalFormatting>
  <conditionalFormatting sqref="AO107">
    <cfRule type="expression" dxfId="8129" priority="58912" stopIfTrue="1">
      <formula>NOT(ISBLANK($AO$107))</formula>
    </cfRule>
  </conditionalFormatting>
  <conditionalFormatting sqref="AP107">
    <cfRule type="expression" dxfId="8128" priority="58913" stopIfTrue="1">
      <formula>NOT(ISBLANK($AP$107))</formula>
    </cfRule>
  </conditionalFormatting>
  <conditionalFormatting sqref="AQ107">
    <cfRule type="expression" dxfId="8127" priority="58914" stopIfTrue="1">
      <formula>NOT(ISBLANK($AQ$107))</formula>
    </cfRule>
  </conditionalFormatting>
  <conditionalFormatting sqref="A108">
    <cfRule type="cellIs" dxfId="8126" priority="58915" stopIfTrue="1" operator="notEqual">
      <formula>7</formula>
    </cfRule>
  </conditionalFormatting>
  <conditionalFormatting sqref="B108">
    <cfRule type="cellIs" dxfId="8125" priority="58916" stopIfTrue="1" operator="notEqual">
      <formula>1</formula>
    </cfRule>
  </conditionalFormatting>
  <conditionalFormatting sqref="C108">
    <cfRule type="cellIs" dxfId="8124" priority="58917" stopIfTrue="1" operator="notEqual">
      <formula>4</formula>
    </cfRule>
  </conditionalFormatting>
  <conditionalFormatting sqref="D108">
    <cfRule type="cellIs" dxfId="8123" priority="58918" stopIfTrue="1" operator="notEqual">
      <formula>0.74</formula>
    </cfRule>
  </conditionalFormatting>
  <conditionalFormatting sqref="E108">
    <cfRule type="cellIs" dxfId="8122" priority="58919" stopIfTrue="1" operator="notEqual">
      <formula>"MGD"</formula>
    </cfRule>
  </conditionalFormatting>
  <conditionalFormatting sqref="F108">
    <cfRule type="cellIs" dxfId="8121" priority="58920" stopIfTrue="1" operator="notEqual">
      <formula>0.251</formula>
    </cfRule>
  </conditionalFormatting>
  <conditionalFormatting sqref="G108">
    <cfRule type="cellIs" dxfId="8120" priority="58921" stopIfTrue="1" operator="notEqual">
      <formula>"MGD"</formula>
    </cfRule>
  </conditionalFormatting>
  <conditionalFormatting sqref="H108">
    <cfRule type="cellIs" dxfId="8119" priority="58922" stopIfTrue="1" operator="notEqual">
      <formula>"regeneration off-site (non-hazardous)"</formula>
    </cfRule>
  </conditionalFormatting>
  <conditionalFormatting sqref="I108">
    <cfRule type="cellIs" dxfId="8118" priority="58923" stopIfTrue="1" operator="notEqual">
      <formula>"carbon life value- bed volumes"</formula>
    </cfRule>
  </conditionalFormatting>
  <conditionalFormatting sqref="J108">
    <cfRule type="cellIs" dxfId="8117" priority="58924" stopIfTrue="1" operator="notEqual">
      <formula>29200</formula>
    </cfRule>
  </conditionalFormatting>
  <conditionalFormatting sqref="K108">
    <cfRule type="expression" dxfId="8116" priority="58925" stopIfTrue="1">
      <formula>NOT(ISBLANK($K$108))</formula>
    </cfRule>
  </conditionalFormatting>
  <conditionalFormatting sqref="L108">
    <cfRule type="expression" dxfId="8115" priority="58926" stopIfTrue="1">
      <formula>NOT(ISBLANK($L$108))</formula>
    </cfRule>
  </conditionalFormatting>
  <conditionalFormatting sqref="M108">
    <cfRule type="expression" dxfId="8114" priority="58927" stopIfTrue="1">
      <formula>NOT(ISBLANK($M$108))</formula>
    </cfRule>
  </conditionalFormatting>
  <conditionalFormatting sqref="N108">
    <cfRule type="cellIs" dxfId="8113" priority="58928" stopIfTrue="1" operator="notEqual">
      <formula>"EBCT"</formula>
    </cfRule>
  </conditionalFormatting>
  <conditionalFormatting sqref="O108">
    <cfRule type="cellIs" dxfId="8112" priority="58929" stopIfTrue="1" operator="notEqual">
      <formula>7.5</formula>
    </cfRule>
  </conditionalFormatting>
  <conditionalFormatting sqref="P108">
    <cfRule type="expression" dxfId="8111" priority="58930" stopIfTrue="1">
      <formula>NOT(ISBLANK($P$108))</formula>
    </cfRule>
  </conditionalFormatting>
  <conditionalFormatting sqref="Q108">
    <cfRule type="expression" dxfId="8110" priority="58931" stopIfTrue="1">
      <formula>NOT(ISBLANK($Q$108))</formula>
    </cfRule>
  </conditionalFormatting>
  <conditionalFormatting sqref="R108">
    <cfRule type="cellIs" dxfId="8109" priority="58932" stopIfTrue="1" operator="notEqual">
      <formula>1</formula>
    </cfRule>
  </conditionalFormatting>
  <conditionalFormatting sqref="S108">
    <cfRule type="cellIs" dxfId="8108" priority="58933" stopIfTrue="1" operator="notEqual">
      <formula>6.7</formula>
    </cfRule>
  </conditionalFormatting>
  <conditionalFormatting sqref="T108">
    <cfRule type="cellIs" dxfId="8107" priority="58934" stopIfTrue="1" operator="notEqual">
      <formula>"upright"</formula>
    </cfRule>
  </conditionalFormatting>
  <conditionalFormatting sqref="U108">
    <cfRule type="cellIs" dxfId="8106" priority="58935" stopIfTrue="1" operator="notEqual">
      <formula>11</formula>
    </cfRule>
  </conditionalFormatting>
  <conditionalFormatting sqref="V108">
    <cfRule type="cellIs" dxfId="8105" priority="58936" stopIfTrue="1" operator="notEqual">
      <formula>7</formula>
    </cfRule>
  </conditionalFormatting>
  <conditionalFormatting sqref="W108">
    <cfRule type="expression" dxfId="8104" priority="58937" stopIfTrue="1">
      <formula>NOT(ISBLANK($W$108))</formula>
    </cfRule>
  </conditionalFormatting>
  <conditionalFormatting sqref="X108">
    <cfRule type="expression" dxfId="8103" priority="58938" stopIfTrue="1">
      <formula>NOT(ISBLANK($X$108))</formula>
    </cfRule>
  </conditionalFormatting>
  <conditionalFormatting sqref="Y108">
    <cfRule type="expression" dxfId="8102" priority="58939" stopIfTrue="1">
      <formula>NOT(ISBLANK($Y$108))</formula>
    </cfRule>
  </conditionalFormatting>
  <conditionalFormatting sqref="Z108">
    <cfRule type="cellIs" dxfId="8101" priority="58940" stopIfTrue="1" operator="notEqual">
      <formula>168</formula>
    </cfRule>
  </conditionalFormatting>
  <conditionalFormatting sqref="AA108">
    <cfRule type="cellIs" dxfId="8100" priority="58941" stopIfTrue="1" operator="notEqual">
      <formula>"POTW"</formula>
    </cfRule>
  </conditionalFormatting>
  <conditionalFormatting sqref="AB108">
    <cfRule type="cellIs" dxfId="8099" priority="58942" stopIfTrue="1" operator="notEqual">
      <formula>"Holding tank"</formula>
    </cfRule>
  </conditionalFormatting>
  <conditionalFormatting sqref="AC108">
    <cfRule type="cellIs" dxfId="8098" priority="58943" stopIfTrue="1" operator="notEqual">
      <formula>"manual transfer"</formula>
    </cfRule>
  </conditionalFormatting>
  <conditionalFormatting sqref="AD108">
    <cfRule type="cellIs" dxfId="8097" priority="58944" stopIfTrue="1" operator="notEqual">
      <formula>"non-hazardous"</formula>
    </cfRule>
  </conditionalFormatting>
  <conditionalFormatting sqref="AE108">
    <cfRule type="expression" dxfId="8096" priority="58945" stopIfTrue="1">
      <formula>NOT(ISBLANK($AE$108))</formula>
    </cfRule>
  </conditionalFormatting>
  <conditionalFormatting sqref="AF108">
    <cfRule type="cellIs" dxfId="8095" priority="58946" stopIfTrue="1" operator="notEqual">
      <formula>0</formula>
    </cfRule>
  </conditionalFormatting>
  <conditionalFormatting sqref="AG108">
    <cfRule type="expression" dxfId="8094" priority="58947" stopIfTrue="1">
      <formula>NOT(ISBLANK($AG$108))</formula>
    </cfRule>
  </conditionalFormatting>
  <conditionalFormatting sqref="AH108">
    <cfRule type="expression" dxfId="8093" priority="58948" stopIfTrue="1">
      <formula>NOT(ISBLANK($AH$108))</formula>
    </cfRule>
  </conditionalFormatting>
  <conditionalFormatting sqref="AI108">
    <cfRule type="cellIs" dxfId="8092" priority="58949" stopIfTrue="1" operator="notEqual">
      <formula>"fully automated"</formula>
    </cfRule>
  </conditionalFormatting>
  <conditionalFormatting sqref="AJ108">
    <cfRule type="expression" dxfId="8091" priority="58950" stopIfTrue="1">
      <formula>NOT(ISBLANK($AJ$108))</formula>
    </cfRule>
  </conditionalFormatting>
  <conditionalFormatting sqref="AK108">
    <cfRule type="expression" dxfId="8090" priority="58951" stopIfTrue="1">
      <formula>NOT(ISBLANK($AK$108))</formula>
    </cfRule>
  </conditionalFormatting>
  <conditionalFormatting sqref="AL108">
    <cfRule type="expression" dxfId="8089" priority="58952" stopIfTrue="1">
      <formula>NOT(ISBLANK($AL$108))</formula>
    </cfRule>
  </conditionalFormatting>
  <conditionalFormatting sqref="AM108">
    <cfRule type="expression" dxfId="8088" priority="58953" stopIfTrue="1">
      <formula>NOT(ISBLANK($AM$108))</formula>
    </cfRule>
  </conditionalFormatting>
  <conditionalFormatting sqref="AN108">
    <cfRule type="expression" dxfId="8087" priority="58954" stopIfTrue="1">
      <formula>NOT(ISBLANK($AN$108))</formula>
    </cfRule>
  </conditionalFormatting>
  <conditionalFormatting sqref="AO108">
    <cfRule type="expression" dxfId="8086" priority="58955" stopIfTrue="1">
      <formula>NOT(ISBLANK($AO$108))</formula>
    </cfRule>
  </conditionalFormatting>
  <conditionalFormatting sqref="AP108">
    <cfRule type="expression" dxfId="8085" priority="58956" stopIfTrue="1">
      <formula>NOT(ISBLANK($AP$108))</formula>
    </cfRule>
  </conditionalFormatting>
  <conditionalFormatting sqref="AQ108">
    <cfRule type="expression" dxfId="8084" priority="58957" stopIfTrue="1">
      <formula>NOT(ISBLANK($AQ$108))</formula>
    </cfRule>
  </conditionalFormatting>
  <conditionalFormatting sqref="A109">
    <cfRule type="cellIs" dxfId="8083" priority="58958" stopIfTrue="1" operator="notEqual">
      <formula>7</formula>
    </cfRule>
  </conditionalFormatting>
  <conditionalFormatting sqref="B109">
    <cfRule type="cellIs" dxfId="8082" priority="58959" stopIfTrue="1" operator="notEqual">
      <formula>1</formula>
    </cfRule>
  </conditionalFormatting>
  <conditionalFormatting sqref="C109">
    <cfRule type="cellIs" dxfId="8081" priority="58960" stopIfTrue="1" operator="notEqual">
      <formula>5</formula>
    </cfRule>
  </conditionalFormatting>
  <conditionalFormatting sqref="D109">
    <cfRule type="cellIs" dxfId="8080" priority="58961" stopIfTrue="1" operator="notEqual">
      <formula>2.152</formula>
    </cfRule>
  </conditionalFormatting>
  <conditionalFormatting sqref="E109">
    <cfRule type="cellIs" dxfId="8079" priority="58962" stopIfTrue="1" operator="notEqual">
      <formula>"MGD"</formula>
    </cfRule>
  </conditionalFormatting>
  <conditionalFormatting sqref="F109">
    <cfRule type="cellIs" dxfId="8078" priority="58963" stopIfTrue="1" operator="notEqual">
      <formula>0.819</formula>
    </cfRule>
  </conditionalFormatting>
  <conditionalFormatting sqref="G109">
    <cfRule type="cellIs" dxfId="8077" priority="58964" stopIfTrue="1" operator="notEqual">
      <formula>"MGD"</formula>
    </cfRule>
  </conditionalFormatting>
  <conditionalFormatting sqref="H109">
    <cfRule type="cellIs" dxfId="8076" priority="58965" stopIfTrue="1" operator="notEqual">
      <formula>"regeneration off-site (non-hazardous)"</formula>
    </cfRule>
  </conditionalFormatting>
  <conditionalFormatting sqref="I109">
    <cfRule type="cellIs" dxfId="8075" priority="58966" stopIfTrue="1" operator="notEqual">
      <formula>"carbon life value- bed volumes"</formula>
    </cfRule>
  </conditionalFormatting>
  <conditionalFormatting sqref="J109">
    <cfRule type="cellIs" dxfId="8074" priority="58967" stopIfTrue="1" operator="notEqual">
      <formula>29200</formula>
    </cfRule>
  </conditionalFormatting>
  <conditionalFormatting sqref="K109">
    <cfRule type="expression" dxfId="8073" priority="58968" stopIfTrue="1">
      <formula>NOT(ISBLANK($K$109))</formula>
    </cfRule>
  </conditionalFormatting>
  <conditionalFormatting sqref="L109">
    <cfRule type="expression" dxfId="8072" priority="58969" stopIfTrue="1">
      <formula>NOT(ISBLANK($L$109))</formula>
    </cfRule>
  </conditionalFormatting>
  <conditionalFormatting sqref="M109">
    <cfRule type="expression" dxfId="8071" priority="58970" stopIfTrue="1">
      <formula>NOT(ISBLANK($M$109))</formula>
    </cfRule>
  </conditionalFormatting>
  <conditionalFormatting sqref="N109">
    <cfRule type="cellIs" dxfId="8070" priority="58971" stopIfTrue="1" operator="notEqual">
      <formula>"EBCT"</formula>
    </cfRule>
  </conditionalFormatting>
  <conditionalFormatting sqref="O109">
    <cfRule type="cellIs" dxfId="8069" priority="58972" stopIfTrue="1" operator="notEqual">
      <formula>7.5</formula>
    </cfRule>
  </conditionalFormatting>
  <conditionalFormatting sqref="P109">
    <cfRule type="expression" dxfId="8068" priority="58973" stopIfTrue="1">
      <formula>NOT(ISBLANK($P$109))</formula>
    </cfRule>
  </conditionalFormatting>
  <conditionalFormatting sqref="Q109">
    <cfRule type="expression" dxfId="8067" priority="58974" stopIfTrue="1">
      <formula>NOT(ISBLANK($Q$109))</formula>
    </cfRule>
  </conditionalFormatting>
  <conditionalFormatting sqref="R109">
    <cfRule type="cellIs" dxfId="8066" priority="58975" stopIfTrue="1" operator="notEqual">
      <formula>1</formula>
    </cfRule>
  </conditionalFormatting>
  <conditionalFormatting sqref="S109">
    <cfRule type="cellIs" dxfId="8065" priority="58976" stopIfTrue="1" operator="notEqual">
      <formula>6.7</formula>
    </cfRule>
  </conditionalFormatting>
  <conditionalFormatting sqref="T109">
    <cfRule type="cellIs" dxfId="8064" priority="58977" stopIfTrue="1" operator="notEqual">
      <formula>"upright"</formula>
    </cfRule>
  </conditionalFormatting>
  <conditionalFormatting sqref="U109">
    <cfRule type="cellIs" dxfId="8063" priority="58978" stopIfTrue="1" operator="notEqual">
      <formula>11</formula>
    </cfRule>
  </conditionalFormatting>
  <conditionalFormatting sqref="V109">
    <cfRule type="cellIs" dxfId="8062" priority="58979" stopIfTrue="1" operator="notEqual">
      <formula>8.5</formula>
    </cfRule>
  </conditionalFormatting>
  <conditionalFormatting sqref="W109">
    <cfRule type="expression" dxfId="8061" priority="58980" stopIfTrue="1">
      <formula>NOT(ISBLANK($W$109))</formula>
    </cfRule>
  </conditionalFormatting>
  <conditionalFormatting sqref="X109">
    <cfRule type="expression" dxfId="8060" priority="58981" stopIfTrue="1">
      <formula>NOT(ISBLANK($X$109))</formula>
    </cfRule>
  </conditionalFormatting>
  <conditionalFormatting sqref="Y109">
    <cfRule type="expression" dxfId="8059" priority="58982" stopIfTrue="1">
      <formula>NOT(ISBLANK($Y$109))</formula>
    </cfRule>
  </conditionalFormatting>
  <conditionalFormatting sqref="Z109">
    <cfRule type="cellIs" dxfId="8058" priority="58983" stopIfTrue="1" operator="notEqual">
      <formula>168</formula>
    </cfRule>
  </conditionalFormatting>
  <conditionalFormatting sqref="AA109">
    <cfRule type="cellIs" dxfId="8057" priority="58984" stopIfTrue="1" operator="notEqual">
      <formula>"POTW"</formula>
    </cfRule>
  </conditionalFormatting>
  <conditionalFormatting sqref="AB109">
    <cfRule type="cellIs" dxfId="8056" priority="58985" stopIfTrue="1" operator="notEqual">
      <formula>"Holding tank"</formula>
    </cfRule>
  </conditionalFormatting>
  <conditionalFormatting sqref="AC109">
    <cfRule type="cellIs" dxfId="8055" priority="58986" stopIfTrue="1" operator="notEqual">
      <formula>"manual transfer"</formula>
    </cfRule>
  </conditionalFormatting>
  <conditionalFormatting sqref="AD109">
    <cfRule type="cellIs" dxfId="8054" priority="58987" stopIfTrue="1" operator="notEqual">
      <formula>"non-hazardous"</formula>
    </cfRule>
  </conditionalFormatting>
  <conditionalFormatting sqref="AE109">
    <cfRule type="expression" dxfId="8053" priority="58988" stopIfTrue="1">
      <formula>NOT(ISBLANK($AE$109))</formula>
    </cfRule>
  </conditionalFormatting>
  <conditionalFormatting sqref="AF109">
    <cfRule type="cellIs" dxfId="8052" priority="58989" stopIfTrue="1" operator="notEqual">
      <formula>0</formula>
    </cfRule>
  </conditionalFormatting>
  <conditionalFormatting sqref="AG109">
    <cfRule type="expression" dxfId="8051" priority="58990" stopIfTrue="1">
      <formula>NOT(ISBLANK($AG$109))</formula>
    </cfRule>
  </conditionalFormatting>
  <conditionalFormatting sqref="AH109">
    <cfRule type="expression" dxfId="8050" priority="58991" stopIfTrue="1">
      <formula>NOT(ISBLANK($AH$109))</formula>
    </cfRule>
  </conditionalFormatting>
  <conditionalFormatting sqref="AI109">
    <cfRule type="cellIs" dxfId="8049" priority="58992" stopIfTrue="1" operator="notEqual">
      <formula>"fully automated"</formula>
    </cfRule>
  </conditionalFormatting>
  <conditionalFormatting sqref="AJ109">
    <cfRule type="expression" dxfId="8048" priority="58993" stopIfTrue="1">
      <formula>NOT(ISBLANK($AJ$109))</formula>
    </cfRule>
  </conditionalFormatting>
  <conditionalFormatting sqref="AK109">
    <cfRule type="expression" dxfId="8047" priority="58994" stopIfTrue="1">
      <formula>NOT(ISBLANK($AK$109))</formula>
    </cfRule>
  </conditionalFormatting>
  <conditionalFormatting sqref="AL109">
    <cfRule type="expression" dxfId="8046" priority="58995" stopIfTrue="1">
      <formula>NOT(ISBLANK($AL$109))</formula>
    </cfRule>
  </conditionalFormatting>
  <conditionalFormatting sqref="AM109">
    <cfRule type="expression" dxfId="8045" priority="58996" stopIfTrue="1">
      <formula>NOT(ISBLANK($AM$109))</formula>
    </cfRule>
  </conditionalFormatting>
  <conditionalFormatting sqref="AN109">
    <cfRule type="expression" dxfId="8044" priority="58997" stopIfTrue="1">
      <formula>NOT(ISBLANK($AN$109))</formula>
    </cfRule>
  </conditionalFormatting>
  <conditionalFormatting sqref="AO109">
    <cfRule type="expression" dxfId="8043" priority="58998" stopIfTrue="1">
      <formula>NOT(ISBLANK($AO$109))</formula>
    </cfRule>
  </conditionalFormatting>
  <conditionalFormatting sqref="AP109">
    <cfRule type="expression" dxfId="8042" priority="58999" stopIfTrue="1">
      <formula>NOT(ISBLANK($AP$109))</formula>
    </cfRule>
  </conditionalFormatting>
  <conditionalFormatting sqref="AQ109">
    <cfRule type="expression" dxfId="8041" priority="59000" stopIfTrue="1">
      <formula>NOT(ISBLANK($AQ$109))</formula>
    </cfRule>
  </conditionalFormatting>
  <conditionalFormatting sqref="A110">
    <cfRule type="cellIs" dxfId="8040" priority="59001" stopIfTrue="1" operator="notEqual">
      <formula>7</formula>
    </cfRule>
  </conditionalFormatting>
  <conditionalFormatting sqref="B110">
    <cfRule type="cellIs" dxfId="8039" priority="59002" stopIfTrue="1" operator="notEqual">
      <formula>1</formula>
    </cfRule>
  </conditionalFormatting>
  <conditionalFormatting sqref="C110">
    <cfRule type="cellIs" dxfId="8038" priority="59003" stopIfTrue="1" operator="notEqual">
      <formula>6</formula>
    </cfRule>
  </conditionalFormatting>
  <conditionalFormatting sqref="D110">
    <cfRule type="cellIs" dxfId="8037" priority="59004" stopIfTrue="1" operator="notEqual">
      <formula>7.365</formula>
    </cfRule>
  </conditionalFormatting>
  <conditionalFormatting sqref="E110">
    <cfRule type="cellIs" dxfId="8036" priority="59005" stopIfTrue="1" operator="notEqual">
      <formula>"MGD"</formula>
    </cfRule>
  </conditionalFormatting>
  <conditionalFormatting sqref="F110">
    <cfRule type="cellIs" dxfId="8035" priority="59006" stopIfTrue="1" operator="notEqual">
      <formula>3.2</formula>
    </cfRule>
  </conditionalFormatting>
  <conditionalFormatting sqref="G110">
    <cfRule type="cellIs" dxfId="8034" priority="59007" stopIfTrue="1" operator="notEqual">
      <formula>"MGD"</formula>
    </cfRule>
  </conditionalFormatting>
  <conditionalFormatting sqref="H110">
    <cfRule type="cellIs" dxfId="8033" priority="59008" stopIfTrue="1" operator="notEqual">
      <formula>"regeneration off-site (non-hazardous)"</formula>
    </cfRule>
  </conditionalFormatting>
  <conditionalFormatting sqref="I110">
    <cfRule type="cellIs" dxfId="8032" priority="59009" stopIfTrue="1" operator="notEqual">
      <formula>"carbon life value- bed volumes"</formula>
    </cfRule>
  </conditionalFormatting>
  <conditionalFormatting sqref="J110">
    <cfRule type="cellIs" dxfId="8031" priority="59010" stopIfTrue="1" operator="notEqual">
      <formula>29200</formula>
    </cfRule>
  </conditionalFormatting>
  <conditionalFormatting sqref="K110">
    <cfRule type="expression" dxfId="8030" priority="59011" stopIfTrue="1">
      <formula>NOT(ISBLANK($K$110))</formula>
    </cfRule>
  </conditionalFormatting>
  <conditionalFormatting sqref="L110">
    <cfRule type="expression" dxfId="8029" priority="59012" stopIfTrue="1">
      <formula>NOT(ISBLANK($L$110))</formula>
    </cfRule>
  </conditionalFormatting>
  <conditionalFormatting sqref="M110">
    <cfRule type="expression" dxfId="8028" priority="59013" stopIfTrue="1">
      <formula>NOT(ISBLANK($M$110))</formula>
    </cfRule>
  </conditionalFormatting>
  <conditionalFormatting sqref="N110">
    <cfRule type="cellIs" dxfId="8027" priority="59014" stopIfTrue="1" operator="notEqual">
      <formula>"EBCT"</formula>
    </cfRule>
  </conditionalFormatting>
  <conditionalFormatting sqref="O110">
    <cfRule type="cellIs" dxfId="8026" priority="59015" stopIfTrue="1" operator="notEqual">
      <formula>7.5</formula>
    </cfRule>
  </conditionalFormatting>
  <conditionalFormatting sqref="P110">
    <cfRule type="expression" dxfId="8025" priority="59016" stopIfTrue="1">
      <formula>NOT(ISBLANK($P$110))</formula>
    </cfRule>
  </conditionalFormatting>
  <conditionalFormatting sqref="Q110">
    <cfRule type="expression" dxfId="8024" priority="59017" stopIfTrue="1">
      <formula>NOT(ISBLANK($Q$110))</formula>
    </cfRule>
  </conditionalFormatting>
  <conditionalFormatting sqref="R110">
    <cfRule type="cellIs" dxfId="8023" priority="59018" stopIfTrue="1" operator="notEqual">
      <formula>1</formula>
    </cfRule>
  </conditionalFormatting>
  <conditionalFormatting sqref="S110">
    <cfRule type="cellIs" dxfId="8022" priority="59019" stopIfTrue="1" operator="notEqual">
      <formula>6.8</formula>
    </cfRule>
  </conditionalFormatting>
  <conditionalFormatting sqref="T110">
    <cfRule type="cellIs" dxfId="8021" priority="59020" stopIfTrue="1" operator="notEqual">
      <formula>"upright"</formula>
    </cfRule>
  </conditionalFormatting>
  <conditionalFormatting sqref="U110">
    <cfRule type="cellIs" dxfId="8020" priority="59021" stopIfTrue="1" operator="notEqual">
      <formula>11</formula>
    </cfRule>
  </conditionalFormatting>
  <conditionalFormatting sqref="V110">
    <cfRule type="cellIs" dxfId="8019" priority="59022" stopIfTrue="1" operator="notEqual">
      <formula>11</formula>
    </cfRule>
  </conditionalFormatting>
  <conditionalFormatting sqref="W110">
    <cfRule type="expression" dxfId="8018" priority="59023" stopIfTrue="1">
      <formula>NOT(ISBLANK($W$110))</formula>
    </cfRule>
  </conditionalFormatting>
  <conditionalFormatting sqref="X110">
    <cfRule type="expression" dxfId="8017" priority="59024" stopIfTrue="1">
      <formula>NOT(ISBLANK($X$110))</formula>
    </cfRule>
  </conditionalFormatting>
  <conditionalFormatting sqref="Y110">
    <cfRule type="expression" dxfId="8016" priority="59025" stopIfTrue="1">
      <formula>NOT(ISBLANK($Y$110))</formula>
    </cfRule>
  </conditionalFormatting>
  <conditionalFormatting sqref="Z110">
    <cfRule type="cellIs" dxfId="8015" priority="59026" stopIfTrue="1" operator="notEqual">
      <formula>168</formula>
    </cfRule>
  </conditionalFormatting>
  <conditionalFormatting sqref="AA110">
    <cfRule type="cellIs" dxfId="8014" priority="59027" stopIfTrue="1" operator="notEqual">
      <formula>"POTW"</formula>
    </cfRule>
  </conditionalFormatting>
  <conditionalFormatting sqref="AB110">
    <cfRule type="cellIs" dxfId="8013" priority="59028" stopIfTrue="1" operator="notEqual">
      <formula>"Holding tank"</formula>
    </cfRule>
  </conditionalFormatting>
  <conditionalFormatting sqref="AC110">
    <cfRule type="cellIs" dxfId="8012" priority="59029" stopIfTrue="1" operator="notEqual">
      <formula>"eductors"</formula>
    </cfRule>
  </conditionalFormatting>
  <conditionalFormatting sqref="AD110">
    <cfRule type="cellIs" dxfId="8011" priority="59030" stopIfTrue="1" operator="notEqual">
      <formula>"non-hazardous"</formula>
    </cfRule>
  </conditionalFormatting>
  <conditionalFormatting sqref="AE110">
    <cfRule type="expression" dxfId="8010" priority="59031" stopIfTrue="1">
      <formula>NOT(ISBLANK($AE$110))</formula>
    </cfRule>
  </conditionalFormatting>
  <conditionalFormatting sqref="AF110">
    <cfRule type="cellIs" dxfId="8009" priority="59032" stopIfTrue="1" operator="notEqual">
      <formula>0</formula>
    </cfRule>
  </conditionalFormatting>
  <conditionalFormatting sqref="AG110">
    <cfRule type="expression" dxfId="8008" priority="59033" stopIfTrue="1">
      <formula>NOT(ISBLANK($AG$110))</formula>
    </cfRule>
  </conditionalFormatting>
  <conditionalFormatting sqref="AH110">
    <cfRule type="expression" dxfId="8007" priority="59034" stopIfTrue="1">
      <formula>NOT(ISBLANK($AH$110))</formula>
    </cfRule>
  </conditionalFormatting>
  <conditionalFormatting sqref="AI110">
    <cfRule type="cellIs" dxfId="8006" priority="59035" stopIfTrue="1" operator="notEqual">
      <formula>"fully automated"</formula>
    </cfRule>
  </conditionalFormatting>
  <conditionalFormatting sqref="AJ110">
    <cfRule type="expression" dxfId="8005" priority="59036" stopIfTrue="1">
      <formula>NOT(ISBLANK($AJ$110))</formula>
    </cfRule>
  </conditionalFormatting>
  <conditionalFormatting sqref="AK110">
    <cfRule type="expression" dxfId="8004" priority="59037" stopIfTrue="1">
      <formula>NOT(ISBLANK($AK$110))</formula>
    </cfRule>
  </conditionalFormatting>
  <conditionalFormatting sqref="AL110">
    <cfRule type="expression" dxfId="8003" priority="59038" stopIfTrue="1">
      <formula>NOT(ISBLANK($AL$110))</formula>
    </cfRule>
  </conditionalFormatting>
  <conditionalFormatting sqref="AM110">
    <cfRule type="expression" dxfId="8002" priority="59039" stopIfTrue="1">
      <formula>NOT(ISBLANK($AM$110))</formula>
    </cfRule>
  </conditionalFormatting>
  <conditionalFormatting sqref="AN110">
    <cfRule type="expression" dxfId="8001" priority="59040" stopIfTrue="1">
      <formula>NOT(ISBLANK($AN$110))</formula>
    </cfRule>
  </conditionalFormatting>
  <conditionalFormatting sqref="AO110">
    <cfRule type="expression" dxfId="8000" priority="59041" stopIfTrue="1">
      <formula>NOT(ISBLANK($AO$110))</formula>
    </cfRule>
  </conditionalFormatting>
  <conditionalFormatting sqref="AP110">
    <cfRule type="expression" dxfId="7999" priority="59042" stopIfTrue="1">
      <formula>NOT(ISBLANK($AP$110))</formula>
    </cfRule>
  </conditionalFormatting>
  <conditionalFormatting sqref="AQ110">
    <cfRule type="expression" dxfId="7998" priority="59043" stopIfTrue="1">
      <formula>NOT(ISBLANK($AQ$110))</formula>
    </cfRule>
  </conditionalFormatting>
  <conditionalFormatting sqref="A111">
    <cfRule type="cellIs" dxfId="7997" priority="59044" stopIfTrue="1" operator="notEqual">
      <formula>7</formula>
    </cfRule>
  </conditionalFormatting>
  <conditionalFormatting sqref="B111">
    <cfRule type="cellIs" dxfId="7996" priority="59045" stopIfTrue="1" operator="notEqual">
      <formula>1</formula>
    </cfRule>
  </conditionalFormatting>
  <conditionalFormatting sqref="C111">
    <cfRule type="cellIs" dxfId="7995" priority="59046" stopIfTrue="1" operator="notEqual">
      <formula>7</formula>
    </cfRule>
  </conditionalFormatting>
  <conditionalFormatting sqref="D111">
    <cfRule type="cellIs" dxfId="7994" priority="59047" stopIfTrue="1" operator="notEqual">
      <formula>22.614</formula>
    </cfRule>
  </conditionalFormatting>
  <conditionalFormatting sqref="E111">
    <cfRule type="cellIs" dxfId="7993" priority="59048" stopIfTrue="1" operator="notEqual">
      <formula>"MGD"</formula>
    </cfRule>
  </conditionalFormatting>
  <conditionalFormatting sqref="F111">
    <cfRule type="cellIs" dxfId="7992" priority="59049" stopIfTrue="1" operator="notEqual">
      <formula>11.066</formula>
    </cfRule>
  </conditionalFormatting>
  <conditionalFormatting sqref="G111">
    <cfRule type="cellIs" dxfId="7991" priority="59050" stopIfTrue="1" operator="notEqual">
      <formula>"MGD"</formula>
    </cfRule>
  </conditionalFormatting>
  <conditionalFormatting sqref="H111">
    <cfRule type="cellIs" dxfId="7990" priority="59051" stopIfTrue="1" operator="notEqual">
      <formula>"regeneration off-site (non-hazardous)"</formula>
    </cfRule>
  </conditionalFormatting>
  <conditionalFormatting sqref="I111">
    <cfRule type="cellIs" dxfId="7989" priority="59052" stopIfTrue="1" operator="notEqual">
      <formula>"carbon life value- bed volumes"</formula>
    </cfRule>
  </conditionalFormatting>
  <conditionalFormatting sqref="J111">
    <cfRule type="cellIs" dxfId="7988" priority="59053" stopIfTrue="1" operator="notEqual">
      <formula>29200</formula>
    </cfRule>
  </conditionalFormatting>
  <conditionalFormatting sqref="K111">
    <cfRule type="expression" dxfId="7987" priority="59054" stopIfTrue="1">
      <formula>NOT(ISBLANK($K$111))</formula>
    </cfRule>
  </conditionalFormatting>
  <conditionalFormatting sqref="L111">
    <cfRule type="expression" dxfId="7986" priority="59055" stopIfTrue="1">
      <formula>NOT(ISBLANK($L$111))</formula>
    </cfRule>
  </conditionalFormatting>
  <conditionalFormatting sqref="M111">
    <cfRule type="expression" dxfId="7985" priority="59056" stopIfTrue="1">
      <formula>NOT(ISBLANK($M$111))</formula>
    </cfRule>
  </conditionalFormatting>
  <conditionalFormatting sqref="N111">
    <cfRule type="cellIs" dxfId="7984" priority="59057" stopIfTrue="1" operator="notEqual">
      <formula>"EBCT"</formula>
    </cfRule>
  </conditionalFormatting>
  <conditionalFormatting sqref="O111">
    <cfRule type="cellIs" dxfId="7983" priority="59058" stopIfTrue="1" operator="notEqual">
      <formula>7.5</formula>
    </cfRule>
  </conditionalFormatting>
  <conditionalFormatting sqref="P111">
    <cfRule type="expression" dxfId="7982" priority="59059" stopIfTrue="1">
      <formula>NOT(ISBLANK($P$111))</formula>
    </cfRule>
  </conditionalFormatting>
  <conditionalFormatting sqref="Q111">
    <cfRule type="expression" dxfId="7981" priority="59060" stopIfTrue="1">
      <formula>NOT(ISBLANK($Q$111))</formula>
    </cfRule>
  </conditionalFormatting>
  <conditionalFormatting sqref="R111">
    <cfRule type="cellIs" dxfId="7980" priority="59061" stopIfTrue="1" operator="notEqual">
      <formula>1</formula>
    </cfRule>
  </conditionalFormatting>
  <conditionalFormatting sqref="S111">
    <cfRule type="cellIs" dxfId="7979" priority="59062" stopIfTrue="1" operator="notEqual">
      <formula>7.1</formula>
    </cfRule>
  </conditionalFormatting>
  <conditionalFormatting sqref="T111">
    <cfRule type="cellIs" dxfId="7978" priority="59063" stopIfTrue="1" operator="notEqual">
      <formula>"horizontal"</formula>
    </cfRule>
  </conditionalFormatting>
  <conditionalFormatting sqref="U111">
    <cfRule type="cellIs" dxfId="7977" priority="59064" stopIfTrue="1" operator="notEqual">
      <formula>20</formula>
    </cfRule>
  </conditionalFormatting>
  <conditionalFormatting sqref="V111">
    <cfRule type="cellIs" dxfId="7976" priority="59065" stopIfTrue="1" operator="notEqual">
      <formula>14</formula>
    </cfRule>
  </conditionalFormatting>
  <conditionalFormatting sqref="W111">
    <cfRule type="expression" dxfId="7975" priority="59066" stopIfTrue="1">
      <formula>NOT(ISBLANK($W$111))</formula>
    </cfRule>
  </conditionalFormatting>
  <conditionalFormatting sqref="X111">
    <cfRule type="expression" dxfId="7974" priority="59067" stopIfTrue="1">
      <formula>NOT(ISBLANK($X$111))</formula>
    </cfRule>
  </conditionalFormatting>
  <conditionalFormatting sqref="Y111">
    <cfRule type="expression" dxfId="7973" priority="59068" stopIfTrue="1">
      <formula>NOT(ISBLANK($Y$111))</formula>
    </cfRule>
  </conditionalFormatting>
  <conditionalFormatting sqref="Z111">
    <cfRule type="cellIs" dxfId="7972" priority="59069" stopIfTrue="1" operator="notEqual">
      <formula>168</formula>
    </cfRule>
  </conditionalFormatting>
  <conditionalFormatting sqref="AA111">
    <cfRule type="cellIs" dxfId="7971" priority="59070" stopIfTrue="1" operator="notEqual">
      <formula>"POTW"</formula>
    </cfRule>
  </conditionalFormatting>
  <conditionalFormatting sqref="AB111">
    <cfRule type="cellIs" dxfId="7970" priority="59071" stopIfTrue="1" operator="notEqual">
      <formula>"Holding tank"</formula>
    </cfRule>
  </conditionalFormatting>
  <conditionalFormatting sqref="AC111">
    <cfRule type="cellIs" dxfId="7969" priority="59072" stopIfTrue="1" operator="notEqual">
      <formula>"eductors"</formula>
    </cfRule>
  </conditionalFormatting>
  <conditionalFormatting sqref="AD111">
    <cfRule type="cellIs" dxfId="7968" priority="59073" stopIfTrue="1" operator="notEqual">
      <formula>"non-hazardous"</formula>
    </cfRule>
  </conditionalFormatting>
  <conditionalFormatting sqref="AE111">
    <cfRule type="expression" dxfId="7967" priority="59074" stopIfTrue="1">
      <formula>NOT(ISBLANK($AE$111))</formula>
    </cfRule>
  </conditionalFormatting>
  <conditionalFormatting sqref="AF111">
    <cfRule type="cellIs" dxfId="7966" priority="59075" stopIfTrue="1" operator="notEqual">
      <formula>0</formula>
    </cfRule>
  </conditionalFormatting>
  <conditionalFormatting sqref="AG111">
    <cfRule type="expression" dxfId="7965" priority="59076" stopIfTrue="1">
      <formula>NOT(ISBLANK($AG$111))</formula>
    </cfRule>
  </conditionalFormatting>
  <conditionalFormatting sqref="AH111">
    <cfRule type="expression" dxfId="7964" priority="59077" stopIfTrue="1">
      <formula>NOT(ISBLANK($AH$111))</formula>
    </cfRule>
  </conditionalFormatting>
  <conditionalFormatting sqref="AI111">
    <cfRule type="cellIs" dxfId="7963" priority="59078" stopIfTrue="1" operator="notEqual">
      <formula>"fully automated"</formula>
    </cfRule>
  </conditionalFormatting>
  <conditionalFormatting sqref="AJ111">
    <cfRule type="expression" dxfId="7962" priority="59079" stopIfTrue="1">
      <formula>NOT(ISBLANK($AJ$111))</formula>
    </cfRule>
  </conditionalFormatting>
  <conditionalFormatting sqref="AK111">
    <cfRule type="expression" dxfId="7961" priority="59080" stopIfTrue="1">
      <formula>NOT(ISBLANK($AK$111))</formula>
    </cfRule>
  </conditionalFormatting>
  <conditionalFormatting sqref="AL111">
    <cfRule type="expression" dxfId="7960" priority="59081" stopIfTrue="1">
      <formula>NOT(ISBLANK($AL$111))</formula>
    </cfRule>
  </conditionalFormatting>
  <conditionalFormatting sqref="AM111">
    <cfRule type="expression" dxfId="7959" priority="59082" stopIfTrue="1">
      <formula>NOT(ISBLANK($AM$111))</formula>
    </cfRule>
  </conditionalFormatting>
  <conditionalFormatting sqref="AN111">
    <cfRule type="expression" dxfId="7958" priority="59083" stopIfTrue="1">
      <formula>NOT(ISBLANK($AN$111))</formula>
    </cfRule>
  </conditionalFormatting>
  <conditionalFormatting sqref="AO111">
    <cfRule type="expression" dxfId="7957" priority="59084" stopIfTrue="1">
      <formula>NOT(ISBLANK($AO$111))</formula>
    </cfRule>
  </conditionalFormatting>
  <conditionalFormatting sqref="AP111">
    <cfRule type="expression" dxfId="7956" priority="59085" stopIfTrue="1">
      <formula>NOT(ISBLANK($AP$111))</formula>
    </cfRule>
  </conditionalFormatting>
  <conditionalFormatting sqref="AQ111">
    <cfRule type="expression" dxfId="7955" priority="59086" stopIfTrue="1">
      <formula>NOT(ISBLANK($AQ$111))</formula>
    </cfRule>
  </conditionalFormatting>
  <conditionalFormatting sqref="A112">
    <cfRule type="cellIs" dxfId="7954" priority="59087" stopIfTrue="1" operator="notEqual">
      <formula>7</formula>
    </cfRule>
  </conditionalFormatting>
  <conditionalFormatting sqref="B112">
    <cfRule type="cellIs" dxfId="7953" priority="59088" stopIfTrue="1" operator="notEqual">
      <formula>1</formula>
    </cfRule>
  </conditionalFormatting>
  <conditionalFormatting sqref="C112">
    <cfRule type="cellIs" dxfId="7952" priority="59089" stopIfTrue="1" operator="notEqual">
      <formula>8</formula>
    </cfRule>
  </conditionalFormatting>
  <conditionalFormatting sqref="D112">
    <cfRule type="cellIs" dxfId="7951" priority="59090" stopIfTrue="1" operator="notEqual">
      <formula>75.072</formula>
    </cfRule>
  </conditionalFormatting>
  <conditionalFormatting sqref="E112">
    <cfRule type="cellIs" dxfId="7950" priority="59091" stopIfTrue="1" operator="notEqual">
      <formula>"MGD"</formula>
    </cfRule>
  </conditionalFormatting>
  <conditionalFormatting sqref="F112">
    <cfRule type="cellIs" dxfId="7949" priority="59092" stopIfTrue="1" operator="notEqual">
      <formula>37.536</formula>
    </cfRule>
  </conditionalFormatting>
  <conditionalFormatting sqref="G112">
    <cfRule type="cellIs" dxfId="7948" priority="59093" stopIfTrue="1" operator="notEqual">
      <formula>"MGD"</formula>
    </cfRule>
  </conditionalFormatting>
  <conditionalFormatting sqref="H112">
    <cfRule type="cellIs" dxfId="7947" priority="59094" stopIfTrue="1" operator="notEqual">
      <formula>"regeneration off-site (non-hazardous)"</formula>
    </cfRule>
  </conditionalFormatting>
  <conditionalFormatting sqref="I112">
    <cfRule type="cellIs" dxfId="7946" priority="59095" stopIfTrue="1" operator="notEqual">
      <formula>"carbon life value- bed volumes"</formula>
    </cfRule>
  </conditionalFormatting>
  <conditionalFormatting sqref="J112">
    <cfRule type="cellIs" dxfId="7945" priority="59096" stopIfTrue="1" operator="notEqual">
      <formula>29200</formula>
    </cfRule>
  </conditionalFormatting>
  <conditionalFormatting sqref="K112">
    <cfRule type="expression" dxfId="7944" priority="59097" stopIfTrue="1">
      <formula>NOT(ISBLANK($K$112))</formula>
    </cfRule>
  </conditionalFormatting>
  <conditionalFormatting sqref="L112">
    <cfRule type="expression" dxfId="7943" priority="59098" stopIfTrue="1">
      <formula>NOT(ISBLANK($L$112))</formula>
    </cfRule>
  </conditionalFormatting>
  <conditionalFormatting sqref="M112">
    <cfRule type="expression" dxfId="7942" priority="59099" stopIfTrue="1">
      <formula>NOT(ISBLANK($M$112))</formula>
    </cfRule>
  </conditionalFormatting>
  <conditionalFormatting sqref="N112">
    <cfRule type="cellIs" dxfId="7941" priority="59100" stopIfTrue="1" operator="notEqual">
      <formula>"EBCT"</formula>
    </cfRule>
  </conditionalFormatting>
  <conditionalFormatting sqref="O112">
    <cfRule type="cellIs" dxfId="7940" priority="59101" stopIfTrue="1" operator="notEqual">
      <formula>7.5</formula>
    </cfRule>
  </conditionalFormatting>
  <conditionalFormatting sqref="P112">
    <cfRule type="expression" dxfId="7939" priority="59102" stopIfTrue="1">
      <formula>NOT(ISBLANK($P$112))</formula>
    </cfRule>
  </conditionalFormatting>
  <conditionalFormatting sqref="Q112">
    <cfRule type="expression" dxfId="7938" priority="59103" stopIfTrue="1">
      <formula>NOT(ISBLANK($Q$112))</formula>
    </cfRule>
  </conditionalFormatting>
  <conditionalFormatting sqref="R112">
    <cfRule type="cellIs" dxfId="7937" priority="59104" stopIfTrue="1" operator="notEqual">
      <formula>1</formula>
    </cfRule>
  </conditionalFormatting>
  <conditionalFormatting sqref="S112">
    <cfRule type="cellIs" dxfId="7936" priority="59105" stopIfTrue="1" operator="notEqual">
      <formula>7.2</formula>
    </cfRule>
  </conditionalFormatting>
  <conditionalFormatting sqref="T112">
    <cfRule type="cellIs" dxfId="7935" priority="59106" stopIfTrue="1" operator="notEqual">
      <formula>"horizontal"</formula>
    </cfRule>
  </conditionalFormatting>
  <conditionalFormatting sqref="U112">
    <cfRule type="cellIs" dxfId="7934" priority="59107" stopIfTrue="1" operator="notEqual">
      <formula>20</formula>
    </cfRule>
  </conditionalFormatting>
  <conditionalFormatting sqref="V112">
    <cfRule type="cellIs" dxfId="7933" priority="59108" stopIfTrue="1" operator="notEqual">
      <formula>14</formula>
    </cfRule>
  </conditionalFormatting>
  <conditionalFormatting sqref="W112">
    <cfRule type="expression" dxfId="7932" priority="59109" stopIfTrue="1">
      <formula>NOT(ISBLANK($W$112))</formula>
    </cfRule>
  </conditionalFormatting>
  <conditionalFormatting sqref="X112">
    <cfRule type="expression" dxfId="7931" priority="59110" stopIfTrue="1">
      <formula>NOT(ISBLANK($X$112))</formula>
    </cfRule>
  </conditionalFormatting>
  <conditionalFormatting sqref="Y112">
    <cfRule type="expression" dxfId="7930" priority="59111" stopIfTrue="1">
      <formula>NOT(ISBLANK($Y$112))</formula>
    </cfRule>
  </conditionalFormatting>
  <conditionalFormatting sqref="Z112">
    <cfRule type="cellIs" dxfId="7929" priority="59112" stopIfTrue="1" operator="notEqual">
      <formula>168</formula>
    </cfRule>
  </conditionalFormatting>
  <conditionalFormatting sqref="AA112">
    <cfRule type="cellIs" dxfId="7928" priority="59113" stopIfTrue="1" operator="notEqual">
      <formula>"POTW"</formula>
    </cfRule>
  </conditionalFormatting>
  <conditionalFormatting sqref="AB112">
    <cfRule type="cellIs" dxfId="7927" priority="59114" stopIfTrue="1" operator="notEqual">
      <formula>"Holding tank"</formula>
    </cfRule>
  </conditionalFormatting>
  <conditionalFormatting sqref="AC112">
    <cfRule type="cellIs" dxfId="7926" priority="59115" stopIfTrue="1" operator="notEqual">
      <formula>"eductors"</formula>
    </cfRule>
  </conditionalFormatting>
  <conditionalFormatting sqref="AD112">
    <cfRule type="cellIs" dxfId="7925" priority="59116" stopIfTrue="1" operator="notEqual">
      <formula>"non-hazardous"</formula>
    </cfRule>
  </conditionalFormatting>
  <conditionalFormatting sqref="AE112">
    <cfRule type="expression" dxfId="7924" priority="59117" stopIfTrue="1">
      <formula>NOT(ISBLANK($AE$112))</formula>
    </cfRule>
  </conditionalFormatting>
  <conditionalFormatting sqref="AF112">
    <cfRule type="cellIs" dxfId="7923" priority="59118" stopIfTrue="1" operator="notEqual">
      <formula>0</formula>
    </cfRule>
  </conditionalFormatting>
  <conditionalFormatting sqref="AG112">
    <cfRule type="expression" dxfId="7922" priority="59119" stopIfTrue="1">
      <formula>NOT(ISBLANK($AG$112))</formula>
    </cfRule>
  </conditionalFormatting>
  <conditionalFormatting sqref="AH112">
    <cfRule type="expression" dxfId="7921" priority="59120" stopIfTrue="1">
      <formula>NOT(ISBLANK($AH$112))</formula>
    </cfRule>
  </conditionalFormatting>
  <conditionalFormatting sqref="AI112">
    <cfRule type="cellIs" dxfId="7920" priority="59121" stopIfTrue="1" operator="notEqual">
      <formula>"fully automated"</formula>
    </cfRule>
  </conditionalFormatting>
  <conditionalFormatting sqref="AJ112">
    <cfRule type="expression" dxfId="7919" priority="59122" stopIfTrue="1">
      <formula>NOT(ISBLANK($AJ$112))</formula>
    </cfRule>
  </conditionalFormatting>
  <conditionalFormatting sqref="AK112">
    <cfRule type="expression" dxfId="7918" priority="59123" stopIfTrue="1">
      <formula>NOT(ISBLANK($AK$112))</formula>
    </cfRule>
  </conditionalFormatting>
  <conditionalFormatting sqref="AL112">
    <cfRule type="expression" dxfId="7917" priority="59124" stopIfTrue="1">
      <formula>NOT(ISBLANK($AL$112))</formula>
    </cfRule>
  </conditionalFormatting>
  <conditionalFormatting sqref="AM112">
    <cfRule type="expression" dxfId="7916" priority="59125" stopIfTrue="1">
      <formula>NOT(ISBLANK($AM$112))</formula>
    </cfRule>
  </conditionalFormatting>
  <conditionalFormatting sqref="AN112">
    <cfRule type="expression" dxfId="7915" priority="59126" stopIfTrue="1">
      <formula>NOT(ISBLANK($AN$112))</formula>
    </cfRule>
  </conditionalFormatting>
  <conditionalFormatting sqref="AO112">
    <cfRule type="expression" dxfId="7914" priority="59127" stopIfTrue="1">
      <formula>NOT(ISBLANK($AO$112))</formula>
    </cfRule>
  </conditionalFormatting>
  <conditionalFormatting sqref="AP112">
    <cfRule type="expression" dxfId="7913" priority="59128" stopIfTrue="1">
      <formula>NOT(ISBLANK($AP$112))</formula>
    </cfRule>
  </conditionalFormatting>
  <conditionalFormatting sqref="AQ112">
    <cfRule type="expression" dxfId="7912" priority="59129" stopIfTrue="1">
      <formula>NOT(ISBLANK($AQ$112))</formula>
    </cfRule>
  </conditionalFormatting>
  <conditionalFormatting sqref="A113">
    <cfRule type="cellIs" dxfId="7911" priority="59130" stopIfTrue="1" operator="notEqual">
      <formula>7</formula>
    </cfRule>
  </conditionalFormatting>
  <conditionalFormatting sqref="B113">
    <cfRule type="cellIs" dxfId="7910" priority="59131" stopIfTrue="1" operator="notEqual">
      <formula>2</formula>
    </cfRule>
  </conditionalFormatting>
  <conditionalFormatting sqref="C113">
    <cfRule type="cellIs" dxfId="7909" priority="59132" stopIfTrue="1" operator="notEqual">
      <formula>1</formula>
    </cfRule>
  </conditionalFormatting>
  <conditionalFormatting sqref="D113">
    <cfRule type="cellIs" dxfId="7908" priority="59133" stopIfTrue="1" operator="notEqual">
      <formula>0.03</formula>
    </cfRule>
  </conditionalFormatting>
  <conditionalFormatting sqref="E113">
    <cfRule type="cellIs" dxfId="7907" priority="59134" stopIfTrue="1" operator="notEqual">
      <formula>"MGD"</formula>
    </cfRule>
  </conditionalFormatting>
  <conditionalFormatting sqref="F113">
    <cfRule type="cellIs" dxfId="7906" priority="59135" stopIfTrue="1" operator="notEqual">
      <formula>0.007</formula>
    </cfRule>
  </conditionalFormatting>
  <conditionalFormatting sqref="G113">
    <cfRule type="cellIs" dxfId="7905" priority="59136" stopIfTrue="1" operator="notEqual">
      <formula>"MGD"</formula>
    </cfRule>
  </conditionalFormatting>
  <conditionalFormatting sqref="H113">
    <cfRule type="cellIs" dxfId="7904" priority="59137" stopIfTrue="1" operator="notEqual">
      <formula>"regeneration off-site (non-hazardous)"</formula>
    </cfRule>
  </conditionalFormatting>
  <conditionalFormatting sqref="I113">
    <cfRule type="cellIs" dxfId="7903" priority="59138" stopIfTrue="1" operator="notEqual">
      <formula>"carbon life value- bed volumes"</formula>
    </cfRule>
  </conditionalFormatting>
  <conditionalFormatting sqref="J113">
    <cfRule type="cellIs" dxfId="7902" priority="59139" stopIfTrue="1" operator="notEqual">
      <formula>29200</formula>
    </cfRule>
  </conditionalFormatting>
  <conditionalFormatting sqref="K113">
    <cfRule type="expression" dxfId="7901" priority="59140" stopIfTrue="1">
      <formula>NOT(ISBLANK($K$113))</formula>
    </cfRule>
  </conditionalFormatting>
  <conditionalFormatting sqref="L113">
    <cfRule type="expression" dxfId="7900" priority="59141" stopIfTrue="1">
      <formula>NOT(ISBLANK($L$113))</formula>
    </cfRule>
  </conditionalFormatting>
  <conditionalFormatting sqref="M113">
    <cfRule type="expression" dxfId="7899" priority="59142" stopIfTrue="1">
      <formula>NOT(ISBLANK($M$113))</formula>
    </cfRule>
  </conditionalFormatting>
  <conditionalFormatting sqref="N113">
    <cfRule type="cellIs" dxfId="7898" priority="59143" stopIfTrue="1" operator="notEqual">
      <formula>"EBCT"</formula>
    </cfRule>
  </conditionalFormatting>
  <conditionalFormatting sqref="O113">
    <cfRule type="cellIs" dxfId="7897" priority="59144" stopIfTrue="1" operator="notEqual">
      <formula>7.5</formula>
    </cfRule>
  </conditionalFormatting>
  <conditionalFormatting sqref="P113">
    <cfRule type="expression" dxfId="7896" priority="59145" stopIfTrue="1">
      <formula>NOT(ISBLANK($P$113))</formula>
    </cfRule>
  </conditionalFormatting>
  <conditionalFormatting sqref="Q113">
    <cfRule type="expression" dxfId="7895" priority="59146" stopIfTrue="1">
      <formula>NOT(ISBLANK($Q$113))</formula>
    </cfRule>
  </conditionalFormatting>
  <conditionalFormatting sqref="R113">
    <cfRule type="expression" dxfId="7894" priority="59147" stopIfTrue="1">
      <formula>NOT(ISBLANK($R$113))</formula>
    </cfRule>
  </conditionalFormatting>
  <conditionalFormatting sqref="S113">
    <cfRule type="expression" dxfId="7893" priority="59148" stopIfTrue="1">
      <formula>NOT(ISBLANK($S$113))</formula>
    </cfRule>
  </conditionalFormatting>
  <conditionalFormatting sqref="T113">
    <cfRule type="expression" dxfId="7892" priority="59149" stopIfTrue="1">
      <formula>NOT(ISBLANK($T$113))</formula>
    </cfRule>
  </conditionalFormatting>
  <conditionalFormatting sqref="U113">
    <cfRule type="expression" dxfId="7891" priority="59150" stopIfTrue="1">
      <formula>NOT(ISBLANK($U$113))</formula>
    </cfRule>
  </conditionalFormatting>
  <conditionalFormatting sqref="V113">
    <cfRule type="expression" dxfId="7890" priority="59151" stopIfTrue="1">
      <formula>NOT(ISBLANK($V$113))</formula>
    </cfRule>
  </conditionalFormatting>
  <conditionalFormatting sqref="W113">
    <cfRule type="cellIs" dxfId="7889" priority="59152" stopIfTrue="1" operator="notEqual">
      <formula>6</formula>
    </cfRule>
  </conditionalFormatting>
  <conditionalFormatting sqref="X113">
    <cfRule type="cellIs" dxfId="7888" priority="59153" stopIfTrue="1" operator="notEqual">
      <formula>6</formula>
    </cfRule>
  </conditionalFormatting>
  <conditionalFormatting sqref="Y113">
    <cfRule type="cellIs" dxfId="7887" priority="59154" stopIfTrue="1" operator="notEqual">
      <formula>3</formula>
    </cfRule>
  </conditionalFormatting>
  <conditionalFormatting sqref="Z113">
    <cfRule type="cellIs" dxfId="7886" priority="59155" stopIfTrue="1" operator="notEqual">
      <formula>168</formula>
    </cfRule>
  </conditionalFormatting>
  <conditionalFormatting sqref="AA113">
    <cfRule type="cellIs" dxfId="7885" priority="59156" stopIfTrue="1" operator="notEqual">
      <formula>"POTW"</formula>
    </cfRule>
  </conditionalFormatting>
  <conditionalFormatting sqref="AB113">
    <cfRule type="cellIs" dxfId="7884" priority="59157" stopIfTrue="1" operator="notEqual">
      <formula>"holding tank"</formula>
    </cfRule>
  </conditionalFormatting>
  <conditionalFormatting sqref="AC113">
    <cfRule type="cellIs" dxfId="7883" priority="59158" stopIfTrue="1" operator="notEqual">
      <formula>"manual transfer"</formula>
    </cfRule>
  </conditionalFormatting>
  <conditionalFormatting sqref="AD113">
    <cfRule type="cellIs" dxfId="7882" priority="59159" stopIfTrue="1" operator="notEqual">
      <formula>"non-hazardous"</formula>
    </cfRule>
  </conditionalFormatting>
  <conditionalFormatting sqref="AE113">
    <cfRule type="expression" dxfId="7881" priority="59160" stopIfTrue="1">
      <formula>NOT(ISBLANK($AE$113))</formula>
    </cfRule>
  </conditionalFormatting>
  <conditionalFormatting sqref="AF113">
    <cfRule type="cellIs" dxfId="7880" priority="59161" stopIfTrue="1" operator="notEqual">
      <formula>0</formula>
    </cfRule>
  </conditionalFormatting>
  <conditionalFormatting sqref="AG113">
    <cfRule type="expression" dxfId="7879" priority="59162" stopIfTrue="1">
      <formula>NOT(ISBLANK($AG$113))</formula>
    </cfRule>
  </conditionalFormatting>
  <conditionalFormatting sqref="AH113">
    <cfRule type="expression" dxfId="7878" priority="59163" stopIfTrue="1">
      <formula>NOT(ISBLANK($AH$113))</formula>
    </cfRule>
  </conditionalFormatting>
  <conditionalFormatting sqref="AI113">
    <cfRule type="cellIs" dxfId="7877" priority="59164" stopIfTrue="1" operator="notEqual">
      <formula>"fully automated"</formula>
    </cfRule>
  </conditionalFormatting>
  <conditionalFormatting sqref="AJ113">
    <cfRule type="expression" dxfId="7876" priority="59165" stopIfTrue="1">
      <formula>NOT(ISBLANK($AJ$113))</formula>
    </cfRule>
  </conditionalFormatting>
  <conditionalFormatting sqref="AK113">
    <cfRule type="expression" dxfId="7875" priority="59166" stopIfTrue="1">
      <formula>NOT(ISBLANK($AK$113))</formula>
    </cfRule>
  </conditionalFormatting>
  <conditionalFormatting sqref="AL113">
    <cfRule type="expression" dxfId="7874" priority="59167" stopIfTrue="1">
      <formula>NOT(ISBLANK($AL$113))</formula>
    </cfRule>
  </conditionalFormatting>
  <conditionalFormatting sqref="AM113">
    <cfRule type="expression" dxfId="7873" priority="59168" stopIfTrue="1">
      <formula>NOT(ISBLANK($AM$113))</formula>
    </cfRule>
  </conditionalFormatting>
  <conditionalFormatting sqref="AN113">
    <cfRule type="expression" dxfId="7872" priority="59169" stopIfTrue="1">
      <formula>NOT(ISBLANK($AN$113))</formula>
    </cfRule>
  </conditionalFormatting>
  <conditionalFormatting sqref="AO113">
    <cfRule type="expression" dxfId="7871" priority="59170" stopIfTrue="1">
      <formula>NOT(ISBLANK($AO$113))</formula>
    </cfRule>
  </conditionalFormatting>
  <conditionalFormatting sqref="AP113">
    <cfRule type="expression" dxfId="7870" priority="59171" stopIfTrue="1">
      <formula>NOT(ISBLANK($AP$113))</formula>
    </cfRule>
  </conditionalFormatting>
  <conditionalFormatting sqref="AQ113">
    <cfRule type="expression" dxfId="7869" priority="59172" stopIfTrue="1">
      <formula>NOT(ISBLANK($AQ$113))</formula>
    </cfRule>
  </conditionalFormatting>
  <conditionalFormatting sqref="A114">
    <cfRule type="cellIs" dxfId="7868" priority="59173" stopIfTrue="1" operator="notEqual">
      <formula>7</formula>
    </cfRule>
  </conditionalFormatting>
  <conditionalFormatting sqref="B114">
    <cfRule type="cellIs" dxfId="7867" priority="59174" stopIfTrue="1" operator="notEqual">
      <formula>2</formula>
    </cfRule>
  </conditionalFormatting>
  <conditionalFormatting sqref="C114">
    <cfRule type="cellIs" dxfId="7866" priority="59175" stopIfTrue="1" operator="notEqual">
      <formula>2</formula>
    </cfRule>
  </conditionalFormatting>
  <conditionalFormatting sqref="D114">
    <cfRule type="cellIs" dxfId="7865" priority="59176" stopIfTrue="1" operator="notEqual">
      <formula>0.124</formula>
    </cfRule>
  </conditionalFormatting>
  <conditionalFormatting sqref="E114">
    <cfRule type="cellIs" dxfId="7864" priority="59177" stopIfTrue="1" operator="notEqual">
      <formula>"MGD"</formula>
    </cfRule>
  </conditionalFormatting>
  <conditionalFormatting sqref="F114">
    <cfRule type="cellIs" dxfId="7863" priority="59178" stopIfTrue="1" operator="notEqual">
      <formula>0.035</formula>
    </cfRule>
  </conditionalFormatting>
  <conditionalFormatting sqref="G114">
    <cfRule type="cellIs" dxfId="7862" priority="59179" stopIfTrue="1" operator="notEqual">
      <formula>"MGD"</formula>
    </cfRule>
  </conditionalFormatting>
  <conditionalFormatting sqref="H114">
    <cfRule type="cellIs" dxfId="7861" priority="59180" stopIfTrue="1" operator="notEqual">
      <formula>"regeneration off-site (non-hazardous)"</formula>
    </cfRule>
  </conditionalFormatting>
  <conditionalFormatting sqref="I114">
    <cfRule type="cellIs" dxfId="7860" priority="59181" stopIfTrue="1" operator="notEqual">
      <formula>"carbon life value- bed volumes"</formula>
    </cfRule>
  </conditionalFormatting>
  <conditionalFormatting sqref="J114">
    <cfRule type="cellIs" dxfId="7859" priority="59182" stopIfTrue="1" operator="notEqual">
      <formula>29200</formula>
    </cfRule>
  </conditionalFormatting>
  <conditionalFormatting sqref="K114">
    <cfRule type="expression" dxfId="7858" priority="59183" stopIfTrue="1">
      <formula>NOT(ISBLANK($K$114))</formula>
    </cfRule>
  </conditionalFormatting>
  <conditionalFormatting sqref="L114">
    <cfRule type="expression" dxfId="7857" priority="59184" stopIfTrue="1">
      <formula>NOT(ISBLANK($L$114))</formula>
    </cfRule>
  </conditionalFormatting>
  <conditionalFormatting sqref="M114">
    <cfRule type="expression" dxfId="7856" priority="59185" stopIfTrue="1">
      <formula>NOT(ISBLANK($M$114))</formula>
    </cfRule>
  </conditionalFormatting>
  <conditionalFormatting sqref="N114">
    <cfRule type="cellIs" dxfId="7855" priority="59186" stopIfTrue="1" operator="notEqual">
      <formula>"EBCT"</formula>
    </cfRule>
  </conditionalFormatting>
  <conditionalFormatting sqref="O114">
    <cfRule type="cellIs" dxfId="7854" priority="59187" stopIfTrue="1" operator="notEqual">
      <formula>7.5</formula>
    </cfRule>
  </conditionalFormatting>
  <conditionalFormatting sqref="P114">
    <cfRule type="expression" dxfId="7853" priority="59188" stopIfTrue="1">
      <formula>NOT(ISBLANK($P$114))</formula>
    </cfRule>
  </conditionalFormatting>
  <conditionalFormatting sqref="Q114">
    <cfRule type="expression" dxfId="7852" priority="59189" stopIfTrue="1">
      <formula>NOT(ISBLANK($Q$114))</formula>
    </cfRule>
  </conditionalFormatting>
  <conditionalFormatting sqref="R114">
    <cfRule type="expression" dxfId="7851" priority="59190" stopIfTrue="1">
      <formula>NOT(ISBLANK($R$114))</formula>
    </cfRule>
  </conditionalFormatting>
  <conditionalFormatting sqref="S114">
    <cfRule type="expression" dxfId="7850" priority="59191" stopIfTrue="1">
      <formula>NOT(ISBLANK($S$114))</formula>
    </cfRule>
  </conditionalFormatting>
  <conditionalFormatting sqref="T114">
    <cfRule type="expression" dxfId="7849" priority="59192" stopIfTrue="1">
      <formula>NOT(ISBLANK($T$114))</formula>
    </cfRule>
  </conditionalFormatting>
  <conditionalFormatting sqref="U114">
    <cfRule type="expression" dxfId="7848" priority="59193" stopIfTrue="1">
      <formula>NOT(ISBLANK($U$114))</formula>
    </cfRule>
  </conditionalFormatting>
  <conditionalFormatting sqref="V114">
    <cfRule type="expression" dxfId="7847" priority="59194" stopIfTrue="1">
      <formula>NOT(ISBLANK($V$114))</formula>
    </cfRule>
  </conditionalFormatting>
  <conditionalFormatting sqref="W114">
    <cfRule type="cellIs" dxfId="7846" priority="59195" stopIfTrue="1" operator="notEqual">
      <formula>6</formula>
    </cfRule>
  </conditionalFormatting>
  <conditionalFormatting sqref="X114">
    <cfRule type="cellIs" dxfId="7845" priority="59196" stopIfTrue="1" operator="notEqual">
      <formula>6</formula>
    </cfRule>
  </conditionalFormatting>
  <conditionalFormatting sqref="Y114">
    <cfRule type="cellIs" dxfId="7844" priority="59197" stopIfTrue="1" operator="notEqual">
      <formula>3</formula>
    </cfRule>
  </conditionalFormatting>
  <conditionalFormatting sqref="Z114">
    <cfRule type="cellIs" dxfId="7843" priority="59198" stopIfTrue="1" operator="notEqual">
      <formula>168</formula>
    </cfRule>
  </conditionalFormatting>
  <conditionalFormatting sqref="AA114">
    <cfRule type="cellIs" dxfId="7842" priority="59199" stopIfTrue="1" operator="notEqual">
      <formula>"POTW"</formula>
    </cfRule>
  </conditionalFormatting>
  <conditionalFormatting sqref="AB114">
    <cfRule type="cellIs" dxfId="7841" priority="59200" stopIfTrue="1" operator="notEqual">
      <formula>"holding tank"</formula>
    </cfRule>
  </conditionalFormatting>
  <conditionalFormatting sqref="AC114">
    <cfRule type="cellIs" dxfId="7840" priority="59201" stopIfTrue="1" operator="notEqual">
      <formula>"manual transfer"</formula>
    </cfRule>
  </conditionalFormatting>
  <conditionalFormatting sqref="AD114">
    <cfRule type="cellIs" dxfId="7839" priority="59202" stopIfTrue="1" operator="notEqual">
      <formula>"non-hazardous"</formula>
    </cfRule>
  </conditionalFormatting>
  <conditionalFormatting sqref="AE114">
    <cfRule type="expression" dxfId="7838" priority="59203" stopIfTrue="1">
      <formula>NOT(ISBLANK($AE$114))</formula>
    </cfRule>
  </conditionalFormatting>
  <conditionalFormatting sqref="AF114">
    <cfRule type="cellIs" dxfId="7837" priority="59204" stopIfTrue="1" operator="notEqual">
      <formula>0</formula>
    </cfRule>
  </conditionalFormatting>
  <conditionalFormatting sqref="AG114">
    <cfRule type="expression" dxfId="7836" priority="59205" stopIfTrue="1">
      <formula>NOT(ISBLANK($AG$114))</formula>
    </cfRule>
  </conditionalFormatting>
  <conditionalFormatting sqref="AH114">
    <cfRule type="expression" dxfId="7835" priority="59206" stopIfTrue="1">
      <formula>NOT(ISBLANK($AH$114))</formula>
    </cfRule>
  </conditionalFormatting>
  <conditionalFormatting sqref="AI114">
    <cfRule type="cellIs" dxfId="7834" priority="59207" stopIfTrue="1" operator="notEqual">
      <formula>"fully automated"</formula>
    </cfRule>
  </conditionalFormatting>
  <conditionalFormatting sqref="AJ114">
    <cfRule type="expression" dxfId="7833" priority="59208" stopIfTrue="1">
      <formula>NOT(ISBLANK($AJ$114))</formula>
    </cfRule>
  </conditionalFormatting>
  <conditionalFormatting sqref="AK114">
    <cfRule type="expression" dxfId="7832" priority="59209" stopIfTrue="1">
      <formula>NOT(ISBLANK($AK$114))</formula>
    </cfRule>
  </conditionalFormatting>
  <conditionalFormatting sqref="AL114">
    <cfRule type="expression" dxfId="7831" priority="59210" stopIfTrue="1">
      <formula>NOT(ISBLANK($AL$114))</formula>
    </cfRule>
  </conditionalFormatting>
  <conditionalFormatting sqref="AM114">
    <cfRule type="expression" dxfId="7830" priority="59211" stopIfTrue="1">
      <formula>NOT(ISBLANK($AM$114))</formula>
    </cfRule>
  </conditionalFormatting>
  <conditionalFormatting sqref="AN114">
    <cfRule type="expression" dxfId="7829" priority="59212" stopIfTrue="1">
      <formula>NOT(ISBLANK($AN$114))</formula>
    </cfRule>
  </conditionalFormatting>
  <conditionalFormatting sqref="AO114">
    <cfRule type="expression" dxfId="7828" priority="59213" stopIfTrue="1">
      <formula>NOT(ISBLANK($AO$114))</formula>
    </cfRule>
  </conditionalFormatting>
  <conditionalFormatting sqref="AP114">
    <cfRule type="expression" dxfId="7827" priority="59214" stopIfTrue="1">
      <formula>NOT(ISBLANK($AP$114))</formula>
    </cfRule>
  </conditionalFormatting>
  <conditionalFormatting sqref="AQ114">
    <cfRule type="expression" dxfId="7826" priority="59215" stopIfTrue="1">
      <formula>NOT(ISBLANK($AQ$114))</formula>
    </cfRule>
  </conditionalFormatting>
  <conditionalFormatting sqref="A115">
    <cfRule type="cellIs" dxfId="7825" priority="59216" stopIfTrue="1" operator="notEqual">
      <formula>7</formula>
    </cfRule>
  </conditionalFormatting>
  <conditionalFormatting sqref="B115">
    <cfRule type="cellIs" dxfId="7824" priority="59217" stopIfTrue="1" operator="notEqual">
      <formula>2</formula>
    </cfRule>
  </conditionalFormatting>
  <conditionalFormatting sqref="C115">
    <cfRule type="cellIs" dxfId="7823" priority="59218" stopIfTrue="1" operator="notEqual">
      <formula>3</formula>
    </cfRule>
  </conditionalFormatting>
  <conditionalFormatting sqref="D115">
    <cfRule type="cellIs" dxfId="7822" priority="59219" stopIfTrue="1" operator="notEqual">
      <formula>0.305</formula>
    </cfRule>
  </conditionalFormatting>
  <conditionalFormatting sqref="E115">
    <cfRule type="cellIs" dxfId="7821" priority="59220" stopIfTrue="1" operator="notEqual">
      <formula>"MGD"</formula>
    </cfRule>
  </conditionalFormatting>
  <conditionalFormatting sqref="F115">
    <cfRule type="cellIs" dxfId="7820" priority="59221" stopIfTrue="1" operator="notEqual">
      <formula>0.094</formula>
    </cfRule>
  </conditionalFormatting>
  <conditionalFormatting sqref="G115">
    <cfRule type="cellIs" dxfId="7819" priority="59222" stopIfTrue="1" operator="notEqual">
      <formula>"MGD"</formula>
    </cfRule>
  </conditionalFormatting>
  <conditionalFormatting sqref="H115">
    <cfRule type="cellIs" dxfId="7818" priority="59223" stopIfTrue="1" operator="notEqual">
      <formula>"regeneration off-site (non-hazardous)"</formula>
    </cfRule>
  </conditionalFormatting>
  <conditionalFormatting sqref="I115">
    <cfRule type="cellIs" dxfId="7817" priority="59224" stopIfTrue="1" operator="notEqual">
      <formula>"carbon life value- bed volumes"</formula>
    </cfRule>
  </conditionalFormatting>
  <conditionalFormatting sqref="J115">
    <cfRule type="cellIs" dxfId="7816" priority="59225" stopIfTrue="1" operator="notEqual">
      <formula>29200</formula>
    </cfRule>
  </conditionalFormatting>
  <conditionalFormatting sqref="K115">
    <cfRule type="expression" dxfId="7815" priority="59226" stopIfTrue="1">
      <formula>NOT(ISBLANK($K$115))</formula>
    </cfRule>
  </conditionalFormatting>
  <conditionalFormatting sqref="L115">
    <cfRule type="expression" dxfId="7814" priority="59227" stopIfTrue="1">
      <formula>NOT(ISBLANK($L$115))</formula>
    </cfRule>
  </conditionalFormatting>
  <conditionalFormatting sqref="M115">
    <cfRule type="expression" dxfId="7813" priority="59228" stopIfTrue="1">
      <formula>NOT(ISBLANK($M$115))</formula>
    </cfRule>
  </conditionalFormatting>
  <conditionalFormatting sqref="N115">
    <cfRule type="cellIs" dxfId="7812" priority="59229" stopIfTrue="1" operator="notEqual">
      <formula>"EBCT"</formula>
    </cfRule>
  </conditionalFormatting>
  <conditionalFormatting sqref="O115">
    <cfRule type="cellIs" dxfId="7811" priority="59230" stopIfTrue="1" operator="notEqual">
      <formula>7.5</formula>
    </cfRule>
  </conditionalFormatting>
  <conditionalFormatting sqref="P115">
    <cfRule type="expression" dxfId="7810" priority="59231" stopIfTrue="1">
      <formula>NOT(ISBLANK($P$115))</formula>
    </cfRule>
  </conditionalFormatting>
  <conditionalFormatting sqref="Q115">
    <cfRule type="expression" dxfId="7809" priority="59232" stopIfTrue="1">
      <formula>NOT(ISBLANK($Q$115))</formula>
    </cfRule>
  </conditionalFormatting>
  <conditionalFormatting sqref="R115">
    <cfRule type="expression" dxfId="7808" priority="59233" stopIfTrue="1">
      <formula>NOT(ISBLANK($R$115))</formula>
    </cfRule>
  </conditionalFormatting>
  <conditionalFormatting sqref="S115">
    <cfRule type="expression" dxfId="7807" priority="59234" stopIfTrue="1">
      <formula>NOT(ISBLANK($S$115))</formula>
    </cfRule>
  </conditionalFormatting>
  <conditionalFormatting sqref="T115">
    <cfRule type="expression" dxfId="7806" priority="59235" stopIfTrue="1">
      <formula>NOT(ISBLANK($T$115))</formula>
    </cfRule>
  </conditionalFormatting>
  <conditionalFormatting sqref="U115">
    <cfRule type="expression" dxfId="7805" priority="59236" stopIfTrue="1">
      <formula>NOT(ISBLANK($U$115))</formula>
    </cfRule>
  </conditionalFormatting>
  <conditionalFormatting sqref="V115">
    <cfRule type="expression" dxfId="7804" priority="59237" stopIfTrue="1">
      <formula>NOT(ISBLANK($V$115))</formula>
    </cfRule>
  </conditionalFormatting>
  <conditionalFormatting sqref="W115">
    <cfRule type="cellIs" dxfId="7803" priority="59238" stopIfTrue="1" operator="notEqual">
      <formula>6</formula>
    </cfRule>
  </conditionalFormatting>
  <conditionalFormatting sqref="X115">
    <cfRule type="cellIs" dxfId="7802" priority="59239" stopIfTrue="1" operator="notEqual">
      <formula>6</formula>
    </cfRule>
  </conditionalFormatting>
  <conditionalFormatting sqref="Y115">
    <cfRule type="cellIs" dxfId="7801" priority="59240" stopIfTrue="1" operator="notEqual">
      <formula>3</formula>
    </cfRule>
  </conditionalFormatting>
  <conditionalFormatting sqref="Z115">
    <cfRule type="cellIs" dxfId="7800" priority="59241" stopIfTrue="1" operator="notEqual">
      <formula>168</formula>
    </cfRule>
  </conditionalFormatting>
  <conditionalFormatting sqref="AA115">
    <cfRule type="cellIs" dxfId="7799" priority="59242" stopIfTrue="1" operator="notEqual">
      <formula>"POTW"</formula>
    </cfRule>
  </conditionalFormatting>
  <conditionalFormatting sqref="AB115">
    <cfRule type="cellIs" dxfId="7798" priority="59243" stopIfTrue="1" operator="notEqual">
      <formula>"holding tank"</formula>
    </cfRule>
  </conditionalFormatting>
  <conditionalFormatting sqref="AC115">
    <cfRule type="cellIs" dxfId="7797" priority="59244" stopIfTrue="1" operator="notEqual">
      <formula>"manual transfer"</formula>
    </cfRule>
  </conditionalFormatting>
  <conditionalFormatting sqref="AD115">
    <cfRule type="cellIs" dxfId="7796" priority="59245" stopIfTrue="1" operator="notEqual">
      <formula>"non-hazardous"</formula>
    </cfRule>
  </conditionalFormatting>
  <conditionalFormatting sqref="AE115">
    <cfRule type="expression" dxfId="7795" priority="59246" stopIfTrue="1">
      <formula>NOT(ISBLANK($AE$115))</formula>
    </cfRule>
  </conditionalFormatting>
  <conditionalFormatting sqref="AF115">
    <cfRule type="cellIs" dxfId="7794" priority="59247" stopIfTrue="1" operator="notEqual">
      <formula>0</formula>
    </cfRule>
  </conditionalFormatting>
  <conditionalFormatting sqref="AG115">
    <cfRule type="expression" dxfId="7793" priority="59248" stopIfTrue="1">
      <formula>NOT(ISBLANK($AG$115))</formula>
    </cfRule>
  </conditionalFormatting>
  <conditionalFormatting sqref="AH115">
    <cfRule type="expression" dxfId="7792" priority="59249" stopIfTrue="1">
      <formula>NOT(ISBLANK($AH$115))</formula>
    </cfRule>
  </conditionalFormatting>
  <conditionalFormatting sqref="AI115">
    <cfRule type="cellIs" dxfId="7791" priority="59250" stopIfTrue="1" operator="notEqual">
      <formula>"fully automated"</formula>
    </cfRule>
  </conditionalFormatting>
  <conditionalFormatting sqref="AJ115">
    <cfRule type="expression" dxfId="7790" priority="59251" stopIfTrue="1">
      <formula>NOT(ISBLANK($AJ$115))</formula>
    </cfRule>
  </conditionalFormatting>
  <conditionalFormatting sqref="AK115">
    <cfRule type="expression" dxfId="7789" priority="59252" stopIfTrue="1">
      <formula>NOT(ISBLANK($AK$115))</formula>
    </cfRule>
  </conditionalFormatting>
  <conditionalFormatting sqref="AL115">
    <cfRule type="expression" dxfId="7788" priority="59253" stopIfTrue="1">
      <formula>NOT(ISBLANK($AL$115))</formula>
    </cfRule>
  </conditionalFormatting>
  <conditionalFormatting sqref="AM115">
    <cfRule type="expression" dxfId="7787" priority="59254" stopIfTrue="1">
      <formula>NOT(ISBLANK($AM$115))</formula>
    </cfRule>
  </conditionalFormatting>
  <conditionalFormatting sqref="AN115">
    <cfRule type="expression" dxfId="7786" priority="59255" stopIfTrue="1">
      <formula>NOT(ISBLANK($AN$115))</formula>
    </cfRule>
  </conditionalFormatting>
  <conditionalFormatting sqref="AO115">
    <cfRule type="expression" dxfId="7785" priority="59256" stopIfTrue="1">
      <formula>NOT(ISBLANK($AO$115))</formula>
    </cfRule>
  </conditionalFormatting>
  <conditionalFormatting sqref="AP115">
    <cfRule type="expression" dxfId="7784" priority="59257" stopIfTrue="1">
      <formula>NOT(ISBLANK($AP$115))</formula>
    </cfRule>
  </conditionalFormatting>
  <conditionalFormatting sqref="AQ115">
    <cfRule type="expression" dxfId="7783" priority="59258" stopIfTrue="1">
      <formula>NOT(ISBLANK($AQ$115))</formula>
    </cfRule>
  </conditionalFormatting>
  <conditionalFormatting sqref="A116">
    <cfRule type="cellIs" dxfId="7782" priority="59259" stopIfTrue="1" operator="notEqual">
      <formula>7</formula>
    </cfRule>
  </conditionalFormatting>
  <conditionalFormatting sqref="B116">
    <cfRule type="cellIs" dxfId="7781" priority="59260" stopIfTrue="1" operator="notEqual">
      <formula>2</formula>
    </cfRule>
  </conditionalFormatting>
  <conditionalFormatting sqref="C116">
    <cfRule type="cellIs" dxfId="7780" priority="59261" stopIfTrue="1" operator="notEqual">
      <formula>4</formula>
    </cfRule>
  </conditionalFormatting>
  <conditionalFormatting sqref="D116">
    <cfRule type="cellIs" dxfId="7779" priority="59262" stopIfTrue="1" operator="notEqual">
      <formula>0.74</formula>
    </cfRule>
  </conditionalFormatting>
  <conditionalFormatting sqref="E116">
    <cfRule type="cellIs" dxfId="7778" priority="59263" stopIfTrue="1" operator="notEqual">
      <formula>"MGD"</formula>
    </cfRule>
  </conditionalFormatting>
  <conditionalFormatting sqref="F116">
    <cfRule type="cellIs" dxfId="7777" priority="59264" stopIfTrue="1" operator="notEqual">
      <formula>0.251</formula>
    </cfRule>
  </conditionalFormatting>
  <conditionalFormatting sqref="G116">
    <cfRule type="cellIs" dxfId="7776" priority="59265" stopIfTrue="1" operator="notEqual">
      <formula>"MGD"</formula>
    </cfRule>
  </conditionalFormatting>
  <conditionalFormatting sqref="H116">
    <cfRule type="cellIs" dxfId="7775" priority="59266" stopIfTrue="1" operator="notEqual">
      <formula>"regeneration off-site (non-hazardous)"</formula>
    </cfRule>
  </conditionalFormatting>
  <conditionalFormatting sqref="I116">
    <cfRule type="cellIs" dxfId="7774" priority="59267" stopIfTrue="1" operator="notEqual">
      <formula>"carbon life value- bed volumes"</formula>
    </cfRule>
  </conditionalFormatting>
  <conditionalFormatting sqref="J116">
    <cfRule type="cellIs" dxfId="7773" priority="59268" stopIfTrue="1" operator="notEqual">
      <formula>29200</formula>
    </cfRule>
  </conditionalFormatting>
  <conditionalFormatting sqref="K116">
    <cfRule type="expression" dxfId="7772" priority="59269" stopIfTrue="1">
      <formula>NOT(ISBLANK($K$116))</formula>
    </cfRule>
  </conditionalFormatting>
  <conditionalFormatting sqref="L116">
    <cfRule type="expression" dxfId="7771" priority="59270" stopIfTrue="1">
      <formula>NOT(ISBLANK($L$116))</formula>
    </cfRule>
  </conditionalFormatting>
  <conditionalFormatting sqref="M116">
    <cfRule type="expression" dxfId="7770" priority="59271" stopIfTrue="1">
      <formula>NOT(ISBLANK($M$116))</formula>
    </cfRule>
  </conditionalFormatting>
  <conditionalFormatting sqref="N116">
    <cfRule type="cellIs" dxfId="7769" priority="59272" stopIfTrue="1" operator="notEqual">
      <formula>"EBCT"</formula>
    </cfRule>
  </conditionalFormatting>
  <conditionalFormatting sqref="O116">
    <cfRule type="cellIs" dxfId="7768" priority="59273" stopIfTrue="1" operator="notEqual">
      <formula>7.5</formula>
    </cfRule>
  </conditionalFormatting>
  <conditionalFormatting sqref="P116">
    <cfRule type="expression" dxfId="7767" priority="59274" stopIfTrue="1">
      <formula>NOT(ISBLANK($P$116))</formula>
    </cfRule>
  </conditionalFormatting>
  <conditionalFormatting sqref="Q116">
    <cfRule type="expression" dxfId="7766" priority="59275" stopIfTrue="1">
      <formula>NOT(ISBLANK($Q$116))</formula>
    </cfRule>
  </conditionalFormatting>
  <conditionalFormatting sqref="R116">
    <cfRule type="expression" dxfId="7765" priority="59276" stopIfTrue="1">
      <formula>NOT(ISBLANK($R$116))</formula>
    </cfRule>
  </conditionalFormatting>
  <conditionalFormatting sqref="S116">
    <cfRule type="expression" dxfId="7764" priority="59277" stopIfTrue="1">
      <formula>NOT(ISBLANK($S$116))</formula>
    </cfRule>
  </conditionalFormatting>
  <conditionalFormatting sqref="T116">
    <cfRule type="expression" dxfId="7763" priority="59278" stopIfTrue="1">
      <formula>NOT(ISBLANK($T$116))</formula>
    </cfRule>
  </conditionalFormatting>
  <conditionalFormatting sqref="U116">
    <cfRule type="expression" dxfId="7762" priority="59279" stopIfTrue="1">
      <formula>NOT(ISBLANK($U$116))</formula>
    </cfRule>
  </conditionalFormatting>
  <conditionalFormatting sqref="V116">
    <cfRule type="expression" dxfId="7761" priority="59280" stopIfTrue="1">
      <formula>NOT(ISBLANK($V$116))</formula>
    </cfRule>
  </conditionalFormatting>
  <conditionalFormatting sqref="W116">
    <cfRule type="cellIs" dxfId="7760" priority="59281" stopIfTrue="1" operator="notEqual">
      <formula>7</formula>
    </cfRule>
  </conditionalFormatting>
  <conditionalFormatting sqref="X116">
    <cfRule type="cellIs" dxfId="7759" priority="59282" stopIfTrue="1" operator="notEqual">
      <formula>7</formula>
    </cfRule>
  </conditionalFormatting>
  <conditionalFormatting sqref="Y116">
    <cfRule type="cellIs" dxfId="7758" priority="59283" stopIfTrue="1" operator="notEqual">
      <formula>5.3</formula>
    </cfRule>
  </conditionalFormatting>
  <conditionalFormatting sqref="Z116">
    <cfRule type="cellIs" dxfId="7757" priority="59284" stopIfTrue="1" operator="notEqual">
      <formula>168</formula>
    </cfRule>
  </conditionalFormatting>
  <conditionalFormatting sqref="AA116">
    <cfRule type="cellIs" dxfId="7756" priority="59285" stopIfTrue="1" operator="notEqual">
      <formula>"POTW"</formula>
    </cfRule>
  </conditionalFormatting>
  <conditionalFormatting sqref="AB116">
    <cfRule type="cellIs" dxfId="7755" priority="59286" stopIfTrue="1" operator="notEqual">
      <formula>"holding tank"</formula>
    </cfRule>
  </conditionalFormatting>
  <conditionalFormatting sqref="AC116">
    <cfRule type="cellIs" dxfId="7754" priority="59287" stopIfTrue="1" operator="notEqual">
      <formula>"manual transfer"</formula>
    </cfRule>
  </conditionalFormatting>
  <conditionalFormatting sqref="AD116">
    <cfRule type="cellIs" dxfId="7753" priority="59288" stopIfTrue="1" operator="notEqual">
      <formula>"non-hazardous"</formula>
    </cfRule>
  </conditionalFormatting>
  <conditionalFormatting sqref="AE116">
    <cfRule type="expression" dxfId="7752" priority="59289" stopIfTrue="1">
      <formula>NOT(ISBLANK($AE$116))</formula>
    </cfRule>
  </conditionalFormatting>
  <conditionalFormatting sqref="AF116">
    <cfRule type="cellIs" dxfId="7751" priority="59290" stopIfTrue="1" operator="notEqual">
      <formula>0</formula>
    </cfRule>
  </conditionalFormatting>
  <conditionalFormatting sqref="AG116">
    <cfRule type="expression" dxfId="7750" priority="59291" stopIfTrue="1">
      <formula>NOT(ISBLANK($AG$116))</formula>
    </cfRule>
  </conditionalFormatting>
  <conditionalFormatting sqref="AH116">
    <cfRule type="expression" dxfId="7749" priority="59292" stopIfTrue="1">
      <formula>NOT(ISBLANK($AH$116))</formula>
    </cfRule>
  </conditionalFormatting>
  <conditionalFormatting sqref="AI116">
    <cfRule type="cellIs" dxfId="7748" priority="59293" stopIfTrue="1" operator="notEqual">
      <formula>"fully automated"</formula>
    </cfRule>
  </conditionalFormatting>
  <conditionalFormatting sqref="AJ116">
    <cfRule type="expression" dxfId="7747" priority="59294" stopIfTrue="1">
      <formula>NOT(ISBLANK($AJ$116))</formula>
    </cfRule>
  </conditionalFormatting>
  <conditionalFormatting sqref="AK116">
    <cfRule type="expression" dxfId="7746" priority="59295" stopIfTrue="1">
      <formula>NOT(ISBLANK($AK$116))</formula>
    </cfRule>
  </conditionalFormatting>
  <conditionalFormatting sqref="AL116">
    <cfRule type="expression" dxfId="7745" priority="59296" stopIfTrue="1">
      <formula>NOT(ISBLANK($AL$116))</formula>
    </cfRule>
  </conditionalFormatting>
  <conditionalFormatting sqref="AM116">
    <cfRule type="expression" dxfId="7744" priority="59297" stopIfTrue="1">
      <formula>NOT(ISBLANK($AM$116))</formula>
    </cfRule>
  </conditionalFormatting>
  <conditionalFormatting sqref="AN116">
    <cfRule type="expression" dxfId="7743" priority="59298" stopIfTrue="1">
      <formula>NOT(ISBLANK($AN$116))</formula>
    </cfRule>
  </conditionalFormatting>
  <conditionalFormatting sqref="AO116">
    <cfRule type="expression" dxfId="7742" priority="59299" stopIfTrue="1">
      <formula>NOT(ISBLANK($AO$116))</formula>
    </cfRule>
  </conditionalFormatting>
  <conditionalFormatting sqref="AP116">
    <cfRule type="expression" dxfId="7741" priority="59300" stopIfTrue="1">
      <formula>NOT(ISBLANK($AP$116))</formula>
    </cfRule>
  </conditionalFormatting>
  <conditionalFormatting sqref="AQ116">
    <cfRule type="expression" dxfId="7740" priority="59301" stopIfTrue="1">
      <formula>NOT(ISBLANK($AQ$116))</formula>
    </cfRule>
  </conditionalFormatting>
  <conditionalFormatting sqref="A117">
    <cfRule type="cellIs" dxfId="7739" priority="59302" stopIfTrue="1" operator="notEqual">
      <formula>7</formula>
    </cfRule>
  </conditionalFormatting>
  <conditionalFormatting sqref="B117">
    <cfRule type="cellIs" dxfId="7738" priority="59303" stopIfTrue="1" operator="notEqual">
      <formula>2</formula>
    </cfRule>
  </conditionalFormatting>
  <conditionalFormatting sqref="C117">
    <cfRule type="cellIs" dxfId="7737" priority="59304" stopIfTrue="1" operator="notEqual">
      <formula>5</formula>
    </cfRule>
  </conditionalFormatting>
  <conditionalFormatting sqref="D117">
    <cfRule type="cellIs" dxfId="7736" priority="59305" stopIfTrue="1" operator="notEqual">
      <formula>2.152</formula>
    </cfRule>
  </conditionalFormatting>
  <conditionalFormatting sqref="E117">
    <cfRule type="cellIs" dxfId="7735" priority="59306" stopIfTrue="1" operator="notEqual">
      <formula>"MGD"</formula>
    </cfRule>
  </conditionalFormatting>
  <conditionalFormatting sqref="F117">
    <cfRule type="cellIs" dxfId="7734" priority="59307" stopIfTrue="1" operator="notEqual">
      <formula>0.819</formula>
    </cfRule>
  </conditionalFormatting>
  <conditionalFormatting sqref="G117">
    <cfRule type="cellIs" dxfId="7733" priority="59308" stopIfTrue="1" operator="notEqual">
      <formula>"MGD"</formula>
    </cfRule>
  </conditionalFormatting>
  <conditionalFormatting sqref="H117">
    <cfRule type="cellIs" dxfId="7732" priority="59309" stopIfTrue="1" operator="notEqual">
      <formula>"regeneration off-site (non-hazardous)"</formula>
    </cfRule>
  </conditionalFormatting>
  <conditionalFormatting sqref="I117">
    <cfRule type="cellIs" dxfId="7731" priority="59310" stopIfTrue="1" operator="notEqual">
      <formula>"carbon life value- bed volumes"</formula>
    </cfRule>
  </conditionalFormatting>
  <conditionalFormatting sqref="J117">
    <cfRule type="cellIs" dxfId="7730" priority="59311" stopIfTrue="1" operator="notEqual">
      <formula>29200</formula>
    </cfRule>
  </conditionalFormatting>
  <conditionalFormatting sqref="K117">
    <cfRule type="expression" dxfId="7729" priority="59312" stopIfTrue="1">
      <formula>NOT(ISBLANK($K$117))</formula>
    </cfRule>
  </conditionalFormatting>
  <conditionalFormatting sqref="L117">
    <cfRule type="expression" dxfId="7728" priority="59313" stopIfTrue="1">
      <formula>NOT(ISBLANK($L$117))</formula>
    </cfRule>
  </conditionalFormatting>
  <conditionalFormatting sqref="M117">
    <cfRule type="expression" dxfId="7727" priority="59314" stopIfTrue="1">
      <formula>NOT(ISBLANK($M$117))</formula>
    </cfRule>
  </conditionalFormatting>
  <conditionalFormatting sqref="N117">
    <cfRule type="cellIs" dxfId="7726" priority="59315" stopIfTrue="1" operator="notEqual">
      <formula>"EBCT"</formula>
    </cfRule>
  </conditionalFormatting>
  <conditionalFormatting sqref="O117">
    <cfRule type="cellIs" dxfId="7725" priority="59316" stopIfTrue="1" operator="notEqual">
      <formula>7.5</formula>
    </cfRule>
  </conditionalFormatting>
  <conditionalFormatting sqref="P117">
    <cfRule type="expression" dxfId="7724" priority="59317" stopIfTrue="1">
      <formula>NOT(ISBLANK($P$117))</formula>
    </cfRule>
  </conditionalFormatting>
  <conditionalFormatting sqref="Q117">
    <cfRule type="expression" dxfId="7723" priority="59318" stopIfTrue="1">
      <formula>NOT(ISBLANK($Q$117))</formula>
    </cfRule>
  </conditionalFormatting>
  <conditionalFormatting sqref="R117">
    <cfRule type="expression" dxfId="7722" priority="59319" stopIfTrue="1">
      <formula>NOT(ISBLANK($R$117))</formula>
    </cfRule>
  </conditionalFormatting>
  <conditionalFormatting sqref="S117">
    <cfRule type="expression" dxfId="7721" priority="59320" stopIfTrue="1">
      <formula>NOT(ISBLANK($S$117))</formula>
    </cfRule>
  </conditionalFormatting>
  <conditionalFormatting sqref="T117">
    <cfRule type="expression" dxfId="7720" priority="59321" stopIfTrue="1">
      <formula>NOT(ISBLANK($T$117))</formula>
    </cfRule>
  </conditionalFormatting>
  <conditionalFormatting sqref="U117">
    <cfRule type="expression" dxfId="7719" priority="59322" stopIfTrue="1">
      <formula>NOT(ISBLANK($U$117))</formula>
    </cfRule>
  </conditionalFormatting>
  <conditionalFormatting sqref="V117">
    <cfRule type="expression" dxfId="7718" priority="59323" stopIfTrue="1">
      <formula>NOT(ISBLANK($V$117))</formula>
    </cfRule>
  </conditionalFormatting>
  <conditionalFormatting sqref="W117">
    <cfRule type="cellIs" dxfId="7717" priority="59324" stopIfTrue="1" operator="notEqual">
      <formula>8</formula>
    </cfRule>
  </conditionalFormatting>
  <conditionalFormatting sqref="X117">
    <cfRule type="cellIs" dxfId="7716" priority="59325" stopIfTrue="1" operator="notEqual">
      <formula>8</formula>
    </cfRule>
  </conditionalFormatting>
  <conditionalFormatting sqref="Y117">
    <cfRule type="cellIs" dxfId="7715" priority="59326" stopIfTrue="1" operator="notEqual">
      <formula>7.9</formula>
    </cfRule>
  </conditionalFormatting>
  <conditionalFormatting sqref="Z117">
    <cfRule type="cellIs" dxfId="7714" priority="59327" stopIfTrue="1" operator="notEqual">
      <formula>168</formula>
    </cfRule>
  </conditionalFormatting>
  <conditionalFormatting sqref="AA117">
    <cfRule type="cellIs" dxfId="7713" priority="59328" stopIfTrue="1" operator="notEqual">
      <formula>"POTW"</formula>
    </cfRule>
  </conditionalFormatting>
  <conditionalFormatting sqref="AB117">
    <cfRule type="cellIs" dxfId="7712" priority="59329" stopIfTrue="1" operator="notEqual">
      <formula>"holding tank"</formula>
    </cfRule>
  </conditionalFormatting>
  <conditionalFormatting sqref="AC117">
    <cfRule type="cellIs" dxfId="7711" priority="59330" stopIfTrue="1" operator="notEqual">
      <formula>"manual transfer"</formula>
    </cfRule>
  </conditionalFormatting>
  <conditionalFormatting sqref="AD117">
    <cfRule type="cellIs" dxfId="7710" priority="59331" stopIfTrue="1" operator="notEqual">
      <formula>"non-hazardous"</formula>
    </cfRule>
  </conditionalFormatting>
  <conditionalFormatting sqref="AE117">
    <cfRule type="expression" dxfId="7709" priority="59332" stopIfTrue="1">
      <formula>NOT(ISBLANK($AE$117))</formula>
    </cfRule>
  </conditionalFormatting>
  <conditionalFormatting sqref="AF117">
    <cfRule type="cellIs" dxfId="7708" priority="59333" stopIfTrue="1" operator="notEqual">
      <formula>0</formula>
    </cfRule>
  </conditionalFormatting>
  <conditionalFormatting sqref="AG117">
    <cfRule type="expression" dxfId="7707" priority="59334" stopIfTrue="1">
      <formula>NOT(ISBLANK($AG$117))</formula>
    </cfRule>
  </conditionalFormatting>
  <conditionalFormatting sqref="AH117">
    <cfRule type="expression" dxfId="7706" priority="59335" stopIfTrue="1">
      <formula>NOT(ISBLANK($AH$117))</formula>
    </cfRule>
  </conditionalFormatting>
  <conditionalFormatting sqref="AI117">
    <cfRule type="cellIs" dxfId="7705" priority="59336" stopIfTrue="1" operator="notEqual">
      <formula>"fully automated"</formula>
    </cfRule>
  </conditionalFormatting>
  <conditionalFormatting sqref="AJ117">
    <cfRule type="expression" dxfId="7704" priority="59337" stopIfTrue="1">
      <formula>NOT(ISBLANK($AJ$117))</formula>
    </cfRule>
  </conditionalFormatting>
  <conditionalFormatting sqref="AK117">
    <cfRule type="expression" dxfId="7703" priority="59338" stopIfTrue="1">
      <formula>NOT(ISBLANK($AK$117))</formula>
    </cfRule>
  </conditionalFormatting>
  <conditionalFormatting sqref="AL117">
    <cfRule type="expression" dxfId="7702" priority="59339" stopIfTrue="1">
      <formula>NOT(ISBLANK($AL$117))</formula>
    </cfRule>
  </conditionalFormatting>
  <conditionalFormatting sqref="AM117">
    <cfRule type="expression" dxfId="7701" priority="59340" stopIfTrue="1">
      <formula>NOT(ISBLANK($AM$117))</formula>
    </cfRule>
  </conditionalFormatting>
  <conditionalFormatting sqref="AN117">
    <cfRule type="expression" dxfId="7700" priority="59341" stopIfTrue="1">
      <formula>NOT(ISBLANK($AN$117))</formula>
    </cfRule>
  </conditionalFormatting>
  <conditionalFormatting sqref="AO117">
    <cfRule type="expression" dxfId="7699" priority="59342" stopIfTrue="1">
      <formula>NOT(ISBLANK($AO$117))</formula>
    </cfRule>
  </conditionalFormatting>
  <conditionalFormatting sqref="AP117">
    <cfRule type="expression" dxfId="7698" priority="59343" stopIfTrue="1">
      <formula>NOT(ISBLANK($AP$117))</formula>
    </cfRule>
  </conditionalFormatting>
  <conditionalFormatting sqref="AQ117">
    <cfRule type="expression" dxfId="7697" priority="59344" stopIfTrue="1">
      <formula>NOT(ISBLANK($AQ$117))</formula>
    </cfRule>
  </conditionalFormatting>
  <conditionalFormatting sqref="A118">
    <cfRule type="cellIs" dxfId="7696" priority="59345" stopIfTrue="1" operator="notEqual">
      <formula>7</formula>
    </cfRule>
  </conditionalFormatting>
  <conditionalFormatting sqref="B118">
    <cfRule type="cellIs" dxfId="7695" priority="59346" stopIfTrue="1" operator="notEqual">
      <formula>2</formula>
    </cfRule>
  </conditionalFormatting>
  <conditionalFormatting sqref="C118">
    <cfRule type="cellIs" dxfId="7694" priority="59347" stopIfTrue="1" operator="notEqual">
      <formula>6</formula>
    </cfRule>
  </conditionalFormatting>
  <conditionalFormatting sqref="D118">
    <cfRule type="cellIs" dxfId="7693" priority="59348" stopIfTrue="1" operator="notEqual">
      <formula>7.365</formula>
    </cfRule>
  </conditionalFormatting>
  <conditionalFormatting sqref="E118">
    <cfRule type="cellIs" dxfId="7692" priority="59349" stopIfTrue="1" operator="notEqual">
      <formula>"MGD"</formula>
    </cfRule>
  </conditionalFormatting>
  <conditionalFormatting sqref="F118">
    <cfRule type="cellIs" dxfId="7691" priority="59350" stopIfTrue="1" operator="notEqual">
      <formula>3.2</formula>
    </cfRule>
  </conditionalFormatting>
  <conditionalFormatting sqref="G118">
    <cfRule type="cellIs" dxfId="7690" priority="59351" stopIfTrue="1" operator="notEqual">
      <formula>"MGD"</formula>
    </cfRule>
  </conditionalFormatting>
  <conditionalFormatting sqref="H118">
    <cfRule type="cellIs" dxfId="7689" priority="59352" stopIfTrue="1" operator="notEqual">
      <formula>"regeneration off-site (non-hazardous)"</formula>
    </cfRule>
  </conditionalFormatting>
  <conditionalFormatting sqref="I118">
    <cfRule type="cellIs" dxfId="7688" priority="59353" stopIfTrue="1" operator="notEqual">
      <formula>"carbon life value- bed volumes"</formula>
    </cfRule>
  </conditionalFormatting>
  <conditionalFormatting sqref="J118">
    <cfRule type="cellIs" dxfId="7687" priority="59354" stopIfTrue="1" operator="notEqual">
      <formula>29200</formula>
    </cfRule>
  </conditionalFormatting>
  <conditionalFormatting sqref="K118">
    <cfRule type="expression" dxfId="7686" priority="59355" stopIfTrue="1">
      <formula>NOT(ISBLANK($K$118))</formula>
    </cfRule>
  </conditionalFormatting>
  <conditionalFormatting sqref="L118">
    <cfRule type="expression" dxfId="7685" priority="59356" stopIfTrue="1">
      <formula>NOT(ISBLANK($L$118))</formula>
    </cfRule>
  </conditionalFormatting>
  <conditionalFormatting sqref="M118">
    <cfRule type="expression" dxfId="7684" priority="59357" stopIfTrue="1">
      <formula>NOT(ISBLANK($M$118))</formula>
    </cfRule>
  </conditionalFormatting>
  <conditionalFormatting sqref="N118">
    <cfRule type="cellIs" dxfId="7683" priority="59358" stopIfTrue="1" operator="notEqual">
      <formula>"EBCT"</formula>
    </cfRule>
  </conditionalFormatting>
  <conditionalFormatting sqref="O118">
    <cfRule type="cellIs" dxfId="7682" priority="59359" stopIfTrue="1" operator="notEqual">
      <formula>7.5</formula>
    </cfRule>
  </conditionalFormatting>
  <conditionalFormatting sqref="P118">
    <cfRule type="expression" dxfId="7681" priority="59360" stopIfTrue="1">
      <formula>NOT(ISBLANK($P$118))</formula>
    </cfRule>
  </conditionalFormatting>
  <conditionalFormatting sqref="Q118">
    <cfRule type="expression" dxfId="7680" priority="59361" stopIfTrue="1">
      <formula>NOT(ISBLANK($Q$118))</formula>
    </cfRule>
  </conditionalFormatting>
  <conditionalFormatting sqref="R118">
    <cfRule type="expression" dxfId="7679" priority="59362" stopIfTrue="1">
      <formula>NOT(ISBLANK($R$118))</formula>
    </cfRule>
  </conditionalFormatting>
  <conditionalFormatting sqref="S118">
    <cfRule type="expression" dxfId="7678" priority="59363" stopIfTrue="1">
      <formula>NOT(ISBLANK($S$118))</formula>
    </cfRule>
  </conditionalFormatting>
  <conditionalFormatting sqref="T118">
    <cfRule type="expression" dxfId="7677" priority="59364" stopIfTrue="1">
      <formula>NOT(ISBLANK($T$118))</formula>
    </cfRule>
  </conditionalFormatting>
  <conditionalFormatting sqref="U118">
    <cfRule type="expression" dxfId="7676" priority="59365" stopIfTrue="1">
      <formula>NOT(ISBLANK($U$118))</formula>
    </cfRule>
  </conditionalFormatting>
  <conditionalFormatting sqref="V118">
    <cfRule type="expression" dxfId="7675" priority="59366" stopIfTrue="1">
      <formula>NOT(ISBLANK($V$118))</formula>
    </cfRule>
  </conditionalFormatting>
  <conditionalFormatting sqref="W118">
    <cfRule type="cellIs" dxfId="7674" priority="59367" stopIfTrue="1" operator="notEqual">
      <formula>11.5</formula>
    </cfRule>
  </conditionalFormatting>
  <conditionalFormatting sqref="X118">
    <cfRule type="cellIs" dxfId="7673" priority="59368" stopIfTrue="1" operator="notEqual">
      <formula>11.5</formula>
    </cfRule>
  </conditionalFormatting>
  <conditionalFormatting sqref="Y118">
    <cfRule type="cellIs" dxfId="7672" priority="59369" stopIfTrue="1" operator="notEqual">
      <formula>7.8</formula>
    </cfRule>
  </conditionalFormatting>
  <conditionalFormatting sqref="Z118">
    <cfRule type="cellIs" dxfId="7671" priority="59370" stopIfTrue="1" operator="notEqual">
      <formula>168</formula>
    </cfRule>
  </conditionalFormatting>
  <conditionalFormatting sqref="AA118">
    <cfRule type="cellIs" dxfId="7670" priority="59371" stopIfTrue="1" operator="notEqual">
      <formula>"POTW"</formula>
    </cfRule>
  </conditionalFormatting>
  <conditionalFormatting sqref="AB118">
    <cfRule type="cellIs" dxfId="7669" priority="59372" stopIfTrue="1" operator="notEqual">
      <formula>"holding tank"</formula>
    </cfRule>
  </conditionalFormatting>
  <conditionalFormatting sqref="AC118">
    <cfRule type="cellIs" dxfId="7668" priority="59373" stopIfTrue="1" operator="notEqual">
      <formula>"eductors"</formula>
    </cfRule>
  </conditionalFormatting>
  <conditionalFormatting sqref="AD118">
    <cfRule type="cellIs" dxfId="7667" priority="59374" stopIfTrue="1" operator="notEqual">
      <formula>"non-hazardous"</formula>
    </cfRule>
  </conditionalFormatting>
  <conditionalFormatting sqref="AE118">
    <cfRule type="expression" dxfId="7666" priority="59375" stopIfTrue="1">
      <formula>NOT(ISBLANK($AE$118))</formula>
    </cfRule>
  </conditionalFormatting>
  <conditionalFormatting sqref="AF118">
    <cfRule type="cellIs" dxfId="7665" priority="59376" stopIfTrue="1" operator="notEqual">
      <formula>0</formula>
    </cfRule>
  </conditionalFormatting>
  <conditionalFormatting sqref="AG118">
    <cfRule type="expression" dxfId="7664" priority="59377" stopIfTrue="1">
      <formula>NOT(ISBLANK($AG$118))</formula>
    </cfRule>
  </conditionalFormatting>
  <conditionalFormatting sqref="AH118">
    <cfRule type="expression" dxfId="7663" priority="59378" stopIfTrue="1">
      <formula>NOT(ISBLANK($AH$118))</formula>
    </cfRule>
  </conditionalFormatting>
  <conditionalFormatting sqref="AI118">
    <cfRule type="cellIs" dxfId="7662" priority="59379" stopIfTrue="1" operator="notEqual">
      <formula>"fully automated"</formula>
    </cfRule>
  </conditionalFormatting>
  <conditionalFormatting sqref="AJ118">
    <cfRule type="expression" dxfId="7661" priority="59380" stopIfTrue="1">
      <formula>NOT(ISBLANK($AJ$118))</formula>
    </cfRule>
  </conditionalFormatting>
  <conditionalFormatting sqref="AK118">
    <cfRule type="expression" dxfId="7660" priority="59381" stopIfTrue="1">
      <formula>NOT(ISBLANK($AK$118))</formula>
    </cfRule>
  </conditionalFormatting>
  <conditionalFormatting sqref="AL118">
    <cfRule type="expression" dxfId="7659" priority="59382" stopIfTrue="1">
      <formula>NOT(ISBLANK($AL$118))</formula>
    </cfRule>
  </conditionalFormatting>
  <conditionalFormatting sqref="AM118">
    <cfRule type="expression" dxfId="7658" priority="59383" stopIfTrue="1">
      <formula>NOT(ISBLANK($AM$118))</formula>
    </cfRule>
  </conditionalFormatting>
  <conditionalFormatting sqref="AN118">
    <cfRule type="expression" dxfId="7657" priority="59384" stopIfTrue="1">
      <formula>NOT(ISBLANK($AN$118))</formula>
    </cfRule>
  </conditionalFormatting>
  <conditionalFormatting sqref="AO118">
    <cfRule type="expression" dxfId="7656" priority="59385" stopIfTrue="1">
      <formula>NOT(ISBLANK($AO$118))</formula>
    </cfRule>
  </conditionalFormatting>
  <conditionalFormatting sqref="AP118">
    <cfRule type="expression" dxfId="7655" priority="59386" stopIfTrue="1">
      <formula>NOT(ISBLANK($AP$118))</formula>
    </cfRule>
  </conditionalFormatting>
  <conditionalFormatting sqref="AQ118">
    <cfRule type="expression" dxfId="7654" priority="59387" stopIfTrue="1">
      <formula>NOT(ISBLANK($AQ$118))</formula>
    </cfRule>
  </conditionalFormatting>
  <conditionalFormatting sqref="A119">
    <cfRule type="cellIs" dxfId="7653" priority="59388" stopIfTrue="1" operator="notEqual">
      <formula>7</formula>
    </cfRule>
  </conditionalFormatting>
  <conditionalFormatting sqref="B119">
    <cfRule type="cellIs" dxfId="7652" priority="59389" stopIfTrue="1" operator="notEqual">
      <formula>2</formula>
    </cfRule>
  </conditionalFormatting>
  <conditionalFormatting sqref="C119">
    <cfRule type="cellIs" dxfId="7651" priority="59390" stopIfTrue="1" operator="notEqual">
      <formula>7</formula>
    </cfRule>
  </conditionalFormatting>
  <conditionalFormatting sqref="D119">
    <cfRule type="cellIs" dxfId="7650" priority="59391" stopIfTrue="1" operator="notEqual">
      <formula>22.614</formula>
    </cfRule>
  </conditionalFormatting>
  <conditionalFormatting sqref="E119">
    <cfRule type="cellIs" dxfId="7649" priority="59392" stopIfTrue="1" operator="notEqual">
      <formula>"MGD"</formula>
    </cfRule>
  </conditionalFormatting>
  <conditionalFormatting sqref="F119">
    <cfRule type="cellIs" dxfId="7648" priority="59393" stopIfTrue="1" operator="notEqual">
      <formula>11.066</formula>
    </cfRule>
  </conditionalFormatting>
  <conditionalFormatting sqref="G119">
    <cfRule type="cellIs" dxfId="7647" priority="59394" stopIfTrue="1" operator="notEqual">
      <formula>"MGD"</formula>
    </cfRule>
  </conditionalFormatting>
  <conditionalFormatting sqref="H119">
    <cfRule type="cellIs" dxfId="7646" priority="59395" stopIfTrue="1" operator="notEqual">
      <formula>"regeneration off-site (non-hazardous)"</formula>
    </cfRule>
  </conditionalFormatting>
  <conditionalFormatting sqref="I119">
    <cfRule type="cellIs" dxfId="7645" priority="59396" stopIfTrue="1" operator="notEqual">
      <formula>"carbon life value- bed volumes"</formula>
    </cfRule>
  </conditionalFormatting>
  <conditionalFormatting sqref="J119">
    <cfRule type="cellIs" dxfId="7644" priority="59397" stopIfTrue="1" operator="notEqual">
      <formula>29200</formula>
    </cfRule>
  </conditionalFormatting>
  <conditionalFormatting sqref="K119">
    <cfRule type="expression" dxfId="7643" priority="59398" stopIfTrue="1">
      <formula>NOT(ISBLANK($K$119))</formula>
    </cfRule>
  </conditionalFormatting>
  <conditionalFormatting sqref="L119">
    <cfRule type="expression" dxfId="7642" priority="59399" stopIfTrue="1">
      <formula>NOT(ISBLANK($L$119))</formula>
    </cfRule>
  </conditionalFormatting>
  <conditionalFormatting sqref="M119">
    <cfRule type="expression" dxfId="7641" priority="59400" stopIfTrue="1">
      <formula>NOT(ISBLANK($M$119))</formula>
    </cfRule>
  </conditionalFormatting>
  <conditionalFormatting sqref="N119">
    <cfRule type="cellIs" dxfId="7640" priority="59401" stopIfTrue="1" operator="notEqual">
      <formula>"EBCT"</formula>
    </cfRule>
  </conditionalFormatting>
  <conditionalFormatting sqref="O119">
    <cfRule type="cellIs" dxfId="7639" priority="59402" stopIfTrue="1" operator="notEqual">
      <formula>7.5</formula>
    </cfRule>
  </conditionalFormatting>
  <conditionalFormatting sqref="P119">
    <cfRule type="expression" dxfId="7638" priority="59403" stopIfTrue="1">
      <formula>NOT(ISBLANK($P$119))</formula>
    </cfRule>
  </conditionalFormatting>
  <conditionalFormatting sqref="Q119">
    <cfRule type="expression" dxfId="7637" priority="59404" stopIfTrue="1">
      <formula>NOT(ISBLANK($Q$119))</formula>
    </cfRule>
  </conditionalFormatting>
  <conditionalFormatting sqref="R119">
    <cfRule type="expression" dxfId="7636" priority="59405" stopIfTrue="1">
      <formula>NOT(ISBLANK($R$119))</formula>
    </cfRule>
  </conditionalFormatting>
  <conditionalFormatting sqref="S119">
    <cfRule type="expression" dxfId="7635" priority="59406" stopIfTrue="1">
      <formula>NOT(ISBLANK($S$119))</formula>
    </cfRule>
  </conditionalFormatting>
  <conditionalFormatting sqref="T119">
    <cfRule type="expression" dxfId="7634" priority="59407" stopIfTrue="1">
      <formula>NOT(ISBLANK($T$119))</formula>
    </cfRule>
  </conditionalFormatting>
  <conditionalFormatting sqref="U119">
    <cfRule type="expression" dxfId="7633" priority="59408" stopIfTrue="1">
      <formula>NOT(ISBLANK($U$119))</formula>
    </cfRule>
  </conditionalFormatting>
  <conditionalFormatting sqref="V119">
    <cfRule type="expression" dxfId="7632" priority="59409" stopIfTrue="1">
      <formula>NOT(ISBLANK($V$119))</formula>
    </cfRule>
  </conditionalFormatting>
  <conditionalFormatting sqref="W119">
    <cfRule type="cellIs" dxfId="7631" priority="59410" stopIfTrue="1" operator="notEqual">
      <formula>15</formula>
    </cfRule>
  </conditionalFormatting>
  <conditionalFormatting sqref="X119">
    <cfRule type="cellIs" dxfId="7630" priority="59411" stopIfTrue="1" operator="notEqual">
      <formula>15</formula>
    </cfRule>
  </conditionalFormatting>
  <conditionalFormatting sqref="Y119">
    <cfRule type="cellIs" dxfId="7629" priority="59412" stopIfTrue="1" operator="notEqual">
      <formula>7.8</formula>
    </cfRule>
  </conditionalFormatting>
  <conditionalFormatting sqref="Z119">
    <cfRule type="cellIs" dxfId="7628" priority="59413" stopIfTrue="1" operator="notEqual">
      <formula>168</formula>
    </cfRule>
  </conditionalFormatting>
  <conditionalFormatting sqref="AA119">
    <cfRule type="cellIs" dxfId="7627" priority="59414" stopIfTrue="1" operator="notEqual">
      <formula>"POTW"</formula>
    </cfRule>
  </conditionalFormatting>
  <conditionalFormatting sqref="AB119">
    <cfRule type="cellIs" dxfId="7626" priority="59415" stopIfTrue="1" operator="notEqual">
      <formula>"holding tank"</formula>
    </cfRule>
  </conditionalFormatting>
  <conditionalFormatting sqref="AC119">
    <cfRule type="cellIs" dxfId="7625" priority="59416" stopIfTrue="1" operator="notEqual">
      <formula>"eductors"</formula>
    </cfRule>
  </conditionalFormatting>
  <conditionalFormatting sqref="AD119">
    <cfRule type="cellIs" dxfId="7624" priority="59417" stopIfTrue="1" operator="notEqual">
      <formula>"non-hazardous"</formula>
    </cfRule>
  </conditionalFormatting>
  <conditionalFormatting sqref="AE119">
    <cfRule type="expression" dxfId="7623" priority="59418" stopIfTrue="1">
      <formula>NOT(ISBLANK($AE$119))</formula>
    </cfRule>
  </conditionalFormatting>
  <conditionalFormatting sqref="AF119">
    <cfRule type="cellIs" dxfId="7622" priority="59419" stopIfTrue="1" operator="notEqual">
      <formula>0</formula>
    </cfRule>
  </conditionalFormatting>
  <conditionalFormatting sqref="AG119">
    <cfRule type="expression" dxfId="7621" priority="59420" stopIfTrue="1">
      <formula>NOT(ISBLANK($AG$119))</formula>
    </cfRule>
  </conditionalFormatting>
  <conditionalFormatting sqref="AH119">
    <cfRule type="expression" dxfId="7620" priority="59421" stopIfTrue="1">
      <formula>NOT(ISBLANK($AH$119))</formula>
    </cfRule>
  </conditionalFormatting>
  <conditionalFormatting sqref="AI119">
    <cfRule type="cellIs" dxfId="7619" priority="59422" stopIfTrue="1" operator="notEqual">
      <formula>"fully automated"</formula>
    </cfRule>
  </conditionalFormatting>
  <conditionalFormatting sqref="AJ119">
    <cfRule type="expression" dxfId="7618" priority="59423" stopIfTrue="1">
      <formula>NOT(ISBLANK($AJ$119))</formula>
    </cfRule>
  </conditionalFormatting>
  <conditionalFormatting sqref="AK119">
    <cfRule type="expression" dxfId="7617" priority="59424" stopIfTrue="1">
      <formula>NOT(ISBLANK($AK$119))</formula>
    </cfRule>
  </conditionalFormatting>
  <conditionalFormatting sqref="AL119">
    <cfRule type="expression" dxfId="7616" priority="59425" stopIfTrue="1">
      <formula>NOT(ISBLANK($AL$119))</formula>
    </cfRule>
  </conditionalFormatting>
  <conditionalFormatting sqref="AM119">
    <cfRule type="expression" dxfId="7615" priority="59426" stopIfTrue="1">
      <formula>NOT(ISBLANK($AM$119))</formula>
    </cfRule>
  </conditionalFormatting>
  <conditionalFormatting sqref="AN119">
    <cfRule type="expression" dxfId="7614" priority="59427" stopIfTrue="1">
      <formula>NOT(ISBLANK($AN$119))</formula>
    </cfRule>
  </conditionalFormatting>
  <conditionalFormatting sqref="AO119">
    <cfRule type="expression" dxfId="7613" priority="59428" stopIfTrue="1">
      <formula>NOT(ISBLANK($AO$119))</formula>
    </cfRule>
  </conditionalFormatting>
  <conditionalFormatting sqref="AP119">
    <cfRule type="expression" dxfId="7612" priority="59429" stopIfTrue="1">
      <formula>NOT(ISBLANK($AP$119))</formula>
    </cfRule>
  </conditionalFormatting>
  <conditionalFormatting sqref="AQ119">
    <cfRule type="expression" dxfId="7611" priority="59430" stopIfTrue="1">
      <formula>NOT(ISBLANK($AQ$119))</formula>
    </cfRule>
  </conditionalFormatting>
  <conditionalFormatting sqref="A120">
    <cfRule type="cellIs" dxfId="7610" priority="59431" stopIfTrue="1" operator="notEqual">
      <formula>7</formula>
    </cfRule>
  </conditionalFormatting>
  <conditionalFormatting sqref="B120">
    <cfRule type="cellIs" dxfId="7609" priority="59432" stopIfTrue="1" operator="notEqual">
      <formula>2</formula>
    </cfRule>
  </conditionalFormatting>
  <conditionalFormatting sqref="C120">
    <cfRule type="cellIs" dxfId="7608" priority="59433" stopIfTrue="1" operator="notEqual">
      <formula>8</formula>
    </cfRule>
  </conditionalFormatting>
  <conditionalFormatting sqref="D120">
    <cfRule type="cellIs" dxfId="7607" priority="59434" stopIfTrue="1" operator="notEqual">
      <formula>75.072</formula>
    </cfRule>
  </conditionalFormatting>
  <conditionalFormatting sqref="E120">
    <cfRule type="cellIs" dxfId="7606" priority="59435" stopIfTrue="1" operator="notEqual">
      <formula>"MGD"</formula>
    </cfRule>
  </conditionalFormatting>
  <conditionalFormatting sqref="F120">
    <cfRule type="cellIs" dxfId="7605" priority="59436" stopIfTrue="1" operator="notEqual">
      <formula>37.536</formula>
    </cfRule>
  </conditionalFormatting>
  <conditionalFormatting sqref="G120">
    <cfRule type="cellIs" dxfId="7604" priority="59437" stopIfTrue="1" operator="notEqual">
      <formula>"MGD"</formula>
    </cfRule>
  </conditionalFormatting>
  <conditionalFormatting sqref="H120">
    <cfRule type="cellIs" dxfId="7603" priority="59438" stopIfTrue="1" operator="notEqual">
      <formula>"regeneration off-site (non-hazardous)"</formula>
    </cfRule>
  </conditionalFormatting>
  <conditionalFormatting sqref="I120">
    <cfRule type="cellIs" dxfId="7602" priority="59439" stopIfTrue="1" operator="notEqual">
      <formula>"carbon life value- bed volumes"</formula>
    </cfRule>
  </conditionalFormatting>
  <conditionalFormatting sqref="J120">
    <cfRule type="cellIs" dxfId="7601" priority="59440" stopIfTrue="1" operator="notEqual">
      <formula>29200</formula>
    </cfRule>
  </conditionalFormatting>
  <conditionalFormatting sqref="K120">
    <cfRule type="expression" dxfId="7600" priority="59441" stopIfTrue="1">
      <formula>NOT(ISBLANK($K$120))</formula>
    </cfRule>
  </conditionalFormatting>
  <conditionalFormatting sqref="L120">
    <cfRule type="expression" dxfId="7599" priority="59442" stopIfTrue="1">
      <formula>NOT(ISBLANK($L$120))</formula>
    </cfRule>
  </conditionalFormatting>
  <conditionalFormatting sqref="M120">
    <cfRule type="expression" dxfId="7598" priority="59443" stopIfTrue="1">
      <formula>NOT(ISBLANK($M$120))</formula>
    </cfRule>
  </conditionalFormatting>
  <conditionalFormatting sqref="N120">
    <cfRule type="cellIs" dxfId="7597" priority="59444" stopIfTrue="1" operator="notEqual">
      <formula>"EBCT"</formula>
    </cfRule>
  </conditionalFormatting>
  <conditionalFormatting sqref="O120">
    <cfRule type="cellIs" dxfId="7596" priority="59445" stopIfTrue="1" operator="notEqual">
      <formula>7.5</formula>
    </cfRule>
  </conditionalFormatting>
  <conditionalFormatting sqref="P120">
    <cfRule type="expression" dxfId="7595" priority="59446" stopIfTrue="1">
      <formula>NOT(ISBLANK($P$120))</formula>
    </cfRule>
  </conditionalFormatting>
  <conditionalFormatting sqref="Q120">
    <cfRule type="expression" dxfId="7594" priority="59447" stopIfTrue="1">
      <formula>NOT(ISBLANK($Q$120))</formula>
    </cfRule>
  </conditionalFormatting>
  <conditionalFormatting sqref="R120">
    <cfRule type="expression" dxfId="7593" priority="59448" stopIfTrue="1">
      <formula>NOT(ISBLANK($R$120))</formula>
    </cfRule>
  </conditionalFormatting>
  <conditionalFormatting sqref="S120">
    <cfRule type="expression" dxfId="7592" priority="59449" stopIfTrue="1">
      <formula>NOT(ISBLANK($S$120))</formula>
    </cfRule>
  </conditionalFormatting>
  <conditionalFormatting sqref="T120">
    <cfRule type="expression" dxfId="7591" priority="59450" stopIfTrue="1">
      <formula>NOT(ISBLANK($T$120))</formula>
    </cfRule>
  </conditionalFormatting>
  <conditionalFormatting sqref="U120">
    <cfRule type="expression" dxfId="7590" priority="59451" stopIfTrue="1">
      <formula>NOT(ISBLANK($U$120))</formula>
    </cfRule>
  </conditionalFormatting>
  <conditionalFormatting sqref="V120">
    <cfRule type="expression" dxfId="7589" priority="59452" stopIfTrue="1">
      <formula>NOT(ISBLANK($V$120))</formula>
    </cfRule>
  </conditionalFormatting>
  <conditionalFormatting sqref="W120">
    <cfRule type="cellIs" dxfId="7588" priority="59453" stopIfTrue="1" operator="notEqual">
      <formula>30</formula>
    </cfRule>
  </conditionalFormatting>
  <conditionalFormatting sqref="X120">
    <cfRule type="cellIs" dxfId="7587" priority="59454" stopIfTrue="1" operator="notEqual">
      <formula>30</formula>
    </cfRule>
  </conditionalFormatting>
  <conditionalFormatting sqref="Y120">
    <cfRule type="cellIs" dxfId="7586" priority="59455" stopIfTrue="1" operator="notEqual">
      <formula>9.7</formula>
    </cfRule>
  </conditionalFormatting>
  <conditionalFormatting sqref="Z120">
    <cfRule type="cellIs" dxfId="7585" priority="59456" stopIfTrue="1" operator="notEqual">
      <formula>168</formula>
    </cfRule>
  </conditionalFormatting>
  <conditionalFormatting sqref="AA120">
    <cfRule type="cellIs" dxfId="7584" priority="59457" stopIfTrue="1" operator="notEqual">
      <formula>"POTW"</formula>
    </cfRule>
  </conditionalFormatting>
  <conditionalFormatting sqref="AB120">
    <cfRule type="cellIs" dxfId="7583" priority="59458" stopIfTrue="1" operator="notEqual">
      <formula>"holding tank"</formula>
    </cfRule>
  </conditionalFormatting>
  <conditionalFormatting sqref="AC120">
    <cfRule type="cellIs" dxfId="7582" priority="59459" stopIfTrue="1" operator="notEqual">
      <formula>"eductors"</formula>
    </cfRule>
  </conditionalFormatting>
  <conditionalFormatting sqref="AD120">
    <cfRule type="cellIs" dxfId="7581" priority="59460" stopIfTrue="1" operator="notEqual">
      <formula>"non-hazardous"</formula>
    </cfRule>
  </conditionalFormatting>
  <conditionalFormatting sqref="AE120">
    <cfRule type="expression" dxfId="7580" priority="59461" stopIfTrue="1">
      <formula>NOT(ISBLANK($AE$120))</formula>
    </cfRule>
  </conditionalFormatting>
  <conditionalFormatting sqref="AF120">
    <cfRule type="cellIs" dxfId="7579" priority="59462" stopIfTrue="1" operator="notEqual">
      <formula>0</formula>
    </cfRule>
  </conditionalFormatting>
  <conditionalFormatting sqref="AG120">
    <cfRule type="expression" dxfId="7578" priority="59463" stopIfTrue="1">
      <formula>NOT(ISBLANK($AG$120))</formula>
    </cfRule>
  </conditionalFormatting>
  <conditionalFormatting sqref="AH120">
    <cfRule type="expression" dxfId="7577" priority="59464" stopIfTrue="1">
      <formula>NOT(ISBLANK($AH$120))</formula>
    </cfRule>
  </conditionalFormatting>
  <conditionalFormatting sqref="AI120">
    <cfRule type="cellIs" dxfId="7576" priority="59465" stopIfTrue="1" operator="notEqual">
      <formula>"fully automated"</formula>
    </cfRule>
  </conditionalFormatting>
  <conditionalFormatting sqref="AJ120">
    <cfRule type="expression" dxfId="7575" priority="59466" stopIfTrue="1">
      <formula>NOT(ISBLANK($AJ$120))</formula>
    </cfRule>
  </conditionalFormatting>
  <conditionalFormatting sqref="AK120">
    <cfRule type="expression" dxfId="7574" priority="59467" stopIfTrue="1">
      <formula>NOT(ISBLANK($AK$120))</formula>
    </cfRule>
  </conditionalFormatting>
  <conditionalFormatting sqref="AL120">
    <cfRule type="expression" dxfId="7573" priority="59468" stopIfTrue="1">
      <formula>NOT(ISBLANK($AL$120))</formula>
    </cfRule>
  </conditionalFormatting>
  <conditionalFormatting sqref="AM120">
    <cfRule type="expression" dxfId="7572" priority="59469" stopIfTrue="1">
      <formula>NOT(ISBLANK($AM$120))</formula>
    </cfRule>
  </conditionalFormatting>
  <conditionalFormatting sqref="AN120">
    <cfRule type="expression" dxfId="7571" priority="59470" stopIfTrue="1">
      <formula>NOT(ISBLANK($AN$120))</formula>
    </cfRule>
  </conditionalFormatting>
  <conditionalFormatting sqref="AO120">
    <cfRule type="expression" dxfId="7570" priority="59471" stopIfTrue="1">
      <formula>NOT(ISBLANK($AO$120))</formula>
    </cfRule>
  </conditionalFormatting>
  <conditionalFormatting sqref="AP120">
    <cfRule type="expression" dxfId="7569" priority="59472" stopIfTrue="1">
      <formula>NOT(ISBLANK($AP$120))</formula>
    </cfRule>
  </conditionalFormatting>
  <conditionalFormatting sqref="AQ120">
    <cfRule type="expression" dxfId="7568" priority="59473" stopIfTrue="1">
      <formula>NOT(ISBLANK($AQ$120))</formula>
    </cfRule>
  </conditionalFormatting>
  <conditionalFormatting sqref="A121">
    <cfRule type="cellIs" dxfId="7567" priority="59474" stopIfTrue="1" operator="notEqual">
      <formula>8</formula>
    </cfRule>
  </conditionalFormatting>
  <conditionalFormatting sqref="B121">
    <cfRule type="cellIs" dxfId="7566" priority="59475" stopIfTrue="1" operator="notEqual">
      <formula>1</formula>
    </cfRule>
  </conditionalFormatting>
  <conditionalFormatting sqref="C121">
    <cfRule type="cellIs" dxfId="7565" priority="59476" stopIfTrue="1" operator="notEqual">
      <formula>1</formula>
    </cfRule>
  </conditionalFormatting>
  <conditionalFormatting sqref="D121">
    <cfRule type="cellIs" dxfId="7564" priority="59477" stopIfTrue="1" operator="notEqual">
      <formula>0.03</formula>
    </cfRule>
  </conditionalFormatting>
  <conditionalFormatting sqref="E121">
    <cfRule type="cellIs" dxfId="7563" priority="59478" stopIfTrue="1" operator="notEqual">
      <formula>"MGD"</formula>
    </cfRule>
  </conditionalFormatting>
  <conditionalFormatting sqref="F121">
    <cfRule type="cellIs" dxfId="7562" priority="59479" stopIfTrue="1" operator="notEqual">
      <formula>0.007</formula>
    </cfRule>
  </conditionalFormatting>
  <conditionalFormatting sqref="G121">
    <cfRule type="cellIs" dxfId="7561" priority="59480" stopIfTrue="1" operator="notEqual">
      <formula>"MGD"</formula>
    </cfRule>
  </conditionalFormatting>
  <conditionalFormatting sqref="H121">
    <cfRule type="cellIs" dxfId="7560" priority="59481" stopIfTrue="1" operator="notEqual">
      <formula>"regeneration off-site (non-hazardous)"</formula>
    </cfRule>
  </conditionalFormatting>
  <conditionalFormatting sqref="I121">
    <cfRule type="cellIs" dxfId="7559" priority="59482" stopIfTrue="1" operator="notEqual">
      <formula>"carbon life value- bed volumes"</formula>
    </cfRule>
  </conditionalFormatting>
  <conditionalFormatting sqref="J121">
    <cfRule type="cellIs" dxfId="7558" priority="59483" stopIfTrue="1" operator="notEqual">
      <formula>21600</formula>
    </cfRule>
  </conditionalFormatting>
  <conditionalFormatting sqref="K121">
    <cfRule type="expression" dxfId="7557" priority="59484" stopIfTrue="1">
      <formula>NOT(ISBLANK($K$121))</formula>
    </cfRule>
  </conditionalFormatting>
  <conditionalFormatting sqref="L121">
    <cfRule type="expression" dxfId="7556" priority="59485" stopIfTrue="1">
      <formula>NOT(ISBLANK($L$121))</formula>
    </cfRule>
  </conditionalFormatting>
  <conditionalFormatting sqref="M121">
    <cfRule type="expression" dxfId="7555" priority="59486" stopIfTrue="1">
      <formula>NOT(ISBLANK($M$121))</formula>
    </cfRule>
  </conditionalFormatting>
  <conditionalFormatting sqref="N121">
    <cfRule type="cellIs" dxfId="7554" priority="59487" stopIfTrue="1" operator="notEqual">
      <formula>"EBCT"</formula>
    </cfRule>
  </conditionalFormatting>
  <conditionalFormatting sqref="O121">
    <cfRule type="cellIs" dxfId="7553" priority="59488" stopIfTrue="1" operator="notEqual">
      <formula>7.5</formula>
    </cfRule>
  </conditionalFormatting>
  <conditionalFormatting sqref="P121">
    <cfRule type="expression" dxfId="7552" priority="59489" stopIfTrue="1">
      <formula>NOT(ISBLANK($P$121))</formula>
    </cfRule>
  </conditionalFormatting>
  <conditionalFormatting sqref="Q121">
    <cfRule type="expression" dxfId="7551" priority="59490" stopIfTrue="1">
      <formula>NOT(ISBLANK($Q$121))</formula>
    </cfRule>
  </conditionalFormatting>
  <conditionalFormatting sqref="R121">
    <cfRule type="cellIs" dxfId="7550" priority="59491" stopIfTrue="1" operator="notEqual">
      <formula>1</formula>
    </cfRule>
  </conditionalFormatting>
  <conditionalFormatting sqref="S121">
    <cfRule type="cellIs" dxfId="7549" priority="59492" stopIfTrue="1" operator="notEqual">
      <formula>3.4</formula>
    </cfRule>
  </conditionalFormatting>
  <conditionalFormatting sqref="T121">
    <cfRule type="cellIs" dxfId="7548" priority="59493" stopIfTrue="1" operator="notEqual">
      <formula>"upright"</formula>
    </cfRule>
  </conditionalFormatting>
  <conditionalFormatting sqref="U121">
    <cfRule type="cellIs" dxfId="7547" priority="59494" stopIfTrue="1" operator="notEqual">
      <formula>6</formula>
    </cfRule>
  </conditionalFormatting>
  <conditionalFormatting sqref="V121">
    <cfRule type="cellIs" dxfId="7546" priority="59495" stopIfTrue="1" operator="notEqual">
      <formula>2</formula>
    </cfRule>
  </conditionalFormatting>
  <conditionalFormatting sqref="W121">
    <cfRule type="expression" dxfId="7545" priority="59496" stopIfTrue="1">
      <formula>NOT(ISBLANK($W$121))</formula>
    </cfRule>
  </conditionalFormatting>
  <conditionalFormatting sqref="X121">
    <cfRule type="expression" dxfId="7544" priority="59497" stopIfTrue="1">
      <formula>NOT(ISBLANK($X$121))</formula>
    </cfRule>
  </conditionalFormatting>
  <conditionalFormatting sqref="Y121">
    <cfRule type="expression" dxfId="7543" priority="59498" stopIfTrue="1">
      <formula>NOT(ISBLANK($Y$121))</formula>
    </cfRule>
  </conditionalFormatting>
  <conditionalFormatting sqref="Z121">
    <cfRule type="cellIs" dxfId="7542" priority="59499" stopIfTrue="1" operator="notEqual">
      <formula>168</formula>
    </cfRule>
  </conditionalFormatting>
  <conditionalFormatting sqref="AA121">
    <cfRule type="cellIs" dxfId="7541" priority="59500" stopIfTrue="1" operator="notEqual">
      <formula>"POTW"</formula>
    </cfRule>
  </conditionalFormatting>
  <conditionalFormatting sqref="AB121">
    <cfRule type="cellIs" dxfId="7540" priority="59501" stopIfTrue="1" operator="notEqual">
      <formula>"no holding tank"</formula>
    </cfRule>
  </conditionalFormatting>
  <conditionalFormatting sqref="AC121">
    <cfRule type="cellIs" dxfId="7539" priority="59502" stopIfTrue="1" operator="notEqual">
      <formula>"manual transfer"</formula>
    </cfRule>
  </conditionalFormatting>
  <conditionalFormatting sqref="AD121">
    <cfRule type="expression" dxfId="7538" priority="59503" stopIfTrue="1">
      <formula>NOT(ISBLANK($AD$121))</formula>
    </cfRule>
  </conditionalFormatting>
  <conditionalFormatting sqref="AE121">
    <cfRule type="expression" dxfId="7537" priority="59504" stopIfTrue="1">
      <formula>NOT(ISBLANK($AE$121))</formula>
    </cfRule>
  </conditionalFormatting>
  <conditionalFormatting sqref="AF121">
    <cfRule type="cellIs" dxfId="7536" priority="59505" stopIfTrue="1" operator="notEqual">
      <formula>0</formula>
    </cfRule>
  </conditionalFormatting>
  <conditionalFormatting sqref="AG121">
    <cfRule type="expression" dxfId="7535" priority="59506" stopIfTrue="1">
      <formula>NOT(ISBLANK($AG$121))</formula>
    </cfRule>
  </conditionalFormatting>
  <conditionalFormatting sqref="AH121">
    <cfRule type="expression" dxfId="7534" priority="59507" stopIfTrue="1">
      <formula>NOT(ISBLANK($AH$121))</formula>
    </cfRule>
  </conditionalFormatting>
  <conditionalFormatting sqref="AI121">
    <cfRule type="cellIs" dxfId="7533" priority="59508" stopIfTrue="1" operator="notEqual">
      <formula>"fully automated"</formula>
    </cfRule>
  </conditionalFormatting>
  <conditionalFormatting sqref="AJ121">
    <cfRule type="expression" dxfId="7532" priority="59509" stopIfTrue="1">
      <formula>NOT(ISBLANK($AJ$121))</formula>
    </cfRule>
  </conditionalFormatting>
  <conditionalFormatting sqref="AK121">
    <cfRule type="expression" dxfId="7531" priority="59510" stopIfTrue="1">
      <formula>NOT(ISBLANK($AK$121))</formula>
    </cfRule>
  </conditionalFormatting>
  <conditionalFormatting sqref="AL121">
    <cfRule type="expression" dxfId="7530" priority="59511" stopIfTrue="1">
      <formula>NOT(ISBLANK($AL$121))</formula>
    </cfRule>
  </conditionalFormatting>
  <conditionalFormatting sqref="AM121">
    <cfRule type="expression" dxfId="7529" priority="59512" stopIfTrue="1">
      <formula>NOT(ISBLANK($AM$121))</formula>
    </cfRule>
  </conditionalFormatting>
  <conditionalFormatting sqref="AN121">
    <cfRule type="expression" dxfId="7528" priority="59513" stopIfTrue="1">
      <formula>NOT(ISBLANK($AN$121))</formula>
    </cfRule>
  </conditionalFormatting>
  <conditionalFormatting sqref="AO121">
    <cfRule type="expression" dxfId="7527" priority="59514" stopIfTrue="1">
      <formula>NOT(ISBLANK($AO$121))</formula>
    </cfRule>
  </conditionalFormatting>
  <conditionalFormatting sqref="AP121">
    <cfRule type="expression" dxfId="7526" priority="59515" stopIfTrue="1">
      <formula>NOT(ISBLANK($AP$121))</formula>
    </cfRule>
  </conditionalFormatting>
  <conditionalFormatting sqref="AQ121">
    <cfRule type="expression" dxfId="7525" priority="59516" stopIfTrue="1">
      <formula>NOT(ISBLANK($AQ$121))</formula>
    </cfRule>
  </conditionalFormatting>
  <conditionalFormatting sqref="A122">
    <cfRule type="cellIs" dxfId="7524" priority="59517" stopIfTrue="1" operator="notEqual">
      <formula>8</formula>
    </cfRule>
  </conditionalFormatting>
  <conditionalFormatting sqref="B122">
    <cfRule type="cellIs" dxfId="7523" priority="59518" stopIfTrue="1" operator="notEqual">
      <formula>1</formula>
    </cfRule>
  </conditionalFormatting>
  <conditionalFormatting sqref="C122">
    <cfRule type="cellIs" dxfId="7522" priority="59519" stopIfTrue="1" operator="notEqual">
      <formula>2</formula>
    </cfRule>
  </conditionalFormatting>
  <conditionalFormatting sqref="D122">
    <cfRule type="cellIs" dxfId="7521" priority="59520" stopIfTrue="1" operator="notEqual">
      <formula>0.124</formula>
    </cfRule>
  </conditionalFormatting>
  <conditionalFormatting sqref="E122">
    <cfRule type="cellIs" dxfId="7520" priority="59521" stopIfTrue="1" operator="notEqual">
      <formula>"MGD"</formula>
    </cfRule>
  </conditionalFormatting>
  <conditionalFormatting sqref="F122">
    <cfRule type="cellIs" dxfId="7519" priority="59522" stopIfTrue="1" operator="notEqual">
      <formula>0.035</formula>
    </cfRule>
  </conditionalFormatting>
  <conditionalFormatting sqref="G122">
    <cfRule type="cellIs" dxfId="7518" priority="59523" stopIfTrue="1" operator="notEqual">
      <formula>"MGD"</formula>
    </cfRule>
  </conditionalFormatting>
  <conditionalFormatting sqref="H122">
    <cfRule type="cellIs" dxfId="7517" priority="59524" stopIfTrue="1" operator="notEqual">
      <formula>"regeneration off-site (non-hazardous)"</formula>
    </cfRule>
  </conditionalFormatting>
  <conditionalFormatting sqref="I122">
    <cfRule type="cellIs" dxfId="7516" priority="59525" stopIfTrue="1" operator="notEqual">
      <formula>"carbon life value- bed volumes"</formula>
    </cfRule>
  </conditionalFormatting>
  <conditionalFormatting sqref="J122">
    <cfRule type="cellIs" dxfId="7515" priority="59526" stopIfTrue="1" operator="notEqual">
      <formula>21600</formula>
    </cfRule>
  </conditionalFormatting>
  <conditionalFormatting sqref="K122">
    <cfRule type="expression" dxfId="7514" priority="59527" stopIfTrue="1">
      <formula>NOT(ISBLANK($K$122))</formula>
    </cfRule>
  </conditionalFormatting>
  <conditionalFormatting sqref="L122">
    <cfRule type="expression" dxfId="7513" priority="59528" stopIfTrue="1">
      <formula>NOT(ISBLANK($L$122))</formula>
    </cfRule>
  </conditionalFormatting>
  <conditionalFormatting sqref="M122">
    <cfRule type="expression" dxfId="7512" priority="59529" stopIfTrue="1">
      <formula>NOT(ISBLANK($M$122))</formula>
    </cfRule>
  </conditionalFormatting>
  <conditionalFormatting sqref="N122">
    <cfRule type="cellIs" dxfId="7511" priority="59530" stopIfTrue="1" operator="notEqual">
      <formula>"EBCT"</formula>
    </cfRule>
  </conditionalFormatting>
  <conditionalFormatting sqref="O122">
    <cfRule type="cellIs" dxfId="7510" priority="59531" stopIfTrue="1" operator="notEqual">
      <formula>7.5</formula>
    </cfRule>
  </conditionalFormatting>
  <conditionalFormatting sqref="P122">
    <cfRule type="expression" dxfId="7509" priority="59532" stopIfTrue="1">
      <formula>NOT(ISBLANK($P$122))</formula>
    </cfRule>
  </conditionalFormatting>
  <conditionalFormatting sqref="Q122">
    <cfRule type="expression" dxfId="7508" priority="59533" stopIfTrue="1">
      <formula>NOT(ISBLANK($Q$122))</formula>
    </cfRule>
  </conditionalFormatting>
  <conditionalFormatting sqref="R122">
    <cfRule type="cellIs" dxfId="7507" priority="59534" stopIfTrue="1" operator="notEqual">
      <formula>1</formula>
    </cfRule>
  </conditionalFormatting>
  <conditionalFormatting sqref="S122">
    <cfRule type="cellIs" dxfId="7506" priority="59535" stopIfTrue="1" operator="notEqual">
      <formula>6.9</formula>
    </cfRule>
  </conditionalFormatting>
  <conditionalFormatting sqref="T122">
    <cfRule type="cellIs" dxfId="7505" priority="59536" stopIfTrue="1" operator="notEqual">
      <formula>"upright"</formula>
    </cfRule>
  </conditionalFormatting>
  <conditionalFormatting sqref="U122">
    <cfRule type="cellIs" dxfId="7504" priority="59537" stopIfTrue="1" operator="notEqual">
      <formula>11</formula>
    </cfRule>
  </conditionalFormatting>
  <conditionalFormatting sqref="V122">
    <cfRule type="cellIs" dxfId="7503" priority="59538" stopIfTrue="1" operator="notEqual">
      <formula>4</formula>
    </cfRule>
  </conditionalFormatting>
  <conditionalFormatting sqref="W122">
    <cfRule type="expression" dxfId="7502" priority="59539" stopIfTrue="1">
      <formula>NOT(ISBLANK($W$122))</formula>
    </cfRule>
  </conditionalFormatting>
  <conditionalFormatting sqref="X122">
    <cfRule type="expression" dxfId="7501" priority="59540" stopIfTrue="1">
      <formula>NOT(ISBLANK($X$122))</formula>
    </cfRule>
  </conditionalFormatting>
  <conditionalFormatting sqref="Y122">
    <cfRule type="expression" dxfId="7500" priority="59541" stopIfTrue="1">
      <formula>NOT(ISBLANK($Y$122))</formula>
    </cfRule>
  </conditionalFormatting>
  <conditionalFormatting sqref="Z122">
    <cfRule type="cellIs" dxfId="7499" priority="59542" stopIfTrue="1" operator="notEqual">
      <formula>168</formula>
    </cfRule>
  </conditionalFormatting>
  <conditionalFormatting sqref="AA122">
    <cfRule type="cellIs" dxfId="7498" priority="59543" stopIfTrue="1" operator="notEqual">
      <formula>"POTW"</formula>
    </cfRule>
  </conditionalFormatting>
  <conditionalFormatting sqref="AB122">
    <cfRule type="cellIs" dxfId="7497" priority="59544" stopIfTrue="1" operator="notEqual">
      <formula>"Holding tank"</formula>
    </cfRule>
  </conditionalFormatting>
  <conditionalFormatting sqref="AC122">
    <cfRule type="cellIs" dxfId="7496" priority="59545" stopIfTrue="1" operator="notEqual">
      <formula>"manual transfer"</formula>
    </cfRule>
  </conditionalFormatting>
  <conditionalFormatting sqref="AD122">
    <cfRule type="cellIs" dxfId="7495" priority="59546" stopIfTrue="1" operator="notEqual">
      <formula>"non-hazardous"</formula>
    </cfRule>
  </conditionalFormatting>
  <conditionalFormatting sqref="AE122">
    <cfRule type="expression" dxfId="7494" priority="59547" stopIfTrue="1">
      <formula>NOT(ISBLANK($AE$122))</formula>
    </cfRule>
  </conditionalFormatting>
  <conditionalFormatting sqref="AF122">
    <cfRule type="cellIs" dxfId="7493" priority="59548" stopIfTrue="1" operator="notEqual">
      <formula>0</formula>
    </cfRule>
  </conditionalFormatting>
  <conditionalFormatting sqref="AG122">
    <cfRule type="expression" dxfId="7492" priority="59549" stopIfTrue="1">
      <formula>NOT(ISBLANK($AG$122))</formula>
    </cfRule>
  </conditionalFormatting>
  <conditionalFormatting sqref="AH122">
    <cfRule type="expression" dxfId="7491" priority="59550" stopIfTrue="1">
      <formula>NOT(ISBLANK($AH$122))</formula>
    </cfRule>
  </conditionalFormatting>
  <conditionalFormatting sqref="AI122">
    <cfRule type="cellIs" dxfId="7490" priority="59551" stopIfTrue="1" operator="notEqual">
      <formula>"fully automated"</formula>
    </cfRule>
  </conditionalFormatting>
  <conditionalFormatting sqref="AJ122">
    <cfRule type="expression" dxfId="7489" priority="59552" stopIfTrue="1">
      <formula>NOT(ISBLANK($AJ$122))</formula>
    </cfRule>
  </conditionalFormatting>
  <conditionalFormatting sqref="AK122">
    <cfRule type="expression" dxfId="7488" priority="59553" stopIfTrue="1">
      <formula>NOT(ISBLANK($AK$122))</formula>
    </cfRule>
  </conditionalFormatting>
  <conditionalFormatting sqref="AL122">
    <cfRule type="expression" dxfId="7487" priority="59554" stopIfTrue="1">
      <formula>NOT(ISBLANK($AL$122))</formula>
    </cfRule>
  </conditionalFormatting>
  <conditionalFormatting sqref="AM122">
    <cfRule type="expression" dxfId="7486" priority="59555" stopIfTrue="1">
      <formula>NOT(ISBLANK($AM$122))</formula>
    </cfRule>
  </conditionalFormatting>
  <conditionalFormatting sqref="AN122">
    <cfRule type="expression" dxfId="7485" priority="59556" stopIfTrue="1">
      <formula>NOT(ISBLANK($AN$122))</formula>
    </cfRule>
  </conditionalFormatting>
  <conditionalFormatting sqref="AO122">
    <cfRule type="expression" dxfId="7484" priority="59557" stopIfTrue="1">
      <formula>NOT(ISBLANK($AO$122))</formula>
    </cfRule>
  </conditionalFormatting>
  <conditionalFormatting sqref="AP122">
    <cfRule type="expression" dxfId="7483" priority="59558" stopIfTrue="1">
      <formula>NOT(ISBLANK($AP$122))</formula>
    </cfRule>
  </conditionalFormatting>
  <conditionalFormatting sqref="AQ122">
    <cfRule type="expression" dxfId="7482" priority="59559" stopIfTrue="1">
      <formula>NOT(ISBLANK($AQ$122))</formula>
    </cfRule>
  </conditionalFormatting>
  <conditionalFormatting sqref="A123">
    <cfRule type="cellIs" dxfId="7481" priority="59560" stopIfTrue="1" operator="notEqual">
      <formula>8</formula>
    </cfRule>
  </conditionalFormatting>
  <conditionalFormatting sqref="B123">
    <cfRule type="cellIs" dxfId="7480" priority="59561" stopIfTrue="1" operator="notEqual">
      <formula>1</formula>
    </cfRule>
  </conditionalFormatting>
  <conditionalFormatting sqref="C123">
    <cfRule type="cellIs" dxfId="7479" priority="59562" stopIfTrue="1" operator="notEqual">
      <formula>3</formula>
    </cfRule>
  </conditionalFormatting>
  <conditionalFormatting sqref="D123">
    <cfRule type="cellIs" dxfId="7478" priority="59563" stopIfTrue="1" operator="notEqual">
      <formula>0.305</formula>
    </cfRule>
  </conditionalFormatting>
  <conditionalFormatting sqref="E123">
    <cfRule type="cellIs" dxfId="7477" priority="59564" stopIfTrue="1" operator="notEqual">
      <formula>"MGD"</formula>
    </cfRule>
  </conditionalFormatting>
  <conditionalFormatting sqref="F123">
    <cfRule type="cellIs" dxfId="7476" priority="59565" stopIfTrue="1" operator="notEqual">
      <formula>0.094</formula>
    </cfRule>
  </conditionalFormatting>
  <conditionalFormatting sqref="G123">
    <cfRule type="cellIs" dxfId="7475" priority="59566" stopIfTrue="1" operator="notEqual">
      <formula>"MGD"</formula>
    </cfRule>
  </conditionalFormatting>
  <conditionalFormatting sqref="H123">
    <cfRule type="cellIs" dxfId="7474" priority="59567" stopIfTrue="1" operator="notEqual">
      <formula>"regeneration off-site (non-hazardous)"</formula>
    </cfRule>
  </conditionalFormatting>
  <conditionalFormatting sqref="I123">
    <cfRule type="cellIs" dxfId="7473" priority="59568" stopIfTrue="1" operator="notEqual">
      <formula>"carbon life value- bed volumes"</formula>
    </cfRule>
  </conditionalFormatting>
  <conditionalFormatting sqref="J123">
    <cfRule type="cellIs" dxfId="7472" priority="59569" stopIfTrue="1" operator="notEqual">
      <formula>21600</formula>
    </cfRule>
  </conditionalFormatting>
  <conditionalFormatting sqref="K123">
    <cfRule type="expression" dxfId="7471" priority="59570" stopIfTrue="1">
      <formula>NOT(ISBLANK($K$123))</formula>
    </cfRule>
  </conditionalFormatting>
  <conditionalFormatting sqref="L123">
    <cfRule type="expression" dxfId="7470" priority="59571" stopIfTrue="1">
      <formula>NOT(ISBLANK($L$123))</formula>
    </cfRule>
  </conditionalFormatting>
  <conditionalFormatting sqref="M123">
    <cfRule type="expression" dxfId="7469" priority="59572" stopIfTrue="1">
      <formula>NOT(ISBLANK($M$123))</formula>
    </cfRule>
  </conditionalFormatting>
  <conditionalFormatting sqref="N123">
    <cfRule type="cellIs" dxfId="7468" priority="59573" stopIfTrue="1" operator="notEqual">
      <formula>"EBCT"</formula>
    </cfRule>
  </conditionalFormatting>
  <conditionalFormatting sqref="O123">
    <cfRule type="cellIs" dxfId="7467" priority="59574" stopIfTrue="1" operator="notEqual">
      <formula>7.5</formula>
    </cfRule>
  </conditionalFormatting>
  <conditionalFormatting sqref="P123">
    <cfRule type="expression" dxfId="7466" priority="59575" stopIfTrue="1">
      <formula>NOT(ISBLANK($P$123))</formula>
    </cfRule>
  </conditionalFormatting>
  <conditionalFormatting sqref="Q123">
    <cfRule type="expression" dxfId="7465" priority="59576" stopIfTrue="1">
      <formula>NOT(ISBLANK($Q$123))</formula>
    </cfRule>
  </conditionalFormatting>
  <conditionalFormatting sqref="R123">
    <cfRule type="cellIs" dxfId="7464" priority="59577" stopIfTrue="1" operator="notEqual">
      <formula>1</formula>
    </cfRule>
  </conditionalFormatting>
  <conditionalFormatting sqref="S123">
    <cfRule type="cellIs" dxfId="7463" priority="59578" stopIfTrue="1" operator="notEqual">
      <formula>6.7</formula>
    </cfRule>
  </conditionalFormatting>
  <conditionalFormatting sqref="T123">
    <cfRule type="cellIs" dxfId="7462" priority="59579" stopIfTrue="1" operator="notEqual">
      <formula>"upright"</formula>
    </cfRule>
  </conditionalFormatting>
  <conditionalFormatting sqref="U123">
    <cfRule type="cellIs" dxfId="7461" priority="59580" stopIfTrue="1" operator="notEqual">
      <formula>11</formula>
    </cfRule>
  </conditionalFormatting>
  <conditionalFormatting sqref="V123">
    <cfRule type="cellIs" dxfId="7460" priority="59581" stopIfTrue="1" operator="notEqual">
      <formula>4.5</formula>
    </cfRule>
  </conditionalFormatting>
  <conditionalFormatting sqref="W123">
    <cfRule type="expression" dxfId="7459" priority="59582" stopIfTrue="1">
      <formula>NOT(ISBLANK($W$123))</formula>
    </cfRule>
  </conditionalFormatting>
  <conditionalFormatting sqref="X123">
    <cfRule type="expression" dxfId="7458" priority="59583" stopIfTrue="1">
      <formula>NOT(ISBLANK($X$123))</formula>
    </cfRule>
  </conditionalFormatting>
  <conditionalFormatting sqref="Y123">
    <cfRule type="expression" dxfId="7457" priority="59584" stopIfTrue="1">
      <formula>NOT(ISBLANK($Y$123))</formula>
    </cfRule>
  </conditionalFormatting>
  <conditionalFormatting sqref="Z123">
    <cfRule type="cellIs" dxfId="7456" priority="59585" stopIfTrue="1" operator="notEqual">
      <formula>168</formula>
    </cfRule>
  </conditionalFormatting>
  <conditionalFormatting sqref="AA123">
    <cfRule type="cellIs" dxfId="7455" priority="59586" stopIfTrue="1" operator="notEqual">
      <formula>"POTW"</formula>
    </cfRule>
  </conditionalFormatting>
  <conditionalFormatting sqref="AB123">
    <cfRule type="cellIs" dxfId="7454" priority="59587" stopIfTrue="1" operator="notEqual">
      <formula>"Holding tank"</formula>
    </cfRule>
  </conditionalFormatting>
  <conditionalFormatting sqref="AC123">
    <cfRule type="cellIs" dxfId="7453" priority="59588" stopIfTrue="1" operator="notEqual">
      <formula>"manual transfer"</formula>
    </cfRule>
  </conditionalFormatting>
  <conditionalFormatting sqref="AD123">
    <cfRule type="cellIs" dxfId="7452" priority="59589" stopIfTrue="1" operator="notEqual">
      <formula>"non-hazardous"</formula>
    </cfRule>
  </conditionalFormatting>
  <conditionalFormatting sqref="AE123">
    <cfRule type="expression" dxfId="7451" priority="59590" stopIfTrue="1">
      <formula>NOT(ISBLANK($AE$123))</formula>
    </cfRule>
  </conditionalFormatting>
  <conditionalFormatting sqref="AF123">
    <cfRule type="cellIs" dxfId="7450" priority="59591" stopIfTrue="1" operator="notEqual">
      <formula>0</formula>
    </cfRule>
  </conditionalFormatting>
  <conditionalFormatting sqref="AG123">
    <cfRule type="expression" dxfId="7449" priority="59592" stopIfTrue="1">
      <formula>NOT(ISBLANK($AG$123))</formula>
    </cfRule>
  </conditionalFormatting>
  <conditionalFormatting sqref="AH123">
    <cfRule type="expression" dxfId="7448" priority="59593" stopIfTrue="1">
      <formula>NOT(ISBLANK($AH$123))</formula>
    </cfRule>
  </conditionalFormatting>
  <conditionalFormatting sqref="AI123">
    <cfRule type="cellIs" dxfId="7447" priority="59594" stopIfTrue="1" operator="notEqual">
      <formula>"fully automated"</formula>
    </cfRule>
  </conditionalFormatting>
  <conditionalFormatting sqref="AJ123">
    <cfRule type="expression" dxfId="7446" priority="59595" stopIfTrue="1">
      <formula>NOT(ISBLANK($AJ$123))</formula>
    </cfRule>
  </conditionalFormatting>
  <conditionalFormatting sqref="AK123">
    <cfRule type="expression" dxfId="7445" priority="59596" stopIfTrue="1">
      <formula>NOT(ISBLANK($AK$123))</formula>
    </cfRule>
  </conditionalFormatting>
  <conditionalFormatting sqref="AL123">
    <cfRule type="expression" dxfId="7444" priority="59597" stopIfTrue="1">
      <formula>NOT(ISBLANK($AL$123))</formula>
    </cfRule>
  </conditionalFormatting>
  <conditionalFormatting sqref="AM123">
    <cfRule type="expression" dxfId="7443" priority="59598" stopIfTrue="1">
      <formula>NOT(ISBLANK($AM$123))</formula>
    </cfRule>
  </conditionalFormatting>
  <conditionalFormatting sqref="AN123">
    <cfRule type="expression" dxfId="7442" priority="59599" stopIfTrue="1">
      <formula>NOT(ISBLANK($AN$123))</formula>
    </cfRule>
  </conditionalFormatting>
  <conditionalFormatting sqref="AO123">
    <cfRule type="expression" dxfId="7441" priority="59600" stopIfTrue="1">
      <formula>NOT(ISBLANK($AO$123))</formula>
    </cfRule>
  </conditionalFormatting>
  <conditionalFormatting sqref="AP123">
    <cfRule type="expression" dxfId="7440" priority="59601" stopIfTrue="1">
      <formula>NOT(ISBLANK($AP$123))</formula>
    </cfRule>
  </conditionalFormatting>
  <conditionalFormatting sqref="AQ123">
    <cfRule type="expression" dxfId="7439" priority="59602" stopIfTrue="1">
      <formula>NOT(ISBLANK($AQ$123))</formula>
    </cfRule>
  </conditionalFormatting>
  <conditionalFormatting sqref="A124">
    <cfRule type="cellIs" dxfId="7438" priority="59603" stopIfTrue="1" operator="notEqual">
      <formula>8</formula>
    </cfRule>
  </conditionalFormatting>
  <conditionalFormatting sqref="B124">
    <cfRule type="cellIs" dxfId="7437" priority="59604" stopIfTrue="1" operator="notEqual">
      <formula>1</formula>
    </cfRule>
  </conditionalFormatting>
  <conditionalFormatting sqref="C124">
    <cfRule type="cellIs" dxfId="7436" priority="59605" stopIfTrue="1" operator="notEqual">
      <formula>4</formula>
    </cfRule>
  </conditionalFormatting>
  <conditionalFormatting sqref="D124">
    <cfRule type="cellIs" dxfId="7435" priority="59606" stopIfTrue="1" operator="notEqual">
      <formula>0.74</formula>
    </cfRule>
  </conditionalFormatting>
  <conditionalFormatting sqref="E124">
    <cfRule type="cellIs" dxfId="7434" priority="59607" stopIfTrue="1" operator="notEqual">
      <formula>"MGD"</formula>
    </cfRule>
  </conditionalFormatting>
  <conditionalFormatting sqref="F124">
    <cfRule type="cellIs" dxfId="7433" priority="59608" stopIfTrue="1" operator="notEqual">
      <formula>0.251</formula>
    </cfRule>
  </conditionalFormatting>
  <conditionalFormatting sqref="G124">
    <cfRule type="cellIs" dxfId="7432" priority="59609" stopIfTrue="1" operator="notEqual">
      <formula>"MGD"</formula>
    </cfRule>
  </conditionalFormatting>
  <conditionalFormatting sqref="H124">
    <cfRule type="cellIs" dxfId="7431" priority="59610" stopIfTrue="1" operator="notEqual">
      <formula>"regeneration off-site (non-hazardous)"</formula>
    </cfRule>
  </conditionalFormatting>
  <conditionalFormatting sqref="I124">
    <cfRule type="cellIs" dxfId="7430" priority="59611" stopIfTrue="1" operator="notEqual">
      <formula>"carbon life value- bed volumes"</formula>
    </cfRule>
  </conditionalFormatting>
  <conditionalFormatting sqref="J124">
    <cfRule type="cellIs" dxfId="7429" priority="59612" stopIfTrue="1" operator="notEqual">
      <formula>21600</formula>
    </cfRule>
  </conditionalFormatting>
  <conditionalFormatting sqref="K124">
    <cfRule type="expression" dxfId="7428" priority="59613" stopIfTrue="1">
      <formula>NOT(ISBLANK($K$124))</formula>
    </cfRule>
  </conditionalFormatting>
  <conditionalFormatting sqref="L124">
    <cfRule type="expression" dxfId="7427" priority="59614" stopIfTrue="1">
      <formula>NOT(ISBLANK($L$124))</formula>
    </cfRule>
  </conditionalFormatting>
  <conditionalFormatting sqref="M124">
    <cfRule type="expression" dxfId="7426" priority="59615" stopIfTrue="1">
      <formula>NOT(ISBLANK($M$124))</formula>
    </cfRule>
  </conditionalFormatting>
  <conditionalFormatting sqref="N124">
    <cfRule type="cellIs" dxfId="7425" priority="59616" stopIfTrue="1" operator="notEqual">
      <formula>"EBCT"</formula>
    </cfRule>
  </conditionalFormatting>
  <conditionalFormatting sqref="O124">
    <cfRule type="cellIs" dxfId="7424" priority="59617" stopIfTrue="1" operator="notEqual">
      <formula>7.5</formula>
    </cfRule>
  </conditionalFormatting>
  <conditionalFormatting sqref="P124">
    <cfRule type="expression" dxfId="7423" priority="59618" stopIfTrue="1">
      <formula>NOT(ISBLANK($P$124))</formula>
    </cfRule>
  </conditionalFormatting>
  <conditionalFormatting sqref="Q124">
    <cfRule type="expression" dxfId="7422" priority="59619" stopIfTrue="1">
      <formula>NOT(ISBLANK($Q$124))</formula>
    </cfRule>
  </conditionalFormatting>
  <conditionalFormatting sqref="R124">
    <cfRule type="cellIs" dxfId="7421" priority="59620" stopIfTrue="1" operator="notEqual">
      <formula>1</formula>
    </cfRule>
  </conditionalFormatting>
  <conditionalFormatting sqref="S124">
    <cfRule type="cellIs" dxfId="7420" priority="59621" stopIfTrue="1" operator="notEqual">
      <formula>6.7</formula>
    </cfRule>
  </conditionalFormatting>
  <conditionalFormatting sqref="T124">
    <cfRule type="cellIs" dxfId="7419" priority="59622" stopIfTrue="1" operator="notEqual">
      <formula>"upright"</formula>
    </cfRule>
  </conditionalFormatting>
  <conditionalFormatting sqref="U124">
    <cfRule type="cellIs" dxfId="7418" priority="59623" stopIfTrue="1" operator="notEqual">
      <formula>11</formula>
    </cfRule>
  </conditionalFormatting>
  <conditionalFormatting sqref="V124">
    <cfRule type="cellIs" dxfId="7417" priority="59624" stopIfTrue="1" operator="notEqual">
      <formula>7</formula>
    </cfRule>
  </conditionalFormatting>
  <conditionalFormatting sqref="W124">
    <cfRule type="expression" dxfId="7416" priority="59625" stopIfTrue="1">
      <formula>NOT(ISBLANK($W$124))</formula>
    </cfRule>
  </conditionalFormatting>
  <conditionalFormatting sqref="X124">
    <cfRule type="expression" dxfId="7415" priority="59626" stopIfTrue="1">
      <formula>NOT(ISBLANK($X$124))</formula>
    </cfRule>
  </conditionalFormatting>
  <conditionalFormatting sqref="Y124">
    <cfRule type="expression" dxfId="7414" priority="59627" stopIfTrue="1">
      <formula>NOT(ISBLANK($Y$124))</formula>
    </cfRule>
  </conditionalFormatting>
  <conditionalFormatting sqref="Z124">
    <cfRule type="cellIs" dxfId="7413" priority="59628" stopIfTrue="1" operator="notEqual">
      <formula>168</formula>
    </cfRule>
  </conditionalFormatting>
  <conditionalFormatting sqref="AA124">
    <cfRule type="cellIs" dxfId="7412" priority="59629" stopIfTrue="1" operator="notEqual">
      <formula>"POTW"</formula>
    </cfRule>
  </conditionalFormatting>
  <conditionalFormatting sqref="AB124">
    <cfRule type="cellIs" dxfId="7411" priority="59630" stopIfTrue="1" operator="notEqual">
      <formula>"Holding tank"</formula>
    </cfRule>
  </conditionalFormatting>
  <conditionalFormatting sqref="AC124">
    <cfRule type="cellIs" dxfId="7410" priority="59631" stopIfTrue="1" operator="notEqual">
      <formula>"manual transfer"</formula>
    </cfRule>
  </conditionalFormatting>
  <conditionalFormatting sqref="AD124">
    <cfRule type="cellIs" dxfId="7409" priority="59632" stopIfTrue="1" operator="notEqual">
      <formula>"non-hazardous"</formula>
    </cfRule>
  </conditionalFormatting>
  <conditionalFormatting sqref="AE124">
    <cfRule type="expression" dxfId="7408" priority="59633" stopIfTrue="1">
      <formula>NOT(ISBLANK($AE$124))</formula>
    </cfRule>
  </conditionalFormatting>
  <conditionalFormatting sqref="AF124">
    <cfRule type="cellIs" dxfId="7407" priority="59634" stopIfTrue="1" operator="notEqual">
      <formula>0</formula>
    </cfRule>
  </conditionalFormatting>
  <conditionalFormatting sqref="AG124">
    <cfRule type="expression" dxfId="7406" priority="59635" stopIfTrue="1">
      <formula>NOT(ISBLANK($AG$124))</formula>
    </cfRule>
  </conditionalFormatting>
  <conditionalFormatting sqref="AH124">
    <cfRule type="expression" dxfId="7405" priority="59636" stopIfTrue="1">
      <formula>NOT(ISBLANK($AH$124))</formula>
    </cfRule>
  </conditionalFormatting>
  <conditionalFormatting sqref="AI124">
    <cfRule type="cellIs" dxfId="7404" priority="59637" stopIfTrue="1" operator="notEqual">
      <formula>"fully automated"</formula>
    </cfRule>
  </conditionalFormatting>
  <conditionalFormatting sqref="AJ124">
    <cfRule type="expression" dxfId="7403" priority="59638" stopIfTrue="1">
      <formula>NOT(ISBLANK($AJ$124))</formula>
    </cfRule>
  </conditionalFormatting>
  <conditionalFormatting sqref="AK124">
    <cfRule type="expression" dxfId="7402" priority="59639" stopIfTrue="1">
      <formula>NOT(ISBLANK($AK$124))</formula>
    </cfRule>
  </conditionalFormatting>
  <conditionalFormatting sqref="AL124">
    <cfRule type="expression" dxfId="7401" priority="59640" stopIfTrue="1">
      <formula>NOT(ISBLANK($AL$124))</formula>
    </cfRule>
  </conditionalFormatting>
  <conditionalFormatting sqref="AM124">
    <cfRule type="expression" dxfId="7400" priority="59641" stopIfTrue="1">
      <formula>NOT(ISBLANK($AM$124))</formula>
    </cfRule>
  </conditionalFormatting>
  <conditionalFormatting sqref="AN124">
    <cfRule type="expression" dxfId="7399" priority="59642" stopIfTrue="1">
      <formula>NOT(ISBLANK($AN$124))</formula>
    </cfRule>
  </conditionalFormatting>
  <conditionalFormatting sqref="AO124">
    <cfRule type="expression" dxfId="7398" priority="59643" stopIfTrue="1">
      <formula>NOT(ISBLANK($AO$124))</formula>
    </cfRule>
  </conditionalFormatting>
  <conditionalFormatting sqref="AP124">
    <cfRule type="expression" dxfId="7397" priority="59644" stopIfTrue="1">
      <formula>NOT(ISBLANK($AP$124))</formula>
    </cfRule>
  </conditionalFormatting>
  <conditionalFormatting sqref="AQ124">
    <cfRule type="expression" dxfId="7396" priority="59645" stopIfTrue="1">
      <formula>NOT(ISBLANK($AQ$124))</formula>
    </cfRule>
  </conditionalFormatting>
  <conditionalFormatting sqref="A125">
    <cfRule type="cellIs" dxfId="7395" priority="59646" stopIfTrue="1" operator="notEqual">
      <formula>8</formula>
    </cfRule>
  </conditionalFormatting>
  <conditionalFormatting sqref="B125">
    <cfRule type="cellIs" dxfId="7394" priority="59647" stopIfTrue="1" operator="notEqual">
      <formula>1</formula>
    </cfRule>
  </conditionalFormatting>
  <conditionalFormatting sqref="C125">
    <cfRule type="cellIs" dxfId="7393" priority="59648" stopIfTrue="1" operator="notEqual">
      <formula>5</formula>
    </cfRule>
  </conditionalFormatting>
  <conditionalFormatting sqref="D125">
    <cfRule type="cellIs" dxfId="7392" priority="59649" stopIfTrue="1" operator="notEqual">
      <formula>2.152</formula>
    </cfRule>
  </conditionalFormatting>
  <conditionalFormatting sqref="E125">
    <cfRule type="cellIs" dxfId="7391" priority="59650" stopIfTrue="1" operator="notEqual">
      <formula>"MGD"</formula>
    </cfRule>
  </conditionalFormatting>
  <conditionalFormatting sqref="F125">
    <cfRule type="cellIs" dxfId="7390" priority="59651" stopIfTrue="1" operator="notEqual">
      <formula>0.819</formula>
    </cfRule>
  </conditionalFormatting>
  <conditionalFormatting sqref="G125">
    <cfRule type="cellIs" dxfId="7389" priority="59652" stopIfTrue="1" operator="notEqual">
      <formula>"MGD"</formula>
    </cfRule>
  </conditionalFormatting>
  <conditionalFormatting sqref="H125">
    <cfRule type="cellIs" dxfId="7388" priority="59653" stopIfTrue="1" operator="notEqual">
      <formula>"regeneration off-site (non-hazardous)"</formula>
    </cfRule>
  </conditionalFormatting>
  <conditionalFormatting sqref="I125">
    <cfRule type="cellIs" dxfId="7387" priority="59654" stopIfTrue="1" operator="notEqual">
      <formula>"carbon life value- bed volumes"</formula>
    </cfRule>
  </conditionalFormatting>
  <conditionalFormatting sqref="J125">
    <cfRule type="cellIs" dxfId="7386" priority="59655" stopIfTrue="1" operator="notEqual">
      <formula>21600</formula>
    </cfRule>
  </conditionalFormatting>
  <conditionalFormatting sqref="K125">
    <cfRule type="expression" dxfId="7385" priority="59656" stopIfTrue="1">
      <formula>NOT(ISBLANK($K$125))</formula>
    </cfRule>
  </conditionalFormatting>
  <conditionalFormatting sqref="L125">
    <cfRule type="expression" dxfId="7384" priority="59657" stopIfTrue="1">
      <formula>NOT(ISBLANK($L$125))</formula>
    </cfRule>
  </conditionalFormatting>
  <conditionalFormatting sqref="M125">
    <cfRule type="expression" dxfId="7383" priority="59658" stopIfTrue="1">
      <formula>NOT(ISBLANK($M$125))</formula>
    </cfRule>
  </conditionalFormatting>
  <conditionalFormatting sqref="N125">
    <cfRule type="cellIs" dxfId="7382" priority="59659" stopIfTrue="1" operator="notEqual">
      <formula>"EBCT"</formula>
    </cfRule>
  </conditionalFormatting>
  <conditionalFormatting sqref="O125">
    <cfRule type="cellIs" dxfId="7381" priority="59660" stopIfTrue="1" operator="notEqual">
      <formula>7.5</formula>
    </cfRule>
  </conditionalFormatting>
  <conditionalFormatting sqref="P125">
    <cfRule type="expression" dxfId="7380" priority="59661" stopIfTrue="1">
      <formula>NOT(ISBLANK($P$125))</formula>
    </cfRule>
  </conditionalFormatting>
  <conditionalFormatting sqref="Q125">
    <cfRule type="expression" dxfId="7379" priority="59662" stopIfTrue="1">
      <formula>NOT(ISBLANK($Q$125))</formula>
    </cfRule>
  </conditionalFormatting>
  <conditionalFormatting sqref="R125">
    <cfRule type="cellIs" dxfId="7378" priority="59663" stopIfTrue="1" operator="notEqual">
      <formula>1</formula>
    </cfRule>
  </conditionalFormatting>
  <conditionalFormatting sqref="S125">
    <cfRule type="cellIs" dxfId="7377" priority="59664" stopIfTrue="1" operator="notEqual">
      <formula>6.7</formula>
    </cfRule>
  </conditionalFormatting>
  <conditionalFormatting sqref="T125">
    <cfRule type="cellIs" dxfId="7376" priority="59665" stopIfTrue="1" operator="notEqual">
      <formula>"upright"</formula>
    </cfRule>
  </conditionalFormatting>
  <conditionalFormatting sqref="U125">
    <cfRule type="cellIs" dxfId="7375" priority="59666" stopIfTrue="1" operator="notEqual">
      <formula>11</formula>
    </cfRule>
  </conditionalFormatting>
  <conditionalFormatting sqref="V125">
    <cfRule type="cellIs" dxfId="7374" priority="59667" stopIfTrue="1" operator="notEqual">
      <formula>8.5</formula>
    </cfRule>
  </conditionalFormatting>
  <conditionalFormatting sqref="W125">
    <cfRule type="expression" dxfId="7373" priority="59668" stopIfTrue="1">
      <formula>NOT(ISBLANK($W$125))</formula>
    </cfRule>
  </conditionalFormatting>
  <conditionalFormatting sqref="X125">
    <cfRule type="expression" dxfId="7372" priority="59669" stopIfTrue="1">
      <formula>NOT(ISBLANK($X$125))</formula>
    </cfRule>
  </conditionalFormatting>
  <conditionalFormatting sqref="Y125">
    <cfRule type="expression" dxfId="7371" priority="59670" stopIfTrue="1">
      <formula>NOT(ISBLANK($Y$125))</formula>
    </cfRule>
  </conditionalFormatting>
  <conditionalFormatting sqref="Z125">
    <cfRule type="cellIs" dxfId="7370" priority="59671" stopIfTrue="1" operator="notEqual">
      <formula>168</formula>
    </cfRule>
  </conditionalFormatting>
  <conditionalFormatting sqref="AA125">
    <cfRule type="cellIs" dxfId="7369" priority="59672" stopIfTrue="1" operator="notEqual">
      <formula>"POTW"</formula>
    </cfRule>
  </conditionalFormatting>
  <conditionalFormatting sqref="AB125">
    <cfRule type="cellIs" dxfId="7368" priority="59673" stopIfTrue="1" operator="notEqual">
      <formula>"Holding tank"</formula>
    </cfRule>
  </conditionalFormatting>
  <conditionalFormatting sqref="AC125">
    <cfRule type="cellIs" dxfId="7367" priority="59674" stopIfTrue="1" operator="notEqual">
      <formula>"manual transfer"</formula>
    </cfRule>
  </conditionalFormatting>
  <conditionalFormatting sqref="AD125">
    <cfRule type="cellIs" dxfId="7366" priority="59675" stopIfTrue="1" operator="notEqual">
      <formula>"non-hazardous"</formula>
    </cfRule>
  </conditionalFormatting>
  <conditionalFormatting sqref="AE125">
    <cfRule type="expression" dxfId="7365" priority="59676" stopIfTrue="1">
      <formula>NOT(ISBLANK($AE$125))</formula>
    </cfRule>
  </conditionalFormatting>
  <conditionalFormatting sqref="AF125">
    <cfRule type="cellIs" dxfId="7364" priority="59677" stopIfTrue="1" operator="notEqual">
      <formula>0</formula>
    </cfRule>
  </conditionalFormatting>
  <conditionalFormatting sqref="AG125">
    <cfRule type="expression" dxfId="7363" priority="59678" stopIfTrue="1">
      <formula>NOT(ISBLANK($AG$125))</formula>
    </cfRule>
  </conditionalFormatting>
  <conditionalFormatting sqref="AH125">
    <cfRule type="expression" dxfId="7362" priority="59679" stopIfTrue="1">
      <formula>NOT(ISBLANK($AH$125))</formula>
    </cfRule>
  </conditionalFormatting>
  <conditionalFormatting sqref="AI125">
    <cfRule type="cellIs" dxfId="7361" priority="59680" stopIfTrue="1" operator="notEqual">
      <formula>"fully automated"</formula>
    </cfRule>
  </conditionalFormatting>
  <conditionalFormatting sqref="AJ125">
    <cfRule type="expression" dxfId="7360" priority="59681" stopIfTrue="1">
      <formula>NOT(ISBLANK($AJ$125))</formula>
    </cfRule>
  </conditionalFormatting>
  <conditionalFormatting sqref="AK125">
    <cfRule type="expression" dxfId="7359" priority="59682" stopIfTrue="1">
      <formula>NOT(ISBLANK($AK$125))</formula>
    </cfRule>
  </conditionalFormatting>
  <conditionalFormatting sqref="AL125">
    <cfRule type="expression" dxfId="7358" priority="59683" stopIfTrue="1">
      <formula>NOT(ISBLANK($AL$125))</formula>
    </cfRule>
  </conditionalFormatting>
  <conditionalFormatting sqref="AM125">
    <cfRule type="expression" dxfId="7357" priority="59684" stopIfTrue="1">
      <formula>NOT(ISBLANK($AM$125))</formula>
    </cfRule>
  </conditionalFormatting>
  <conditionalFormatting sqref="AN125">
    <cfRule type="expression" dxfId="7356" priority="59685" stopIfTrue="1">
      <formula>NOT(ISBLANK($AN$125))</formula>
    </cfRule>
  </conditionalFormatting>
  <conditionalFormatting sqref="AO125">
    <cfRule type="expression" dxfId="7355" priority="59686" stopIfTrue="1">
      <formula>NOT(ISBLANK($AO$125))</formula>
    </cfRule>
  </conditionalFormatting>
  <conditionalFormatting sqref="AP125">
    <cfRule type="expression" dxfId="7354" priority="59687" stopIfTrue="1">
      <formula>NOT(ISBLANK($AP$125))</formula>
    </cfRule>
  </conditionalFormatting>
  <conditionalFormatting sqref="AQ125">
    <cfRule type="expression" dxfId="7353" priority="59688" stopIfTrue="1">
      <formula>NOT(ISBLANK($AQ$125))</formula>
    </cfRule>
  </conditionalFormatting>
  <conditionalFormatting sqref="A126">
    <cfRule type="cellIs" dxfId="7352" priority="59689" stopIfTrue="1" operator="notEqual">
      <formula>8</formula>
    </cfRule>
  </conditionalFormatting>
  <conditionalFormatting sqref="B126">
    <cfRule type="cellIs" dxfId="7351" priority="59690" stopIfTrue="1" operator="notEqual">
      <formula>1</formula>
    </cfRule>
  </conditionalFormatting>
  <conditionalFormatting sqref="C126">
    <cfRule type="cellIs" dxfId="7350" priority="59691" stopIfTrue="1" operator="notEqual">
      <formula>6</formula>
    </cfRule>
  </conditionalFormatting>
  <conditionalFormatting sqref="D126">
    <cfRule type="cellIs" dxfId="7349" priority="59692" stopIfTrue="1" operator="notEqual">
      <formula>7.365</formula>
    </cfRule>
  </conditionalFormatting>
  <conditionalFormatting sqref="E126">
    <cfRule type="cellIs" dxfId="7348" priority="59693" stopIfTrue="1" operator="notEqual">
      <formula>"MGD"</formula>
    </cfRule>
  </conditionalFormatting>
  <conditionalFormatting sqref="F126">
    <cfRule type="cellIs" dxfId="7347" priority="59694" stopIfTrue="1" operator="notEqual">
      <formula>3.2</formula>
    </cfRule>
  </conditionalFormatting>
  <conditionalFormatting sqref="G126">
    <cfRule type="cellIs" dxfId="7346" priority="59695" stopIfTrue="1" operator="notEqual">
      <formula>"MGD"</formula>
    </cfRule>
  </conditionalFormatting>
  <conditionalFormatting sqref="H126">
    <cfRule type="cellIs" dxfId="7345" priority="59696" stopIfTrue="1" operator="notEqual">
      <formula>"regeneration off-site (non-hazardous)"</formula>
    </cfRule>
  </conditionalFormatting>
  <conditionalFormatting sqref="I126">
    <cfRule type="cellIs" dxfId="7344" priority="59697" stopIfTrue="1" operator="notEqual">
      <formula>"carbon life value- bed volumes"</formula>
    </cfRule>
  </conditionalFormatting>
  <conditionalFormatting sqref="J126">
    <cfRule type="cellIs" dxfId="7343" priority="59698" stopIfTrue="1" operator="notEqual">
      <formula>21600</formula>
    </cfRule>
  </conditionalFormatting>
  <conditionalFormatting sqref="K126">
    <cfRule type="expression" dxfId="7342" priority="59699" stopIfTrue="1">
      <formula>NOT(ISBLANK($K$126))</formula>
    </cfRule>
  </conditionalFormatting>
  <conditionalFormatting sqref="L126">
    <cfRule type="expression" dxfId="7341" priority="59700" stopIfTrue="1">
      <formula>NOT(ISBLANK($L$126))</formula>
    </cfRule>
  </conditionalFormatting>
  <conditionalFormatting sqref="M126">
    <cfRule type="expression" dxfId="7340" priority="59701" stopIfTrue="1">
      <formula>NOT(ISBLANK($M$126))</formula>
    </cfRule>
  </conditionalFormatting>
  <conditionalFormatting sqref="N126">
    <cfRule type="cellIs" dxfId="7339" priority="59702" stopIfTrue="1" operator="notEqual">
      <formula>"EBCT"</formula>
    </cfRule>
  </conditionalFormatting>
  <conditionalFormatting sqref="O126">
    <cfRule type="cellIs" dxfId="7338" priority="59703" stopIfTrue="1" operator="notEqual">
      <formula>7.5</formula>
    </cfRule>
  </conditionalFormatting>
  <conditionalFormatting sqref="P126">
    <cfRule type="expression" dxfId="7337" priority="59704" stopIfTrue="1">
      <formula>NOT(ISBLANK($P$126))</formula>
    </cfRule>
  </conditionalFormatting>
  <conditionalFormatting sqref="Q126">
    <cfRule type="expression" dxfId="7336" priority="59705" stopIfTrue="1">
      <formula>NOT(ISBLANK($Q$126))</formula>
    </cfRule>
  </conditionalFormatting>
  <conditionalFormatting sqref="R126">
    <cfRule type="cellIs" dxfId="7335" priority="59706" stopIfTrue="1" operator="notEqual">
      <formula>1</formula>
    </cfRule>
  </conditionalFormatting>
  <conditionalFormatting sqref="S126">
    <cfRule type="cellIs" dxfId="7334" priority="59707" stopIfTrue="1" operator="notEqual">
      <formula>6.2</formula>
    </cfRule>
  </conditionalFormatting>
  <conditionalFormatting sqref="T126">
    <cfRule type="cellIs" dxfId="7333" priority="59708" stopIfTrue="1" operator="notEqual">
      <formula>"horizontal"</formula>
    </cfRule>
  </conditionalFormatting>
  <conditionalFormatting sqref="U126">
    <cfRule type="cellIs" dxfId="7332" priority="59709" stopIfTrue="1" operator="notEqual">
      <formula>20</formula>
    </cfRule>
  </conditionalFormatting>
  <conditionalFormatting sqref="V126">
    <cfRule type="cellIs" dxfId="7331" priority="59710" stopIfTrue="1" operator="notEqual">
      <formula>14</formula>
    </cfRule>
  </conditionalFormatting>
  <conditionalFormatting sqref="W126">
    <cfRule type="expression" dxfId="7330" priority="59711" stopIfTrue="1">
      <formula>NOT(ISBLANK($W$126))</formula>
    </cfRule>
  </conditionalFormatting>
  <conditionalFormatting sqref="X126">
    <cfRule type="expression" dxfId="7329" priority="59712" stopIfTrue="1">
      <formula>NOT(ISBLANK($X$126))</formula>
    </cfRule>
  </conditionalFormatting>
  <conditionalFormatting sqref="Y126">
    <cfRule type="expression" dxfId="7328" priority="59713" stopIfTrue="1">
      <formula>NOT(ISBLANK($Y$126))</formula>
    </cfRule>
  </conditionalFormatting>
  <conditionalFormatting sqref="Z126">
    <cfRule type="cellIs" dxfId="7327" priority="59714" stopIfTrue="1" operator="notEqual">
      <formula>168</formula>
    </cfRule>
  </conditionalFormatting>
  <conditionalFormatting sqref="AA126">
    <cfRule type="cellIs" dxfId="7326" priority="59715" stopIfTrue="1" operator="notEqual">
      <formula>"POTW"</formula>
    </cfRule>
  </conditionalFormatting>
  <conditionalFormatting sqref="AB126">
    <cfRule type="cellIs" dxfId="7325" priority="59716" stopIfTrue="1" operator="notEqual">
      <formula>"Holding tank"</formula>
    </cfRule>
  </conditionalFormatting>
  <conditionalFormatting sqref="AC126">
    <cfRule type="cellIs" dxfId="7324" priority="59717" stopIfTrue="1" operator="notEqual">
      <formula>"eductors"</formula>
    </cfRule>
  </conditionalFormatting>
  <conditionalFormatting sqref="AD126">
    <cfRule type="cellIs" dxfId="7323" priority="59718" stopIfTrue="1" operator="notEqual">
      <formula>"non-hazardous"</formula>
    </cfRule>
  </conditionalFormatting>
  <conditionalFormatting sqref="AE126">
    <cfRule type="expression" dxfId="7322" priority="59719" stopIfTrue="1">
      <formula>NOT(ISBLANK($AE$126))</formula>
    </cfRule>
  </conditionalFormatting>
  <conditionalFormatting sqref="AF126">
    <cfRule type="cellIs" dxfId="7321" priority="59720" stopIfTrue="1" operator="notEqual">
      <formula>0</formula>
    </cfRule>
  </conditionalFormatting>
  <conditionalFormatting sqref="AG126">
    <cfRule type="expression" dxfId="7320" priority="59721" stopIfTrue="1">
      <formula>NOT(ISBLANK($AG$126))</formula>
    </cfRule>
  </conditionalFormatting>
  <conditionalFormatting sqref="AH126">
    <cfRule type="expression" dxfId="7319" priority="59722" stopIfTrue="1">
      <formula>NOT(ISBLANK($AH$126))</formula>
    </cfRule>
  </conditionalFormatting>
  <conditionalFormatting sqref="AI126">
    <cfRule type="cellIs" dxfId="7318" priority="59723" stopIfTrue="1" operator="notEqual">
      <formula>"fully automated"</formula>
    </cfRule>
  </conditionalFormatting>
  <conditionalFormatting sqref="AJ126">
    <cfRule type="expression" dxfId="7317" priority="59724" stopIfTrue="1">
      <formula>NOT(ISBLANK($AJ$126))</formula>
    </cfRule>
  </conditionalFormatting>
  <conditionalFormatting sqref="AK126">
    <cfRule type="expression" dxfId="7316" priority="59725" stopIfTrue="1">
      <formula>NOT(ISBLANK($AK$126))</formula>
    </cfRule>
  </conditionalFormatting>
  <conditionalFormatting sqref="AL126">
    <cfRule type="expression" dxfId="7315" priority="59726" stopIfTrue="1">
      <formula>NOT(ISBLANK($AL$126))</formula>
    </cfRule>
  </conditionalFormatting>
  <conditionalFormatting sqref="AM126">
    <cfRule type="expression" dxfId="7314" priority="59727" stopIfTrue="1">
      <formula>NOT(ISBLANK($AM$126))</formula>
    </cfRule>
  </conditionalFormatting>
  <conditionalFormatting sqref="AN126">
    <cfRule type="expression" dxfId="7313" priority="59728" stopIfTrue="1">
      <formula>NOT(ISBLANK($AN$126))</formula>
    </cfRule>
  </conditionalFormatting>
  <conditionalFormatting sqref="AO126">
    <cfRule type="expression" dxfId="7312" priority="59729" stopIfTrue="1">
      <formula>NOT(ISBLANK($AO$126))</formula>
    </cfRule>
  </conditionalFormatting>
  <conditionalFormatting sqref="AP126">
    <cfRule type="expression" dxfId="7311" priority="59730" stopIfTrue="1">
      <formula>NOT(ISBLANK($AP$126))</formula>
    </cfRule>
  </conditionalFormatting>
  <conditionalFormatting sqref="AQ126">
    <cfRule type="expression" dxfId="7310" priority="59731" stopIfTrue="1">
      <formula>NOT(ISBLANK($AQ$126))</formula>
    </cfRule>
  </conditionalFormatting>
  <conditionalFormatting sqref="A127">
    <cfRule type="cellIs" dxfId="7309" priority="59732" stopIfTrue="1" operator="notEqual">
      <formula>8</formula>
    </cfRule>
  </conditionalFormatting>
  <conditionalFormatting sqref="B127">
    <cfRule type="cellIs" dxfId="7308" priority="59733" stopIfTrue="1" operator="notEqual">
      <formula>1</formula>
    </cfRule>
  </conditionalFormatting>
  <conditionalFormatting sqref="C127">
    <cfRule type="cellIs" dxfId="7307" priority="59734" stopIfTrue="1" operator="notEqual">
      <formula>7</formula>
    </cfRule>
  </conditionalFormatting>
  <conditionalFormatting sqref="D127">
    <cfRule type="cellIs" dxfId="7306" priority="59735" stopIfTrue="1" operator="notEqual">
      <formula>22.614</formula>
    </cfRule>
  </conditionalFormatting>
  <conditionalFormatting sqref="E127">
    <cfRule type="cellIs" dxfId="7305" priority="59736" stopIfTrue="1" operator="notEqual">
      <formula>"MGD"</formula>
    </cfRule>
  </conditionalFormatting>
  <conditionalFormatting sqref="F127">
    <cfRule type="cellIs" dxfId="7304" priority="59737" stopIfTrue="1" operator="notEqual">
      <formula>11.066</formula>
    </cfRule>
  </conditionalFormatting>
  <conditionalFormatting sqref="G127">
    <cfRule type="cellIs" dxfId="7303" priority="59738" stopIfTrue="1" operator="notEqual">
      <formula>"MGD"</formula>
    </cfRule>
  </conditionalFormatting>
  <conditionalFormatting sqref="H127">
    <cfRule type="cellIs" dxfId="7302" priority="59739" stopIfTrue="1" operator="notEqual">
      <formula>"regeneration off-site (non-hazardous)"</formula>
    </cfRule>
  </conditionalFormatting>
  <conditionalFormatting sqref="I127">
    <cfRule type="cellIs" dxfId="7301" priority="59740" stopIfTrue="1" operator="notEqual">
      <formula>"carbon life value- bed volumes"</formula>
    </cfRule>
  </conditionalFormatting>
  <conditionalFormatting sqref="J127">
    <cfRule type="cellIs" dxfId="7300" priority="59741" stopIfTrue="1" operator="notEqual">
      <formula>21600</formula>
    </cfRule>
  </conditionalFormatting>
  <conditionalFormatting sqref="K127">
    <cfRule type="expression" dxfId="7299" priority="59742" stopIfTrue="1">
      <formula>NOT(ISBLANK($K$127))</formula>
    </cfRule>
  </conditionalFormatting>
  <conditionalFormatting sqref="L127">
    <cfRule type="expression" dxfId="7298" priority="59743" stopIfTrue="1">
      <formula>NOT(ISBLANK($L$127))</formula>
    </cfRule>
  </conditionalFormatting>
  <conditionalFormatting sqref="M127">
    <cfRule type="expression" dxfId="7297" priority="59744" stopIfTrue="1">
      <formula>NOT(ISBLANK($M$127))</formula>
    </cfRule>
  </conditionalFormatting>
  <conditionalFormatting sqref="N127">
    <cfRule type="cellIs" dxfId="7296" priority="59745" stopIfTrue="1" operator="notEqual">
      <formula>"EBCT"</formula>
    </cfRule>
  </conditionalFormatting>
  <conditionalFormatting sqref="O127">
    <cfRule type="cellIs" dxfId="7295" priority="59746" stopIfTrue="1" operator="notEqual">
      <formula>7.5</formula>
    </cfRule>
  </conditionalFormatting>
  <conditionalFormatting sqref="P127">
    <cfRule type="expression" dxfId="7294" priority="59747" stopIfTrue="1">
      <formula>NOT(ISBLANK($P$127))</formula>
    </cfRule>
  </conditionalFormatting>
  <conditionalFormatting sqref="Q127">
    <cfRule type="expression" dxfId="7293" priority="59748" stopIfTrue="1">
      <formula>NOT(ISBLANK($Q$127))</formula>
    </cfRule>
  </conditionalFormatting>
  <conditionalFormatting sqref="R127">
    <cfRule type="cellIs" dxfId="7292" priority="59749" stopIfTrue="1" operator="notEqual">
      <formula>1</formula>
    </cfRule>
  </conditionalFormatting>
  <conditionalFormatting sqref="S127">
    <cfRule type="cellIs" dxfId="7291" priority="59750" stopIfTrue="1" operator="notEqual">
      <formula>7.1</formula>
    </cfRule>
  </conditionalFormatting>
  <conditionalFormatting sqref="T127">
    <cfRule type="cellIs" dxfId="7290" priority="59751" stopIfTrue="1" operator="notEqual">
      <formula>"horizontal"</formula>
    </cfRule>
  </conditionalFormatting>
  <conditionalFormatting sqref="U127">
    <cfRule type="cellIs" dxfId="7289" priority="59752" stopIfTrue="1" operator="notEqual">
      <formula>20</formula>
    </cfRule>
  </conditionalFormatting>
  <conditionalFormatting sqref="V127">
    <cfRule type="cellIs" dxfId="7288" priority="59753" stopIfTrue="1" operator="notEqual">
      <formula>14</formula>
    </cfRule>
  </conditionalFormatting>
  <conditionalFormatting sqref="W127">
    <cfRule type="expression" dxfId="7287" priority="59754" stopIfTrue="1">
      <formula>NOT(ISBLANK($W$127))</formula>
    </cfRule>
  </conditionalFormatting>
  <conditionalFormatting sqref="X127">
    <cfRule type="expression" dxfId="7286" priority="59755" stopIfTrue="1">
      <formula>NOT(ISBLANK($X$127))</formula>
    </cfRule>
  </conditionalFormatting>
  <conditionalFormatting sqref="Y127">
    <cfRule type="expression" dxfId="7285" priority="59756" stopIfTrue="1">
      <formula>NOT(ISBLANK($Y$127))</formula>
    </cfRule>
  </conditionalFormatting>
  <conditionalFormatting sqref="Z127">
    <cfRule type="cellIs" dxfId="7284" priority="59757" stopIfTrue="1" operator="notEqual">
      <formula>168</formula>
    </cfRule>
  </conditionalFormatting>
  <conditionalFormatting sqref="AA127">
    <cfRule type="cellIs" dxfId="7283" priority="59758" stopIfTrue="1" operator="notEqual">
      <formula>"POTW"</formula>
    </cfRule>
  </conditionalFormatting>
  <conditionalFormatting sqref="AB127">
    <cfRule type="cellIs" dxfId="7282" priority="59759" stopIfTrue="1" operator="notEqual">
      <formula>"Holding tank"</formula>
    </cfRule>
  </conditionalFormatting>
  <conditionalFormatting sqref="AC127">
    <cfRule type="cellIs" dxfId="7281" priority="59760" stopIfTrue="1" operator="notEqual">
      <formula>"eductors"</formula>
    </cfRule>
  </conditionalFormatting>
  <conditionalFormatting sqref="AD127">
    <cfRule type="cellIs" dxfId="7280" priority="59761" stopIfTrue="1" operator="notEqual">
      <formula>"non-hazardous"</formula>
    </cfRule>
  </conditionalFormatting>
  <conditionalFormatting sqref="AE127">
    <cfRule type="expression" dxfId="7279" priority="59762" stopIfTrue="1">
      <formula>NOT(ISBLANK($AE$127))</formula>
    </cfRule>
  </conditionalFormatting>
  <conditionalFormatting sqref="AF127">
    <cfRule type="cellIs" dxfId="7278" priority="59763" stopIfTrue="1" operator="notEqual">
      <formula>0</formula>
    </cfRule>
  </conditionalFormatting>
  <conditionalFormatting sqref="AG127">
    <cfRule type="expression" dxfId="7277" priority="59764" stopIfTrue="1">
      <formula>NOT(ISBLANK($AG$127))</formula>
    </cfRule>
  </conditionalFormatting>
  <conditionalFormatting sqref="AH127">
    <cfRule type="expression" dxfId="7276" priority="59765" stopIfTrue="1">
      <formula>NOT(ISBLANK($AH$127))</formula>
    </cfRule>
  </conditionalFormatting>
  <conditionalFormatting sqref="AI127">
    <cfRule type="cellIs" dxfId="7275" priority="59766" stopIfTrue="1" operator="notEqual">
      <formula>"fully automated"</formula>
    </cfRule>
  </conditionalFormatting>
  <conditionalFormatting sqref="AJ127">
    <cfRule type="expression" dxfId="7274" priority="59767" stopIfTrue="1">
      <formula>NOT(ISBLANK($AJ$127))</formula>
    </cfRule>
  </conditionalFormatting>
  <conditionalFormatting sqref="AK127">
    <cfRule type="expression" dxfId="7273" priority="59768" stopIfTrue="1">
      <formula>NOT(ISBLANK($AK$127))</formula>
    </cfRule>
  </conditionalFormatting>
  <conditionalFormatting sqref="AL127">
    <cfRule type="expression" dxfId="7272" priority="59769" stopIfTrue="1">
      <formula>NOT(ISBLANK($AL$127))</formula>
    </cfRule>
  </conditionalFormatting>
  <conditionalFormatting sqref="AM127">
    <cfRule type="expression" dxfId="7271" priority="59770" stopIfTrue="1">
      <formula>NOT(ISBLANK($AM$127))</formula>
    </cfRule>
  </conditionalFormatting>
  <conditionalFormatting sqref="AN127">
    <cfRule type="expression" dxfId="7270" priority="59771" stopIfTrue="1">
      <formula>NOT(ISBLANK($AN$127))</formula>
    </cfRule>
  </conditionalFormatting>
  <conditionalFormatting sqref="AO127">
    <cfRule type="expression" dxfId="7269" priority="59772" stopIfTrue="1">
      <formula>NOT(ISBLANK($AO$127))</formula>
    </cfRule>
  </conditionalFormatting>
  <conditionalFormatting sqref="AP127">
    <cfRule type="expression" dxfId="7268" priority="59773" stopIfTrue="1">
      <formula>NOT(ISBLANK($AP$127))</formula>
    </cfRule>
  </conditionalFormatting>
  <conditionalFormatting sqref="AQ127">
    <cfRule type="expression" dxfId="7267" priority="59774" stopIfTrue="1">
      <formula>NOT(ISBLANK($AQ$127))</formula>
    </cfRule>
  </conditionalFormatting>
  <conditionalFormatting sqref="A128">
    <cfRule type="cellIs" dxfId="7266" priority="59775" stopIfTrue="1" operator="notEqual">
      <formula>8</formula>
    </cfRule>
  </conditionalFormatting>
  <conditionalFormatting sqref="B128">
    <cfRule type="cellIs" dxfId="7265" priority="59776" stopIfTrue="1" operator="notEqual">
      <formula>1</formula>
    </cfRule>
  </conditionalFormatting>
  <conditionalFormatting sqref="C128">
    <cfRule type="cellIs" dxfId="7264" priority="59777" stopIfTrue="1" operator="notEqual">
      <formula>8</formula>
    </cfRule>
  </conditionalFormatting>
  <conditionalFormatting sqref="D128">
    <cfRule type="cellIs" dxfId="7263" priority="59778" stopIfTrue="1" operator="notEqual">
      <formula>75.072</formula>
    </cfRule>
  </conditionalFormatting>
  <conditionalFormatting sqref="E128">
    <cfRule type="cellIs" dxfId="7262" priority="59779" stopIfTrue="1" operator="notEqual">
      <formula>"MGD"</formula>
    </cfRule>
  </conditionalFormatting>
  <conditionalFormatting sqref="F128">
    <cfRule type="cellIs" dxfId="7261" priority="59780" stopIfTrue="1" operator="notEqual">
      <formula>37.536</formula>
    </cfRule>
  </conditionalFormatting>
  <conditionalFormatting sqref="G128">
    <cfRule type="cellIs" dxfId="7260" priority="59781" stopIfTrue="1" operator="notEqual">
      <formula>"MGD"</formula>
    </cfRule>
  </conditionalFormatting>
  <conditionalFormatting sqref="H128">
    <cfRule type="cellIs" dxfId="7259" priority="59782" stopIfTrue="1" operator="notEqual">
      <formula>"regeneration off-site (non-hazardous)"</formula>
    </cfRule>
  </conditionalFormatting>
  <conditionalFormatting sqref="I128">
    <cfRule type="cellIs" dxfId="7258" priority="59783" stopIfTrue="1" operator="notEqual">
      <formula>"carbon life value- bed volumes"</formula>
    </cfRule>
  </conditionalFormatting>
  <conditionalFormatting sqref="J128">
    <cfRule type="cellIs" dxfId="7257" priority="59784" stopIfTrue="1" operator="notEqual">
      <formula>21600</formula>
    </cfRule>
  </conditionalFormatting>
  <conditionalFormatting sqref="K128">
    <cfRule type="expression" dxfId="7256" priority="59785" stopIfTrue="1">
      <formula>NOT(ISBLANK($K$128))</formula>
    </cfRule>
  </conditionalFormatting>
  <conditionalFormatting sqref="L128">
    <cfRule type="expression" dxfId="7255" priority="59786" stopIfTrue="1">
      <formula>NOT(ISBLANK($L$128))</formula>
    </cfRule>
  </conditionalFormatting>
  <conditionalFormatting sqref="M128">
    <cfRule type="expression" dxfId="7254" priority="59787" stopIfTrue="1">
      <formula>NOT(ISBLANK($M$128))</formula>
    </cfRule>
  </conditionalFormatting>
  <conditionalFormatting sqref="N128">
    <cfRule type="cellIs" dxfId="7253" priority="59788" stopIfTrue="1" operator="notEqual">
      <formula>"EBCT"</formula>
    </cfRule>
  </conditionalFormatting>
  <conditionalFormatting sqref="O128">
    <cfRule type="cellIs" dxfId="7252" priority="59789" stopIfTrue="1" operator="notEqual">
      <formula>7.5</formula>
    </cfRule>
  </conditionalFormatting>
  <conditionalFormatting sqref="P128">
    <cfRule type="expression" dxfId="7251" priority="59790" stopIfTrue="1">
      <formula>NOT(ISBLANK($P$128))</formula>
    </cfRule>
  </conditionalFormatting>
  <conditionalFormatting sqref="Q128">
    <cfRule type="expression" dxfId="7250" priority="59791" stopIfTrue="1">
      <formula>NOT(ISBLANK($Q$128))</formula>
    </cfRule>
  </conditionalFormatting>
  <conditionalFormatting sqref="R128">
    <cfRule type="cellIs" dxfId="7249" priority="59792" stopIfTrue="1" operator="notEqual">
      <formula>1</formula>
    </cfRule>
  </conditionalFormatting>
  <conditionalFormatting sqref="S128">
    <cfRule type="cellIs" dxfId="7248" priority="59793" stopIfTrue="1" operator="notEqual">
      <formula>7.2</formula>
    </cfRule>
  </conditionalFormatting>
  <conditionalFormatting sqref="T128">
    <cfRule type="cellIs" dxfId="7247" priority="59794" stopIfTrue="1" operator="notEqual">
      <formula>"horizontal"</formula>
    </cfRule>
  </conditionalFormatting>
  <conditionalFormatting sqref="U128">
    <cfRule type="cellIs" dxfId="7246" priority="59795" stopIfTrue="1" operator="notEqual">
      <formula>20</formula>
    </cfRule>
  </conditionalFormatting>
  <conditionalFormatting sqref="V128">
    <cfRule type="cellIs" dxfId="7245" priority="59796" stopIfTrue="1" operator="notEqual">
      <formula>14</formula>
    </cfRule>
  </conditionalFormatting>
  <conditionalFormatting sqref="W128">
    <cfRule type="expression" dxfId="7244" priority="59797" stopIfTrue="1">
      <formula>NOT(ISBLANK($W$128))</formula>
    </cfRule>
  </conditionalFormatting>
  <conditionalFormatting sqref="X128">
    <cfRule type="expression" dxfId="7243" priority="59798" stopIfTrue="1">
      <formula>NOT(ISBLANK($X$128))</formula>
    </cfRule>
  </conditionalFormatting>
  <conditionalFormatting sqref="Y128">
    <cfRule type="expression" dxfId="7242" priority="59799" stopIfTrue="1">
      <formula>NOT(ISBLANK($Y$128))</formula>
    </cfRule>
  </conditionalFormatting>
  <conditionalFormatting sqref="Z128">
    <cfRule type="cellIs" dxfId="7241" priority="59800" stopIfTrue="1" operator="notEqual">
      <formula>168</formula>
    </cfRule>
  </conditionalFormatting>
  <conditionalFormatting sqref="AA128">
    <cfRule type="cellIs" dxfId="7240" priority="59801" stopIfTrue="1" operator="notEqual">
      <formula>"POTW"</formula>
    </cfRule>
  </conditionalFormatting>
  <conditionalFormatting sqref="AB128">
    <cfRule type="cellIs" dxfId="7239" priority="59802" stopIfTrue="1" operator="notEqual">
      <formula>"Holding tank"</formula>
    </cfRule>
  </conditionalFormatting>
  <conditionalFormatting sqref="AC128">
    <cfRule type="cellIs" dxfId="7238" priority="59803" stopIfTrue="1" operator="notEqual">
      <formula>"eductors"</formula>
    </cfRule>
  </conditionalFormatting>
  <conditionalFormatting sqref="AD128">
    <cfRule type="cellIs" dxfId="7237" priority="59804" stopIfTrue="1" operator="notEqual">
      <formula>"non-hazardous"</formula>
    </cfRule>
  </conditionalFormatting>
  <conditionalFormatting sqref="AE128">
    <cfRule type="expression" dxfId="7236" priority="59805" stopIfTrue="1">
      <formula>NOT(ISBLANK($AE$128))</formula>
    </cfRule>
  </conditionalFormatting>
  <conditionalFormatting sqref="AF128">
    <cfRule type="cellIs" dxfId="7235" priority="59806" stopIfTrue="1" operator="notEqual">
      <formula>0</formula>
    </cfRule>
  </conditionalFormatting>
  <conditionalFormatting sqref="AG128">
    <cfRule type="expression" dxfId="7234" priority="59807" stopIfTrue="1">
      <formula>NOT(ISBLANK($AG$128))</formula>
    </cfRule>
  </conditionalFormatting>
  <conditionalFormatting sqref="AH128">
    <cfRule type="expression" dxfId="7233" priority="59808" stopIfTrue="1">
      <formula>NOT(ISBLANK($AH$128))</formula>
    </cfRule>
  </conditionalFormatting>
  <conditionalFormatting sqref="AI128">
    <cfRule type="cellIs" dxfId="7232" priority="59809" stopIfTrue="1" operator="notEqual">
      <formula>"fully automated"</formula>
    </cfRule>
  </conditionalFormatting>
  <conditionalFormatting sqref="AJ128">
    <cfRule type="expression" dxfId="7231" priority="59810" stopIfTrue="1">
      <formula>NOT(ISBLANK($AJ$128))</formula>
    </cfRule>
  </conditionalFormatting>
  <conditionalFormatting sqref="AK128">
    <cfRule type="expression" dxfId="7230" priority="59811" stopIfTrue="1">
      <formula>NOT(ISBLANK($AK$128))</formula>
    </cfRule>
  </conditionalFormatting>
  <conditionalFormatting sqref="AL128">
    <cfRule type="expression" dxfId="7229" priority="59812" stopIfTrue="1">
      <formula>NOT(ISBLANK($AL$128))</formula>
    </cfRule>
  </conditionalFormatting>
  <conditionalFormatting sqref="AM128">
    <cfRule type="expression" dxfId="7228" priority="59813" stopIfTrue="1">
      <formula>NOT(ISBLANK($AM$128))</formula>
    </cfRule>
  </conditionalFormatting>
  <conditionalFormatting sqref="AN128">
    <cfRule type="expression" dxfId="7227" priority="59814" stopIfTrue="1">
      <formula>NOT(ISBLANK($AN$128))</formula>
    </cfRule>
  </conditionalFormatting>
  <conditionalFormatting sqref="AO128">
    <cfRule type="expression" dxfId="7226" priority="59815" stopIfTrue="1">
      <formula>NOT(ISBLANK($AO$128))</formula>
    </cfRule>
  </conditionalFormatting>
  <conditionalFormatting sqref="AP128">
    <cfRule type="expression" dxfId="7225" priority="59816" stopIfTrue="1">
      <formula>NOT(ISBLANK($AP$128))</formula>
    </cfRule>
  </conditionalFormatting>
  <conditionalFormatting sqref="AQ128">
    <cfRule type="expression" dxfId="7224" priority="59817" stopIfTrue="1">
      <formula>NOT(ISBLANK($AQ$128))</formula>
    </cfRule>
  </conditionalFormatting>
  <conditionalFormatting sqref="A129">
    <cfRule type="cellIs" dxfId="7223" priority="59818" stopIfTrue="1" operator="notEqual">
      <formula>8</formula>
    </cfRule>
  </conditionalFormatting>
  <conditionalFormatting sqref="B129">
    <cfRule type="cellIs" dxfId="7222" priority="59819" stopIfTrue="1" operator="notEqual">
      <formula>2</formula>
    </cfRule>
  </conditionalFormatting>
  <conditionalFormatting sqref="C129">
    <cfRule type="cellIs" dxfId="7221" priority="59820" stopIfTrue="1" operator="notEqual">
      <formula>1</formula>
    </cfRule>
  </conditionalFormatting>
  <conditionalFormatting sqref="D129">
    <cfRule type="cellIs" dxfId="7220" priority="59821" stopIfTrue="1" operator="notEqual">
      <formula>0.03</formula>
    </cfRule>
  </conditionalFormatting>
  <conditionalFormatting sqref="E129">
    <cfRule type="cellIs" dxfId="7219" priority="59822" stopIfTrue="1" operator="notEqual">
      <formula>"MGD"</formula>
    </cfRule>
  </conditionalFormatting>
  <conditionalFormatting sqref="F129">
    <cfRule type="cellIs" dxfId="7218" priority="59823" stopIfTrue="1" operator="notEqual">
      <formula>0.007</formula>
    </cfRule>
  </conditionalFormatting>
  <conditionalFormatting sqref="G129">
    <cfRule type="cellIs" dxfId="7217" priority="59824" stopIfTrue="1" operator="notEqual">
      <formula>"MGD"</formula>
    </cfRule>
  </conditionalFormatting>
  <conditionalFormatting sqref="H129">
    <cfRule type="cellIs" dxfId="7216" priority="59825" stopIfTrue="1" operator="notEqual">
      <formula>"regeneration off-site (non-hazardous)"</formula>
    </cfRule>
  </conditionalFormatting>
  <conditionalFormatting sqref="I129">
    <cfRule type="cellIs" dxfId="7215" priority="59826" stopIfTrue="1" operator="notEqual">
      <formula>"carbon life value- bed volumes"</formula>
    </cfRule>
  </conditionalFormatting>
  <conditionalFormatting sqref="J129">
    <cfRule type="cellIs" dxfId="7214" priority="59827" stopIfTrue="1" operator="notEqual">
      <formula>21600</formula>
    </cfRule>
  </conditionalFormatting>
  <conditionalFormatting sqref="K129">
    <cfRule type="expression" dxfId="7213" priority="59828" stopIfTrue="1">
      <formula>NOT(ISBLANK($K$129))</formula>
    </cfRule>
  </conditionalFormatting>
  <conditionalFormatting sqref="L129">
    <cfRule type="expression" dxfId="7212" priority="59829" stopIfTrue="1">
      <formula>NOT(ISBLANK($L$129))</formula>
    </cfRule>
  </conditionalFormatting>
  <conditionalFormatting sqref="M129">
    <cfRule type="expression" dxfId="7211" priority="59830" stopIfTrue="1">
      <formula>NOT(ISBLANK($M$129))</formula>
    </cfRule>
  </conditionalFormatting>
  <conditionalFormatting sqref="N129">
    <cfRule type="cellIs" dxfId="7210" priority="59831" stopIfTrue="1" operator="notEqual">
      <formula>"EBCT"</formula>
    </cfRule>
  </conditionalFormatting>
  <conditionalFormatting sqref="O129">
    <cfRule type="cellIs" dxfId="7209" priority="59832" stopIfTrue="1" operator="notEqual">
      <formula>7.5</formula>
    </cfRule>
  </conditionalFormatting>
  <conditionalFormatting sqref="P129">
    <cfRule type="expression" dxfId="7208" priority="59833" stopIfTrue="1">
      <formula>NOT(ISBLANK($P$129))</formula>
    </cfRule>
  </conditionalFormatting>
  <conditionalFormatting sqref="Q129">
    <cfRule type="expression" dxfId="7207" priority="59834" stopIfTrue="1">
      <formula>NOT(ISBLANK($Q$129))</formula>
    </cfRule>
  </conditionalFormatting>
  <conditionalFormatting sqref="R129">
    <cfRule type="expression" dxfId="7206" priority="59835" stopIfTrue="1">
      <formula>NOT(ISBLANK($R$129))</formula>
    </cfRule>
  </conditionalFormatting>
  <conditionalFormatting sqref="S129">
    <cfRule type="expression" dxfId="7205" priority="59836" stopIfTrue="1">
      <formula>NOT(ISBLANK($S$129))</formula>
    </cfRule>
  </conditionalFormatting>
  <conditionalFormatting sqref="T129">
    <cfRule type="expression" dxfId="7204" priority="59837" stopIfTrue="1">
      <formula>NOT(ISBLANK($T$129))</formula>
    </cfRule>
  </conditionalFormatting>
  <conditionalFormatting sqref="U129">
    <cfRule type="expression" dxfId="7203" priority="59838" stopIfTrue="1">
      <formula>NOT(ISBLANK($U$129))</formula>
    </cfRule>
  </conditionalFormatting>
  <conditionalFormatting sqref="V129">
    <cfRule type="expression" dxfId="7202" priority="59839" stopIfTrue="1">
      <formula>NOT(ISBLANK($V$129))</formula>
    </cfRule>
  </conditionalFormatting>
  <conditionalFormatting sqref="W129">
    <cfRule type="cellIs" dxfId="7201" priority="59840" stopIfTrue="1" operator="notEqual">
      <formula>6</formula>
    </cfRule>
  </conditionalFormatting>
  <conditionalFormatting sqref="X129">
    <cfRule type="cellIs" dxfId="7200" priority="59841" stopIfTrue="1" operator="notEqual">
      <formula>6</formula>
    </cfRule>
  </conditionalFormatting>
  <conditionalFormatting sqref="Y129">
    <cfRule type="cellIs" dxfId="7199" priority="59842" stopIfTrue="1" operator="notEqual">
      <formula>3</formula>
    </cfRule>
  </conditionalFormatting>
  <conditionalFormatting sqref="Z129">
    <cfRule type="cellIs" dxfId="7198" priority="59843" stopIfTrue="1" operator="notEqual">
      <formula>168</formula>
    </cfRule>
  </conditionalFormatting>
  <conditionalFormatting sqref="AA129">
    <cfRule type="cellIs" dxfId="7197" priority="59844" stopIfTrue="1" operator="notEqual">
      <formula>"POTW"</formula>
    </cfRule>
  </conditionalFormatting>
  <conditionalFormatting sqref="AB129">
    <cfRule type="cellIs" dxfId="7196" priority="59845" stopIfTrue="1" operator="notEqual">
      <formula>"holding tank"</formula>
    </cfRule>
  </conditionalFormatting>
  <conditionalFormatting sqref="AC129">
    <cfRule type="cellIs" dxfId="7195" priority="59846" stopIfTrue="1" operator="notEqual">
      <formula>"manual transfer"</formula>
    </cfRule>
  </conditionalFormatting>
  <conditionalFormatting sqref="AD129">
    <cfRule type="cellIs" dxfId="7194" priority="59847" stopIfTrue="1" operator="notEqual">
      <formula>"non-hazardous"</formula>
    </cfRule>
  </conditionalFormatting>
  <conditionalFormatting sqref="AE129">
    <cfRule type="expression" dxfId="7193" priority="59848" stopIfTrue="1">
      <formula>NOT(ISBLANK($AE$129))</formula>
    </cfRule>
  </conditionalFormatting>
  <conditionalFormatting sqref="AF129">
    <cfRule type="cellIs" dxfId="7192" priority="59849" stopIfTrue="1" operator="notEqual">
      <formula>0</formula>
    </cfRule>
  </conditionalFormatting>
  <conditionalFormatting sqref="AG129">
    <cfRule type="expression" dxfId="7191" priority="59850" stopIfTrue="1">
      <formula>NOT(ISBLANK($AG$129))</formula>
    </cfRule>
  </conditionalFormatting>
  <conditionalFormatting sqref="AH129">
    <cfRule type="expression" dxfId="7190" priority="59851" stopIfTrue="1">
      <formula>NOT(ISBLANK($AH$129))</formula>
    </cfRule>
  </conditionalFormatting>
  <conditionalFormatting sqref="AI129">
    <cfRule type="cellIs" dxfId="7189" priority="59852" stopIfTrue="1" operator="notEqual">
      <formula>"fully automated"</formula>
    </cfRule>
  </conditionalFormatting>
  <conditionalFormatting sqref="AJ129">
    <cfRule type="expression" dxfId="7188" priority="59853" stopIfTrue="1">
      <formula>NOT(ISBLANK($AJ$129))</formula>
    </cfRule>
  </conditionalFormatting>
  <conditionalFormatting sqref="AK129">
    <cfRule type="expression" dxfId="7187" priority="59854" stopIfTrue="1">
      <formula>NOT(ISBLANK($AK$129))</formula>
    </cfRule>
  </conditionalFormatting>
  <conditionalFormatting sqref="AL129">
    <cfRule type="expression" dxfId="7186" priority="59855" stopIfTrue="1">
      <formula>NOT(ISBLANK($AL$129))</formula>
    </cfRule>
  </conditionalFormatting>
  <conditionalFormatting sqref="AM129">
    <cfRule type="expression" dxfId="7185" priority="59856" stopIfTrue="1">
      <formula>NOT(ISBLANK($AM$129))</formula>
    </cfRule>
  </conditionalFormatting>
  <conditionalFormatting sqref="AN129">
    <cfRule type="expression" dxfId="7184" priority="59857" stopIfTrue="1">
      <formula>NOT(ISBLANK($AN$129))</formula>
    </cfRule>
  </conditionalFormatting>
  <conditionalFormatting sqref="AO129">
    <cfRule type="expression" dxfId="7183" priority="59858" stopIfTrue="1">
      <formula>NOT(ISBLANK($AO$129))</formula>
    </cfRule>
  </conditionalFormatting>
  <conditionalFormatting sqref="AP129">
    <cfRule type="expression" dxfId="7182" priority="59859" stopIfTrue="1">
      <formula>NOT(ISBLANK($AP$129))</formula>
    </cfRule>
  </conditionalFormatting>
  <conditionalFormatting sqref="AQ129">
    <cfRule type="expression" dxfId="7181" priority="59860" stopIfTrue="1">
      <formula>NOT(ISBLANK($AQ$129))</formula>
    </cfRule>
  </conditionalFormatting>
  <conditionalFormatting sqref="A130">
    <cfRule type="cellIs" dxfId="7180" priority="59861" stopIfTrue="1" operator="notEqual">
      <formula>8</formula>
    </cfRule>
  </conditionalFormatting>
  <conditionalFormatting sqref="B130">
    <cfRule type="cellIs" dxfId="7179" priority="59862" stopIfTrue="1" operator="notEqual">
      <formula>2</formula>
    </cfRule>
  </conditionalFormatting>
  <conditionalFormatting sqref="C130">
    <cfRule type="cellIs" dxfId="7178" priority="59863" stopIfTrue="1" operator="notEqual">
      <formula>2</formula>
    </cfRule>
  </conditionalFormatting>
  <conditionalFormatting sqref="D130">
    <cfRule type="cellIs" dxfId="7177" priority="59864" stopIfTrue="1" operator="notEqual">
      <formula>0.124</formula>
    </cfRule>
  </conditionalFormatting>
  <conditionalFormatting sqref="E130">
    <cfRule type="cellIs" dxfId="7176" priority="59865" stopIfTrue="1" operator="notEqual">
      <formula>"MGD"</formula>
    </cfRule>
  </conditionalFormatting>
  <conditionalFormatting sqref="F130">
    <cfRule type="cellIs" dxfId="7175" priority="59866" stopIfTrue="1" operator="notEqual">
      <formula>0.035</formula>
    </cfRule>
  </conditionalFormatting>
  <conditionalFormatting sqref="G130">
    <cfRule type="cellIs" dxfId="7174" priority="59867" stopIfTrue="1" operator="notEqual">
      <formula>"MGD"</formula>
    </cfRule>
  </conditionalFormatting>
  <conditionalFormatting sqref="H130">
    <cfRule type="cellIs" dxfId="7173" priority="59868" stopIfTrue="1" operator="notEqual">
      <formula>"regeneration off-site (non-hazardous)"</formula>
    </cfRule>
  </conditionalFormatting>
  <conditionalFormatting sqref="I130">
    <cfRule type="cellIs" dxfId="7172" priority="59869" stopIfTrue="1" operator="notEqual">
      <formula>"carbon life value- bed volumes"</formula>
    </cfRule>
  </conditionalFormatting>
  <conditionalFormatting sqref="J130">
    <cfRule type="cellIs" dxfId="7171" priority="59870" stopIfTrue="1" operator="notEqual">
      <formula>21600</formula>
    </cfRule>
  </conditionalFormatting>
  <conditionalFormatting sqref="K130">
    <cfRule type="expression" dxfId="7170" priority="59871" stopIfTrue="1">
      <formula>NOT(ISBLANK($K$130))</formula>
    </cfRule>
  </conditionalFormatting>
  <conditionalFormatting sqref="L130">
    <cfRule type="expression" dxfId="7169" priority="59872" stopIfTrue="1">
      <formula>NOT(ISBLANK($L$130))</formula>
    </cfRule>
  </conditionalFormatting>
  <conditionalFormatting sqref="M130">
    <cfRule type="expression" dxfId="7168" priority="59873" stopIfTrue="1">
      <formula>NOT(ISBLANK($M$130))</formula>
    </cfRule>
  </conditionalFormatting>
  <conditionalFormatting sqref="N130">
    <cfRule type="cellIs" dxfId="7167" priority="59874" stopIfTrue="1" operator="notEqual">
      <formula>"EBCT"</formula>
    </cfRule>
  </conditionalFormatting>
  <conditionalFormatting sqref="O130">
    <cfRule type="cellIs" dxfId="7166" priority="59875" stopIfTrue="1" operator="notEqual">
      <formula>7.5</formula>
    </cfRule>
  </conditionalFormatting>
  <conditionalFormatting sqref="P130">
    <cfRule type="expression" dxfId="7165" priority="59876" stopIfTrue="1">
      <formula>NOT(ISBLANK($P$130))</formula>
    </cfRule>
  </conditionalFormatting>
  <conditionalFormatting sqref="Q130">
    <cfRule type="expression" dxfId="7164" priority="59877" stopIfTrue="1">
      <formula>NOT(ISBLANK($Q$130))</formula>
    </cfRule>
  </conditionalFormatting>
  <conditionalFormatting sqref="R130">
    <cfRule type="expression" dxfId="7163" priority="59878" stopIfTrue="1">
      <formula>NOT(ISBLANK($R$130))</formula>
    </cfRule>
  </conditionalFormatting>
  <conditionalFormatting sqref="S130">
    <cfRule type="expression" dxfId="7162" priority="59879" stopIfTrue="1">
      <formula>NOT(ISBLANK($S$130))</formula>
    </cfRule>
  </conditionalFormatting>
  <conditionalFormatting sqref="T130">
    <cfRule type="expression" dxfId="7161" priority="59880" stopIfTrue="1">
      <formula>NOT(ISBLANK($T$130))</formula>
    </cfRule>
  </conditionalFormatting>
  <conditionalFormatting sqref="U130">
    <cfRule type="expression" dxfId="7160" priority="59881" stopIfTrue="1">
      <formula>NOT(ISBLANK($U$130))</formula>
    </cfRule>
  </conditionalFormatting>
  <conditionalFormatting sqref="V130">
    <cfRule type="expression" dxfId="7159" priority="59882" stopIfTrue="1">
      <formula>NOT(ISBLANK($V$130))</formula>
    </cfRule>
  </conditionalFormatting>
  <conditionalFormatting sqref="W130">
    <cfRule type="cellIs" dxfId="7158" priority="59883" stopIfTrue="1" operator="notEqual">
      <formula>6</formula>
    </cfRule>
  </conditionalFormatting>
  <conditionalFormatting sqref="X130">
    <cfRule type="cellIs" dxfId="7157" priority="59884" stopIfTrue="1" operator="notEqual">
      <formula>6</formula>
    </cfRule>
  </conditionalFormatting>
  <conditionalFormatting sqref="Y130">
    <cfRule type="cellIs" dxfId="7156" priority="59885" stopIfTrue="1" operator="notEqual">
      <formula>3</formula>
    </cfRule>
  </conditionalFormatting>
  <conditionalFormatting sqref="Z130">
    <cfRule type="cellIs" dxfId="7155" priority="59886" stopIfTrue="1" operator="notEqual">
      <formula>168</formula>
    </cfRule>
  </conditionalFormatting>
  <conditionalFormatting sqref="AA130">
    <cfRule type="cellIs" dxfId="7154" priority="59887" stopIfTrue="1" operator="notEqual">
      <formula>"POTW"</formula>
    </cfRule>
  </conditionalFormatting>
  <conditionalFormatting sqref="AB130">
    <cfRule type="cellIs" dxfId="7153" priority="59888" stopIfTrue="1" operator="notEqual">
      <formula>"holding tank"</formula>
    </cfRule>
  </conditionalFormatting>
  <conditionalFormatting sqref="AC130">
    <cfRule type="cellIs" dxfId="7152" priority="59889" stopIfTrue="1" operator="notEqual">
      <formula>"manual transfer"</formula>
    </cfRule>
  </conditionalFormatting>
  <conditionalFormatting sqref="AD130">
    <cfRule type="cellIs" dxfId="7151" priority="59890" stopIfTrue="1" operator="notEqual">
      <formula>"non-hazardous"</formula>
    </cfRule>
  </conditionalFormatting>
  <conditionalFormatting sqref="AE130">
    <cfRule type="expression" dxfId="7150" priority="59891" stopIfTrue="1">
      <formula>NOT(ISBLANK($AE$130))</formula>
    </cfRule>
  </conditionalFormatting>
  <conditionalFormatting sqref="AF130">
    <cfRule type="cellIs" dxfId="7149" priority="59892" stopIfTrue="1" operator="notEqual">
      <formula>0</formula>
    </cfRule>
  </conditionalFormatting>
  <conditionalFormatting sqref="AG130">
    <cfRule type="expression" dxfId="7148" priority="59893" stopIfTrue="1">
      <formula>NOT(ISBLANK($AG$130))</formula>
    </cfRule>
  </conditionalFormatting>
  <conditionalFormatting sqref="AH130">
    <cfRule type="expression" dxfId="7147" priority="59894" stopIfTrue="1">
      <formula>NOT(ISBLANK($AH$130))</formula>
    </cfRule>
  </conditionalFormatting>
  <conditionalFormatting sqref="AI130">
    <cfRule type="cellIs" dxfId="7146" priority="59895" stopIfTrue="1" operator="notEqual">
      <formula>"fully automated"</formula>
    </cfRule>
  </conditionalFormatting>
  <conditionalFormatting sqref="AJ130">
    <cfRule type="expression" dxfId="7145" priority="59896" stopIfTrue="1">
      <formula>NOT(ISBLANK($AJ$130))</formula>
    </cfRule>
  </conditionalFormatting>
  <conditionalFormatting sqref="AK130">
    <cfRule type="expression" dxfId="7144" priority="59897" stopIfTrue="1">
      <formula>NOT(ISBLANK($AK$130))</formula>
    </cfRule>
  </conditionalFormatting>
  <conditionalFormatting sqref="AL130">
    <cfRule type="expression" dxfId="7143" priority="59898" stopIfTrue="1">
      <formula>NOT(ISBLANK($AL$130))</formula>
    </cfRule>
  </conditionalFormatting>
  <conditionalFormatting sqref="AM130">
    <cfRule type="expression" dxfId="7142" priority="59899" stopIfTrue="1">
      <formula>NOT(ISBLANK($AM$130))</formula>
    </cfRule>
  </conditionalFormatting>
  <conditionalFormatting sqref="AN130">
    <cfRule type="expression" dxfId="7141" priority="59900" stopIfTrue="1">
      <formula>NOT(ISBLANK($AN$130))</formula>
    </cfRule>
  </conditionalFormatting>
  <conditionalFormatting sqref="AO130">
    <cfRule type="expression" dxfId="7140" priority="59901" stopIfTrue="1">
      <formula>NOT(ISBLANK($AO$130))</formula>
    </cfRule>
  </conditionalFormatting>
  <conditionalFormatting sqref="AP130">
    <cfRule type="expression" dxfId="7139" priority="59902" stopIfTrue="1">
      <formula>NOT(ISBLANK($AP$130))</formula>
    </cfRule>
  </conditionalFormatting>
  <conditionalFormatting sqref="AQ130">
    <cfRule type="expression" dxfId="7138" priority="59903" stopIfTrue="1">
      <formula>NOT(ISBLANK($AQ$130))</formula>
    </cfRule>
  </conditionalFormatting>
  <conditionalFormatting sqref="A131">
    <cfRule type="cellIs" dxfId="7137" priority="59904" stopIfTrue="1" operator="notEqual">
      <formula>8</formula>
    </cfRule>
  </conditionalFormatting>
  <conditionalFormatting sqref="B131">
    <cfRule type="cellIs" dxfId="7136" priority="59905" stopIfTrue="1" operator="notEqual">
      <formula>2</formula>
    </cfRule>
  </conditionalFormatting>
  <conditionalFormatting sqref="C131">
    <cfRule type="cellIs" dxfId="7135" priority="59906" stopIfTrue="1" operator="notEqual">
      <formula>3</formula>
    </cfRule>
  </conditionalFormatting>
  <conditionalFormatting sqref="D131">
    <cfRule type="cellIs" dxfId="7134" priority="59907" stopIfTrue="1" operator="notEqual">
      <formula>0.305</formula>
    </cfRule>
  </conditionalFormatting>
  <conditionalFormatting sqref="E131">
    <cfRule type="cellIs" dxfId="7133" priority="59908" stopIfTrue="1" operator="notEqual">
      <formula>"MGD"</formula>
    </cfRule>
  </conditionalFormatting>
  <conditionalFormatting sqref="F131">
    <cfRule type="cellIs" dxfId="7132" priority="59909" stopIfTrue="1" operator="notEqual">
      <formula>0.094</formula>
    </cfRule>
  </conditionalFormatting>
  <conditionalFormatting sqref="G131">
    <cfRule type="cellIs" dxfId="7131" priority="59910" stopIfTrue="1" operator="notEqual">
      <formula>"MGD"</formula>
    </cfRule>
  </conditionalFormatting>
  <conditionalFormatting sqref="H131">
    <cfRule type="cellIs" dxfId="7130" priority="59911" stopIfTrue="1" operator="notEqual">
      <formula>"regeneration off-site (non-hazardous)"</formula>
    </cfRule>
  </conditionalFormatting>
  <conditionalFormatting sqref="I131">
    <cfRule type="cellIs" dxfId="7129" priority="59912" stopIfTrue="1" operator="notEqual">
      <formula>"carbon life value- bed volumes"</formula>
    </cfRule>
  </conditionalFormatting>
  <conditionalFormatting sqref="J131">
    <cfRule type="cellIs" dxfId="7128" priority="59913" stopIfTrue="1" operator="notEqual">
      <formula>21600</formula>
    </cfRule>
  </conditionalFormatting>
  <conditionalFormatting sqref="K131">
    <cfRule type="expression" dxfId="7127" priority="59914" stopIfTrue="1">
      <formula>NOT(ISBLANK($K$131))</formula>
    </cfRule>
  </conditionalFormatting>
  <conditionalFormatting sqref="L131">
    <cfRule type="expression" dxfId="7126" priority="59915" stopIfTrue="1">
      <formula>NOT(ISBLANK($L$131))</formula>
    </cfRule>
  </conditionalFormatting>
  <conditionalFormatting sqref="M131">
    <cfRule type="expression" dxfId="7125" priority="59916" stopIfTrue="1">
      <formula>NOT(ISBLANK($M$131))</formula>
    </cfRule>
  </conditionalFormatting>
  <conditionalFormatting sqref="N131">
    <cfRule type="cellIs" dxfId="7124" priority="59917" stopIfTrue="1" operator="notEqual">
      <formula>"EBCT"</formula>
    </cfRule>
  </conditionalFormatting>
  <conditionalFormatting sqref="O131">
    <cfRule type="cellIs" dxfId="7123" priority="59918" stopIfTrue="1" operator="notEqual">
      <formula>7.5</formula>
    </cfRule>
  </conditionalFormatting>
  <conditionalFormatting sqref="P131">
    <cfRule type="expression" dxfId="7122" priority="59919" stopIfTrue="1">
      <formula>NOT(ISBLANK($P$131))</formula>
    </cfRule>
  </conditionalFormatting>
  <conditionalFormatting sqref="Q131">
    <cfRule type="expression" dxfId="7121" priority="59920" stopIfTrue="1">
      <formula>NOT(ISBLANK($Q$131))</formula>
    </cfRule>
  </conditionalFormatting>
  <conditionalFormatting sqref="R131">
    <cfRule type="expression" dxfId="7120" priority="59921" stopIfTrue="1">
      <formula>NOT(ISBLANK($R$131))</formula>
    </cfRule>
  </conditionalFormatting>
  <conditionalFormatting sqref="S131">
    <cfRule type="expression" dxfId="7119" priority="59922" stopIfTrue="1">
      <formula>NOT(ISBLANK($S$131))</formula>
    </cfRule>
  </conditionalFormatting>
  <conditionalFormatting sqref="T131">
    <cfRule type="expression" dxfId="7118" priority="59923" stopIfTrue="1">
      <formula>NOT(ISBLANK($T$131))</formula>
    </cfRule>
  </conditionalFormatting>
  <conditionalFormatting sqref="U131">
    <cfRule type="expression" dxfId="7117" priority="59924" stopIfTrue="1">
      <formula>NOT(ISBLANK($U$131))</formula>
    </cfRule>
  </conditionalFormatting>
  <conditionalFormatting sqref="V131">
    <cfRule type="expression" dxfId="7116" priority="59925" stopIfTrue="1">
      <formula>NOT(ISBLANK($V$131))</formula>
    </cfRule>
  </conditionalFormatting>
  <conditionalFormatting sqref="W131">
    <cfRule type="cellIs" dxfId="7115" priority="59926" stopIfTrue="1" operator="notEqual">
      <formula>6</formula>
    </cfRule>
  </conditionalFormatting>
  <conditionalFormatting sqref="X131">
    <cfRule type="cellIs" dxfId="7114" priority="59927" stopIfTrue="1" operator="notEqual">
      <formula>6</formula>
    </cfRule>
  </conditionalFormatting>
  <conditionalFormatting sqref="Y131">
    <cfRule type="cellIs" dxfId="7113" priority="59928" stopIfTrue="1" operator="notEqual">
      <formula>3</formula>
    </cfRule>
  </conditionalFormatting>
  <conditionalFormatting sqref="Z131">
    <cfRule type="cellIs" dxfId="7112" priority="59929" stopIfTrue="1" operator="notEqual">
      <formula>168</formula>
    </cfRule>
  </conditionalFormatting>
  <conditionalFormatting sqref="AA131">
    <cfRule type="cellIs" dxfId="7111" priority="59930" stopIfTrue="1" operator="notEqual">
      <formula>"POTW"</formula>
    </cfRule>
  </conditionalFormatting>
  <conditionalFormatting sqref="AB131">
    <cfRule type="cellIs" dxfId="7110" priority="59931" stopIfTrue="1" operator="notEqual">
      <formula>"holding tank"</formula>
    </cfRule>
  </conditionalFormatting>
  <conditionalFormatting sqref="AC131">
    <cfRule type="cellIs" dxfId="7109" priority="59932" stopIfTrue="1" operator="notEqual">
      <formula>"manual transfer"</formula>
    </cfRule>
  </conditionalFormatting>
  <conditionalFormatting sqref="AD131">
    <cfRule type="cellIs" dxfId="7108" priority="59933" stopIfTrue="1" operator="notEqual">
      <formula>"non-hazardous"</formula>
    </cfRule>
  </conditionalFormatting>
  <conditionalFormatting sqref="AE131">
    <cfRule type="expression" dxfId="7107" priority="59934" stopIfTrue="1">
      <formula>NOT(ISBLANK($AE$131))</formula>
    </cfRule>
  </conditionalFormatting>
  <conditionalFormatting sqref="AF131">
    <cfRule type="cellIs" dxfId="7106" priority="59935" stopIfTrue="1" operator="notEqual">
      <formula>0</formula>
    </cfRule>
  </conditionalFormatting>
  <conditionalFormatting sqref="AG131">
    <cfRule type="expression" dxfId="7105" priority="59936" stopIfTrue="1">
      <formula>NOT(ISBLANK($AG$131))</formula>
    </cfRule>
  </conditionalFormatting>
  <conditionalFormatting sqref="AH131">
    <cfRule type="expression" dxfId="7104" priority="59937" stopIfTrue="1">
      <formula>NOT(ISBLANK($AH$131))</formula>
    </cfRule>
  </conditionalFormatting>
  <conditionalFormatting sqref="AI131">
    <cfRule type="cellIs" dxfId="7103" priority="59938" stopIfTrue="1" operator="notEqual">
      <formula>"fully automated"</formula>
    </cfRule>
  </conditionalFormatting>
  <conditionalFormatting sqref="AJ131">
    <cfRule type="expression" dxfId="7102" priority="59939" stopIfTrue="1">
      <formula>NOT(ISBLANK($AJ$131))</formula>
    </cfRule>
  </conditionalFormatting>
  <conditionalFormatting sqref="AK131">
    <cfRule type="expression" dxfId="7101" priority="59940" stopIfTrue="1">
      <formula>NOT(ISBLANK($AK$131))</formula>
    </cfRule>
  </conditionalFormatting>
  <conditionalFormatting sqref="AL131">
    <cfRule type="expression" dxfId="7100" priority="59941" stopIfTrue="1">
      <formula>NOT(ISBLANK($AL$131))</formula>
    </cfRule>
  </conditionalFormatting>
  <conditionalFormatting sqref="AM131">
    <cfRule type="expression" dxfId="7099" priority="59942" stopIfTrue="1">
      <formula>NOT(ISBLANK($AM$131))</formula>
    </cfRule>
  </conditionalFormatting>
  <conditionalFormatting sqref="AN131">
    <cfRule type="expression" dxfId="7098" priority="59943" stopIfTrue="1">
      <formula>NOT(ISBLANK($AN$131))</formula>
    </cfRule>
  </conditionalFormatting>
  <conditionalFormatting sqref="AO131">
    <cfRule type="expression" dxfId="7097" priority="59944" stopIfTrue="1">
      <formula>NOT(ISBLANK($AO$131))</formula>
    </cfRule>
  </conditionalFormatting>
  <conditionalFormatting sqref="AP131">
    <cfRule type="expression" dxfId="7096" priority="59945" stopIfTrue="1">
      <formula>NOT(ISBLANK($AP$131))</formula>
    </cfRule>
  </conditionalFormatting>
  <conditionalFormatting sqref="AQ131">
    <cfRule type="expression" dxfId="7095" priority="59946" stopIfTrue="1">
      <formula>NOT(ISBLANK($AQ$131))</formula>
    </cfRule>
  </conditionalFormatting>
  <conditionalFormatting sqref="A132">
    <cfRule type="cellIs" dxfId="7094" priority="59947" stopIfTrue="1" operator="notEqual">
      <formula>8</formula>
    </cfRule>
  </conditionalFormatting>
  <conditionalFormatting sqref="B132">
    <cfRule type="cellIs" dxfId="7093" priority="59948" stopIfTrue="1" operator="notEqual">
      <formula>2</formula>
    </cfRule>
  </conditionalFormatting>
  <conditionalFormatting sqref="C132">
    <cfRule type="cellIs" dxfId="7092" priority="59949" stopIfTrue="1" operator="notEqual">
      <formula>4</formula>
    </cfRule>
  </conditionalFormatting>
  <conditionalFormatting sqref="D132">
    <cfRule type="cellIs" dxfId="7091" priority="59950" stopIfTrue="1" operator="notEqual">
      <formula>0.74</formula>
    </cfRule>
  </conditionalFormatting>
  <conditionalFormatting sqref="E132">
    <cfRule type="cellIs" dxfId="7090" priority="59951" stopIfTrue="1" operator="notEqual">
      <formula>"MGD"</formula>
    </cfRule>
  </conditionalFormatting>
  <conditionalFormatting sqref="F132">
    <cfRule type="cellIs" dxfId="7089" priority="59952" stopIfTrue="1" operator="notEqual">
      <formula>0.251</formula>
    </cfRule>
  </conditionalFormatting>
  <conditionalFormatting sqref="G132">
    <cfRule type="cellIs" dxfId="7088" priority="59953" stopIfTrue="1" operator="notEqual">
      <formula>"MGD"</formula>
    </cfRule>
  </conditionalFormatting>
  <conditionalFormatting sqref="H132">
    <cfRule type="cellIs" dxfId="7087" priority="59954" stopIfTrue="1" operator="notEqual">
      <formula>"regeneration off-site (non-hazardous)"</formula>
    </cfRule>
  </conditionalFormatting>
  <conditionalFormatting sqref="I132">
    <cfRule type="cellIs" dxfId="7086" priority="59955" stopIfTrue="1" operator="notEqual">
      <formula>"carbon life value- bed volumes"</formula>
    </cfRule>
  </conditionalFormatting>
  <conditionalFormatting sqref="J132">
    <cfRule type="cellIs" dxfId="7085" priority="59956" stopIfTrue="1" operator="notEqual">
      <formula>21600</formula>
    </cfRule>
  </conditionalFormatting>
  <conditionalFormatting sqref="K132">
    <cfRule type="expression" dxfId="7084" priority="59957" stopIfTrue="1">
      <formula>NOT(ISBLANK($K$132))</formula>
    </cfRule>
  </conditionalFormatting>
  <conditionalFormatting sqref="L132">
    <cfRule type="expression" dxfId="7083" priority="59958" stopIfTrue="1">
      <formula>NOT(ISBLANK($L$132))</formula>
    </cfRule>
  </conditionalFormatting>
  <conditionalFormatting sqref="M132">
    <cfRule type="expression" dxfId="7082" priority="59959" stopIfTrue="1">
      <formula>NOT(ISBLANK($M$132))</formula>
    </cfRule>
  </conditionalFormatting>
  <conditionalFormatting sqref="N132">
    <cfRule type="cellIs" dxfId="7081" priority="59960" stopIfTrue="1" operator="notEqual">
      <formula>"EBCT"</formula>
    </cfRule>
  </conditionalFormatting>
  <conditionalFormatting sqref="O132">
    <cfRule type="cellIs" dxfId="7080" priority="59961" stopIfTrue="1" operator="notEqual">
      <formula>7.5</formula>
    </cfRule>
  </conditionalFormatting>
  <conditionalFormatting sqref="P132">
    <cfRule type="expression" dxfId="7079" priority="59962" stopIfTrue="1">
      <formula>NOT(ISBLANK($P$132))</formula>
    </cfRule>
  </conditionalFormatting>
  <conditionalFormatting sqref="Q132">
    <cfRule type="expression" dxfId="7078" priority="59963" stopIfTrue="1">
      <formula>NOT(ISBLANK($Q$132))</formula>
    </cfRule>
  </conditionalFormatting>
  <conditionalFormatting sqref="R132">
    <cfRule type="expression" dxfId="7077" priority="59964" stopIfTrue="1">
      <formula>NOT(ISBLANK($R$132))</formula>
    </cfRule>
  </conditionalFormatting>
  <conditionalFormatting sqref="S132">
    <cfRule type="expression" dxfId="7076" priority="59965" stopIfTrue="1">
      <formula>NOT(ISBLANK($S$132))</formula>
    </cfRule>
  </conditionalFormatting>
  <conditionalFormatting sqref="T132">
    <cfRule type="expression" dxfId="7075" priority="59966" stopIfTrue="1">
      <formula>NOT(ISBLANK($T$132))</formula>
    </cfRule>
  </conditionalFormatting>
  <conditionalFormatting sqref="U132">
    <cfRule type="expression" dxfId="7074" priority="59967" stopIfTrue="1">
      <formula>NOT(ISBLANK($U$132))</formula>
    </cfRule>
  </conditionalFormatting>
  <conditionalFormatting sqref="V132">
    <cfRule type="expression" dxfId="7073" priority="59968" stopIfTrue="1">
      <formula>NOT(ISBLANK($V$132))</formula>
    </cfRule>
  </conditionalFormatting>
  <conditionalFormatting sqref="W132">
    <cfRule type="cellIs" dxfId="7072" priority="59969" stopIfTrue="1" operator="notEqual">
      <formula>7</formula>
    </cfRule>
  </conditionalFormatting>
  <conditionalFormatting sqref="X132">
    <cfRule type="cellIs" dxfId="7071" priority="59970" stopIfTrue="1" operator="notEqual">
      <formula>7</formula>
    </cfRule>
  </conditionalFormatting>
  <conditionalFormatting sqref="Y132">
    <cfRule type="cellIs" dxfId="7070" priority="59971" stopIfTrue="1" operator="notEqual">
      <formula>5.3</formula>
    </cfRule>
  </conditionalFormatting>
  <conditionalFormatting sqref="Z132">
    <cfRule type="cellIs" dxfId="7069" priority="59972" stopIfTrue="1" operator="notEqual">
      <formula>168</formula>
    </cfRule>
  </conditionalFormatting>
  <conditionalFormatting sqref="AA132">
    <cfRule type="cellIs" dxfId="7068" priority="59973" stopIfTrue="1" operator="notEqual">
      <formula>"POTW"</formula>
    </cfRule>
  </conditionalFormatting>
  <conditionalFormatting sqref="AB132">
    <cfRule type="cellIs" dxfId="7067" priority="59974" stopIfTrue="1" operator="notEqual">
      <formula>"holding tank"</formula>
    </cfRule>
  </conditionalFormatting>
  <conditionalFormatting sqref="AC132">
    <cfRule type="cellIs" dxfId="7066" priority="59975" stopIfTrue="1" operator="notEqual">
      <formula>"manual transfer"</formula>
    </cfRule>
  </conditionalFormatting>
  <conditionalFormatting sqref="AD132">
    <cfRule type="cellIs" dxfId="7065" priority="59976" stopIfTrue="1" operator="notEqual">
      <formula>"non-hazardous"</formula>
    </cfRule>
  </conditionalFormatting>
  <conditionalFormatting sqref="AE132">
    <cfRule type="expression" dxfId="7064" priority="59977" stopIfTrue="1">
      <formula>NOT(ISBLANK($AE$132))</formula>
    </cfRule>
  </conditionalFormatting>
  <conditionalFormatting sqref="AF132">
    <cfRule type="cellIs" dxfId="7063" priority="59978" stopIfTrue="1" operator="notEqual">
      <formula>0</formula>
    </cfRule>
  </conditionalFormatting>
  <conditionalFormatting sqref="AG132">
    <cfRule type="expression" dxfId="7062" priority="59979" stopIfTrue="1">
      <formula>NOT(ISBLANK($AG$132))</formula>
    </cfRule>
  </conditionalFormatting>
  <conditionalFormatting sqref="AH132">
    <cfRule type="expression" dxfId="7061" priority="59980" stopIfTrue="1">
      <formula>NOT(ISBLANK($AH$132))</formula>
    </cfRule>
  </conditionalFormatting>
  <conditionalFormatting sqref="AI132">
    <cfRule type="cellIs" dxfId="7060" priority="59981" stopIfTrue="1" operator="notEqual">
      <formula>"fully automated"</formula>
    </cfRule>
  </conditionalFormatting>
  <conditionalFormatting sqref="AJ132">
    <cfRule type="expression" dxfId="7059" priority="59982" stopIfTrue="1">
      <formula>NOT(ISBLANK($AJ$132))</formula>
    </cfRule>
  </conditionalFormatting>
  <conditionalFormatting sqref="AK132">
    <cfRule type="expression" dxfId="7058" priority="59983" stopIfTrue="1">
      <formula>NOT(ISBLANK($AK$132))</formula>
    </cfRule>
  </conditionalFormatting>
  <conditionalFormatting sqref="AL132">
    <cfRule type="expression" dxfId="7057" priority="59984" stopIfTrue="1">
      <formula>NOT(ISBLANK($AL$132))</formula>
    </cfRule>
  </conditionalFormatting>
  <conditionalFormatting sqref="AM132">
    <cfRule type="expression" dxfId="7056" priority="59985" stopIfTrue="1">
      <formula>NOT(ISBLANK($AM$132))</formula>
    </cfRule>
  </conditionalFormatting>
  <conditionalFormatting sqref="AN132">
    <cfRule type="expression" dxfId="7055" priority="59986" stopIfTrue="1">
      <formula>NOT(ISBLANK($AN$132))</formula>
    </cfRule>
  </conditionalFormatting>
  <conditionalFormatting sqref="AO132">
    <cfRule type="expression" dxfId="7054" priority="59987" stopIfTrue="1">
      <formula>NOT(ISBLANK($AO$132))</formula>
    </cfRule>
  </conditionalFormatting>
  <conditionalFormatting sqref="AP132">
    <cfRule type="expression" dxfId="7053" priority="59988" stopIfTrue="1">
      <formula>NOT(ISBLANK($AP$132))</formula>
    </cfRule>
  </conditionalFormatting>
  <conditionalFormatting sqref="AQ132">
    <cfRule type="expression" dxfId="7052" priority="59989" stopIfTrue="1">
      <formula>NOT(ISBLANK($AQ$132))</formula>
    </cfRule>
  </conditionalFormatting>
  <conditionalFormatting sqref="A133">
    <cfRule type="cellIs" dxfId="7051" priority="59990" stopIfTrue="1" operator="notEqual">
      <formula>8</formula>
    </cfRule>
  </conditionalFormatting>
  <conditionalFormatting sqref="B133">
    <cfRule type="cellIs" dxfId="7050" priority="59991" stopIfTrue="1" operator="notEqual">
      <formula>2</formula>
    </cfRule>
  </conditionalFormatting>
  <conditionalFormatting sqref="C133">
    <cfRule type="cellIs" dxfId="7049" priority="59992" stopIfTrue="1" operator="notEqual">
      <formula>5</formula>
    </cfRule>
  </conditionalFormatting>
  <conditionalFormatting sqref="D133">
    <cfRule type="cellIs" dxfId="7048" priority="59993" stopIfTrue="1" operator="notEqual">
      <formula>2.152</formula>
    </cfRule>
  </conditionalFormatting>
  <conditionalFormatting sqref="E133">
    <cfRule type="cellIs" dxfId="7047" priority="59994" stopIfTrue="1" operator="notEqual">
      <formula>"MGD"</formula>
    </cfRule>
  </conditionalFormatting>
  <conditionalFormatting sqref="F133">
    <cfRule type="cellIs" dxfId="7046" priority="59995" stopIfTrue="1" operator="notEqual">
      <formula>0.819</formula>
    </cfRule>
  </conditionalFormatting>
  <conditionalFormatting sqref="G133">
    <cfRule type="cellIs" dxfId="7045" priority="59996" stopIfTrue="1" operator="notEqual">
      <formula>"MGD"</formula>
    </cfRule>
  </conditionalFormatting>
  <conditionalFormatting sqref="H133">
    <cfRule type="cellIs" dxfId="7044" priority="59997" stopIfTrue="1" operator="notEqual">
      <formula>"regeneration off-site (non-hazardous)"</formula>
    </cfRule>
  </conditionalFormatting>
  <conditionalFormatting sqref="I133">
    <cfRule type="cellIs" dxfId="7043" priority="59998" stopIfTrue="1" operator="notEqual">
      <formula>"carbon life value- bed volumes"</formula>
    </cfRule>
  </conditionalFormatting>
  <conditionalFormatting sqref="J133">
    <cfRule type="cellIs" dxfId="7042" priority="59999" stopIfTrue="1" operator="notEqual">
      <formula>21600</formula>
    </cfRule>
  </conditionalFormatting>
  <conditionalFormatting sqref="K133">
    <cfRule type="expression" dxfId="7041" priority="60000" stopIfTrue="1">
      <formula>NOT(ISBLANK($K$133))</formula>
    </cfRule>
  </conditionalFormatting>
  <conditionalFormatting sqref="L133">
    <cfRule type="expression" dxfId="7040" priority="60001" stopIfTrue="1">
      <formula>NOT(ISBLANK($L$133))</formula>
    </cfRule>
  </conditionalFormatting>
  <conditionalFormatting sqref="M133">
    <cfRule type="expression" dxfId="7039" priority="60002" stopIfTrue="1">
      <formula>NOT(ISBLANK($M$133))</formula>
    </cfRule>
  </conditionalFormatting>
  <conditionalFormatting sqref="N133">
    <cfRule type="cellIs" dxfId="7038" priority="60003" stopIfTrue="1" operator="notEqual">
      <formula>"EBCT"</formula>
    </cfRule>
  </conditionalFormatting>
  <conditionalFormatting sqref="O133">
    <cfRule type="cellIs" dxfId="7037" priority="60004" stopIfTrue="1" operator="notEqual">
      <formula>7.5</formula>
    </cfRule>
  </conditionalFormatting>
  <conditionalFormatting sqref="P133">
    <cfRule type="expression" dxfId="7036" priority="60005" stopIfTrue="1">
      <formula>NOT(ISBLANK($P$133))</formula>
    </cfRule>
  </conditionalFormatting>
  <conditionalFormatting sqref="Q133">
    <cfRule type="expression" dxfId="7035" priority="60006" stopIfTrue="1">
      <formula>NOT(ISBLANK($Q$133))</formula>
    </cfRule>
  </conditionalFormatting>
  <conditionalFormatting sqref="R133">
    <cfRule type="expression" dxfId="7034" priority="60007" stopIfTrue="1">
      <formula>NOT(ISBLANK($R$133))</formula>
    </cfRule>
  </conditionalFormatting>
  <conditionalFormatting sqref="S133">
    <cfRule type="expression" dxfId="7033" priority="60008" stopIfTrue="1">
      <formula>NOT(ISBLANK($S$133))</formula>
    </cfRule>
  </conditionalFormatting>
  <conditionalFormatting sqref="T133">
    <cfRule type="expression" dxfId="7032" priority="60009" stopIfTrue="1">
      <formula>NOT(ISBLANK($T$133))</formula>
    </cfRule>
  </conditionalFormatting>
  <conditionalFormatting sqref="U133">
    <cfRule type="expression" dxfId="7031" priority="60010" stopIfTrue="1">
      <formula>NOT(ISBLANK($U$133))</formula>
    </cfRule>
  </conditionalFormatting>
  <conditionalFormatting sqref="V133">
    <cfRule type="expression" dxfId="7030" priority="60011" stopIfTrue="1">
      <formula>NOT(ISBLANK($V$133))</formula>
    </cfRule>
  </conditionalFormatting>
  <conditionalFormatting sqref="W133">
    <cfRule type="cellIs" dxfId="7029" priority="60012" stopIfTrue="1" operator="notEqual">
      <formula>8</formula>
    </cfRule>
  </conditionalFormatting>
  <conditionalFormatting sqref="X133">
    <cfRule type="cellIs" dxfId="7028" priority="60013" stopIfTrue="1" operator="notEqual">
      <formula>8</formula>
    </cfRule>
  </conditionalFormatting>
  <conditionalFormatting sqref="Y133">
    <cfRule type="cellIs" dxfId="7027" priority="60014" stopIfTrue="1" operator="notEqual">
      <formula>7.9</formula>
    </cfRule>
  </conditionalFormatting>
  <conditionalFormatting sqref="Z133">
    <cfRule type="cellIs" dxfId="7026" priority="60015" stopIfTrue="1" operator="notEqual">
      <formula>168</formula>
    </cfRule>
  </conditionalFormatting>
  <conditionalFormatting sqref="AA133">
    <cfRule type="cellIs" dxfId="7025" priority="60016" stopIfTrue="1" operator="notEqual">
      <formula>"POTW"</formula>
    </cfRule>
  </conditionalFormatting>
  <conditionalFormatting sqref="AB133">
    <cfRule type="cellIs" dxfId="7024" priority="60017" stopIfTrue="1" operator="notEqual">
      <formula>"holding tank"</formula>
    </cfRule>
  </conditionalFormatting>
  <conditionalFormatting sqref="AC133">
    <cfRule type="cellIs" dxfId="7023" priority="60018" stopIfTrue="1" operator="notEqual">
      <formula>"manual transfer"</formula>
    </cfRule>
  </conditionalFormatting>
  <conditionalFormatting sqref="AD133">
    <cfRule type="cellIs" dxfId="7022" priority="60019" stopIfTrue="1" operator="notEqual">
      <formula>"non-hazardous"</formula>
    </cfRule>
  </conditionalFormatting>
  <conditionalFormatting sqref="AE133">
    <cfRule type="expression" dxfId="7021" priority="60020" stopIfTrue="1">
      <formula>NOT(ISBLANK($AE$133))</formula>
    </cfRule>
  </conditionalFormatting>
  <conditionalFormatting sqref="AF133">
    <cfRule type="cellIs" dxfId="7020" priority="60021" stopIfTrue="1" operator="notEqual">
      <formula>0</formula>
    </cfRule>
  </conditionalFormatting>
  <conditionalFormatting sqref="AG133">
    <cfRule type="expression" dxfId="7019" priority="60022" stopIfTrue="1">
      <formula>NOT(ISBLANK($AG$133))</formula>
    </cfRule>
  </conditionalFormatting>
  <conditionalFormatting sqref="AH133">
    <cfRule type="expression" dxfId="7018" priority="60023" stopIfTrue="1">
      <formula>NOT(ISBLANK($AH$133))</formula>
    </cfRule>
  </conditionalFormatting>
  <conditionalFormatting sqref="AI133">
    <cfRule type="cellIs" dxfId="7017" priority="60024" stopIfTrue="1" operator="notEqual">
      <formula>"fully automated"</formula>
    </cfRule>
  </conditionalFormatting>
  <conditionalFormatting sqref="AJ133">
    <cfRule type="expression" dxfId="7016" priority="60025" stopIfTrue="1">
      <formula>NOT(ISBLANK($AJ$133))</formula>
    </cfRule>
  </conditionalFormatting>
  <conditionalFormatting sqref="AK133">
    <cfRule type="expression" dxfId="7015" priority="60026" stopIfTrue="1">
      <formula>NOT(ISBLANK($AK$133))</formula>
    </cfRule>
  </conditionalFormatting>
  <conditionalFormatting sqref="AL133">
    <cfRule type="expression" dxfId="7014" priority="60027" stopIfTrue="1">
      <formula>NOT(ISBLANK($AL$133))</formula>
    </cfRule>
  </conditionalFormatting>
  <conditionalFormatting sqref="AM133">
    <cfRule type="expression" dxfId="7013" priority="60028" stopIfTrue="1">
      <formula>NOT(ISBLANK($AM$133))</formula>
    </cfRule>
  </conditionalFormatting>
  <conditionalFormatting sqref="AN133">
    <cfRule type="expression" dxfId="7012" priority="60029" stopIfTrue="1">
      <formula>NOT(ISBLANK($AN$133))</formula>
    </cfRule>
  </conditionalFormatting>
  <conditionalFormatting sqref="AO133">
    <cfRule type="expression" dxfId="7011" priority="60030" stopIfTrue="1">
      <formula>NOT(ISBLANK($AO$133))</formula>
    </cfRule>
  </conditionalFormatting>
  <conditionalFormatting sqref="AP133">
    <cfRule type="expression" dxfId="7010" priority="60031" stopIfTrue="1">
      <formula>NOT(ISBLANK($AP$133))</formula>
    </cfRule>
  </conditionalFormatting>
  <conditionalFormatting sqref="AQ133">
    <cfRule type="expression" dxfId="7009" priority="60032" stopIfTrue="1">
      <formula>NOT(ISBLANK($AQ$133))</formula>
    </cfRule>
  </conditionalFormatting>
  <conditionalFormatting sqref="A134">
    <cfRule type="cellIs" dxfId="7008" priority="60033" stopIfTrue="1" operator="notEqual">
      <formula>8</formula>
    </cfRule>
  </conditionalFormatting>
  <conditionalFormatting sqref="B134">
    <cfRule type="cellIs" dxfId="7007" priority="60034" stopIfTrue="1" operator="notEqual">
      <formula>2</formula>
    </cfRule>
  </conditionalFormatting>
  <conditionalFormatting sqref="C134">
    <cfRule type="cellIs" dxfId="7006" priority="60035" stopIfTrue="1" operator="notEqual">
      <formula>6</formula>
    </cfRule>
  </conditionalFormatting>
  <conditionalFormatting sqref="D134">
    <cfRule type="cellIs" dxfId="7005" priority="60036" stopIfTrue="1" operator="notEqual">
      <formula>7.365</formula>
    </cfRule>
  </conditionalFormatting>
  <conditionalFormatting sqref="E134">
    <cfRule type="cellIs" dxfId="7004" priority="60037" stopIfTrue="1" operator="notEqual">
      <formula>"MGD"</formula>
    </cfRule>
  </conditionalFormatting>
  <conditionalFormatting sqref="F134">
    <cfRule type="cellIs" dxfId="7003" priority="60038" stopIfTrue="1" operator="notEqual">
      <formula>3.2</formula>
    </cfRule>
  </conditionalFormatting>
  <conditionalFormatting sqref="G134">
    <cfRule type="cellIs" dxfId="7002" priority="60039" stopIfTrue="1" operator="notEqual">
      <formula>"MGD"</formula>
    </cfRule>
  </conditionalFormatting>
  <conditionalFormatting sqref="H134">
    <cfRule type="cellIs" dxfId="7001" priority="60040" stopIfTrue="1" operator="notEqual">
      <formula>"regeneration off-site (non-hazardous)"</formula>
    </cfRule>
  </conditionalFormatting>
  <conditionalFormatting sqref="I134">
    <cfRule type="cellIs" dxfId="7000" priority="60041" stopIfTrue="1" operator="notEqual">
      <formula>"carbon life value- bed volumes"</formula>
    </cfRule>
  </conditionalFormatting>
  <conditionalFormatting sqref="J134">
    <cfRule type="cellIs" dxfId="6999" priority="60042" stopIfTrue="1" operator="notEqual">
      <formula>21600</formula>
    </cfRule>
  </conditionalFormatting>
  <conditionalFormatting sqref="K134">
    <cfRule type="expression" dxfId="6998" priority="60043" stopIfTrue="1">
      <formula>NOT(ISBLANK($K$134))</formula>
    </cfRule>
  </conditionalFormatting>
  <conditionalFormatting sqref="L134">
    <cfRule type="expression" dxfId="6997" priority="60044" stopIfTrue="1">
      <formula>NOT(ISBLANK($L$134))</formula>
    </cfRule>
  </conditionalFormatting>
  <conditionalFormatting sqref="M134">
    <cfRule type="expression" dxfId="6996" priority="60045" stopIfTrue="1">
      <formula>NOT(ISBLANK($M$134))</formula>
    </cfRule>
  </conditionalFormatting>
  <conditionalFormatting sqref="N134">
    <cfRule type="cellIs" dxfId="6995" priority="60046" stopIfTrue="1" operator="notEqual">
      <formula>"EBCT"</formula>
    </cfRule>
  </conditionalFormatting>
  <conditionalFormatting sqref="O134">
    <cfRule type="cellIs" dxfId="6994" priority="60047" stopIfTrue="1" operator="notEqual">
      <formula>7.5</formula>
    </cfRule>
  </conditionalFormatting>
  <conditionalFormatting sqref="P134">
    <cfRule type="expression" dxfId="6993" priority="60048" stopIfTrue="1">
      <formula>NOT(ISBLANK($P$134))</formula>
    </cfRule>
  </conditionalFormatting>
  <conditionalFormatting sqref="Q134">
    <cfRule type="expression" dxfId="6992" priority="60049" stopIfTrue="1">
      <formula>NOT(ISBLANK($Q$134))</formula>
    </cfRule>
  </conditionalFormatting>
  <conditionalFormatting sqref="R134">
    <cfRule type="expression" dxfId="6991" priority="60050" stopIfTrue="1">
      <formula>NOT(ISBLANK($R$134))</formula>
    </cfRule>
  </conditionalFormatting>
  <conditionalFormatting sqref="S134">
    <cfRule type="expression" dxfId="6990" priority="60051" stopIfTrue="1">
      <formula>NOT(ISBLANK($S$134))</formula>
    </cfRule>
  </conditionalFormatting>
  <conditionalFormatting sqref="T134">
    <cfRule type="expression" dxfId="6989" priority="60052" stopIfTrue="1">
      <formula>NOT(ISBLANK($T$134))</formula>
    </cfRule>
  </conditionalFormatting>
  <conditionalFormatting sqref="U134">
    <cfRule type="expression" dxfId="6988" priority="60053" stopIfTrue="1">
      <formula>NOT(ISBLANK($U$134))</formula>
    </cfRule>
  </conditionalFormatting>
  <conditionalFormatting sqref="V134">
    <cfRule type="expression" dxfId="6987" priority="60054" stopIfTrue="1">
      <formula>NOT(ISBLANK($V$134))</formula>
    </cfRule>
  </conditionalFormatting>
  <conditionalFormatting sqref="W134">
    <cfRule type="cellIs" dxfId="6986" priority="60055" stopIfTrue="1" operator="notEqual">
      <formula>11.5</formula>
    </cfRule>
  </conditionalFormatting>
  <conditionalFormatting sqref="X134">
    <cfRule type="cellIs" dxfId="6985" priority="60056" stopIfTrue="1" operator="notEqual">
      <formula>11.5</formula>
    </cfRule>
  </conditionalFormatting>
  <conditionalFormatting sqref="Y134">
    <cfRule type="cellIs" dxfId="6984" priority="60057" stopIfTrue="1" operator="notEqual">
      <formula>7.8</formula>
    </cfRule>
  </conditionalFormatting>
  <conditionalFormatting sqref="Z134">
    <cfRule type="cellIs" dxfId="6983" priority="60058" stopIfTrue="1" operator="notEqual">
      <formula>168</formula>
    </cfRule>
  </conditionalFormatting>
  <conditionalFormatting sqref="AA134">
    <cfRule type="cellIs" dxfId="6982" priority="60059" stopIfTrue="1" operator="notEqual">
      <formula>"POTW"</formula>
    </cfRule>
  </conditionalFormatting>
  <conditionalFormatting sqref="AB134">
    <cfRule type="cellIs" dxfId="6981" priority="60060" stopIfTrue="1" operator="notEqual">
      <formula>"holding tank"</formula>
    </cfRule>
  </conditionalFormatting>
  <conditionalFormatting sqref="AC134">
    <cfRule type="cellIs" dxfId="6980" priority="60061" stopIfTrue="1" operator="notEqual">
      <formula>"eductors"</formula>
    </cfRule>
  </conditionalFormatting>
  <conditionalFormatting sqref="AD134">
    <cfRule type="cellIs" dxfId="6979" priority="60062" stopIfTrue="1" operator="notEqual">
      <formula>"non-hazardous"</formula>
    </cfRule>
  </conditionalFormatting>
  <conditionalFormatting sqref="AE134">
    <cfRule type="expression" dxfId="6978" priority="60063" stopIfTrue="1">
      <formula>NOT(ISBLANK($AE$134))</formula>
    </cfRule>
  </conditionalFormatting>
  <conditionalFormatting sqref="AF134">
    <cfRule type="cellIs" dxfId="6977" priority="60064" stopIfTrue="1" operator="notEqual">
      <formula>0</formula>
    </cfRule>
  </conditionalFormatting>
  <conditionalFormatting sqref="AG134">
    <cfRule type="expression" dxfId="6976" priority="60065" stopIfTrue="1">
      <formula>NOT(ISBLANK($AG$134))</formula>
    </cfRule>
  </conditionalFormatting>
  <conditionalFormatting sqref="AH134">
    <cfRule type="expression" dxfId="6975" priority="60066" stopIfTrue="1">
      <formula>NOT(ISBLANK($AH$134))</formula>
    </cfRule>
  </conditionalFormatting>
  <conditionalFormatting sqref="AI134">
    <cfRule type="cellIs" dxfId="6974" priority="60067" stopIfTrue="1" operator="notEqual">
      <formula>"fully automated"</formula>
    </cfRule>
  </conditionalFormatting>
  <conditionalFormatting sqref="AJ134">
    <cfRule type="expression" dxfId="6973" priority="60068" stopIfTrue="1">
      <formula>NOT(ISBLANK($AJ$134))</formula>
    </cfRule>
  </conditionalFormatting>
  <conditionalFormatting sqref="AK134">
    <cfRule type="expression" dxfId="6972" priority="60069" stopIfTrue="1">
      <formula>NOT(ISBLANK($AK$134))</formula>
    </cfRule>
  </conditionalFormatting>
  <conditionalFormatting sqref="AL134">
    <cfRule type="expression" dxfId="6971" priority="60070" stopIfTrue="1">
      <formula>NOT(ISBLANK($AL$134))</formula>
    </cfRule>
  </conditionalFormatting>
  <conditionalFormatting sqref="AM134">
    <cfRule type="expression" dxfId="6970" priority="60071" stopIfTrue="1">
      <formula>NOT(ISBLANK($AM$134))</formula>
    </cfRule>
  </conditionalFormatting>
  <conditionalFormatting sqref="AN134">
    <cfRule type="expression" dxfId="6969" priority="60072" stopIfTrue="1">
      <formula>NOT(ISBLANK($AN$134))</formula>
    </cfRule>
  </conditionalFormatting>
  <conditionalFormatting sqref="AO134">
    <cfRule type="expression" dxfId="6968" priority="60073" stopIfTrue="1">
      <formula>NOT(ISBLANK($AO$134))</formula>
    </cfRule>
  </conditionalFormatting>
  <conditionalFormatting sqref="AP134">
    <cfRule type="expression" dxfId="6967" priority="60074" stopIfTrue="1">
      <formula>NOT(ISBLANK($AP$134))</formula>
    </cfRule>
  </conditionalFormatting>
  <conditionalFormatting sqref="AQ134">
    <cfRule type="expression" dxfId="6966" priority="60075" stopIfTrue="1">
      <formula>NOT(ISBLANK($AQ$134))</formula>
    </cfRule>
  </conditionalFormatting>
  <conditionalFormatting sqref="A135">
    <cfRule type="cellIs" dxfId="6965" priority="60076" stopIfTrue="1" operator="notEqual">
      <formula>8</formula>
    </cfRule>
  </conditionalFormatting>
  <conditionalFormatting sqref="B135">
    <cfRule type="cellIs" dxfId="6964" priority="60077" stopIfTrue="1" operator="notEqual">
      <formula>2</formula>
    </cfRule>
  </conditionalFormatting>
  <conditionalFormatting sqref="C135">
    <cfRule type="cellIs" dxfId="6963" priority="60078" stopIfTrue="1" operator="notEqual">
      <formula>7</formula>
    </cfRule>
  </conditionalFormatting>
  <conditionalFormatting sqref="D135">
    <cfRule type="cellIs" dxfId="6962" priority="60079" stopIfTrue="1" operator="notEqual">
      <formula>22.614</formula>
    </cfRule>
  </conditionalFormatting>
  <conditionalFormatting sqref="E135">
    <cfRule type="cellIs" dxfId="6961" priority="60080" stopIfTrue="1" operator="notEqual">
      <formula>"MGD"</formula>
    </cfRule>
  </conditionalFormatting>
  <conditionalFormatting sqref="F135">
    <cfRule type="cellIs" dxfId="6960" priority="60081" stopIfTrue="1" operator="notEqual">
      <formula>11.066</formula>
    </cfRule>
  </conditionalFormatting>
  <conditionalFormatting sqref="G135">
    <cfRule type="cellIs" dxfId="6959" priority="60082" stopIfTrue="1" operator="notEqual">
      <formula>"MGD"</formula>
    </cfRule>
  </conditionalFormatting>
  <conditionalFormatting sqref="H135">
    <cfRule type="cellIs" dxfId="6958" priority="60083" stopIfTrue="1" operator="notEqual">
      <formula>"regeneration off-site (non-hazardous)"</formula>
    </cfRule>
  </conditionalFormatting>
  <conditionalFormatting sqref="I135">
    <cfRule type="cellIs" dxfId="6957" priority="60084" stopIfTrue="1" operator="notEqual">
      <formula>"carbon life value- bed volumes"</formula>
    </cfRule>
  </conditionalFormatting>
  <conditionalFormatting sqref="J135">
    <cfRule type="cellIs" dxfId="6956" priority="60085" stopIfTrue="1" operator="notEqual">
      <formula>21600</formula>
    </cfRule>
  </conditionalFormatting>
  <conditionalFormatting sqref="K135">
    <cfRule type="expression" dxfId="6955" priority="60086" stopIfTrue="1">
      <formula>NOT(ISBLANK($K$135))</formula>
    </cfRule>
  </conditionalFormatting>
  <conditionalFormatting sqref="L135">
    <cfRule type="expression" dxfId="6954" priority="60087" stopIfTrue="1">
      <formula>NOT(ISBLANK($L$135))</formula>
    </cfRule>
  </conditionalFormatting>
  <conditionalFormatting sqref="M135">
    <cfRule type="expression" dxfId="6953" priority="60088" stopIfTrue="1">
      <formula>NOT(ISBLANK($M$135))</formula>
    </cfRule>
  </conditionalFormatting>
  <conditionalFormatting sqref="N135">
    <cfRule type="cellIs" dxfId="6952" priority="60089" stopIfTrue="1" operator="notEqual">
      <formula>"EBCT"</formula>
    </cfRule>
  </conditionalFormatting>
  <conditionalFormatting sqref="O135">
    <cfRule type="cellIs" dxfId="6951" priority="60090" stopIfTrue="1" operator="notEqual">
      <formula>7.5</formula>
    </cfRule>
  </conditionalFormatting>
  <conditionalFormatting sqref="P135">
    <cfRule type="expression" dxfId="6950" priority="60091" stopIfTrue="1">
      <formula>NOT(ISBLANK($P$135))</formula>
    </cfRule>
  </conditionalFormatting>
  <conditionalFormatting sqref="Q135">
    <cfRule type="expression" dxfId="6949" priority="60092" stopIfTrue="1">
      <formula>NOT(ISBLANK($Q$135))</formula>
    </cfRule>
  </conditionalFormatting>
  <conditionalFormatting sqref="R135">
    <cfRule type="expression" dxfId="6948" priority="60093" stopIfTrue="1">
      <formula>NOT(ISBLANK($R$135))</formula>
    </cfRule>
  </conditionalFormatting>
  <conditionalFormatting sqref="S135">
    <cfRule type="expression" dxfId="6947" priority="60094" stopIfTrue="1">
      <formula>NOT(ISBLANK($S$135))</formula>
    </cfRule>
  </conditionalFormatting>
  <conditionalFormatting sqref="T135">
    <cfRule type="expression" dxfId="6946" priority="60095" stopIfTrue="1">
      <formula>NOT(ISBLANK($T$135))</formula>
    </cfRule>
  </conditionalFormatting>
  <conditionalFormatting sqref="U135">
    <cfRule type="expression" dxfId="6945" priority="60096" stopIfTrue="1">
      <formula>NOT(ISBLANK($U$135))</formula>
    </cfRule>
  </conditionalFormatting>
  <conditionalFormatting sqref="V135">
    <cfRule type="expression" dxfId="6944" priority="60097" stopIfTrue="1">
      <formula>NOT(ISBLANK($V$135))</formula>
    </cfRule>
  </conditionalFormatting>
  <conditionalFormatting sqref="W135">
    <cfRule type="cellIs" dxfId="6943" priority="60098" stopIfTrue="1" operator="notEqual">
      <formula>15</formula>
    </cfRule>
  </conditionalFormatting>
  <conditionalFormatting sqref="X135">
    <cfRule type="cellIs" dxfId="6942" priority="60099" stopIfTrue="1" operator="notEqual">
      <formula>15</formula>
    </cfRule>
  </conditionalFormatting>
  <conditionalFormatting sqref="Y135">
    <cfRule type="cellIs" dxfId="6941" priority="60100" stopIfTrue="1" operator="notEqual">
      <formula>7.8</formula>
    </cfRule>
  </conditionalFormatting>
  <conditionalFormatting sqref="Z135">
    <cfRule type="cellIs" dxfId="6940" priority="60101" stopIfTrue="1" operator="notEqual">
      <formula>168</formula>
    </cfRule>
  </conditionalFormatting>
  <conditionalFormatting sqref="AA135">
    <cfRule type="cellIs" dxfId="6939" priority="60102" stopIfTrue="1" operator="notEqual">
      <formula>"POTW"</formula>
    </cfRule>
  </conditionalFormatting>
  <conditionalFormatting sqref="AB135">
    <cfRule type="cellIs" dxfId="6938" priority="60103" stopIfTrue="1" operator="notEqual">
      <formula>"holding tank"</formula>
    </cfRule>
  </conditionalFormatting>
  <conditionalFormatting sqref="AC135">
    <cfRule type="cellIs" dxfId="6937" priority="60104" stopIfTrue="1" operator="notEqual">
      <formula>"eductors"</formula>
    </cfRule>
  </conditionalFormatting>
  <conditionalFormatting sqref="AD135">
    <cfRule type="cellIs" dxfId="6936" priority="60105" stopIfTrue="1" operator="notEqual">
      <formula>"non-hazardous"</formula>
    </cfRule>
  </conditionalFormatting>
  <conditionalFormatting sqref="AE135">
    <cfRule type="expression" dxfId="6935" priority="60106" stopIfTrue="1">
      <formula>NOT(ISBLANK($AE$135))</formula>
    </cfRule>
  </conditionalFormatting>
  <conditionalFormatting sqref="AF135">
    <cfRule type="cellIs" dxfId="6934" priority="60107" stopIfTrue="1" operator="notEqual">
      <formula>0</formula>
    </cfRule>
  </conditionalFormatting>
  <conditionalFormatting sqref="AG135">
    <cfRule type="expression" dxfId="6933" priority="60108" stopIfTrue="1">
      <formula>NOT(ISBLANK($AG$135))</formula>
    </cfRule>
  </conditionalFormatting>
  <conditionalFormatting sqref="AH135">
    <cfRule type="expression" dxfId="6932" priority="60109" stopIfTrue="1">
      <formula>NOT(ISBLANK($AH$135))</formula>
    </cfRule>
  </conditionalFormatting>
  <conditionalFormatting sqref="AI135">
    <cfRule type="cellIs" dxfId="6931" priority="60110" stopIfTrue="1" operator="notEqual">
      <formula>"fully automated"</formula>
    </cfRule>
  </conditionalFormatting>
  <conditionalFormatting sqref="AJ135">
    <cfRule type="expression" dxfId="6930" priority="60111" stopIfTrue="1">
      <formula>NOT(ISBLANK($AJ$135))</formula>
    </cfRule>
  </conditionalFormatting>
  <conditionalFormatting sqref="AK135">
    <cfRule type="expression" dxfId="6929" priority="60112" stopIfTrue="1">
      <formula>NOT(ISBLANK($AK$135))</formula>
    </cfRule>
  </conditionalFormatting>
  <conditionalFormatting sqref="AL135">
    <cfRule type="expression" dxfId="6928" priority="60113" stopIfTrue="1">
      <formula>NOT(ISBLANK($AL$135))</formula>
    </cfRule>
  </conditionalFormatting>
  <conditionalFormatting sqref="AM135">
    <cfRule type="expression" dxfId="6927" priority="60114" stopIfTrue="1">
      <formula>NOT(ISBLANK($AM$135))</formula>
    </cfRule>
  </conditionalFormatting>
  <conditionalFormatting sqref="AN135">
    <cfRule type="expression" dxfId="6926" priority="60115" stopIfTrue="1">
      <formula>NOT(ISBLANK($AN$135))</formula>
    </cfRule>
  </conditionalFormatting>
  <conditionalFormatting sqref="AO135">
    <cfRule type="expression" dxfId="6925" priority="60116" stopIfTrue="1">
      <formula>NOT(ISBLANK($AO$135))</formula>
    </cfRule>
  </conditionalFormatting>
  <conditionalFormatting sqref="AP135">
    <cfRule type="expression" dxfId="6924" priority="60117" stopIfTrue="1">
      <formula>NOT(ISBLANK($AP$135))</formula>
    </cfRule>
  </conditionalFormatting>
  <conditionalFormatting sqref="AQ135">
    <cfRule type="expression" dxfId="6923" priority="60118" stopIfTrue="1">
      <formula>NOT(ISBLANK($AQ$135))</formula>
    </cfRule>
  </conditionalFormatting>
  <conditionalFormatting sqref="A136">
    <cfRule type="cellIs" dxfId="6922" priority="60119" stopIfTrue="1" operator="notEqual">
      <formula>8</formula>
    </cfRule>
  </conditionalFormatting>
  <conditionalFormatting sqref="B136">
    <cfRule type="cellIs" dxfId="6921" priority="60120" stopIfTrue="1" operator="notEqual">
      <formula>2</formula>
    </cfRule>
  </conditionalFormatting>
  <conditionalFormatting sqref="C136">
    <cfRule type="cellIs" dxfId="6920" priority="60121" stopIfTrue="1" operator="notEqual">
      <formula>8</formula>
    </cfRule>
  </conditionalFormatting>
  <conditionalFormatting sqref="D136">
    <cfRule type="cellIs" dxfId="6919" priority="60122" stopIfTrue="1" operator="notEqual">
      <formula>75.072</formula>
    </cfRule>
  </conditionalFormatting>
  <conditionalFormatting sqref="E136">
    <cfRule type="cellIs" dxfId="6918" priority="60123" stopIfTrue="1" operator="notEqual">
      <formula>"MGD"</formula>
    </cfRule>
  </conditionalFormatting>
  <conditionalFormatting sqref="F136">
    <cfRule type="cellIs" dxfId="6917" priority="60124" stopIfTrue="1" operator="notEqual">
      <formula>37.536</formula>
    </cfRule>
  </conditionalFormatting>
  <conditionalFormatting sqref="G136">
    <cfRule type="cellIs" dxfId="6916" priority="60125" stopIfTrue="1" operator="notEqual">
      <formula>"MGD"</formula>
    </cfRule>
  </conditionalFormatting>
  <conditionalFormatting sqref="H136">
    <cfRule type="cellIs" dxfId="6915" priority="60126" stopIfTrue="1" operator="notEqual">
      <formula>"regeneration off-site (non-hazardous)"</formula>
    </cfRule>
  </conditionalFormatting>
  <conditionalFormatting sqref="I136">
    <cfRule type="cellIs" dxfId="6914" priority="60127" stopIfTrue="1" operator="notEqual">
      <formula>"carbon life value- bed volumes"</formula>
    </cfRule>
  </conditionalFormatting>
  <conditionalFormatting sqref="J136">
    <cfRule type="cellIs" dxfId="6913" priority="60128" stopIfTrue="1" operator="notEqual">
      <formula>21600</formula>
    </cfRule>
  </conditionalFormatting>
  <conditionalFormatting sqref="K136">
    <cfRule type="expression" dxfId="6912" priority="60129" stopIfTrue="1">
      <formula>NOT(ISBLANK($K$136))</formula>
    </cfRule>
  </conditionalFormatting>
  <conditionalFormatting sqref="L136">
    <cfRule type="expression" dxfId="6911" priority="60130" stopIfTrue="1">
      <formula>NOT(ISBLANK($L$136))</formula>
    </cfRule>
  </conditionalFormatting>
  <conditionalFormatting sqref="M136">
    <cfRule type="expression" dxfId="6910" priority="60131" stopIfTrue="1">
      <formula>NOT(ISBLANK($M$136))</formula>
    </cfRule>
  </conditionalFormatting>
  <conditionalFormatting sqref="N136">
    <cfRule type="cellIs" dxfId="6909" priority="60132" stopIfTrue="1" operator="notEqual">
      <formula>"EBCT"</formula>
    </cfRule>
  </conditionalFormatting>
  <conditionalFormatting sqref="O136">
    <cfRule type="cellIs" dxfId="6908" priority="60133" stopIfTrue="1" operator="notEqual">
      <formula>7.5</formula>
    </cfRule>
  </conditionalFormatting>
  <conditionalFormatting sqref="P136">
    <cfRule type="expression" dxfId="6907" priority="60134" stopIfTrue="1">
      <formula>NOT(ISBLANK($P$136))</formula>
    </cfRule>
  </conditionalFormatting>
  <conditionalFormatting sqref="Q136">
    <cfRule type="expression" dxfId="6906" priority="60135" stopIfTrue="1">
      <formula>NOT(ISBLANK($Q$136))</formula>
    </cfRule>
  </conditionalFormatting>
  <conditionalFormatting sqref="R136">
    <cfRule type="expression" dxfId="6905" priority="60136" stopIfTrue="1">
      <formula>NOT(ISBLANK($R$136))</formula>
    </cfRule>
  </conditionalFormatting>
  <conditionalFormatting sqref="S136">
    <cfRule type="expression" dxfId="6904" priority="60137" stopIfTrue="1">
      <formula>NOT(ISBLANK($S$136))</formula>
    </cfRule>
  </conditionalFormatting>
  <conditionalFormatting sqref="T136">
    <cfRule type="expression" dxfId="6903" priority="60138" stopIfTrue="1">
      <formula>NOT(ISBLANK($T$136))</formula>
    </cfRule>
  </conditionalFormatting>
  <conditionalFormatting sqref="U136">
    <cfRule type="expression" dxfId="6902" priority="60139" stopIfTrue="1">
      <formula>NOT(ISBLANK($U$136))</formula>
    </cfRule>
  </conditionalFormatting>
  <conditionalFormatting sqref="V136">
    <cfRule type="expression" dxfId="6901" priority="60140" stopIfTrue="1">
      <formula>NOT(ISBLANK($V$136))</formula>
    </cfRule>
  </conditionalFormatting>
  <conditionalFormatting sqref="W136">
    <cfRule type="cellIs" dxfId="6900" priority="60141" stopIfTrue="1" operator="notEqual">
      <formula>30</formula>
    </cfRule>
  </conditionalFormatting>
  <conditionalFormatting sqref="X136">
    <cfRule type="cellIs" dxfId="6899" priority="60142" stopIfTrue="1" operator="notEqual">
      <formula>30</formula>
    </cfRule>
  </conditionalFormatting>
  <conditionalFormatting sqref="Y136">
    <cfRule type="cellIs" dxfId="6898" priority="60143" stopIfTrue="1" operator="notEqual">
      <formula>9.7</formula>
    </cfRule>
  </conditionalFormatting>
  <conditionalFormatting sqref="Z136">
    <cfRule type="cellIs" dxfId="6897" priority="60144" stopIfTrue="1" operator="notEqual">
      <formula>168</formula>
    </cfRule>
  </conditionalFormatting>
  <conditionalFormatting sqref="AA136">
    <cfRule type="cellIs" dxfId="6896" priority="60145" stopIfTrue="1" operator="notEqual">
      <formula>"POTW"</formula>
    </cfRule>
  </conditionalFormatting>
  <conditionalFormatting sqref="AB136">
    <cfRule type="cellIs" dxfId="6895" priority="60146" stopIfTrue="1" operator="notEqual">
      <formula>"holding tank"</formula>
    </cfRule>
  </conditionalFormatting>
  <conditionalFormatting sqref="AC136">
    <cfRule type="cellIs" dxfId="6894" priority="60147" stopIfTrue="1" operator="notEqual">
      <formula>"eductors"</formula>
    </cfRule>
  </conditionalFormatting>
  <conditionalFormatting sqref="AD136">
    <cfRule type="cellIs" dxfId="6893" priority="60148" stopIfTrue="1" operator="notEqual">
      <formula>"non-hazardous"</formula>
    </cfRule>
  </conditionalFormatting>
  <conditionalFormatting sqref="AE136">
    <cfRule type="expression" dxfId="6892" priority="60149" stopIfTrue="1">
      <formula>NOT(ISBLANK($AE$136))</formula>
    </cfRule>
  </conditionalFormatting>
  <conditionalFormatting sqref="AF136">
    <cfRule type="cellIs" dxfId="6891" priority="60150" stopIfTrue="1" operator="notEqual">
      <formula>0</formula>
    </cfRule>
  </conditionalFormatting>
  <conditionalFormatting sqref="AG136">
    <cfRule type="expression" dxfId="6890" priority="60151" stopIfTrue="1">
      <formula>NOT(ISBLANK($AG$136))</formula>
    </cfRule>
  </conditionalFormatting>
  <conditionalFormatting sqref="AH136">
    <cfRule type="expression" dxfId="6889" priority="60152" stopIfTrue="1">
      <formula>NOT(ISBLANK($AH$136))</formula>
    </cfRule>
  </conditionalFormatting>
  <conditionalFormatting sqref="AI136">
    <cfRule type="cellIs" dxfId="6888" priority="60153" stopIfTrue="1" operator="notEqual">
      <formula>"fully automated"</formula>
    </cfRule>
  </conditionalFormatting>
  <conditionalFormatting sqref="AJ136">
    <cfRule type="expression" dxfId="6887" priority="60154" stopIfTrue="1">
      <formula>NOT(ISBLANK($AJ$136))</formula>
    </cfRule>
  </conditionalFormatting>
  <conditionalFormatting sqref="AK136">
    <cfRule type="expression" dxfId="6886" priority="60155" stopIfTrue="1">
      <formula>NOT(ISBLANK($AK$136))</formula>
    </cfRule>
  </conditionalFormatting>
  <conditionalFormatting sqref="AL136">
    <cfRule type="expression" dxfId="6885" priority="60156" stopIfTrue="1">
      <formula>NOT(ISBLANK($AL$136))</formula>
    </cfRule>
  </conditionalFormatting>
  <conditionalFormatting sqref="AM136">
    <cfRule type="expression" dxfId="6884" priority="60157" stopIfTrue="1">
      <formula>NOT(ISBLANK($AM$136))</formula>
    </cfRule>
  </conditionalFormatting>
  <conditionalFormatting sqref="AN136">
    <cfRule type="expression" dxfId="6883" priority="60158" stopIfTrue="1">
      <formula>NOT(ISBLANK($AN$136))</formula>
    </cfRule>
  </conditionalFormatting>
  <conditionalFormatting sqref="AO136">
    <cfRule type="expression" dxfId="6882" priority="60159" stopIfTrue="1">
      <formula>NOT(ISBLANK($AO$136))</formula>
    </cfRule>
  </conditionalFormatting>
  <conditionalFormatting sqref="AP136">
    <cfRule type="expression" dxfId="6881" priority="60160" stopIfTrue="1">
      <formula>NOT(ISBLANK($AP$136))</formula>
    </cfRule>
  </conditionalFormatting>
  <conditionalFormatting sqref="AQ136">
    <cfRule type="expression" dxfId="6880" priority="60161" stopIfTrue="1">
      <formula>NOT(ISBLANK($AQ$136))</formula>
    </cfRule>
  </conditionalFormatting>
  <conditionalFormatting sqref="A137">
    <cfRule type="cellIs" dxfId="6879" priority="60162" stopIfTrue="1" operator="notEqual">
      <formula>9</formula>
    </cfRule>
  </conditionalFormatting>
  <conditionalFormatting sqref="B137">
    <cfRule type="cellIs" dxfId="6878" priority="60163" stopIfTrue="1" operator="notEqual">
      <formula>1</formula>
    </cfRule>
  </conditionalFormatting>
  <conditionalFormatting sqref="C137">
    <cfRule type="cellIs" dxfId="6877" priority="60164" stopIfTrue="1" operator="notEqual">
      <formula>1</formula>
    </cfRule>
  </conditionalFormatting>
  <conditionalFormatting sqref="D137">
    <cfRule type="cellIs" dxfId="6876" priority="60165" stopIfTrue="1" operator="notEqual">
      <formula>0.03</formula>
    </cfRule>
  </conditionalFormatting>
  <conditionalFormatting sqref="E137">
    <cfRule type="cellIs" dxfId="6875" priority="60166" stopIfTrue="1" operator="notEqual">
      <formula>"MGD"</formula>
    </cfRule>
  </conditionalFormatting>
  <conditionalFormatting sqref="F137">
    <cfRule type="cellIs" dxfId="6874" priority="60167" stopIfTrue="1" operator="notEqual">
      <formula>0.007</formula>
    </cfRule>
  </conditionalFormatting>
  <conditionalFormatting sqref="G137">
    <cfRule type="cellIs" dxfId="6873" priority="60168" stopIfTrue="1" operator="notEqual">
      <formula>"MGD"</formula>
    </cfRule>
  </conditionalFormatting>
  <conditionalFormatting sqref="H137">
    <cfRule type="cellIs" dxfId="6872" priority="60169" stopIfTrue="1" operator="notEqual">
      <formula>"regeneration off-site (non-hazardous)"</formula>
    </cfRule>
  </conditionalFormatting>
  <conditionalFormatting sqref="I137">
    <cfRule type="cellIs" dxfId="6871" priority="60170" stopIfTrue="1" operator="notEqual">
      <formula>"carbon life value- bed volumes"</formula>
    </cfRule>
  </conditionalFormatting>
  <conditionalFormatting sqref="J137">
    <cfRule type="cellIs" dxfId="6870" priority="60171" stopIfTrue="1" operator="notEqual">
      <formula>21600</formula>
    </cfRule>
  </conditionalFormatting>
  <conditionalFormatting sqref="K137">
    <cfRule type="expression" dxfId="6869" priority="60172" stopIfTrue="1">
      <formula>NOT(ISBLANK($K$137))</formula>
    </cfRule>
  </conditionalFormatting>
  <conditionalFormatting sqref="L137">
    <cfRule type="expression" dxfId="6868" priority="60173" stopIfTrue="1">
      <formula>NOT(ISBLANK($L$137))</formula>
    </cfRule>
  </conditionalFormatting>
  <conditionalFormatting sqref="M137">
    <cfRule type="expression" dxfId="6867" priority="60174" stopIfTrue="1">
      <formula>NOT(ISBLANK($M$137))</formula>
    </cfRule>
  </conditionalFormatting>
  <conditionalFormatting sqref="N137">
    <cfRule type="cellIs" dxfId="6866" priority="60175" stopIfTrue="1" operator="notEqual">
      <formula>"EBCT"</formula>
    </cfRule>
  </conditionalFormatting>
  <conditionalFormatting sqref="O137">
    <cfRule type="cellIs" dxfId="6865" priority="60176" stopIfTrue="1" operator="notEqual">
      <formula>7.5</formula>
    </cfRule>
  </conditionalFormatting>
  <conditionalFormatting sqref="P137">
    <cfRule type="expression" dxfId="6864" priority="60177" stopIfTrue="1">
      <formula>NOT(ISBLANK($P$137))</formula>
    </cfRule>
  </conditionalFormatting>
  <conditionalFormatting sqref="Q137">
    <cfRule type="expression" dxfId="6863" priority="60178" stopIfTrue="1">
      <formula>NOT(ISBLANK($Q$137))</formula>
    </cfRule>
  </conditionalFormatting>
  <conditionalFormatting sqref="R137">
    <cfRule type="cellIs" dxfId="6862" priority="60179" stopIfTrue="1" operator="notEqual">
      <formula>1</formula>
    </cfRule>
  </conditionalFormatting>
  <conditionalFormatting sqref="S137">
    <cfRule type="cellIs" dxfId="6861" priority="60180" stopIfTrue="1" operator="notEqual">
      <formula>3.4</formula>
    </cfRule>
  </conditionalFormatting>
  <conditionalFormatting sqref="T137">
    <cfRule type="cellIs" dxfId="6860" priority="60181" stopIfTrue="1" operator="notEqual">
      <formula>"upright"</formula>
    </cfRule>
  </conditionalFormatting>
  <conditionalFormatting sqref="U137">
    <cfRule type="cellIs" dxfId="6859" priority="60182" stopIfTrue="1" operator="notEqual">
      <formula>6</formula>
    </cfRule>
  </conditionalFormatting>
  <conditionalFormatting sqref="V137">
    <cfRule type="cellIs" dxfId="6858" priority="60183" stopIfTrue="1" operator="notEqual">
      <formula>2</formula>
    </cfRule>
  </conditionalFormatting>
  <conditionalFormatting sqref="W137">
    <cfRule type="expression" dxfId="6857" priority="60184" stopIfTrue="1">
      <formula>NOT(ISBLANK($W$137))</formula>
    </cfRule>
  </conditionalFormatting>
  <conditionalFormatting sqref="X137">
    <cfRule type="expression" dxfId="6856" priority="60185" stopIfTrue="1">
      <formula>NOT(ISBLANK($X$137))</formula>
    </cfRule>
  </conditionalFormatting>
  <conditionalFormatting sqref="Y137">
    <cfRule type="expression" dxfId="6855" priority="60186" stopIfTrue="1">
      <formula>NOT(ISBLANK($Y$137))</formula>
    </cfRule>
  </conditionalFormatting>
  <conditionalFormatting sqref="Z137">
    <cfRule type="cellIs" dxfId="6854" priority="60187" stopIfTrue="1" operator="notEqual">
      <formula>168</formula>
    </cfRule>
  </conditionalFormatting>
  <conditionalFormatting sqref="AA137">
    <cfRule type="cellIs" dxfId="6853" priority="60188" stopIfTrue="1" operator="notEqual">
      <formula>"POTW"</formula>
    </cfRule>
  </conditionalFormatting>
  <conditionalFormatting sqref="AB137">
    <cfRule type="cellIs" dxfId="6852" priority="60189" stopIfTrue="1" operator="notEqual">
      <formula>"no holding tank"</formula>
    </cfRule>
  </conditionalFormatting>
  <conditionalFormatting sqref="AC137">
    <cfRule type="cellIs" dxfId="6851" priority="60190" stopIfTrue="1" operator="notEqual">
      <formula>"manual transfer"</formula>
    </cfRule>
  </conditionalFormatting>
  <conditionalFormatting sqref="AD137">
    <cfRule type="expression" dxfId="6850" priority="60191" stopIfTrue="1">
      <formula>NOT(ISBLANK($AD$137))</formula>
    </cfRule>
  </conditionalFormatting>
  <conditionalFormatting sqref="AE137">
    <cfRule type="expression" dxfId="6849" priority="60192" stopIfTrue="1">
      <formula>NOT(ISBLANK($AE$137))</formula>
    </cfRule>
  </conditionalFormatting>
  <conditionalFormatting sqref="AF137">
    <cfRule type="cellIs" dxfId="6848" priority="60193" stopIfTrue="1" operator="notEqual">
      <formula>0</formula>
    </cfRule>
  </conditionalFormatting>
  <conditionalFormatting sqref="AG137">
    <cfRule type="expression" dxfId="6847" priority="60194" stopIfTrue="1">
      <formula>NOT(ISBLANK($AG$137))</formula>
    </cfRule>
  </conditionalFormatting>
  <conditionalFormatting sqref="AH137">
    <cfRule type="expression" dxfId="6846" priority="60195" stopIfTrue="1">
      <formula>NOT(ISBLANK($AH$137))</formula>
    </cfRule>
  </conditionalFormatting>
  <conditionalFormatting sqref="AI137">
    <cfRule type="cellIs" dxfId="6845" priority="60196" stopIfTrue="1" operator="notEqual">
      <formula>"fully automated"</formula>
    </cfRule>
  </conditionalFormatting>
  <conditionalFormatting sqref="AJ137">
    <cfRule type="expression" dxfId="6844" priority="60197" stopIfTrue="1">
      <formula>NOT(ISBLANK($AJ$137))</formula>
    </cfRule>
  </conditionalFormatting>
  <conditionalFormatting sqref="AK137">
    <cfRule type="expression" dxfId="6843" priority="60198" stopIfTrue="1">
      <formula>NOT(ISBLANK($AK$137))</formula>
    </cfRule>
  </conditionalFormatting>
  <conditionalFormatting sqref="AL137">
    <cfRule type="expression" dxfId="6842" priority="60199" stopIfTrue="1">
      <formula>NOT(ISBLANK($AL$137))</formula>
    </cfRule>
  </conditionalFormatting>
  <conditionalFormatting sqref="AM137">
    <cfRule type="expression" dxfId="6841" priority="60200" stopIfTrue="1">
      <formula>NOT(ISBLANK($AM$137))</formula>
    </cfRule>
  </conditionalFormatting>
  <conditionalFormatting sqref="AN137">
    <cfRule type="expression" dxfId="6840" priority="60201" stopIfTrue="1">
      <formula>NOT(ISBLANK($AN$137))</formula>
    </cfRule>
  </conditionalFormatting>
  <conditionalFormatting sqref="AO137">
    <cfRule type="expression" dxfId="6839" priority="60202" stopIfTrue="1">
      <formula>NOT(ISBLANK($AO$137))</formula>
    </cfRule>
  </conditionalFormatting>
  <conditionalFormatting sqref="AP137">
    <cfRule type="expression" dxfId="6838" priority="60203" stopIfTrue="1">
      <formula>NOT(ISBLANK($AP$137))</formula>
    </cfRule>
  </conditionalFormatting>
  <conditionalFormatting sqref="AQ137">
    <cfRule type="expression" dxfId="6837" priority="60204" stopIfTrue="1">
      <formula>NOT(ISBLANK($AQ$137))</formula>
    </cfRule>
  </conditionalFormatting>
  <conditionalFormatting sqref="A138">
    <cfRule type="cellIs" dxfId="6836" priority="60205" stopIfTrue="1" operator="notEqual">
      <formula>9</formula>
    </cfRule>
  </conditionalFormatting>
  <conditionalFormatting sqref="B138">
    <cfRule type="cellIs" dxfId="6835" priority="60206" stopIfTrue="1" operator="notEqual">
      <formula>1</formula>
    </cfRule>
  </conditionalFormatting>
  <conditionalFormatting sqref="C138">
    <cfRule type="cellIs" dxfId="6834" priority="60207" stopIfTrue="1" operator="notEqual">
      <formula>2</formula>
    </cfRule>
  </conditionalFormatting>
  <conditionalFormatting sqref="D138">
    <cfRule type="cellIs" dxfId="6833" priority="60208" stopIfTrue="1" operator="notEqual">
      <formula>0.124</formula>
    </cfRule>
  </conditionalFormatting>
  <conditionalFormatting sqref="E138">
    <cfRule type="cellIs" dxfId="6832" priority="60209" stopIfTrue="1" operator="notEqual">
      <formula>"MGD"</formula>
    </cfRule>
  </conditionalFormatting>
  <conditionalFormatting sqref="F138">
    <cfRule type="cellIs" dxfId="6831" priority="60210" stopIfTrue="1" operator="notEqual">
      <formula>0.035</formula>
    </cfRule>
  </conditionalFormatting>
  <conditionalFormatting sqref="G138">
    <cfRule type="cellIs" dxfId="6830" priority="60211" stopIfTrue="1" operator="notEqual">
      <formula>"MGD"</formula>
    </cfRule>
  </conditionalFormatting>
  <conditionalFormatting sqref="H138">
    <cfRule type="cellIs" dxfId="6829" priority="60212" stopIfTrue="1" operator="notEqual">
      <formula>"regeneration off-site (non-hazardous)"</formula>
    </cfRule>
  </conditionalFormatting>
  <conditionalFormatting sqref="I138">
    <cfRule type="cellIs" dxfId="6828" priority="60213" stopIfTrue="1" operator="notEqual">
      <formula>"carbon life value- bed volumes"</formula>
    </cfRule>
  </conditionalFormatting>
  <conditionalFormatting sqref="J138">
    <cfRule type="cellIs" dxfId="6827" priority="60214" stopIfTrue="1" operator="notEqual">
      <formula>21600</formula>
    </cfRule>
  </conditionalFormatting>
  <conditionalFormatting sqref="K138">
    <cfRule type="expression" dxfId="6826" priority="60215" stopIfTrue="1">
      <formula>NOT(ISBLANK($K$138))</formula>
    </cfRule>
  </conditionalFormatting>
  <conditionalFormatting sqref="L138">
    <cfRule type="expression" dxfId="6825" priority="60216" stopIfTrue="1">
      <formula>NOT(ISBLANK($L$138))</formula>
    </cfRule>
  </conditionalFormatting>
  <conditionalFormatting sqref="M138">
    <cfRule type="expression" dxfId="6824" priority="60217" stopIfTrue="1">
      <formula>NOT(ISBLANK($M$138))</formula>
    </cfRule>
  </conditionalFormatting>
  <conditionalFormatting sqref="N138">
    <cfRule type="cellIs" dxfId="6823" priority="60218" stopIfTrue="1" operator="notEqual">
      <formula>"EBCT"</formula>
    </cfRule>
  </conditionalFormatting>
  <conditionalFormatting sqref="O138">
    <cfRule type="cellIs" dxfId="6822" priority="60219" stopIfTrue="1" operator="notEqual">
      <formula>7.5</formula>
    </cfRule>
  </conditionalFormatting>
  <conditionalFormatting sqref="P138">
    <cfRule type="expression" dxfId="6821" priority="60220" stopIfTrue="1">
      <formula>NOT(ISBLANK($P$138))</formula>
    </cfRule>
  </conditionalFormatting>
  <conditionalFormatting sqref="Q138">
    <cfRule type="expression" dxfId="6820" priority="60221" stopIfTrue="1">
      <formula>NOT(ISBLANK($Q$138))</formula>
    </cfRule>
  </conditionalFormatting>
  <conditionalFormatting sqref="R138">
    <cfRule type="cellIs" dxfId="6819" priority="60222" stopIfTrue="1" operator="notEqual">
      <formula>1</formula>
    </cfRule>
  </conditionalFormatting>
  <conditionalFormatting sqref="S138">
    <cfRule type="cellIs" dxfId="6818" priority="60223" stopIfTrue="1" operator="notEqual">
      <formula>6.9</formula>
    </cfRule>
  </conditionalFormatting>
  <conditionalFormatting sqref="T138">
    <cfRule type="cellIs" dxfId="6817" priority="60224" stopIfTrue="1" operator="notEqual">
      <formula>"upright"</formula>
    </cfRule>
  </conditionalFormatting>
  <conditionalFormatting sqref="U138">
    <cfRule type="cellIs" dxfId="6816" priority="60225" stopIfTrue="1" operator="notEqual">
      <formula>11</formula>
    </cfRule>
  </conditionalFormatting>
  <conditionalFormatting sqref="V138">
    <cfRule type="cellIs" dxfId="6815" priority="60226" stopIfTrue="1" operator="notEqual">
      <formula>4</formula>
    </cfRule>
  </conditionalFormatting>
  <conditionalFormatting sqref="W138">
    <cfRule type="expression" dxfId="6814" priority="60227" stopIfTrue="1">
      <formula>NOT(ISBLANK($W$138))</formula>
    </cfRule>
  </conditionalFormatting>
  <conditionalFormatting sqref="X138">
    <cfRule type="expression" dxfId="6813" priority="60228" stopIfTrue="1">
      <formula>NOT(ISBLANK($X$138))</formula>
    </cfRule>
  </conditionalFormatting>
  <conditionalFormatting sqref="Y138">
    <cfRule type="expression" dxfId="6812" priority="60229" stopIfTrue="1">
      <formula>NOT(ISBLANK($Y$138))</formula>
    </cfRule>
  </conditionalFormatting>
  <conditionalFormatting sqref="Z138">
    <cfRule type="cellIs" dxfId="6811" priority="60230" stopIfTrue="1" operator="notEqual">
      <formula>168</formula>
    </cfRule>
  </conditionalFormatting>
  <conditionalFormatting sqref="AA138">
    <cfRule type="cellIs" dxfId="6810" priority="60231" stopIfTrue="1" operator="notEqual">
      <formula>"POTW"</formula>
    </cfRule>
  </conditionalFormatting>
  <conditionalFormatting sqref="AB138">
    <cfRule type="cellIs" dxfId="6809" priority="60232" stopIfTrue="1" operator="notEqual">
      <formula>"Holding tank"</formula>
    </cfRule>
  </conditionalFormatting>
  <conditionalFormatting sqref="AC138">
    <cfRule type="cellIs" dxfId="6808" priority="60233" stopIfTrue="1" operator="notEqual">
      <formula>"manual transfer"</formula>
    </cfRule>
  </conditionalFormatting>
  <conditionalFormatting sqref="AD138">
    <cfRule type="cellIs" dxfId="6807" priority="60234" stopIfTrue="1" operator="notEqual">
      <formula>"non-hazardous"</formula>
    </cfRule>
  </conditionalFormatting>
  <conditionalFormatting sqref="AE138">
    <cfRule type="expression" dxfId="6806" priority="60235" stopIfTrue="1">
      <formula>NOT(ISBLANK($AE$138))</formula>
    </cfRule>
  </conditionalFormatting>
  <conditionalFormatting sqref="AF138">
    <cfRule type="cellIs" dxfId="6805" priority="60236" stopIfTrue="1" operator="notEqual">
      <formula>0</formula>
    </cfRule>
  </conditionalFormatting>
  <conditionalFormatting sqref="AG138">
    <cfRule type="expression" dxfId="6804" priority="60237" stopIfTrue="1">
      <formula>NOT(ISBLANK($AG$138))</formula>
    </cfRule>
  </conditionalFormatting>
  <conditionalFormatting sqref="AH138">
    <cfRule type="expression" dxfId="6803" priority="60238" stopIfTrue="1">
      <formula>NOT(ISBLANK($AH$138))</formula>
    </cfRule>
  </conditionalFormatting>
  <conditionalFormatting sqref="AI138">
    <cfRule type="cellIs" dxfId="6802" priority="60239" stopIfTrue="1" operator="notEqual">
      <formula>"fully automated"</formula>
    </cfRule>
  </conditionalFormatting>
  <conditionalFormatting sqref="AJ138">
    <cfRule type="expression" dxfId="6801" priority="60240" stopIfTrue="1">
      <formula>NOT(ISBLANK($AJ$138))</formula>
    </cfRule>
  </conditionalFormatting>
  <conditionalFormatting sqref="AK138">
    <cfRule type="expression" dxfId="6800" priority="60241" stopIfTrue="1">
      <formula>NOT(ISBLANK($AK$138))</formula>
    </cfRule>
  </conditionalFormatting>
  <conditionalFormatting sqref="AL138">
    <cfRule type="expression" dxfId="6799" priority="60242" stopIfTrue="1">
      <formula>NOT(ISBLANK($AL$138))</formula>
    </cfRule>
  </conditionalFormatting>
  <conditionalFormatting sqref="AM138">
    <cfRule type="expression" dxfId="6798" priority="60243" stopIfTrue="1">
      <formula>NOT(ISBLANK($AM$138))</formula>
    </cfRule>
  </conditionalFormatting>
  <conditionalFormatting sqref="AN138">
    <cfRule type="expression" dxfId="6797" priority="60244" stopIfTrue="1">
      <formula>NOT(ISBLANK($AN$138))</formula>
    </cfRule>
  </conditionalFormatting>
  <conditionalFormatting sqref="AO138">
    <cfRule type="expression" dxfId="6796" priority="60245" stopIfTrue="1">
      <formula>NOT(ISBLANK($AO$138))</formula>
    </cfRule>
  </conditionalFormatting>
  <conditionalFormatting sqref="AP138">
    <cfRule type="expression" dxfId="6795" priority="60246" stopIfTrue="1">
      <formula>NOT(ISBLANK($AP$138))</formula>
    </cfRule>
  </conditionalFormatting>
  <conditionalFormatting sqref="AQ138">
    <cfRule type="expression" dxfId="6794" priority="60247" stopIfTrue="1">
      <formula>NOT(ISBLANK($AQ$138))</formula>
    </cfRule>
  </conditionalFormatting>
  <conditionalFormatting sqref="A139">
    <cfRule type="cellIs" dxfId="6793" priority="60248" stopIfTrue="1" operator="notEqual">
      <formula>9</formula>
    </cfRule>
  </conditionalFormatting>
  <conditionalFormatting sqref="B139">
    <cfRule type="cellIs" dxfId="6792" priority="60249" stopIfTrue="1" operator="notEqual">
      <formula>1</formula>
    </cfRule>
  </conditionalFormatting>
  <conditionalFormatting sqref="C139">
    <cfRule type="cellIs" dxfId="6791" priority="60250" stopIfTrue="1" operator="notEqual">
      <formula>3</formula>
    </cfRule>
  </conditionalFormatting>
  <conditionalFormatting sqref="D139">
    <cfRule type="cellIs" dxfId="6790" priority="60251" stopIfTrue="1" operator="notEqual">
      <formula>0.305</formula>
    </cfRule>
  </conditionalFormatting>
  <conditionalFormatting sqref="E139">
    <cfRule type="cellIs" dxfId="6789" priority="60252" stopIfTrue="1" operator="notEqual">
      <formula>"MGD"</formula>
    </cfRule>
  </conditionalFormatting>
  <conditionalFormatting sqref="F139">
    <cfRule type="cellIs" dxfId="6788" priority="60253" stopIfTrue="1" operator="notEqual">
      <formula>0.094</formula>
    </cfRule>
  </conditionalFormatting>
  <conditionalFormatting sqref="G139">
    <cfRule type="cellIs" dxfId="6787" priority="60254" stopIfTrue="1" operator="notEqual">
      <formula>"MGD"</formula>
    </cfRule>
  </conditionalFormatting>
  <conditionalFormatting sqref="H139">
    <cfRule type="cellIs" dxfId="6786" priority="60255" stopIfTrue="1" operator="notEqual">
      <formula>"regeneration off-site (non-hazardous)"</formula>
    </cfRule>
  </conditionalFormatting>
  <conditionalFormatting sqref="I139">
    <cfRule type="cellIs" dxfId="6785" priority="60256" stopIfTrue="1" operator="notEqual">
      <formula>"carbon life value- bed volumes"</formula>
    </cfRule>
  </conditionalFormatting>
  <conditionalFormatting sqref="J139">
    <cfRule type="cellIs" dxfId="6784" priority="60257" stopIfTrue="1" operator="notEqual">
      <formula>21600</formula>
    </cfRule>
  </conditionalFormatting>
  <conditionalFormatting sqref="K139">
    <cfRule type="expression" dxfId="6783" priority="60258" stopIfTrue="1">
      <formula>NOT(ISBLANK($K$139))</formula>
    </cfRule>
  </conditionalFormatting>
  <conditionalFormatting sqref="L139">
    <cfRule type="expression" dxfId="6782" priority="60259" stopIfTrue="1">
      <formula>NOT(ISBLANK($L$139))</formula>
    </cfRule>
  </conditionalFormatting>
  <conditionalFormatting sqref="M139">
    <cfRule type="expression" dxfId="6781" priority="60260" stopIfTrue="1">
      <formula>NOT(ISBLANK($M$139))</formula>
    </cfRule>
  </conditionalFormatting>
  <conditionalFormatting sqref="N139">
    <cfRule type="cellIs" dxfId="6780" priority="60261" stopIfTrue="1" operator="notEqual">
      <formula>"EBCT"</formula>
    </cfRule>
  </conditionalFormatting>
  <conditionalFormatting sqref="O139">
    <cfRule type="cellIs" dxfId="6779" priority="60262" stopIfTrue="1" operator="notEqual">
      <formula>7.5</formula>
    </cfRule>
  </conditionalFormatting>
  <conditionalFormatting sqref="P139">
    <cfRule type="expression" dxfId="6778" priority="60263" stopIfTrue="1">
      <formula>NOT(ISBLANK($P$139))</formula>
    </cfRule>
  </conditionalFormatting>
  <conditionalFormatting sqref="Q139">
    <cfRule type="expression" dxfId="6777" priority="60264" stopIfTrue="1">
      <formula>NOT(ISBLANK($Q$139))</formula>
    </cfRule>
  </conditionalFormatting>
  <conditionalFormatting sqref="R139">
    <cfRule type="cellIs" dxfId="6776" priority="60265" stopIfTrue="1" operator="notEqual">
      <formula>1</formula>
    </cfRule>
  </conditionalFormatting>
  <conditionalFormatting sqref="S139">
    <cfRule type="cellIs" dxfId="6775" priority="60266" stopIfTrue="1" operator="notEqual">
      <formula>6.7</formula>
    </cfRule>
  </conditionalFormatting>
  <conditionalFormatting sqref="T139">
    <cfRule type="cellIs" dxfId="6774" priority="60267" stopIfTrue="1" operator="notEqual">
      <formula>"upright"</formula>
    </cfRule>
  </conditionalFormatting>
  <conditionalFormatting sqref="U139">
    <cfRule type="cellIs" dxfId="6773" priority="60268" stopIfTrue="1" operator="notEqual">
      <formula>11</formula>
    </cfRule>
  </conditionalFormatting>
  <conditionalFormatting sqref="V139">
    <cfRule type="cellIs" dxfId="6772" priority="60269" stopIfTrue="1" operator="notEqual">
      <formula>4.5</formula>
    </cfRule>
  </conditionalFormatting>
  <conditionalFormatting sqref="W139">
    <cfRule type="expression" dxfId="6771" priority="60270" stopIfTrue="1">
      <formula>NOT(ISBLANK($W$139))</formula>
    </cfRule>
  </conditionalFormatting>
  <conditionalFormatting sqref="X139">
    <cfRule type="expression" dxfId="6770" priority="60271" stopIfTrue="1">
      <formula>NOT(ISBLANK($X$139))</formula>
    </cfRule>
  </conditionalFormatting>
  <conditionalFormatting sqref="Y139">
    <cfRule type="expression" dxfId="6769" priority="60272" stopIfTrue="1">
      <formula>NOT(ISBLANK($Y$139))</formula>
    </cfRule>
  </conditionalFormatting>
  <conditionalFormatting sqref="Z139">
    <cfRule type="cellIs" dxfId="6768" priority="60273" stopIfTrue="1" operator="notEqual">
      <formula>168</formula>
    </cfRule>
  </conditionalFormatting>
  <conditionalFormatting sqref="AA139">
    <cfRule type="cellIs" dxfId="6767" priority="60274" stopIfTrue="1" operator="notEqual">
      <formula>"POTW"</formula>
    </cfRule>
  </conditionalFormatting>
  <conditionalFormatting sqref="AB139">
    <cfRule type="cellIs" dxfId="6766" priority="60275" stopIfTrue="1" operator="notEqual">
      <formula>"Holding tank"</formula>
    </cfRule>
  </conditionalFormatting>
  <conditionalFormatting sqref="AC139">
    <cfRule type="cellIs" dxfId="6765" priority="60276" stopIfTrue="1" operator="notEqual">
      <formula>"manual transfer"</formula>
    </cfRule>
  </conditionalFormatting>
  <conditionalFormatting sqref="AD139">
    <cfRule type="cellIs" dxfId="6764" priority="60277" stopIfTrue="1" operator="notEqual">
      <formula>"non-hazardous"</formula>
    </cfRule>
  </conditionalFormatting>
  <conditionalFormatting sqref="AE139">
    <cfRule type="expression" dxfId="6763" priority="60278" stopIfTrue="1">
      <formula>NOT(ISBLANK($AE$139))</formula>
    </cfRule>
  </conditionalFormatting>
  <conditionalFormatting sqref="AF139">
    <cfRule type="cellIs" dxfId="6762" priority="60279" stopIfTrue="1" operator="notEqual">
      <formula>0</formula>
    </cfRule>
  </conditionalFormatting>
  <conditionalFormatting sqref="AG139">
    <cfRule type="expression" dxfId="6761" priority="60280" stopIfTrue="1">
      <formula>NOT(ISBLANK($AG$139))</formula>
    </cfRule>
  </conditionalFormatting>
  <conditionalFormatting sqref="AH139">
    <cfRule type="expression" dxfId="6760" priority="60281" stopIfTrue="1">
      <formula>NOT(ISBLANK($AH$139))</formula>
    </cfRule>
  </conditionalFormatting>
  <conditionalFormatting sqref="AI139">
    <cfRule type="cellIs" dxfId="6759" priority="60282" stopIfTrue="1" operator="notEqual">
      <formula>"fully automated"</formula>
    </cfRule>
  </conditionalFormatting>
  <conditionalFormatting sqref="AJ139">
    <cfRule type="expression" dxfId="6758" priority="60283" stopIfTrue="1">
      <formula>NOT(ISBLANK($AJ$139))</formula>
    </cfRule>
  </conditionalFormatting>
  <conditionalFormatting sqref="AK139">
    <cfRule type="expression" dxfId="6757" priority="60284" stopIfTrue="1">
      <formula>NOT(ISBLANK($AK$139))</formula>
    </cfRule>
  </conditionalFormatting>
  <conditionalFormatting sqref="AL139">
    <cfRule type="expression" dxfId="6756" priority="60285" stopIfTrue="1">
      <formula>NOT(ISBLANK($AL$139))</formula>
    </cfRule>
  </conditionalFormatting>
  <conditionalFormatting sqref="AM139">
    <cfRule type="expression" dxfId="6755" priority="60286" stopIfTrue="1">
      <formula>NOT(ISBLANK($AM$139))</formula>
    </cfRule>
  </conditionalFormatting>
  <conditionalFormatting sqref="AN139">
    <cfRule type="expression" dxfId="6754" priority="60287" stopIfTrue="1">
      <formula>NOT(ISBLANK($AN$139))</formula>
    </cfRule>
  </conditionalFormatting>
  <conditionalFormatting sqref="AO139">
    <cfRule type="expression" dxfId="6753" priority="60288" stopIfTrue="1">
      <formula>NOT(ISBLANK($AO$139))</formula>
    </cfRule>
  </conditionalFormatting>
  <conditionalFormatting sqref="AP139">
    <cfRule type="expression" dxfId="6752" priority="60289" stopIfTrue="1">
      <formula>NOT(ISBLANK($AP$139))</formula>
    </cfRule>
  </conditionalFormatting>
  <conditionalFormatting sqref="AQ139">
    <cfRule type="expression" dxfId="6751" priority="60290" stopIfTrue="1">
      <formula>NOT(ISBLANK($AQ$139))</formula>
    </cfRule>
  </conditionalFormatting>
  <conditionalFormatting sqref="A140">
    <cfRule type="cellIs" dxfId="6750" priority="60291" stopIfTrue="1" operator="notEqual">
      <formula>9</formula>
    </cfRule>
  </conditionalFormatting>
  <conditionalFormatting sqref="B140">
    <cfRule type="cellIs" dxfId="6749" priority="60292" stopIfTrue="1" operator="notEqual">
      <formula>1</formula>
    </cfRule>
  </conditionalFormatting>
  <conditionalFormatting sqref="C140">
    <cfRule type="cellIs" dxfId="6748" priority="60293" stopIfTrue="1" operator="notEqual">
      <formula>4</formula>
    </cfRule>
  </conditionalFormatting>
  <conditionalFormatting sqref="D140">
    <cfRule type="cellIs" dxfId="6747" priority="60294" stopIfTrue="1" operator="notEqual">
      <formula>0.74</formula>
    </cfRule>
  </conditionalFormatting>
  <conditionalFormatting sqref="E140">
    <cfRule type="cellIs" dxfId="6746" priority="60295" stopIfTrue="1" operator="notEqual">
      <formula>"MGD"</formula>
    </cfRule>
  </conditionalFormatting>
  <conditionalFormatting sqref="F140">
    <cfRule type="cellIs" dxfId="6745" priority="60296" stopIfTrue="1" operator="notEqual">
      <formula>0.251</formula>
    </cfRule>
  </conditionalFormatting>
  <conditionalFormatting sqref="G140">
    <cfRule type="cellIs" dxfId="6744" priority="60297" stopIfTrue="1" operator="notEqual">
      <formula>"MGD"</formula>
    </cfRule>
  </conditionalFormatting>
  <conditionalFormatting sqref="H140">
    <cfRule type="cellIs" dxfId="6743" priority="60298" stopIfTrue="1" operator="notEqual">
      <formula>"regeneration off-site (non-hazardous)"</formula>
    </cfRule>
  </conditionalFormatting>
  <conditionalFormatting sqref="I140">
    <cfRule type="cellIs" dxfId="6742" priority="60299" stopIfTrue="1" operator="notEqual">
      <formula>"carbon life value- bed volumes"</formula>
    </cfRule>
  </conditionalFormatting>
  <conditionalFormatting sqref="J140">
    <cfRule type="cellIs" dxfId="6741" priority="60300" stopIfTrue="1" operator="notEqual">
      <formula>21600</formula>
    </cfRule>
  </conditionalFormatting>
  <conditionalFormatting sqref="K140">
    <cfRule type="expression" dxfId="6740" priority="60301" stopIfTrue="1">
      <formula>NOT(ISBLANK($K$140))</formula>
    </cfRule>
  </conditionalFormatting>
  <conditionalFormatting sqref="L140">
    <cfRule type="expression" dxfId="6739" priority="60302" stopIfTrue="1">
      <formula>NOT(ISBLANK($L$140))</formula>
    </cfRule>
  </conditionalFormatting>
  <conditionalFormatting sqref="M140">
    <cfRule type="expression" dxfId="6738" priority="60303" stopIfTrue="1">
      <formula>NOT(ISBLANK($M$140))</formula>
    </cfRule>
  </conditionalFormatting>
  <conditionalFormatting sqref="N140">
    <cfRule type="cellIs" dxfId="6737" priority="60304" stopIfTrue="1" operator="notEqual">
      <formula>"EBCT"</formula>
    </cfRule>
  </conditionalFormatting>
  <conditionalFormatting sqref="O140">
    <cfRule type="cellIs" dxfId="6736" priority="60305" stopIfTrue="1" operator="notEqual">
      <formula>7.5</formula>
    </cfRule>
  </conditionalFormatting>
  <conditionalFormatting sqref="P140">
    <cfRule type="expression" dxfId="6735" priority="60306" stopIfTrue="1">
      <formula>NOT(ISBLANK($P$140))</formula>
    </cfRule>
  </conditionalFormatting>
  <conditionalFormatting sqref="Q140">
    <cfRule type="expression" dxfId="6734" priority="60307" stopIfTrue="1">
      <formula>NOT(ISBLANK($Q$140))</formula>
    </cfRule>
  </conditionalFormatting>
  <conditionalFormatting sqref="R140">
    <cfRule type="cellIs" dxfId="6733" priority="60308" stopIfTrue="1" operator="notEqual">
      <formula>1</formula>
    </cfRule>
  </conditionalFormatting>
  <conditionalFormatting sqref="S140">
    <cfRule type="cellIs" dxfId="6732" priority="60309" stopIfTrue="1" operator="notEqual">
      <formula>6.7</formula>
    </cfRule>
  </conditionalFormatting>
  <conditionalFormatting sqref="T140">
    <cfRule type="cellIs" dxfId="6731" priority="60310" stopIfTrue="1" operator="notEqual">
      <formula>"upright"</formula>
    </cfRule>
  </conditionalFormatting>
  <conditionalFormatting sqref="U140">
    <cfRule type="cellIs" dxfId="6730" priority="60311" stopIfTrue="1" operator="notEqual">
      <formula>11</formula>
    </cfRule>
  </conditionalFormatting>
  <conditionalFormatting sqref="V140">
    <cfRule type="cellIs" dxfId="6729" priority="60312" stopIfTrue="1" operator="notEqual">
      <formula>7</formula>
    </cfRule>
  </conditionalFormatting>
  <conditionalFormatting sqref="W140">
    <cfRule type="expression" dxfId="6728" priority="60313" stopIfTrue="1">
      <formula>NOT(ISBLANK($W$140))</formula>
    </cfRule>
  </conditionalFormatting>
  <conditionalFormatting sqref="X140">
    <cfRule type="expression" dxfId="6727" priority="60314" stopIfTrue="1">
      <formula>NOT(ISBLANK($X$140))</formula>
    </cfRule>
  </conditionalFormatting>
  <conditionalFormatting sqref="Y140">
    <cfRule type="expression" dxfId="6726" priority="60315" stopIfTrue="1">
      <formula>NOT(ISBLANK($Y$140))</formula>
    </cfRule>
  </conditionalFormatting>
  <conditionalFormatting sqref="Z140">
    <cfRule type="cellIs" dxfId="6725" priority="60316" stopIfTrue="1" operator="notEqual">
      <formula>168</formula>
    </cfRule>
  </conditionalFormatting>
  <conditionalFormatting sqref="AA140">
    <cfRule type="cellIs" dxfId="6724" priority="60317" stopIfTrue="1" operator="notEqual">
      <formula>"POTW"</formula>
    </cfRule>
  </conditionalFormatting>
  <conditionalFormatting sqref="AB140">
    <cfRule type="cellIs" dxfId="6723" priority="60318" stopIfTrue="1" operator="notEqual">
      <formula>"Holding tank"</formula>
    </cfRule>
  </conditionalFormatting>
  <conditionalFormatting sqref="AC140">
    <cfRule type="cellIs" dxfId="6722" priority="60319" stopIfTrue="1" operator="notEqual">
      <formula>"manual transfer"</formula>
    </cfRule>
  </conditionalFormatting>
  <conditionalFormatting sqref="AD140">
    <cfRule type="cellIs" dxfId="6721" priority="60320" stopIfTrue="1" operator="notEqual">
      <formula>"non-hazardous"</formula>
    </cfRule>
  </conditionalFormatting>
  <conditionalFormatting sqref="AE140">
    <cfRule type="expression" dxfId="6720" priority="60321" stopIfTrue="1">
      <formula>NOT(ISBLANK($AE$140))</formula>
    </cfRule>
  </conditionalFormatting>
  <conditionalFormatting sqref="AF140">
    <cfRule type="cellIs" dxfId="6719" priority="60322" stopIfTrue="1" operator="notEqual">
      <formula>0</formula>
    </cfRule>
  </conditionalFormatting>
  <conditionalFormatting sqref="AG140">
    <cfRule type="expression" dxfId="6718" priority="60323" stopIfTrue="1">
      <formula>NOT(ISBLANK($AG$140))</formula>
    </cfRule>
  </conditionalFormatting>
  <conditionalFormatting sqref="AH140">
    <cfRule type="expression" dxfId="6717" priority="60324" stopIfTrue="1">
      <formula>NOT(ISBLANK($AH$140))</formula>
    </cfRule>
  </conditionalFormatting>
  <conditionalFormatting sqref="AI140">
    <cfRule type="cellIs" dxfId="6716" priority="60325" stopIfTrue="1" operator="notEqual">
      <formula>"fully automated"</formula>
    </cfRule>
  </conditionalFormatting>
  <conditionalFormatting sqref="AJ140">
    <cfRule type="expression" dxfId="6715" priority="60326" stopIfTrue="1">
      <formula>NOT(ISBLANK($AJ$140))</formula>
    </cfRule>
  </conditionalFormatting>
  <conditionalFormatting sqref="AK140">
    <cfRule type="expression" dxfId="6714" priority="60327" stopIfTrue="1">
      <formula>NOT(ISBLANK($AK$140))</formula>
    </cfRule>
  </conditionalFormatting>
  <conditionalFormatting sqref="AL140">
    <cfRule type="expression" dxfId="6713" priority="60328" stopIfTrue="1">
      <formula>NOT(ISBLANK($AL$140))</formula>
    </cfRule>
  </conditionalFormatting>
  <conditionalFormatting sqref="AM140">
    <cfRule type="expression" dxfId="6712" priority="60329" stopIfTrue="1">
      <formula>NOT(ISBLANK($AM$140))</formula>
    </cfRule>
  </conditionalFormatting>
  <conditionalFormatting sqref="AN140">
    <cfRule type="expression" dxfId="6711" priority="60330" stopIfTrue="1">
      <formula>NOT(ISBLANK($AN$140))</formula>
    </cfRule>
  </conditionalFormatting>
  <conditionalFormatting sqref="AO140">
    <cfRule type="expression" dxfId="6710" priority="60331" stopIfTrue="1">
      <formula>NOT(ISBLANK($AO$140))</formula>
    </cfRule>
  </conditionalFormatting>
  <conditionalFormatting sqref="AP140">
    <cfRule type="expression" dxfId="6709" priority="60332" stopIfTrue="1">
      <formula>NOT(ISBLANK($AP$140))</formula>
    </cfRule>
  </conditionalFormatting>
  <conditionalFormatting sqref="AQ140">
    <cfRule type="expression" dxfId="6708" priority="60333" stopIfTrue="1">
      <formula>NOT(ISBLANK($AQ$140))</formula>
    </cfRule>
  </conditionalFormatting>
  <conditionalFormatting sqref="A141">
    <cfRule type="cellIs" dxfId="6707" priority="60334" stopIfTrue="1" operator="notEqual">
      <formula>9</formula>
    </cfRule>
  </conditionalFormatting>
  <conditionalFormatting sqref="B141">
    <cfRule type="cellIs" dxfId="6706" priority="60335" stopIfTrue="1" operator="notEqual">
      <formula>1</formula>
    </cfRule>
  </conditionalFormatting>
  <conditionalFormatting sqref="C141">
    <cfRule type="cellIs" dxfId="6705" priority="60336" stopIfTrue="1" operator="notEqual">
      <formula>5</formula>
    </cfRule>
  </conditionalFormatting>
  <conditionalFormatting sqref="D141">
    <cfRule type="cellIs" dxfId="6704" priority="60337" stopIfTrue="1" operator="notEqual">
      <formula>2.152</formula>
    </cfRule>
  </conditionalFormatting>
  <conditionalFormatting sqref="E141">
    <cfRule type="cellIs" dxfId="6703" priority="60338" stopIfTrue="1" operator="notEqual">
      <formula>"MGD"</formula>
    </cfRule>
  </conditionalFormatting>
  <conditionalFormatting sqref="F141">
    <cfRule type="cellIs" dxfId="6702" priority="60339" stopIfTrue="1" operator="notEqual">
      <formula>0.819</formula>
    </cfRule>
  </conditionalFormatting>
  <conditionalFormatting sqref="G141">
    <cfRule type="cellIs" dxfId="6701" priority="60340" stopIfTrue="1" operator="notEqual">
      <formula>"MGD"</formula>
    </cfRule>
  </conditionalFormatting>
  <conditionalFormatting sqref="H141">
    <cfRule type="cellIs" dxfId="6700" priority="60341" stopIfTrue="1" operator="notEqual">
      <formula>"regeneration off-site (non-hazardous)"</formula>
    </cfRule>
  </conditionalFormatting>
  <conditionalFormatting sqref="I141">
    <cfRule type="cellIs" dxfId="6699" priority="60342" stopIfTrue="1" operator="notEqual">
      <formula>"carbon life value- bed volumes"</formula>
    </cfRule>
  </conditionalFormatting>
  <conditionalFormatting sqref="J141">
    <cfRule type="cellIs" dxfId="6698" priority="60343" stopIfTrue="1" operator="notEqual">
      <formula>21600</formula>
    </cfRule>
  </conditionalFormatting>
  <conditionalFormatting sqref="K141">
    <cfRule type="expression" dxfId="6697" priority="60344" stopIfTrue="1">
      <formula>NOT(ISBLANK($K$141))</formula>
    </cfRule>
  </conditionalFormatting>
  <conditionalFormatting sqref="L141">
    <cfRule type="expression" dxfId="6696" priority="60345" stopIfTrue="1">
      <formula>NOT(ISBLANK($L$141))</formula>
    </cfRule>
  </conditionalFormatting>
  <conditionalFormatting sqref="M141">
    <cfRule type="expression" dxfId="6695" priority="60346" stopIfTrue="1">
      <formula>NOT(ISBLANK($M$141))</formula>
    </cfRule>
  </conditionalFormatting>
  <conditionalFormatting sqref="N141">
    <cfRule type="cellIs" dxfId="6694" priority="60347" stopIfTrue="1" operator="notEqual">
      <formula>"EBCT"</formula>
    </cfRule>
  </conditionalFormatting>
  <conditionalFormatting sqref="O141">
    <cfRule type="cellIs" dxfId="6693" priority="60348" stopIfTrue="1" operator="notEqual">
      <formula>7.5</formula>
    </cfRule>
  </conditionalFormatting>
  <conditionalFormatting sqref="P141">
    <cfRule type="expression" dxfId="6692" priority="60349" stopIfTrue="1">
      <formula>NOT(ISBLANK($P$141))</formula>
    </cfRule>
  </conditionalFormatting>
  <conditionalFormatting sqref="Q141">
    <cfRule type="expression" dxfId="6691" priority="60350" stopIfTrue="1">
      <formula>NOT(ISBLANK($Q$141))</formula>
    </cfRule>
  </conditionalFormatting>
  <conditionalFormatting sqref="R141">
    <cfRule type="cellIs" dxfId="6690" priority="60351" stopIfTrue="1" operator="notEqual">
      <formula>1</formula>
    </cfRule>
  </conditionalFormatting>
  <conditionalFormatting sqref="S141">
    <cfRule type="cellIs" dxfId="6689" priority="60352" stopIfTrue="1" operator="notEqual">
      <formula>6.7</formula>
    </cfRule>
  </conditionalFormatting>
  <conditionalFormatting sqref="T141">
    <cfRule type="cellIs" dxfId="6688" priority="60353" stopIfTrue="1" operator="notEqual">
      <formula>"upright"</formula>
    </cfRule>
  </conditionalFormatting>
  <conditionalFormatting sqref="U141">
    <cfRule type="cellIs" dxfId="6687" priority="60354" stopIfTrue="1" operator="notEqual">
      <formula>11</formula>
    </cfRule>
  </conditionalFormatting>
  <conditionalFormatting sqref="V141">
    <cfRule type="cellIs" dxfId="6686" priority="60355" stopIfTrue="1" operator="notEqual">
      <formula>8.5</formula>
    </cfRule>
  </conditionalFormatting>
  <conditionalFormatting sqref="W141">
    <cfRule type="expression" dxfId="6685" priority="60356" stopIfTrue="1">
      <formula>NOT(ISBLANK($W$141))</formula>
    </cfRule>
  </conditionalFormatting>
  <conditionalFormatting sqref="X141">
    <cfRule type="expression" dxfId="6684" priority="60357" stopIfTrue="1">
      <formula>NOT(ISBLANK($X$141))</formula>
    </cfRule>
  </conditionalFormatting>
  <conditionalFormatting sqref="Y141">
    <cfRule type="expression" dxfId="6683" priority="60358" stopIfTrue="1">
      <formula>NOT(ISBLANK($Y$141))</formula>
    </cfRule>
  </conditionalFormatting>
  <conditionalFormatting sqref="Z141">
    <cfRule type="cellIs" dxfId="6682" priority="60359" stopIfTrue="1" operator="notEqual">
      <formula>168</formula>
    </cfRule>
  </conditionalFormatting>
  <conditionalFormatting sqref="AA141">
    <cfRule type="cellIs" dxfId="6681" priority="60360" stopIfTrue="1" operator="notEqual">
      <formula>"POTW"</formula>
    </cfRule>
  </conditionalFormatting>
  <conditionalFormatting sqref="AB141">
    <cfRule type="cellIs" dxfId="6680" priority="60361" stopIfTrue="1" operator="notEqual">
      <formula>"Holding tank"</formula>
    </cfRule>
  </conditionalFormatting>
  <conditionalFormatting sqref="AC141">
    <cfRule type="cellIs" dxfId="6679" priority="60362" stopIfTrue="1" operator="notEqual">
      <formula>"manual transfer"</formula>
    </cfRule>
  </conditionalFormatting>
  <conditionalFormatting sqref="AD141">
    <cfRule type="cellIs" dxfId="6678" priority="60363" stopIfTrue="1" operator="notEqual">
      <formula>"non-hazardous"</formula>
    </cfRule>
  </conditionalFormatting>
  <conditionalFormatting sqref="AE141">
    <cfRule type="expression" dxfId="6677" priority="60364" stopIfTrue="1">
      <formula>NOT(ISBLANK($AE$141))</formula>
    </cfRule>
  </conditionalFormatting>
  <conditionalFormatting sqref="AF141">
    <cfRule type="cellIs" dxfId="6676" priority="60365" stopIfTrue="1" operator="notEqual">
      <formula>0</formula>
    </cfRule>
  </conditionalFormatting>
  <conditionalFormatting sqref="AG141">
    <cfRule type="expression" dxfId="6675" priority="60366" stopIfTrue="1">
      <formula>NOT(ISBLANK($AG$141))</formula>
    </cfRule>
  </conditionalFormatting>
  <conditionalFormatting sqref="AH141">
    <cfRule type="expression" dxfId="6674" priority="60367" stopIfTrue="1">
      <formula>NOT(ISBLANK($AH$141))</formula>
    </cfRule>
  </conditionalFormatting>
  <conditionalFormatting sqref="AI141">
    <cfRule type="cellIs" dxfId="6673" priority="60368" stopIfTrue="1" operator="notEqual">
      <formula>"fully automated"</formula>
    </cfRule>
  </conditionalFormatting>
  <conditionalFormatting sqref="AJ141">
    <cfRule type="expression" dxfId="6672" priority="60369" stopIfTrue="1">
      <formula>NOT(ISBLANK($AJ$141))</formula>
    </cfRule>
  </conditionalFormatting>
  <conditionalFormatting sqref="AK141">
    <cfRule type="expression" dxfId="6671" priority="60370" stopIfTrue="1">
      <formula>NOT(ISBLANK($AK$141))</formula>
    </cfRule>
  </conditionalFormatting>
  <conditionalFormatting sqref="AL141">
    <cfRule type="expression" dxfId="6670" priority="60371" stopIfTrue="1">
      <formula>NOT(ISBLANK($AL$141))</formula>
    </cfRule>
  </conditionalFormatting>
  <conditionalFormatting sqref="AM141">
    <cfRule type="expression" dxfId="6669" priority="60372" stopIfTrue="1">
      <formula>NOT(ISBLANK($AM$141))</formula>
    </cfRule>
  </conditionalFormatting>
  <conditionalFormatting sqref="AN141">
    <cfRule type="expression" dxfId="6668" priority="60373" stopIfTrue="1">
      <formula>NOT(ISBLANK($AN$141))</formula>
    </cfRule>
  </conditionalFormatting>
  <conditionalFormatting sqref="AO141">
    <cfRule type="expression" dxfId="6667" priority="60374" stopIfTrue="1">
      <formula>NOT(ISBLANK($AO$141))</formula>
    </cfRule>
  </conditionalFormatting>
  <conditionalFormatting sqref="AP141">
    <cfRule type="expression" dxfId="6666" priority="60375" stopIfTrue="1">
      <formula>NOT(ISBLANK($AP$141))</formula>
    </cfRule>
  </conditionalFormatting>
  <conditionalFormatting sqref="AQ141">
    <cfRule type="expression" dxfId="6665" priority="60376" stopIfTrue="1">
      <formula>NOT(ISBLANK($AQ$141))</formula>
    </cfRule>
  </conditionalFormatting>
  <conditionalFormatting sqref="A142">
    <cfRule type="cellIs" dxfId="6664" priority="60377" stopIfTrue="1" operator="notEqual">
      <formula>9</formula>
    </cfRule>
  </conditionalFormatting>
  <conditionalFormatting sqref="B142">
    <cfRule type="cellIs" dxfId="6663" priority="60378" stopIfTrue="1" operator="notEqual">
      <formula>1</formula>
    </cfRule>
  </conditionalFormatting>
  <conditionalFormatting sqref="C142">
    <cfRule type="cellIs" dxfId="6662" priority="60379" stopIfTrue="1" operator="notEqual">
      <formula>6</formula>
    </cfRule>
  </conditionalFormatting>
  <conditionalFormatting sqref="D142">
    <cfRule type="cellIs" dxfId="6661" priority="60380" stopIfTrue="1" operator="notEqual">
      <formula>7.365</formula>
    </cfRule>
  </conditionalFormatting>
  <conditionalFormatting sqref="E142">
    <cfRule type="cellIs" dxfId="6660" priority="60381" stopIfTrue="1" operator="notEqual">
      <formula>"MGD"</formula>
    </cfRule>
  </conditionalFormatting>
  <conditionalFormatting sqref="F142">
    <cfRule type="cellIs" dxfId="6659" priority="60382" stopIfTrue="1" operator="notEqual">
      <formula>3.2</formula>
    </cfRule>
  </conditionalFormatting>
  <conditionalFormatting sqref="G142">
    <cfRule type="cellIs" dxfId="6658" priority="60383" stopIfTrue="1" operator="notEqual">
      <formula>"MGD"</formula>
    </cfRule>
  </conditionalFormatting>
  <conditionalFormatting sqref="H142">
    <cfRule type="cellIs" dxfId="6657" priority="60384" stopIfTrue="1" operator="notEqual">
      <formula>"regeneration off-site (non-hazardous)"</formula>
    </cfRule>
  </conditionalFormatting>
  <conditionalFormatting sqref="I142">
    <cfRule type="cellIs" dxfId="6656" priority="60385" stopIfTrue="1" operator="notEqual">
      <formula>"carbon life value- bed volumes"</formula>
    </cfRule>
  </conditionalFormatting>
  <conditionalFormatting sqref="J142">
    <cfRule type="cellIs" dxfId="6655" priority="60386" stopIfTrue="1" operator="notEqual">
      <formula>21600</formula>
    </cfRule>
  </conditionalFormatting>
  <conditionalFormatting sqref="K142">
    <cfRule type="expression" dxfId="6654" priority="60387" stopIfTrue="1">
      <formula>NOT(ISBLANK($K$142))</formula>
    </cfRule>
  </conditionalFormatting>
  <conditionalFormatting sqref="L142">
    <cfRule type="expression" dxfId="6653" priority="60388" stopIfTrue="1">
      <formula>NOT(ISBLANK($L$142))</formula>
    </cfRule>
  </conditionalFormatting>
  <conditionalFormatting sqref="M142">
    <cfRule type="expression" dxfId="6652" priority="60389" stopIfTrue="1">
      <formula>NOT(ISBLANK($M$142))</formula>
    </cfRule>
  </conditionalFormatting>
  <conditionalFormatting sqref="N142">
    <cfRule type="cellIs" dxfId="6651" priority="60390" stopIfTrue="1" operator="notEqual">
      <formula>"EBCT"</formula>
    </cfRule>
  </conditionalFormatting>
  <conditionalFormatting sqref="O142">
    <cfRule type="cellIs" dxfId="6650" priority="60391" stopIfTrue="1" operator="notEqual">
      <formula>7.5</formula>
    </cfRule>
  </conditionalFormatting>
  <conditionalFormatting sqref="P142">
    <cfRule type="expression" dxfId="6649" priority="60392" stopIfTrue="1">
      <formula>NOT(ISBLANK($P$142))</formula>
    </cfRule>
  </conditionalFormatting>
  <conditionalFormatting sqref="Q142">
    <cfRule type="expression" dxfId="6648" priority="60393" stopIfTrue="1">
      <formula>NOT(ISBLANK($Q$142))</formula>
    </cfRule>
  </conditionalFormatting>
  <conditionalFormatting sqref="R142">
    <cfRule type="cellIs" dxfId="6647" priority="60394" stopIfTrue="1" operator="notEqual">
      <formula>1</formula>
    </cfRule>
  </conditionalFormatting>
  <conditionalFormatting sqref="S142">
    <cfRule type="cellIs" dxfId="6646" priority="60395" stopIfTrue="1" operator="notEqual">
      <formula>6.2</formula>
    </cfRule>
  </conditionalFormatting>
  <conditionalFormatting sqref="T142">
    <cfRule type="cellIs" dxfId="6645" priority="60396" stopIfTrue="1" operator="notEqual">
      <formula>"horizontal"</formula>
    </cfRule>
  </conditionalFormatting>
  <conditionalFormatting sqref="U142">
    <cfRule type="cellIs" dxfId="6644" priority="60397" stopIfTrue="1" operator="notEqual">
      <formula>20</formula>
    </cfRule>
  </conditionalFormatting>
  <conditionalFormatting sqref="V142">
    <cfRule type="cellIs" dxfId="6643" priority="60398" stopIfTrue="1" operator="notEqual">
      <formula>14</formula>
    </cfRule>
  </conditionalFormatting>
  <conditionalFormatting sqref="W142">
    <cfRule type="expression" dxfId="6642" priority="60399" stopIfTrue="1">
      <formula>NOT(ISBLANK($W$142))</formula>
    </cfRule>
  </conditionalFormatting>
  <conditionalFormatting sqref="X142">
    <cfRule type="expression" dxfId="6641" priority="60400" stopIfTrue="1">
      <formula>NOT(ISBLANK($X$142))</formula>
    </cfRule>
  </conditionalFormatting>
  <conditionalFormatting sqref="Y142">
    <cfRule type="expression" dxfId="6640" priority="60401" stopIfTrue="1">
      <formula>NOT(ISBLANK($Y$142))</formula>
    </cfRule>
  </conditionalFormatting>
  <conditionalFormatting sqref="Z142">
    <cfRule type="cellIs" dxfId="6639" priority="60402" stopIfTrue="1" operator="notEqual">
      <formula>168</formula>
    </cfRule>
  </conditionalFormatting>
  <conditionalFormatting sqref="AA142">
    <cfRule type="cellIs" dxfId="6638" priority="60403" stopIfTrue="1" operator="notEqual">
      <formula>"POTW"</formula>
    </cfRule>
  </conditionalFormatting>
  <conditionalFormatting sqref="AB142">
    <cfRule type="cellIs" dxfId="6637" priority="60404" stopIfTrue="1" operator="notEqual">
      <formula>"Holding tank"</formula>
    </cfRule>
  </conditionalFormatting>
  <conditionalFormatting sqref="AC142">
    <cfRule type="cellIs" dxfId="6636" priority="60405" stopIfTrue="1" operator="notEqual">
      <formula>"eductors"</formula>
    </cfRule>
  </conditionalFormatting>
  <conditionalFormatting sqref="AD142">
    <cfRule type="cellIs" dxfId="6635" priority="60406" stopIfTrue="1" operator="notEqual">
      <formula>"non-hazardous"</formula>
    </cfRule>
  </conditionalFormatting>
  <conditionalFormatting sqref="AE142">
    <cfRule type="expression" dxfId="6634" priority="60407" stopIfTrue="1">
      <formula>NOT(ISBLANK($AE$142))</formula>
    </cfRule>
  </conditionalFormatting>
  <conditionalFormatting sqref="AF142">
    <cfRule type="cellIs" dxfId="6633" priority="60408" stopIfTrue="1" operator="notEqual">
      <formula>0</formula>
    </cfRule>
  </conditionalFormatting>
  <conditionalFormatting sqref="AG142">
    <cfRule type="expression" dxfId="6632" priority="60409" stopIfTrue="1">
      <formula>NOT(ISBLANK($AG$142))</formula>
    </cfRule>
  </conditionalFormatting>
  <conditionalFormatting sqref="AH142">
    <cfRule type="expression" dxfId="6631" priority="60410" stopIfTrue="1">
      <formula>NOT(ISBLANK($AH$142))</formula>
    </cfRule>
  </conditionalFormatting>
  <conditionalFormatting sqref="AI142">
    <cfRule type="cellIs" dxfId="6630" priority="60411" stopIfTrue="1" operator="notEqual">
      <formula>"fully automated"</formula>
    </cfRule>
  </conditionalFormatting>
  <conditionalFormatting sqref="AJ142">
    <cfRule type="expression" dxfId="6629" priority="60412" stopIfTrue="1">
      <formula>NOT(ISBLANK($AJ$142))</formula>
    </cfRule>
  </conditionalFormatting>
  <conditionalFormatting sqref="AK142">
    <cfRule type="expression" dxfId="6628" priority="60413" stopIfTrue="1">
      <formula>NOT(ISBLANK($AK$142))</formula>
    </cfRule>
  </conditionalFormatting>
  <conditionalFormatting sqref="AL142">
    <cfRule type="expression" dxfId="6627" priority="60414" stopIfTrue="1">
      <formula>NOT(ISBLANK($AL$142))</formula>
    </cfRule>
  </conditionalFormatting>
  <conditionalFormatting sqref="AM142">
    <cfRule type="expression" dxfId="6626" priority="60415" stopIfTrue="1">
      <formula>NOT(ISBLANK($AM$142))</formula>
    </cfRule>
  </conditionalFormatting>
  <conditionalFormatting sqref="AN142">
    <cfRule type="expression" dxfId="6625" priority="60416" stopIfTrue="1">
      <formula>NOT(ISBLANK($AN$142))</formula>
    </cfRule>
  </conditionalFormatting>
  <conditionalFormatting sqref="AO142">
    <cfRule type="expression" dxfId="6624" priority="60417" stopIfTrue="1">
      <formula>NOT(ISBLANK($AO$142))</formula>
    </cfRule>
  </conditionalFormatting>
  <conditionalFormatting sqref="AP142">
    <cfRule type="expression" dxfId="6623" priority="60418" stopIfTrue="1">
      <formula>NOT(ISBLANK($AP$142))</formula>
    </cfRule>
  </conditionalFormatting>
  <conditionalFormatting sqref="AQ142">
    <cfRule type="expression" dxfId="6622" priority="60419" stopIfTrue="1">
      <formula>NOT(ISBLANK($AQ$142))</formula>
    </cfRule>
  </conditionalFormatting>
  <conditionalFormatting sqref="A143">
    <cfRule type="cellIs" dxfId="6621" priority="60420" stopIfTrue="1" operator="notEqual">
      <formula>9</formula>
    </cfRule>
  </conditionalFormatting>
  <conditionalFormatting sqref="B143">
    <cfRule type="cellIs" dxfId="6620" priority="60421" stopIfTrue="1" operator="notEqual">
      <formula>1</formula>
    </cfRule>
  </conditionalFormatting>
  <conditionalFormatting sqref="C143">
    <cfRule type="cellIs" dxfId="6619" priority="60422" stopIfTrue="1" operator="notEqual">
      <formula>7</formula>
    </cfRule>
  </conditionalFormatting>
  <conditionalFormatting sqref="D143">
    <cfRule type="cellIs" dxfId="6618" priority="60423" stopIfTrue="1" operator="notEqual">
      <formula>22.614</formula>
    </cfRule>
  </conditionalFormatting>
  <conditionalFormatting sqref="E143">
    <cfRule type="cellIs" dxfId="6617" priority="60424" stopIfTrue="1" operator="notEqual">
      <formula>"MGD"</formula>
    </cfRule>
  </conditionalFormatting>
  <conditionalFormatting sqref="F143">
    <cfRule type="cellIs" dxfId="6616" priority="60425" stopIfTrue="1" operator="notEqual">
      <formula>11.066</formula>
    </cfRule>
  </conditionalFormatting>
  <conditionalFormatting sqref="G143">
    <cfRule type="cellIs" dxfId="6615" priority="60426" stopIfTrue="1" operator="notEqual">
      <formula>"MGD"</formula>
    </cfRule>
  </conditionalFormatting>
  <conditionalFormatting sqref="H143">
    <cfRule type="cellIs" dxfId="6614" priority="60427" stopIfTrue="1" operator="notEqual">
      <formula>"regeneration off-site (non-hazardous)"</formula>
    </cfRule>
  </conditionalFormatting>
  <conditionalFormatting sqref="I143">
    <cfRule type="cellIs" dxfId="6613" priority="60428" stopIfTrue="1" operator="notEqual">
      <formula>"carbon life value- bed volumes"</formula>
    </cfRule>
  </conditionalFormatting>
  <conditionalFormatting sqref="J143">
    <cfRule type="cellIs" dxfId="6612" priority="60429" stopIfTrue="1" operator="notEqual">
      <formula>21600</formula>
    </cfRule>
  </conditionalFormatting>
  <conditionalFormatting sqref="K143">
    <cfRule type="expression" dxfId="6611" priority="60430" stopIfTrue="1">
      <formula>NOT(ISBLANK($K$143))</formula>
    </cfRule>
  </conditionalFormatting>
  <conditionalFormatting sqref="L143">
    <cfRule type="expression" dxfId="6610" priority="60431" stopIfTrue="1">
      <formula>NOT(ISBLANK($L$143))</formula>
    </cfRule>
  </conditionalFormatting>
  <conditionalFormatting sqref="M143">
    <cfRule type="expression" dxfId="6609" priority="60432" stopIfTrue="1">
      <formula>NOT(ISBLANK($M$143))</formula>
    </cfRule>
  </conditionalFormatting>
  <conditionalFormatting sqref="N143">
    <cfRule type="cellIs" dxfId="6608" priority="60433" stopIfTrue="1" operator="notEqual">
      <formula>"EBCT"</formula>
    </cfRule>
  </conditionalFormatting>
  <conditionalFormatting sqref="O143">
    <cfRule type="cellIs" dxfId="6607" priority="60434" stopIfTrue="1" operator="notEqual">
      <formula>7.5</formula>
    </cfRule>
  </conditionalFormatting>
  <conditionalFormatting sqref="P143">
    <cfRule type="expression" dxfId="6606" priority="60435" stopIfTrue="1">
      <formula>NOT(ISBLANK($P$143))</formula>
    </cfRule>
  </conditionalFormatting>
  <conditionalFormatting sqref="Q143">
    <cfRule type="expression" dxfId="6605" priority="60436" stopIfTrue="1">
      <formula>NOT(ISBLANK($Q$143))</formula>
    </cfRule>
  </conditionalFormatting>
  <conditionalFormatting sqref="R143">
    <cfRule type="cellIs" dxfId="6604" priority="60437" stopIfTrue="1" operator="notEqual">
      <formula>1</formula>
    </cfRule>
  </conditionalFormatting>
  <conditionalFormatting sqref="S143">
    <cfRule type="cellIs" dxfId="6603" priority="60438" stopIfTrue="1" operator="notEqual">
      <formula>7.1</formula>
    </cfRule>
  </conditionalFormatting>
  <conditionalFormatting sqref="T143">
    <cfRule type="cellIs" dxfId="6602" priority="60439" stopIfTrue="1" operator="notEqual">
      <formula>"horizontal"</formula>
    </cfRule>
  </conditionalFormatting>
  <conditionalFormatting sqref="U143">
    <cfRule type="cellIs" dxfId="6601" priority="60440" stopIfTrue="1" operator="notEqual">
      <formula>20</formula>
    </cfRule>
  </conditionalFormatting>
  <conditionalFormatting sqref="V143">
    <cfRule type="cellIs" dxfId="6600" priority="60441" stopIfTrue="1" operator="notEqual">
      <formula>14</formula>
    </cfRule>
  </conditionalFormatting>
  <conditionalFormatting sqref="W143">
    <cfRule type="expression" dxfId="6599" priority="60442" stopIfTrue="1">
      <formula>NOT(ISBLANK($W$143))</formula>
    </cfRule>
  </conditionalFormatting>
  <conditionalFormatting sqref="X143">
    <cfRule type="expression" dxfId="6598" priority="60443" stopIfTrue="1">
      <formula>NOT(ISBLANK($X$143))</formula>
    </cfRule>
  </conditionalFormatting>
  <conditionalFormatting sqref="Y143">
    <cfRule type="expression" dxfId="6597" priority="60444" stopIfTrue="1">
      <formula>NOT(ISBLANK($Y$143))</formula>
    </cfRule>
  </conditionalFormatting>
  <conditionalFormatting sqref="Z143">
    <cfRule type="cellIs" dxfId="6596" priority="60445" stopIfTrue="1" operator="notEqual">
      <formula>168</formula>
    </cfRule>
  </conditionalFormatting>
  <conditionalFormatting sqref="AA143">
    <cfRule type="cellIs" dxfId="6595" priority="60446" stopIfTrue="1" operator="notEqual">
      <formula>"POTW"</formula>
    </cfRule>
  </conditionalFormatting>
  <conditionalFormatting sqref="AB143">
    <cfRule type="cellIs" dxfId="6594" priority="60447" stopIfTrue="1" operator="notEqual">
      <formula>"Holding tank"</formula>
    </cfRule>
  </conditionalFormatting>
  <conditionalFormatting sqref="AC143">
    <cfRule type="cellIs" dxfId="6593" priority="60448" stopIfTrue="1" operator="notEqual">
      <formula>"eductors"</formula>
    </cfRule>
  </conditionalFormatting>
  <conditionalFormatting sqref="AD143">
    <cfRule type="cellIs" dxfId="6592" priority="60449" stopIfTrue="1" operator="notEqual">
      <formula>"non-hazardous"</formula>
    </cfRule>
  </conditionalFormatting>
  <conditionalFormatting sqref="AE143">
    <cfRule type="expression" dxfId="6591" priority="60450" stopIfTrue="1">
      <formula>NOT(ISBLANK($AE$143))</formula>
    </cfRule>
  </conditionalFormatting>
  <conditionalFormatting sqref="AF143">
    <cfRule type="cellIs" dxfId="6590" priority="60451" stopIfTrue="1" operator="notEqual">
      <formula>0</formula>
    </cfRule>
  </conditionalFormatting>
  <conditionalFormatting sqref="AG143">
    <cfRule type="expression" dxfId="6589" priority="60452" stopIfTrue="1">
      <formula>NOT(ISBLANK($AG$143))</formula>
    </cfRule>
  </conditionalFormatting>
  <conditionalFormatting sqref="AH143">
    <cfRule type="expression" dxfId="6588" priority="60453" stopIfTrue="1">
      <formula>NOT(ISBLANK($AH$143))</formula>
    </cfRule>
  </conditionalFormatting>
  <conditionalFormatting sqref="AI143">
    <cfRule type="cellIs" dxfId="6587" priority="60454" stopIfTrue="1" operator="notEqual">
      <formula>"fully automated"</formula>
    </cfRule>
  </conditionalFormatting>
  <conditionalFormatting sqref="AJ143">
    <cfRule type="expression" dxfId="6586" priority="60455" stopIfTrue="1">
      <formula>NOT(ISBLANK($AJ$143))</formula>
    </cfRule>
  </conditionalFormatting>
  <conditionalFormatting sqref="AK143">
    <cfRule type="expression" dxfId="6585" priority="60456" stopIfTrue="1">
      <formula>NOT(ISBLANK($AK$143))</formula>
    </cfRule>
  </conditionalFormatting>
  <conditionalFormatting sqref="AL143">
    <cfRule type="expression" dxfId="6584" priority="60457" stopIfTrue="1">
      <formula>NOT(ISBLANK($AL$143))</formula>
    </cfRule>
  </conditionalFormatting>
  <conditionalFormatting sqref="AM143">
    <cfRule type="expression" dxfId="6583" priority="60458" stopIfTrue="1">
      <formula>NOT(ISBLANK($AM$143))</formula>
    </cfRule>
  </conditionalFormatting>
  <conditionalFormatting sqref="AN143">
    <cfRule type="expression" dxfId="6582" priority="60459" stopIfTrue="1">
      <formula>NOT(ISBLANK($AN$143))</formula>
    </cfRule>
  </conditionalFormatting>
  <conditionalFormatting sqref="AO143">
    <cfRule type="expression" dxfId="6581" priority="60460" stopIfTrue="1">
      <formula>NOT(ISBLANK($AO$143))</formula>
    </cfRule>
  </conditionalFormatting>
  <conditionalFormatting sqref="AP143">
    <cfRule type="expression" dxfId="6580" priority="60461" stopIfTrue="1">
      <formula>NOT(ISBLANK($AP$143))</formula>
    </cfRule>
  </conditionalFormatting>
  <conditionalFormatting sqref="AQ143">
    <cfRule type="expression" dxfId="6579" priority="60462" stopIfTrue="1">
      <formula>NOT(ISBLANK($AQ$143))</formula>
    </cfRule>
  </conditionalFormatting>
  <conditionalFormatting sqref="A144">
    <cfRule type="cellIs" dxfId="6578" priority="60463" stopIfTrue="1" operator="notEqual">
      <formula>9</formula>
    </cfRule>
  </conditionalFormatting>
  <conditionalFormatting sqref="B144">
    <cfRule type="cellIs" dxfId="6577" priority="60464" stopIfTrue="1" operator="notEqual">
      <formula>1</formula>
    </cfRule>
  </conditionalFormatting>
  <conditionalFormatting sqref="C144">
    <cfRule type="cellIs" dxfId="6576" priority="60465" stopIfTrue="1" operator="notEqual">
      <formula>8</formula>
    </cfRule>
  </conditionalFormatting>
  <conditionalFormatting sqref="D144">
    <cfRule type="cellIs" dxfId="6575" priority="60466" stopIfTrue="1" operator="notEqual">
      <formula>75.072</formula>
    </cfRule>
  </conditionalFormatting>
  <conditionalFormatting sqref="E144">
    <cfRule type="cellIs" dxfId="6574" priority="60467" stopIfTrue="1" operator="notEqual">
      <formula>"MGD"</formula>
    </cfRule>
  </conditionalFormatting>
  <conditionalFormatting sqref="F144">
    <cfRule type="cellIs" dxfId="6573" priority="60468" stopIfTrue="1" operator="notEqual">
      <formula>37.536</formula>
    </cfRule>
  </conditionalFormatting>
  <conditionalFormatting sqref="G144">
    <cfRule type="cellIs" dxfId="6572" priority="60469" stopIfTrue="1" operator="notEqual">
      <formula>"MGD"</formula>
    </cfRule>
  </conditionalFormatting>
  <conditionalFormatting sqref="H144">
    <cfRule type="cellIs" dxfId="6571" priority="60470" stopIfTrue="1" operator="notEqual">
      <formula>"regeneration off-site (non-hazardous)"</formula>
    </cfRule>
  </conditionalFormatting>
  <conditionalFormatting sqref="I144">
    <cfRule type="cellIs" dxfId="6570" priority="60471" stopIfTrue="1" operator="notEqual">
      <formula>"carbon life value- bed volumes"</formula>
    </cfRule>
  </conditionalFormatting>
  <conditionalFormatting sqref="J144">
    <cfRule type="cellIs" dxfId="6569" priority="60472" stopIfTrue="1" operator="notEqual">
      <formula>21600</formula>
    </cfRule>
  </conditionalFormatting>
  <conditionalFormatting sqref="K144">
    <cfRule type="expression" dxfId="6568" priority="60473" stopIfTrue="1">
      <formula>NOT(ISBLANK($K$144))</formula>
    </cfRule>
  </conditionalFormatting>
  <conditionalFormatting sqref="L144">
    <cfRule type="expression" dxfId="6567" priority="60474" stopIfTrue="1">
      <formula>NOT(ISBLANK($L$144))</formula>
    </cfRule>
  </conditionalFormatting>
  <conditionalFormatting sqref="M144">
    <cfRule type="expression" dxfId="6566" priority="60475" stopIfTrue="1">
      <formula>NOT(ISBLANK($M$144))</formula>
    </cfRule>
  </conditionalFormatting>
  <conditionalFormatting sqref="N144">
    <cfRule type="cellIs" dxfId="6565" priority="60476" stopIfTrue="1" operator="notEqual">
      <formula>"EBCT"</formula>
    </cfRule>
  </conditionalFormatting>
  <conditionalFormatting sqref="O144">
    <cfRule type="cellIs" dxfId="6564" priority="60477" stopIfTrue="1" operator="notEqual">
      <formula>7.5</formula>
    </cfRule>
  </conditionalFormatting>
  <conditionalFormatting sqref="P144">
    <cfRule type="expression" dxfId="6563" priority="60478" stopIfTrue="1">
      <formula>NOT(ISBLANK($P$144))</formula>
    </cfRule>
  </conditionalFormatting>
  <conditionalFormatting sqref="Q144">
    <cfRule type="expression" dxfId="6562" priority="60479" stopIfTrue="1">
      <formula>NOT(ISBLANK($Q$144))</formula>
    </cfRule>
  </conditionalFormatting>
  <conditionalFormatting sqref="R144">
    <cfRule type="cellIs" dxfId="6561" priority="60480" stopIfTrue="1" operator="notEqual">
      <formula>1</formula>
    </cfRule>
  </conditionalFormatting>
  <conditionalFormatting sqref="S144">
    <cfRule type="cellIs" dxfId="6560" priority="60481" stopIfTrue="1" operator="notEqual">
      <formula>7.2</formula>
    </cfRule>
  </conditionalFormatting>
  <conditionalFormatting sqref="T144">
    <cfRule type="cellIs" dxfId="6559" priority="60482" stopIfTrue="1" operator="notEqual">
      <formula>"horizontal"</formula>
    </cfRule>
  </conditionalFormatting>
  <conditionalFormatting sqref="U144">
    <cfRule type="cellIs" dxfId="6558" priority="60483" stopIfTrue="1" operator="notEqual">
      <formula>20</formula>
    </cfRule>
  </conditionalFormatting>
  <conditionalFormatting sqref="V144">
    <cfRule type="cellIs" dxfId="6557" priority="60484" stopIfTrue="1" operator="notEqual">
      <formula>14</formula>
    </cfRule>
  </conditionalFormatting>
  <conditionalFormatting sqref="W144">
    <cfRule type="expression" dxfId="6556" priority="60485" stopIfTrue="1">
      <formula>NOT(ISBLANK($W$144))</formula>
    </cfRule>
  </conditionalFormatting>
  <conditionalFormatting sqref="X144">
    <cfRule type="expression" dxfId="6555" priority="60486" stopIfTrue="1">
      <formula>NOT(ISBLANK($X$144))</formula>
    </cfRule>
  </conditionalFormatting>
  <conditionalFormatting sqref="Y144">
    <cfRule type="expression" dxfId="6554" priority="60487" stopIfTrue="1">
      <formula>NOT(ISBLANK($Y$144))</formula>
    </cfRule>
  </conditionalFormatting>
  <conditionalFormatting sqref="Z144">
    <cfRule type="cellIs" dxfId="6553" priority="60488" stopIfTrue="1" operator="notEqual">
      <formula>168</formula>
    </cfRule>
  </conditionalFormatting>
  <conditionalFormatting sqref="AA144">
    <cfRule type="cellIs" dxfId="6552" priority="60489" stopIfTrue="1" operator="notEqual">
      <formula>"POTW"</formula>
    </cfRule>
  </conditionalFormatting>
  <conditionalFormatting sqref="AB144">
    <cfRule type="cellIs" dxfId="6551" priority="60490" stopIfTrue="1" operator="notEqual">
      <formula>"Holding tank"</formula>
    </cfRule>
  </conditionalFormatting>
  <conditionalFormatting sqref="AC144">
    <cfRule type="cellIs" dxfId="6550" priority="60491" stopIfTrue="1" operator="notEqual">
      <formula>"eductors"</formula>
    </cfRule>
  </conditionalFormatting>
  <conditionalFormatting sqref="AD144">
    <cfRule type="cellIs" dxfId="6549" priority="60492" stopIfTrue="1" operator="notEqual">
      <formula>"non-hazardous"</formula>
    </cfRule>
  </conditionalFormatting>
  <conditionalFormatting sqref="AE144">
    <cfRule type="expression" dxfId="6548" priority="60493" stopIfTrue="1">
      <formula>NOT(ISBLANK($AE$144))</formula>
    </cfRule>
  </conditionalFormatting>
  <conditionalFormatting sqref="AF144">
    <cfRule type="cellIs" dxfId="6547" priority="60494" stopIfTrue="1" operator="notEqual">
      <formula>0</formula>
    </cfRule>
  </conditionalFormatting>
  <conditionalFormatting sqref="AG144">
    <cfRule type="expression" dxfId="6546" priority="60495" stopIfTrue="1">
      <formula>NOT(ISBLANK($AG$144))</formula>
    </cfRule>
  </conditionalFormatting>
  <conditionalFormatting sqref="AH144">
    <cfRule type="expression" dxfId="6545" priority="60496" stopIfTrue="1">
      <formula>NOT(ISBLANK($AH$144))</formula>
    </cfRule>
  </conditionalFormatting>
  <conditionalFormatting sqref="AI144">
    <cfRule type="cellIs" dxfId="6544" priority="60497" stopIfTrue="1" operator="notEqual">
      <formula>"fully automated"</formula>
    </cfRule>
  </conditionalFormatting>
  <conditionalFormatting sqref="AJ144">
    <cfRule type="expression" dxfId="6543" priority="60498" stopIfTrue="1">
      <formula>NOT(ISBLANK($AJ$144))</formula>
    </cfRule>
  </conditionalFormatting>
  <conditionalFormatting sqref="AK144">
    <cfRule type="expression" dxfId="6542" priority="60499" stopIfTrue="1">
      <formula>NOT(ISBLANK($AK$144))</formula>
    </cfRule>
  </conditionalFormatting>
  <conditionalFormatting sqref="AL144">
    <cfRule type="expression" dxfId="6541" priority="60500" stopIfTrue="1">
      <formula>NOT(ISBLANK($AL$144))</formula>
    </cfRule>
  </conditionalFormatting>
  <conditionalFormatting sqref="AM144">
    <cfRule type="expression" dxfId="6540" priority="60501" stopIfTrue="1">
      <formula>NOT(ISBLANK($AM$144))</formula>
    </cfRule>
  </conditionalFormatting>
  <conditionalFormatting sqref="AN144">
    <cfRule type="expression" dxfId="6539" priority="60502" stopIfTrue="1">
      <formula>NOT(ISBLANK($AN$144))</formula>
    </cfRule>
  </conditionalFormatting>
  <conditionalFormatting sqref="AO144">
    <cfRule type="expression" dxfId="6538" priority="60503" stopIfTrue="1">
      <formula>NOT(ISBLANK($AO$144))</formula>
    </cfRule>
  </conditionalFormatting>
  <conditionalFormatting sqref="AP144">
    <cfRule type="expression" dxfId="6537" priority="60504" stopIfTrue="1">
      <formula>NOT(ISBLANK($AP$144))</formula>
    </cfRule>
  </conditionalFormatting>
  <conditionalFormatting sqref="AQ144">
    <cfRule type="expression" dxfId="6536" priority="60505" stopIfTrue="1">
      <formula>NOT(ISBLANK($AQ$144))</formula>
    </cfRule>
  </conditionalFormatting>
  <conditionalFormatting sqref="A145">
    <cfRule type="cellIs" dxfId="6535" priority="60506" stopIfTrue="1" operator="notEqual">
      <formula>9</formula>
    </cfRule>
  </conditionalFormatting>
  <conditionalFormatting sqref="B145">
    <cfRule type="cellIs" dxfId="6534" priority="60507" stopIfTrue="1" operator="notEqual">
      <formula>2</formula>
    </cfRule>
  </conditionalFormatting>
  <conditionalFormatting sqref="C145">
    <cfRule type="cellIs" dxfId="6533" priority="60508" stopIfTrue="1" operator="notEqual">
      <formula>1</formula>
    </cfRule>
  </conditionalFormatting>
  <conditionalFormatting sqref="D145">
    <cfRule type="cellIs" dxfId="6532" priority="60509" stopIfTrue="1" operator="notEqual">
      <formula>0.03</formula>
    </cfRule>
  </conditionalFormatting>
  <conditionalFormatting sqref="E145">
    <cfRule type="cellIs" dxfId="6531" priority="60510" stopIfTrue="1" operator="notEqual">
      <formula>"MGD"</formula>
    </cfRule>
  </conditionalFormatting>
  <conditionalFormatting sqref="F145">
    <cfRule type="cellIs" dxfId="6530" priority="60511" stopIfTrue="1" operator="notEqual">
      <formula>0.007</formula>
    </cfRule>
  </conditionalFormatting>
  <conditionalFormatting sqref="G145">
    <cfRule type="cellIs" dxfId="6529" priority="60512" stopIfTrue="1" operator="notEqual">
      <formula>"MGD"</formula>
    </cfRule>
  </conditionalFormatting>
  <conditionalFormatting sqref="H145">
    <cfRule type="cellIs" dxfId="6528" priority="60513" stopIfTrue="1" operator="notEqual">
      <formula>"regeneration off-site (non-hazardous)"</formula>
    </cfRule>
  </conditionalFormatting>
  <conditionalFormatting sqref="I145">
    <cfRule type="cellIs" dxfId="6527" priority="60514" stopIfTrue="1" operator="notEqual">
      <formula>"carbon life value- bed volumes"</formula>
    </cfRule>
  </conditionalFormatting>
  <conditionalFormatting sqref="J145">
    <cfRule type="cellIs" dxfId="6526" priority="60515" stopIfTrue="1" operator="notEqual">
      <formula>21600</formula>
    </cfRule>
  </conditionalFormatting>
  <conditionalFormatting sqref="K145">
    <cfRule type="expression" dxfId="6525" priority="60516" stopIfTrue="1">
      <formula>NOT(ISBLANK($K$145))</formula>
    </cfRule>
  </conditionalFormatting>
  <conditionalFormatting sqref="L145">
    <cfRule type="expression" dxfId="6524" priority="60517" stopIfTrue="1">
      <formula>NOT(ISBLANK($L$145))</formula>
    </cfRule>
  </conditionalFormatting>
  <conditionalFormatting sqref="M145">
    <cfRule type="expression" dxfId="6523" priority="60518" stopIfTrue="1">
      <formula>NOT(ISBLANK($M$145))</formula>
    </cfRule>
  </conditionalFormatting>
  <conditionalFormatting sqref="N145">
    <cfRule type="cellIs" dxfId="6522" priority="60519" stopIfTrue="1" operator="notEqual">
      <formula>"EBCT"</formula>
    </cfRule>
  </conditionalFormatting>
  <conditionalFormatting sqref="O145">
    <cfRule type="cellIs" dxfId="6521" priority="60520" stopIfTrue="1" operator="notEqual">
      <formula>7.5</formula>
    </cfRule>
  </conditionalFormatting>
  <conditionalFormatting sqref="P145">
    <cfRule type="expression" dxfId="6520" priority="60521" stopIfTrue="1">
      <formula>NOT(ISBLANK($P$145))</formula>
    </cfRule>
  </conditionalFormatting>
  <conditionalFormatting sqref="Q145">
    <cfRule type="expression" dxfId="6519" priority="60522" stopIfTrue="1">
      <formula>NOT(ISBLANK($Q$145))</formula>
    </cfRule>
  </conditionalFormatting>
  <conditionalFormatting sqref="R145">
    <cfRule type="expression" dxfId="6518" priority="60523" stopIfTrue="1">
      <formula>NOT(ISBLANK($R$145))</formula>
    </cfRule>
  </conditionalFormatting>
  <conditionalFormatting sqref="S145">
    <cfRule type="expression" dxfId="6517" priority="60524" stopIfTrue="1">
      <formula>NOT(ISBLANK($S$145))</formula>
    </cfRule>
  </conditionalFormatting>
  <conditionalFormatting sqref="T145">
    <cfRule type="expression" dxfId="6516" priority="60525" stopIfTrue="1">
      <formula>NOT(ISBLANK($T$145))</formula>
    </cfRule>
  </conditionalFormatting>
  <conditionalFormatting sqref="U145">
    <cfRule type="expression" dxfId="6515" priority="60526" stopIfTrue="1">
      <formula>NOT(ISBLANK($U$145))</formula>
    </cfRule>
  </conditionalFormatting>
  <conditionalFormatting sqref="V145">
    <cfRule type="expression" dxfId="6514" priority="60527" stopIfTrue="1">
      <formula>NOT(ISBLANK($V$145))</formula>
    </cfRule>
  </conditionalFormatting>
  <conditionalFormatting sqref="W145">
    <cfRule type="cellIs" dxfId="6513" priority="60528" stopIfTrue="1" operator="notEqual">
      <formula>6</formula>
    </cfRule>
  </conditionalFormatting>
  <conditionalFormatting sqref="X145">
    <cfRule type="cellIs" dxfId="6512" priority="60529" stopIfTrue="1" operator="notEqual">
      <formula>6</formula>
    </cfRule>
  </conditionalFormatting>
  <conditionalFormatting sqref="Y145">
    <cfRule type="cellIs" dxfId="6511" priority="60530" stopIfTrue="1" operator="notEqual">
      <formula>3</formula>
    </cfRule>
  </conditionalFormatting>
  <conditionalFormatting sqref="Z145">
    <cfRule type="cellIs" dxfId="6510" priority="60531" stopIfTrue="1" operator="notEqual">
      <formula>168</formula>
    </cfRule>
  </conditionalFormatting>
  <conditionalFormatting sqref="AA145">
    <cfRule type="cellIs" dxfId="6509" priority="60532" stopIfTrue="1" operator="notEqual">
      <formula>"POTW"</formula>
    </cfRule>
  </conditionalFormatting>
  <conditionalFormatting sqref="AB145">
    <cfRule type="cellIs" dxfId="6508" priority="60533" stopIfTrue="1" operator="notEqual">
      <formula>"holding tank"</formula>
    </cfRule>
  </conditionalFormatting>
  <conditionalFormatting sqref="AC145">
    <cfRule type="cellIs" dxfId="6507" priority="60534" stopIfTrue="1" operator="notEqual">
      <formula>"manual transfer"</formula>
    </cfRule>
  </conditionalFormatting>
  <conditionalFormatting sqref="AD145">
    <cfRule type="cellIs" dxfId="6506" priority="60535" stopIfTrue="1" operator="notEqual">
      <formula>"non-hazardous"</formula>
    </cfRule>
  </conditionalFormatting>
  <conditionalFormatting sqref="AE145">
    <cfRule type="expression" dxfId="6505" priority="60536" stopIfTrue="1">
      <formula>NOT(ISBLANK($AE$145))</formula>
    </cfRule>
  </conditionalFormatting>
  <conditionalFormatting sqref="AF145">
    <cfRule type="cellIs" dxfId="6504" priority="60537" stopIfTrue="1" operator="notEqual">
      <formula>0</formula>
    </cfRule>
  </conditionalFormatting>
  <conditionalFormatting sqref="AG145">
    <cfRule type="expression" dxfId="6503" priority="60538" stopIfTrue="1">
      <formula>NOT(ISBLANK($AG$145))</formula>
    </cfRule>
  </conditionalFormatting>
  <conditionalFormatting sqref="AH145">
    <cfRule type="expression" dxfId="6502" priority="60539" stopIfTrue="1">
      <formula>NOT(ISBLANK($AH$145))</formula>
    </cfRule>
  </conditionalFormatting>
  <conditionalFormatting sqref="AI145">
    <cfRule type="cellIs" dxfId="6501" priority="60540" stopIfTrue="1" operator="notEqual">
      <formula>"fully automated"</formula>
    </cfRule>
  </conditionalFormatting>
  <conditionalFormatting sqref="AJ145">
    <cfRule type="expression" dxfId="6500" priority="60541" stopIfTrue="1">
      <formula>NOT(ISBLANK($AJ$145))</formula>
    </cfRule>
  </conditionalFormatting>
  <conditionalFormatting sqref="AK145">
    <cfRule type="expression" dxfId="6499" priority="60542" stopIfTrue="1">
      <formula>NOT(ISBLANK($AK$145))</formula>
    </cfRule>
  </conditionalFormatting>
  <conditionalFormatting sqref="AL145">
    <cfRule type="expression" dxfId="6498" priority="60543" stopIfTrue="1">
      <formula>NOT(ISBLANK($AL$145))</formula>
    </cfRule>
  </conditionalFormatting>
  <conditionalFormatting sqref="AM145">
    <cfRule type="expression" dxfId="6497" priority="60544" stopIfTrue="1">
      <formula>NOT(ISBLANK($AM$145))</formula>
    </cfRule>
  </conditionalFormatting>
  <conditionalFormatting sqref="AN145">
    <cfRule type="expression" dxfId="6496" priority="60545" stopIfTrue="1">
      <formula>NOT(ISBLANK($AN$145))</formula>
    </cfRule>
  </conditionalFormatting>
  <conditionalFormatting sqref="AO145">
    <cfRule type="expression" dxfId="6495" priority="60546" stopIfTrue="1">
      <formula>NOT(ISBLANK($AO$145))</formula>
    </cfRule>
  </conditionalFormatting>
  <conditionalFormatting sqref="AP145">
    <cfRule type="expression" dxfId="6494" priority="60547" stopIfTrue="1">
      <formula>NOT(ISBLANK($AP$145))</formula>
    </cfRule>
  </conditionalFormatting>
  <conditionalFormatting sqref="AQ145">
    <cfRule type="expression" dxfId="6493" priority="60548" stopIfTrue="1">
      <formula>NOT(ISBLANK($AQ$145))</formula>
    </cfRule>
  </conditionalFormatting>
  <conditionalFormatting sqref="A146">
    <cfRule type="cellIs" dxfId="6492" priority="60549" stopIfTrue="1" operator="notEqual">
      <formula>9</formula>
    </cfRule>
  </conditionalFormatting>
  <conditionalFormatting sqref="B146">
    <cfRule type="cellIs" dxfId="6491" priority="60550" stopIfTrue="1" operator="notEqual">
      <formula>2</formula>
    </cfRule>
  </conditionalFormatting>
  <conditionalFormatting sqref="C146">
    <cfRule type="cellIs" dxfId="6490" priority="60551" stopIfTrue="1" operator="notEqual">
      <formula>2</formula>
    </cfRule>
  </conditionalFormatting>
  <conditionalFormatting sqref="D146">
    <cfRule type="cellIs" dxfId="6489" priority="60552" stopIfTrue="1" operator="notEqual">
      <formula>0.124</formula>
    </cfRule>
  </conditionalFormatting>
  <conditionalFormatting sqref="E146">
    <cfRule type="cellIs" dxfId="6488" priority="60553" stopIfTrue="1" operator="notEqual">
      <formula>"MGD"</formula>
    </cfRule>
  </conditionalFormatting>
  <conditionalFormatting sqref="F146">
    <cfRule type="cellIs" dxfId="6487" priority="60554" stopIfTrue="1" operator="notEqual">
      <formula>0.035</formula>
    </cfRule>
  </conditionalFormatting>
  <conditionalFormatting sqref="G146">
    <cfRule type="cellIs" dxfId="6486" priority="60555" stopIfTrue="1" operator="notEqual">
      <formula>"MGD"</formula>
    </cfRule>
  </conditionalFormatting>
  <conditionalFormatting sqref="H146">
    <cfRule type="cellIs" dxfId="6485" priority="60556" stopIfTrue="1" operator="notEqual">
      <formula>"regeneration off-site (non-hazardous)"</formula>
    </cfRule>
  </conditionalFormatting>
  <conditionalFormatting sqref="I146">
    <cfRule type="cellIs" dxfId="6484" priority="60557" stopIfTrue="1" operator="notEqual">
      <formula>"carbon life value- bed volumes"</formula>
    </cfRule>
  </conditionalFormatting>
  <conditionalFormatting sqref="J146">
    <cfRule type="cellIs" dxfId="6483" priority="60558" stopIfTrue="1" operator="notEqual">
      <formula>21600</formula>
    </cfRule>
  </conditionalFormatting>
  <conditionalFormatting sqref="K146">
    <cfRule type="expression" dxfId="6482" priority="60559" stopIfTrue="1">
      <formula>NOT(ISBLANK($K$146))</formula>
    </cfRule>
  </conditionalFormatting>
  <conditionalFormatting sqref="L146">
    <cfRule type="expression" dxfId="6481" priority="60560" stopIfTrue="1">
      <formula>NOT(ISBLANK($L$146))</formula>
    </cfRule>
  </conditionalFormatting>
  <conditionalFormatting sqref="M146">
    <cfRule type="expression" dxfId="6480" priority="60561" stopIfTrue="1">
      <formula>NOT(ISBLANK($M$146))</formula>
    </cfRule>
  </conditionalFormatting>
  <conditionalFormatting sqref="N146">
    <cfRule type="cellIs" dxfId="6479" priority="60562" stopIfTrue="1" operator="notEqual">
      <formula>"EBCT"</formula>
    </cfRule>
  </conditionalFormatting>
  <conditionalFormatting sqref="O146">
    <cfRule type="cellIs" dxfId="6478" priority="60563" stopIfTrue="1" operator="notEqual">
      <formula>7.5</formula>
    </cfRule>
  </conditionalFormatting>
  <conditionalFormatting sqref="P146">
    <cfRule type="expression" dxfId="6477" priority="60564" stopIfTrue="1">
      <formula>NOT(ISBLANK($P$146))</formula>
    </cfRule>
  </conditionalFormatting>
  <conditionalFormatting sqref="Q146">
    <cfRule type="expression" dxfId="6476" priority="60565" stopIfTrue="1">
      <formula>NOT(ISBLANK($Q$146))</formula>
    </cfRule>
  </conditionalFormatting>
  <conditionalFormatting sqref="R146">
    <cfRule type="expression" dxfId="6475" priority="60566" stopIfTrue="1">
      <formula>NOT(ISBLANK($R$146))</formula>
    </cfRule>
  </conditionalFormatting>
  <conditionalFormatting sqref="S146">
    <cfRule type="expression" dxfId="6474" priority="60567" stopIfTrue="1">
      <formula>NOT(ISBLANK($S$146))</formula>
    </cfRule>
  </conditionalFormatting>
  <conditionalFormatting sqref="T146">
    <cfRule type="expression" dxfId="6473" priority="60568" stopIfTrue="1">
      <formula>NOT(ISBLANK($T$146))</formula>
    </cfRule>
  </conditionalFormatting>
  <conditionalFormatting sqref="U146">
    <cfRule type="expression" dxfId="6472" priority="60569" stopIfTrue="1">
      <formula>NOT(ISBLANK($U$146))</formula>
    </cfRule>
  </conditionalFormatting>
  <conditionalFormatting sqref="V146">
    <cfRule type="expression" dxfId="6471" priority="60570" stopIfTrue="1">
      <formula>NOT(ISBLANK($V$146))</formula>
    </cfRule>
  </conditionalFormatting>
  <conditionalFormatting sqref="W146">
    <cfRule type="cellIs" dxfId="6470" priority="60571" stopIfTrue="1" operator="notEqual">
      <formula>6</formula>
    </cfRule>
  </conditionalFormatting>
  <conditionalFormatting sqref="X146">
    <cfRule type="cellIs" dxfId="6469" priority="60572" stopIfTrue="1" operator="notEqual">
      <formula>6</formula>
    </cfRule>
  </conditionalFormatting>
  <conditionalFormatting sqref="Y146">
    <cfRule type="cellIs" dxfId="6468" priority="60573" stopIfTrue="1" operator="notEqual">
      <formula>3</formula>
    </cfRule>
  </conditionalFormatting>
  <conditionalFormatting sqref="Z146">
    <cfRule type="cellIs" dxfId="6467" priority="60574" stopIfTrue="1" operator="notEqual">
      <formula>168</formula>
    </cfRule>
  </conditionalFormatting>
  <conditionalFormatting sqref="AA146">
    <cfRule type="cellIs" dxfId="6466" priority="60575" stopIfTrue="1" operator="notEqual">
      <formula>"POTW"</formula>
    </cfRule>
  </conditionalFormatting>
  <conditionalFormatting sqref="AB146">
    <cfRule type="cellIs" dxfId="6465" priority="60576" stopIfTrue="1" operator="notEqual">
      <formula>"holding tank"</formula>
    </cfRule>
  </conditionalFormatting>
  <conditionalFormatting sqref="AC146">
    <cfRule type="cellIs" dxfId="6464" priority="60577" stopIfTrue="1" operator="notEqual">
      <formula>"manual transfer"</formula>
    </cfRule>
  </conditionalFormatting>
  <conditionalFormatting sqref="AD146">
    <cfRule type="cellIs" dxfId="6463" priority="60578" stopIfTrue="1" operator="notEqual">
      <formula>"non-hazardous"</formula>
    </cfRule>
  </conditionalFormatting>
  <conditionalFormatting sqref="AE146">
    <cfRule type="expression" dxfId="6462" priority="60579" stopIfTrue="1">
      <formula>NOT(ISBLANK($AE$146))</formula>
    </cfRule>
  </conditionalFormatting>
  <conditionalFormatting sqref="AF146">
    <cfRule type="cellIs" dxfId="6461" priority="60580" stopIfTrue="1" operator="notEqual">
      <formula>0</formula>
    </cfRule>
  </conditionalFormatting>
  <conditionalFormatting sqref="AG146">
    <cfRule type="expression" dxfId="6460" priority="60581" stopIfTrue="1">
      <formula>NOT(ISBLANK($AG$146))</formula>
    </cfRule>
  </conditionalFormatting>
  <conditionalFormatting sqref="AH146">
    <cfRule type="expression" dxfId="6459" priority="60582" stopIfTrue="1">
      <formula>NOT(ISBLANK($AH$146))</formula>
    </cfRule>
  </conditionalFormatting>
  <conditionalFormatting sqref="AI146">
    <cfRule type="cellIs" dxfId="6458" priority="60583" stopIfTrue="1" operator="notEqual">
      <formula>"fully automated"</formula>
    </cfRule>
  </conditionalFormatting>
  <conditionalFormatting sqref="AJ146">
    <cfRule type="expression" dxfId="6457" priority="60584" stopIfTrue="1">
      <formula>NOT(ISBLANK($AJ$146))</formula>
    </cfRule>
  </conditionalFormatting>
  <conditionalFormatting sqref="AK146">
    <cfRule type="expression" dxfId="6456" priority="60585" stopIfTrue="1">
      <formula>NOT(ISBLANK($AK$146))</formula>
    </cfRule>
  </conditionalFormatting>
  <conditionalFormatting sqref="AL146">
    <cfRule type="expression" dxfId="6455" priority="60586" stopIfTrue="1">
      <formula>NOT(ISBLANK($AL$146))</formula>
    </cfRule>
  </conditionalFormatting>
  <conditionalFormatting sqref="AM146">
    <cfRule type="expression" dxfId="6454" priority="60587" stopIfTrue="1">
      <formula>NOT(ISBLANK($AM$146))</formula>
    </cfRule>
  </conditionalFormatting>
  <conditionalFormatting sqref="AN146">
    <cfRule type="expression" dxfId="6453" priority="60588" stopIfTrue="1">
      <formula>NOT(ISBLANK($AN$146))</formula>
    </cfRule>
  </conditionalFormatting>
  <conditionalFormatting sqref="AO146">
    <cfRule type="expression" dxfId="6452" priority="60589" stopIfTrue="1">
      <formula>NOT(ISBLANK($AO$146))</formula>
    </cfRule>
  </conditionalFormatting>
  <conditionalFormatting sqref="AP146">
    <cfRule type="expression" dxfId="6451" priority="60590" stopIfTrue="1">
      <formula>NOT(ISBLANK($AP$146))</formula>
    </cfRule>
  </conditionalFormatting>
  <conditionalFormatting sqref="AQ146">
    <cfRule type="expression" dxfId="6450" priority="60591" stopIfTrue="1">
      <formula>NOT(ISBLANK($AQ$146))</formula>
    </cfRule>
  </conditionalFormatting>
  <conditionalFormatting sqref="A147">
    <cfRule type="cellIs" dxfId="6449" priority="60592" stopIfTrue="1" operator="notEqual">
      <formula>9</formula>
    </cfRule>
  </conditionalFormatting>
  <conditionalFormatting sqref="B147">
    <cfRule type="cellIs" dxfId="6448" priority="60593" stopIfTrue="1" operator="notEqual">
      <formula>2</formula>
    </cfRule>
  </conditionalFormatting>
  <conditionalFormatting sqref="C147">
    <cfRule type="cellIs" dxfId="6447" priority="60594" stopIfTrue="1" operator="notEqual">
      <formula>3</formula>
    </cfRule>
  </conditionalFormatting>
  <conditionalFormatting sqref="D147">
    <cfRule type="cellIs" dxfId="6446" priority="60595" stopIfTrue="1" operator="notEqual">
      <formula>0.305</formula>
    </cfRule>
  </conditionalFormatting>
  <conditionalFormatting sqref="E147">
    <cfRule type="cellIs" dxfId="6445" priority="60596" stopIfTrue="1" operator="notEqual">
      <formula>"MGD"</formula>
    </cfRule>
  </conditionalFormatting>
  <conditionalFormatting sqref="F147">
    <cfRule type="cellIs" dxfId="6444" priority="60597" stopIfTrue="1" operator="notEqual">
      <formula>0.094</formula>
    </cfRule>
  </conditionalFormatting>
  <conditionalFormatting sqref="G147">
    <cfRule type="cellIs" dxfId="6443" priority="60598" stopIfTrue="1" operator="notEqual">
      <formula>"MGD"</formula>
    </cfRule>
  </conditionalFormatting>
  <conditionalFormatting sqref="H147">
    <cfRule type="cellIs" dxfId="6442" priority="60599" stopIfTrue="1" operator="notEqual">
      <formula>"regeneration off-site (non-hazardous)"</formula>
    </cfRule>
  </conditionalFormatting>
  <conditionalFormatting sqref="I147">
    <cfRule type="cellIs" dxfId="6441" priority="60600" stopIfTrue="1" operator="notEqual">
      <formula>"carbon life value- bed volumes"</formula>
    </cfRule>
  </conditionalFormatting>
  <conditionalFormatting sqref="J147">
    <cfRule type="cellIs" dxfId="6440" priority="60601" stopIfTrue="1" operator="notEqual">
      <formula>21600</formula>
    </cfRule>
  </conditionalFormatting>
  <conditionalFormatting sqref="K147">
    <cfRule type="expression" dxfId="6439" priority="60602" stopIfTrue="1">
      <formula>NOT(ISBLANK($K$147))</formula>
    </cfRule>
  </conditionalFormatting>
  <conditionalFormatting sqref="L147">
    <cfRule type="expression" dxfId="6438" priority="60603" stopIfTrue="1">
      <formula>NOT(ISBLANK($L$147))</formula>
    </cfRule>
  </conditionalFormatting>
  <conditionalFormatting sqref="M147">
    <cfRule type="expression" dxfId="6437" priority="60604" stopIfTrue="1">
      <formula>NOT(ISBLANK($M$147))</formula>
    </cfRule>
  </conditionalFormatting>
  <conditionalFormatting sqref="N147">
    <cfRule type="cellIs" dxfId="6436" priority="60605" stopIfTrue="1" operator="notEqual">
      <formula>"EBCT"</formula>
    </cfRule>
  </conditionalFormatting>
  <conditionalFormatting sqref="O147">
    <cfRule type="cellIs" dxfId="6435" priority="60606" stopIfTrue="1" operator="notEqual">
      <formula>7.5</formula>
    </cfRule>
  </conditionalFormatting>
  <conditionalFormatting sqref="P147">
    <cfRule type="expression" dxfId="6434" priority="60607" stopIfTrue="1">
      <formula>NOT(ISBLANK($P$147))</formula>
    </cfRule>
  </conditionalFormatting>
  <conditionalFormatting sqref="Q147">
    <cfRule type="expression" dxfId="6433" priority="60608" stopIfTrue="1">
      <formula>NOT(ISBLANK($Q$147))</formula>
    </cfRule>
  </conditionalFormatting>
  <conditionalFormatting sqref="R147">
    <cfRule type="expression" dxfId="6432" priority="60609" stopIfTrue="1">
      <formula>NOT(ISBLANK($R$147))</formula>
    </cfRule>
  </conditionalFormatting>
  <conditionalFormatting sqref="S147">
    <cfRule type="expression" dxfId="6431" priority="60610" stopIfTrue="1">
      <formula>NOT(ISBLANK($S$147))</formula>
    </cfRule>
  </conditionalFormatting>
  <conditionalFormatting sqref="T147">
    <cfRule type="expression" dxfId="6430" priority="60611" stopIfTrue="1">
      <formula>NOT(ISBLANK($T$147))</formula>
    </cfRule>
  </conditionalFormatting>
  <conditionalFormatting sqref="U147">
    <cfRule type="expression" dxfId="6429" priority="60612" stopIfTrue="1">
      <formula>NOT(ISBLANK($U$147))</formula>
    </cfRule>
  </conditionalFormatting>
  <conditionalFormatting sqref="V147">
    <cfRule type="expression" dxfId="6428" priority="60613" stopIfTrue="1">
      <formula>NOT(ISBLANK($V$147))</formula>
    </cfRule>
  </conditionalFormatting>
  <conditionalFormatting sqref="W147">
    <cfRule type="cellIs" dxfId="6427" priority="60614" stopIfTrue="1" operator="notEqual">
      <formula>6</formula>
    </cfRule>
  </conditionalFormatting>
  <conditionalFormatting sqref="X147">
    <cfRule type="cellIs" dxfId="6426" priority="60615" stopIfTrue="1" operator="notEqual">
      <formula>6</formula>
    </cfRule>
  </conditionalFormatting>
  <conditionalFormatting sqref="Y147">
    <cfRule type="cellIs" dxfId="6425" priority="60616" stopIfTrue="1" operator="notEqual">
      <formula>3</formula>
    </cfRule>
  </conditionalFormatting>
  <conditionalFormatting sqref="Z147">
    <cfRule type="cellIs" dxfId="6424" priority="60617" stopIfTrue="1" operator="notEqual">
      <formula>168</formula>
    </cfRule>
  </conditionalFormatting>
  <conditionalFormatting sqref="AA147">
    <cfRule type="cellIs" dxfId="6423" priority="60618" stopIfTrue="1" operator="notEqual">
      <formula>"POTW"</formula>
    </cfRule>
  </conditionalFormatting>
  <conditionalFormatting sqref="AB147">
    <cfRule type="cellIs" dxfId="6422" priority="60619" stopIfTrue="1" operator="notEqual">
      <formula>"holding tank"</formula>
    </cfRule>
  </conditionalFormatting>
  <conditionalFormatting sqref="AC147">
    <cfRule type="cellIs" dxfId="6421" priority="60620" stopIfTrue="1" operator="notEqual">
      <formula>"manual transfer"</formula>
    </cfRule>
  </conditionalFormatting>
  <conditionalFormatting sqref="AD147">
    <cfRule type="cellIs" dxfId="6420" priority="60621" stopIfTrue="1" operator="notEqual">
      <formula>"non-hazardous"</formula>
    </cfRule>
  </conditionalFormatting>
  <conditionalFormatting sqref="AE147">
    <cfRule type="expression" dxfId="6419" priority="60622" stopIfTrue="1">
      <formula>NOT(ISBLANK($AE$147))</formula>
    </cfRule>
  </conditionalFormatting>
  <conditionalFormatting sqref="AF147">
    <cfRule type="cellIs" dxfId="6418" priority="60623" stopIfTrue="1" operator="notEqual">
      <formula>0</formula>
    </cfRule>
  </conditionalFormatting>
  <conditionalFormatting sqref="AG147">
    <cfRule type="expression" dxfId="6417" priority="60624" stopIfTrue="1">
      <formula>NOT(ISBLANK($AG$147))</formula>
    </cfRule>
  </conditionalFormatting>
  <conditionalFormatting sqref="AH147">
    <cfRule type="expression" dxfId="6416" priority="60625" stopIfTrue="1">
      <formula>NOT(ISBLANK($AH$147))</formula>
    </cfRule>
  </conditionalFormatting>
  <conditionalFormatting sqref="AI147">
    <cfRule type="cellIs" dxfId="6415" priority="60626" stopIfTrue="1" operator="notEqual">
      <formula>"fully automated"</formula>
    </cfRule>
  </conditionalFormatting>
  <conditionalFormatting sqref="AJ147">
    <cfRule type="expression" dxfId="6414" priority="60627" stopIfTrue="1">
      <formula>NOT(ISBLANK($AJ$147))</formula>
    </cfRule>
  </conditionalFormatting>
  <conditionalFormatting sqref="AK147">
    <cfRule type="expression" dxfId="6413" priority="60628" stopIfTrue="1">
      <formula>NOT(ISBLANK($AK$147))</formula>
    </cfRule>
  </conditionalFormatting>
  <conditionalFormatting sqref="AL147">
    <cfRule type="expression" dxfId="6412" priority="60629" stopIfTrue="1">
      <formula>NOT(ISBLANK($AL$147))</formula>
    </cfRule>
  </conditionalFormatting>
  <conditionalFormatting sqref="AM147">
    <cfRule type="expression" dxfId="6411" priority="60630" stopIfTrue="1">
      <formula>NOT(ISBLANK($AM$147))</formula>
    </cfRule>
  </conditionalFormatting>
  <conditionalFormatting sqref="AN147">
    <cfRule type="expression" dxfId="6410" priority="60631" stopIfTrue="1">
      <formula>NOT(ISBLANK($AN$147))</formula>
    </cfRule>
  </conditionalFormatting>
  <conditionalFormatting sqref="AO147">
    <cfRule type="expression" dxfId="6409" priority="60632" stopIfTrue="1">
      <formula>NOT(ISBLANK($AO$147))</formula>
    </cfRule>
  </conditionalFormatting>
  <conditionalFormatting sqref="AP147">
    <cfRule type="expression" dxfId="6408" priority="60633" stopIfTrue="1">
      <formula>NOT(ISBLANK($AP$147))</formula>
    </cfRule>
  </conditionalFormatting>
  <conditionalFormatting sqref="AQ147">
    <cfRule type="expression" dxfId="6407" priority="60634" stopIfTrue="1">
      <formula>NOT(ISBLANK($AQ$147))</formula>
    </cfRule>
  </conditionalFormatting>
  <conditionalFormatting sqref="A148">
    <cfRule type="cellIs" dxfId="6406" priority="60635" stopIfTrue="1" operator="notEqual">
      <formula>9</formula>
    </cfRule>
  </conditionalFormatting>
  <conditionalFormatting sqref="B148">
    <cfRule type="cellIs" dxfId="6405" priority="60636" stopIfTrue="1" operator="notEqual">
      <formula>2</formula>
    </cfRule>
  </conditionalFormatting>
  <conditionalFormatting sqref="C148">
    <cfRule type="cellIs" dxfId="6404" priority="60637" stopIfTrue="1" operator="notEqual">
      <formula>4</formula>
    </cfRule>
  </conditionalFormatting>
  <conditionalFormatting sqref="D148">
    <cfRule type="cellIs" dxfId="6403" priority="60638" stopIfTrue="1" operator="notEqual">
      <formula>0.74</formula>
    </cfRule>
  </conditionalFormatting>
  <conditionalFormatting sqref="E148">
    <cfRule type="cellIs" dxfId="6402" priority="60639" stopIfTrue="1" operator="notEqual">
      <formula>"MGD"</formula>
    </cfRule>
  </conditionalFormatting>
  <conditionalFormatting sqref="F148">
    <cfRule type="cellIs" dxfId="6401" priority="60640" stopIfTrue="1" operator="notEqual">
      <formula>0.251</formula>
    </cfRule>
  </conditionalFormatting>
  <conditionalFormatting sqref="G148">
    <cfRule type="cellIs" dxfId="6400" priority="60641" stopIfTrue="1" operator="notEqual">
      <formula>"MGD"</formula>
    </cfRule>
  </conditionalFormatting>
  <conditionalFormatting sqref="H148">
    <cfRule type="cellIs" dxfId="6399" priority="60642" stopIfTrue="1" operator="notEqual">
      <formula>"regeneration off-site (non-hazardous)"</formula>
    </cfRule>
  </conditionalFormatting>
  <conditionalFormatting sqref="I148">
    <cfRule type="cellIs" dxfId="6398" priority="60643" stopIfTrue="1" operator="notEqual">
      <formula>"carbon life value- bed volumes"</formula>
    </cfRule>
  </conditionalFormatting>
  <conditionalFormatting sqref="J148">
    <cfRule type="cellIs" dxfId="6397" priority="60644" stopIfTrue="1" operator="notEqual">
      <formula>21600</formula>
    </cfRule>
  </conditionalFormatting>
  <conditionalFormatting sqref="K148">
    <cfRule type="expression" dxfId="6396" priority="60645" stopIfTrue="1">
      <formula>NOT(ISBLANK($K$148))</formula>
    </cfRule>
  </conditionalFormatting>
  <conditionalFormatting sqref="L148">
    <cfRule type="expression" dxfId="6395" priority="60646" stopIfTrue="1">
      <formula>NOT(ISBLANK($L$148))</formula>
    </cfRule>
  </conditionalFormatting>
  <conditionalFormatting sqref="M148">
    <cfRule type="expression" dxfId="6394" priority="60647" stopIfTrue="1">
      <formula>NOT(ISBLANK($M$148))</formula>
    </cfRule>
  </conditionalFormatting>
  <conditionalFormatting sqref="N148">
    <cfRule type="cellIs" dxfId="6393" priority="60648" stopIfTrue="1" operator="notEqual">
      <formula>"EBCT"</formula>
    </cfRule>
  </conditionalFormatting>
  <conditionalFormatting sqref="O148">
    <cfRule type="cellIs" dxfId="6392" priority="60649" stopIfTrue="1" operator="notEqual">
      <formula>7.5</formula>
    </cfRule>
  </conditionalFormatting>
  <conditionalFormatting sqref="P148">
    <cfRule type="expression" dxfId="6391" priority="60650" stopIfTrue="1">
      <formula>NOT(ISBLANK($P$148))</formula>
    </cfRule>
  </conditionalFormatting>
  <conditionalFormatting sqref="Q148">
    <cfRule type="expression" dxfId="6390" priority="60651" stopIfTrue="1">
      <formula>NOT(ISBLANK($Q$148))</formula>
    </cfRule>
  </conditionalFormatting>
  <conditionalFormatting sqref="R148">
    <cfRule type="expression" dxfId="6389" priority="60652" stopIfTrue="1">
      <formula>NOT(ISBLANK($R$148))</formula>
    </cfRule>
  </conditionalFormatting>
  <conditionalFormatting sqref="S148">
    <cfRule type="expression" dxfId="6388" priority="60653" stopIfTrue="1">
      <formula>NOT(ISBLANK($S$148))</formula>
    </cfRule>
  </conditionalFormatting>
  <conditionalFormatting sqref="T148">
    <cfRule type="expression" dxfId="6387" priority="60654" stopIfTrue="1">
      <formula>NOT(ISBLANK($T$148))</formula>
    </cfRule>
  </conditionalFormatting>
  <conditionalFormatting sqref="U148">
    <cfRule type="expression" dxfId="6386" priority="60655" stopIfTrue="1">
      <formula>NOT(ISBLANK($U$148))</formula>
    </cfRule>
  </conditionalFormatting>
  <conditionalFormatting sqref="V148">
    <cfRule type="expression" dxfId="6385" priority="60656" stopIfTrue="1">
      <formula>NOT(ISBLANK($V$148))</formula>
    </cfRule>
  </conditionalFormatting>
  <conditionalFormatting sqref="W148">
    <cfRule type="cellIs" dxfId="6384" priority="60657" stopIfTrue="1" operator="notEqual">
      <formula>7</formula>
    </cfRule>
  </conditionalFormatting>
  <conditionalFormatting sqref="X148">
    <cfRule type="cellIs" dxfId="6383" priority="60658" stopIfTrue="1" operator="notEqual">
      <formula>7</formula>
    </cfRule>
  </conditionalFormatting>
  <conditionalFormatting sqref="Y148">
    <cfRule type="cellIs" dxfId="6382" priority="60659" stopIfTrue="1" operator="notEqual">
      <formula>5.3</formula>
    </cfRule>
  </conditionalFormatting>
  <conditionalFormatting sqref="Z148">
    <cfRule type="cellIs" dxfId="6381" priority="60660" stopIfTrue="1" operator="notEqual">
      <formula>168</formula>
    </cfRule>
  </conditionalFormatting>
  <conditionalFormatting sqref="AA148">
    <cfRule type="cellIs" dxfId="6380" priority="60661" stopIfTrue="1" operator="notEqual">
      <formula>"POTW"</formula>
    </cfRule>
  </conditionalFormatting>
  <conditionalFormatting sqref="AB148">
    <cfRule type="cellIs" dxfId="6379" priority="60662" stopIfTrue="1" operator="notEqual">
      <formula>"holding tank"</formula>
    </cfRule>
  </conditionalFormatting>
  <conditionalFormatting sqref="AC148">
    <cfRule type="cellIs" dxfId="6378" priority="60663" stopIfTrue="1" operator="notEqual">
      <formula>"manual transfer"</formula>
    </cfRule>
  </conditionalFormatting>
  <conditionalFormatting sqref="AD148">
    <cfRule type="cellIs" dxfId="6377" priority="60664" stopIfTrue="1" operator="notEqual">
      <formula>"non-hazardous"</formula>
    </cfRule>
  </conditionalFormatting>
  <conditionalFormatting sqref="AE148">
    <cfRule type="expression" dxfId="6376" priority="60665" stopIfTrue="1">
      <formula>NOT(ISBLANK($AE$148))</formula>
    </cfRule>
  </conditionalFormatting>
  <conditionalFormatting sqref="AF148">
    <cfRule type="cellIs" dxfId="6375" priority="60666" stopIfTrue="1" operator="notEqual">
      <formula>0</formula>
    </cfRule>
  </conditionalFormatting>
  <conditionalFormatting sqref="AG148">
    <cfRule type="expression" dxfId="6374" priority="60667" stopIfTrue="1">
      <formula>NOT(ISBLANK($AG$148))</formula>
    </cfRule>
  </conditionalFormatting>
  <conditionalFormatting sqref="AH148">
    <cfRule type="expression" dxfId="6373" priority="60668" stopIfTrue="1">
      <formula>NOT(ISBLANK($AH$148))</formula>
    </cfRule>
  </conditionalFormatting>
  <conditionalFormatting sqref="AI148">
    <cfRule type="cellIs" dxfId="6372" priority="60669" stopIfTrue="1" operator="notEqual">
      <formula>"fully automated"</formula>
    </cfRule>
  </conditionalFormatting>
  <conditionalFormatting sqref="AJ148">
    <cfRule type="expression" dxfId="6371" priority="60670" stopIfTrue="1">
      <formula>NOT(ISBLANK($AJ$148))</formula>
    </cfRule>
  </conditionalFormatting>
  <conditionalFormatting sqref="AK148">
    <cfRule type="expression" dxfId="6370" priority="60671" stopIfTrue="1">
      <formula>NOT(ISBLANK($AK$148))</formula>
    </cfRule>
  </conditionalFormatting>
  <conditionalFormatting sqref="AL148">
    <cfRule type="expression" dxfId="6369" priority="60672" stopIfTrue="1">
      <formula>NOT(ISBLANK($AL$148))</formula>
    </cfRule>
  </conditionalFormatting>
  <conditionalFormatting sqref="AM148">
    <cfRule type="expression" dxfId="6368" priority="60673" stopIfTrue="1">
      <formula>NOT(ISBLANK($AM$148))</formula>
    </cfRule>
  </conditionalFormatting>
  <conditionalFormatting sqref="AN148">
    <cfRule type="expression" dxfId="6367" priority="60674" stopIfTrue="1">
      <formula>NOT(ISBLANK($AN$148))</formula>
    </cfRule>
  </conditionalFormatting>
  <conditionalFormatting sqref="AO148">
    <cfRule type="expression" dxfId="6366" priority="60675" stopIfTrue="1">
      <formula>NOT(ISBLANK($AO$148))</formula>
    </cfRule>
  </conditionalFormatting>
  <conditionalFormatting sqref="AP148">
    <cfRule type="expression" dxfId="6365" priority="60676" stopIfTrue="1">
      <formula>NOT(ISBLANK($AP$148))</formula>
    </cfRule>
  </conditionalFormatting>
  <conditionalFormatting sqref="AQ148">
    <cfRule type="expression" dxfId="6364" priority="60677" stopIfTrue="1">
      <formula>NOT(ISBLANK($AQ$148))</formula>
    </cfRule>
  </conditionalFormatting>
  <conditionalFormatting sqref="A149">
    <cfRule type="cellIs" dxfId="6363" priority="60678" stopIfTrue="1" operator="notEqual">
      <formula>9</formula>
    </cfRule>
  </conditionalFormatting>
  <conditionalFormatting sqref="B149">
    <cfRule type="cellIs" dxfId="6362" priority="60679" stopIfTrue="1" operator="notEqual">
      <formula>2</formula>
    </cfRule>
  </conditionalFormatting>
  <conditionalFormatting sqref="C149">
    <cfRule type="cellIs" dxfId="6361" priority="60680" stopIfTrue="1" operator="notEqual">
      <formula>5</formula>
    </cfRule>
  </conditionalFormatting>
  <conditionalFormatting sqref="D149">
    <cfRule type="cellIs" dxfId="6360" priority="60681" stopIfTrue="1" operator="notEqual">
      <formula>2.152</formula>
    </cfRule>
  </conditionalFormatting>
  <conditionalFormatting sqref="E149">
    <cfRule type="cellIs" dxfId="6359" priority="60682" stopIfTrue="1" operator="notEqual">
      <formula>"MGD"</formula>
    </cfRule>
  </conditionalFormatting>
  <conditionalFormatting sqref="F149">
    <cfRule type="cellIs" dxfId="6358" priority="60683" stopIfTrue="1" operator="notEqual">
      <formula>0.819</formula>
    </cfRule>
  </conditionalFormatting>
  <conditionalFormatting sqref="G149">
    <cfRule type="cellIs" dxfId="6357" priority="60684" stopIfTrue="1" operator="notEqual">
      <formula>"MGD"</formula>
    </cfRule>
  </conditionalFormatting>
  <conditionalFormatting sqref="H149">
    <cfRule type="cellIs" dxfId="6356" priority="60685" stopIfTrue="1" operator="notEqual">
      <formula>"regeneration off-site (non-hazardous)"</formula>
    </cfRule>
  </conditionalFormatting>
  <conditionalFormatting sqref="I149">
    <cfRule type="cellIs" dxfId="6355" priority="60686" stopIfTrue="1" operator="notEqual">
      <formula>"carbon life value- bed volumes"</formula>
    </cfRule>
  </conditionalFormatting>
  <conditionalFormatting sqref="J149">
    <cfRule type="cellIs" dxfId="6354" priority="60687" stopIfTrue="1" operator="notEqual">
      <formula>21600</formula>
    </cfRule>
  </conditionalFormatting>
  <conditionalFormatting sqref="K149">
    <cfRule type="expression" dxfId="6353" priority="60688" stopIfTrue="1">
      <formula>NOT(ISBLANK($K$149))</formula>
    </cfRule>
  </conditionalFormatting>
  <conditionalFormatting sqref="L149">
    <cfRule type="expression" dxfId="6352" priority="60689" stopIfTrue="1">
      <formula>NOT(ISBLANK($L$149))</formula>
    </cfRule>
  </conditionalFormatting>
  <conditionalFormatting sqref="M149">
    <cfRule type="expression" dxfId="6351" priority="60690" stopIfTrue="1">
      <formula>NOT(ISBLANK($M$149))</formula>
    </cfRule>
  </conditionalFormatting>
  <conditionalFormatting sqref="N149">
    <cfRule type="cellIs" dxfId="6350" priority="60691" stopIfTrue="1" operator="notEqual">
      <formula>"EBCT"</formula>
    </cfRule>
  </conditionalFormatting>
  <conditionalFormatting sqref="O149">
    <cfRule type="cellIs" dxfId="6349" priority="60692" stopIfTrue="1" operator="notEqual">
      <formula>7.5</formula>
    </cfRule>
  </conditionalFormatting>
  <conditionalFormatting sqref="P149">
    <cfRule type="expression" dxfId="6348" priority="60693" stopIfTrue="1">
      <formula>NOT(ISBLANK($P$149))</formula>
    </cfRule>
  </conditionalFormatting>
  <conditionalFormatting sqref="Q149">
    <cfRule type="expression" dxfId="6347" priority="60694" stopIfTrue="1">
      <formula>NOT(ISBLANK($Q$149))</formula>
    </cfRule>
  </conditionalFormatting>
  <conditionalFormatting sqref="R149">
    <cfRule type="expression" dxfId="6346" priority="60695" stopIfTrue="1">
      <formula>NOT(ISBLANK($R$149))</formula>
    </cfRule>
  </conditionalFormatting>
  <conditionalFormatting sqref="S149">
    <cfRule type="expression" dxfId="6345" priority="60696" stopIfTrue="1">
      <formula>NOT(ISBLANK($S$149))</formula>
    </cfRule>
  </conditionalFormatting>
  <conditionalFormatting sqref="T149">
    <cfRule type="expression" dxfId="6344" priority="60697" stopIfTrue="1">
      <formula>NOT(ISBLANK($T$149))</formula>
    </cfRule>
  </conditionalFormatting>
  <conditionalFormatting sqref="U149">
    <cfRule type="expression" dxfId="6343" priority="60698" stopIfTrue="1">
      <formula>NOT(ISBLANK($U$149))</formula>
    </cfRule>
  </conditionalFormatting>
  <conditionalFormatting sqref="V149">
    <cfRule type="expression" dxfId="6342" priority="60699" stopIfTrue="1">
      <formula>NOT(ISBLANK($V$149))</formula>
    </cfRule>
  </conditionalFormatting>
  <conditionalFormatting sqref="W149">
    <cfRule type="cellIs" dxfId="6341" priority="60700" stopIfTrue="1" operator="notEqual">
      <formula>8</formula>
    </cfRule>
  </conditionalFormatting>
  <conditionalFormatting sqref="X149">
    <cfRule type="cellIs" dxfId="6340" priority="60701" stopIfTrue="1" operator="notEqual">
      <formula>8</formula>
    </cfRule>
  </conditionalFormatting>
  <conditionalFormatting sqref="Y149">
    <cfRule type="cellIs" dxfId="6339" priority="60702" stopIfTrue="1" operator="notEqual">
      <formula>7.9</formula>
    </cfRule>
  </conditionalFormatting>
  <conditionalFormatting sqref="Z149">
    <cfRule type="cellIs" dxfId="6338" priority="60703" stopIfTrue="1" operator="notEqual">
      <formula>168</formula>
    </cfRule>
  </conditionalFormatting>
  <conditionalFormatting sqref="AA149">
    <cfRule type="cellIs" dxfId="6337" priority="60704" stopIfTrue="1" operator="notEqual">
      <formula>"POTW"</formula>
    </cfRule>
  </conditionalFormatting>
  <conditionalFormatting sqref="AB149">
    <cfRule type="cellIs" dxfId="6336" priority="60705" stopIfTrue="1" operator="notEqual">
      <formula>"holding tank"</formula>
    </cfRule>
  </conditionalFormatting>
  <conditionalFormatting sqref="AC149">
    <cfRule type="cellIs" dxfId="6335" priority="60706" stopIfTrue="1" operator="notEqual">
      <formula>"manual transfer"</formula>
    </cfRule>
  </conditionalFormatting>
  <conditionalFormatting sqref="AD149">
    <cfRule type="cellIs" dxfId="6334" priority="60707" stopIfTrue="1" operator="notEqual">
      <formula>"non-hazardous"</formula>
    </cfRule>
  </conditionalFormatting>
  <conditionalFormatting sqref="AE149">
    <cfRule type="expression" dxfId="6333" priority="60708" stopIfTrue="1">
      <formula>NOT(ISBLANK($AE$149))</formula>
    </cfRule>
  </conditionalFormatting>
  <conditionalFormatting sqref="AF149">
    <cfRule type="cellIs" dxfId="6332" priority="60709" stopIfTrue="1" operator="notEqual">
      <formula>0</formula>
    </cfRule>
  </conditionalFormatting>
  <conditionalFormatting sqref="AG149">
    <cfRule type="expression" dxfId="6331" priority="60710" stopIfTrue="1">
      <formula>NOT(ISBLANK($AG$149))</formula>
    </cfRule>
  </conditionalFormatting>
  <conditionalFormatting sqref="AH149">
    <cfRule type="expression" dxfId="6330" priority="60711" stopIfTrue="1">
      <formula>NOT(ISBLANK($AH$149))</formula>
    </cfRule>
  </conditionalFormatting>
  <conditionalFormatting sqref="AI149">
    <cfRule type="cellIs" dxfId="6329" priority="60712" stopIfTrue="1" operator="notEqual">
      <formula>"fully automated"</formula>
    </cfRule>
  </conditionalFormatting>
  <conditionalFormatting sqref="AJ149">
    <cfRule type="expression" dxfId="6328" priority="60713" stopIfTrue="1">
      <formula>NOT(ISBLANK($AJ$149))</formula>
    </cfRule>
  </conditionalFormatting>
  <conditionalFormatting sqref="AK149">
    <cfRule type="expression" dxfId="6327" priority="60714" stopIfTrue="1">
      <formula>NOT(ISBLANK($AK$149))</formula>
    </cfRule>
  </conditionalFormatting>
  <conditionalFormatting sqref="AL149">
    <cfRule type="expression" dxfId="6326" priority="60715" stopIfTrue="1">
      <formula>NOT(ISBLANK($AL$149))</formula>
    </cfRule>
  </conditionalFormatting>
  <conditionalFormatting sqref="AM149">
    <cfRule type="expression" dxfId="6325" priority="60716" stopIfTrue="1">
      <formula>NOT(ISBLANK($AM$149))</formula>
    </cfRule>
  </conditionalFormatting>
  <conditionalFormatting sqref="AN149">
    <cfRule type="expression" dxfId="6324" priority="60717" stopIfTrue="1">
      <formula>NOT(ISBLANK($AN$149))</formula>
    </cfRule>
  </conditionalFormatting>
  <conditionalFormatting sqref="AO149">
    <cfRule type="expression" dxfId="6323" priority="60718" stopIfTrue="1">
      <formula>NOT(ISBLANK($AO$149))</formula>
    </cfRule>
  </conditionalFormatting>
  <conditionalFormatting sqref="AP149">
    <cfRule type="expression" dxfId="6322" priority="60719" stopIfTrue="1">
      <formula>NOT(ISBLANK($AP$149))</formula>
    </cfRule>
  </conditionalFormatting>
  <conditionalFormatting sqref="AQ149">
    <cfRule type="expression" dxfId="6321" priority="60720" stopIfTrue="1">
      <formula>NOT(ISBLANK($AQ$149))</formula>
    </cfRule>
  </conditionalFormatting>
  <conditionalFormatting sqref="A150">
    <cfRule type="cellIs" dxfId="6320" priority="60721" stopIfTrue="1" operator="notEqual">
      <formula>9</formula>
    </cfRule>
  </conditionalFormatting>
  <conditionalFormatting sqref="B150">
    <cfRule type="cellIs" dxfId="6319" priority="60722" stopIfTrue="1" operator="notEqual">
      <formula>2</formula>
    </cfRule>
  </conditionalFormatting>
  <conditionalFormatting sqref="C150">
    <cfRule type="cellIs" dxfId="6318" priority="60723" stopIfTrue="1" operator="notEqual">
      <formula>6</formula>
    </cfRule>
  </conditionalFormatting>
  <conditionalFormatting sqref="D150">
    <cfRule type="cellIs" dxfId="6317" priority="60724" stopIfTrue="1" operator="notEqual">
      <formula>7.365</formula>
    </cfRule>
  </conditionalFormatting>
  <conditionalFormatting sqref="E150">
    <cfRule type="cellIs" dxfId="6316" priority="60725" stopIfTrue="1" operator="notEqual">
      <formula>"MGD"</formula>
    </cfRule>
  </conditionalFormatting>
  <conditionalFormatting sqref="F150">
    <cfRule type="cellIs" dxfId="6315" priority="60726" stopIfTrue="1" operator="notEqual">
      <formula>3.2</formula>
    </cfRule>
  </conditionalFormatting>
  <conditionalFormatting sqref="G150">
    <cfRule type="cellIs" dxfId="6314" priority="60727" stopIfTrue="1" operator="notEqual">
      <formula>"MGD"</formula>
    </cfRule>
  </conditionalFormatting>
  <conditionalFormatting sqref="H150">
    <cfRule type="cellIs" dxfId="6313" priority="60728" stopIfTrue="1" operator="notEqual">
      <formula>"regeneration off-site (non-hazardous)"</formula>
    </cfRule>
  </conditionalFormatting>
  <conditionalFormatting sqref="I150">
    <cfRule type="cellIs" dxfId="6312" priority="60729" stopIfTrue="1" operator="notEqual">
      <formula>"carbon life value- bed volumes"</formula>
    </cfRule>
  </conditionalFormatting>
  <conditionalFormatting sqref="J150">
    <cfRule type="cellIs" dxfId="6311" priority="60730" stopIfTrue="1" operator="notEqual">
      <formula>21600</formula>
    </cfRule>
  </conditionalFormatting>
  <conditionalFormatting sqref="K150">
    <cfRule type="expression" dxfId="6310" priority="60731" stopIfTrue="1">
      <formula>NOT(ISBLANK($K$150))</formula>
    </cfRule>
  </conditionalFormatting>
  <conditionalFormatting sqref="L150">
    <cfRule type="expression" dxfId="6309" priority="60732" stopIfTrue="1">
      <formula>NOT(ISBLANK($L$150))</formula>
    </cfRule>
  </conditionalFormatting>
  <conditionalFormatting sqref="M150">
    <cfRule type="expression" dxfId="6308" priority="60733" stopIfTrue="1">
      <formula>NOT(ISBLANK($M$150))</formula>
    </cfRule>
  </conditionalFormatting>
  <conditionalFormatting sqref="N150">
    <cfRule type="cellIs" dxfId="6307" priority="60734" stopIfTrue="1" operator="notEqual">
      <formula>"EBCT"</formula>
    </cfRule>
  </conditionalFormatting>
  <conditionalFormatting sqref="O150">
    <cfRule type="cellIs" dxfId="6306" priority="60735" stopIfTrue="1" operator="notEqual">
      <formula>7.5</formula>
    </cfRule>
  </conditionalFormatting>
  <conditionalFormatting sqref="P150">
    <cfRule type="expression" dxfId="6305" priority="60736" stopIfTrue="1">
      <formula>NOT(ISBLANK($P$150))</formula>
    </cfRule>
  </conditionalFormatting>
  <conditionalFormatting sqref="Q150">
    <cfRule type="expression" dxfId="6304" priority="60737" stopIfTrue="1">
      <formula>NOT(ISBLANK($Q$150))</formula>
    </cfRule>
  </conditionalFormatting>
  <conditionalFormatting sqref="R150">
    <cfRule type="expression" dxfId="6303" priority="60738" stopIfTrue="1">
      <formula>NOT(ISBLANK($R$150))</formula>
    </cfRule>
  </conditionalFormatting>
  <conditionalFormatting sqref="S150">
    <cfRule type="expression" dxfId="6302" priority="60739" stopIfTrue="1">
      <formula>NOT(ISBLANK($S$150))</formula>
    </cfRule>
  </conditionalFormatting>
  <conditionalFormatting sqref="T150">
    <cfRule type="expression" dxfId="6301" priority="60740" stopIfTrue="1">
      <formula>NOT(ISBLANK($T$150))</formula>
    </cfRule>
  </conditionalFormatting>
  <conditionalFormatting sqref="U150">
    <cfRule type="expression" dxfId="6300" priority="60741" stopIfTrue="1">
      <formula>NOT(ISBLANK($U$150))</formula>
    </cfRule>
  </conditionalFormatting>
  <conditionalFormatting sqref="V150">
    <cfRule type="expression" dxfId="6299" priority="60742" stopIfTrue="1">
      <formula>NOT(ISBLANK($V$150))</formula>
    </cfRule>
  </conditionalFormatting>
  <conditionalFormatting sqref="W150">
    <cfRule type="cellIs" dxfId="6298" priority="60743" stopIfTrue="1" operator="notEqual">
      <formula>11.5</formula>
    </cfRule>
  </conditionalFormatting>
  <conditionalFormatting sqref="X150">
    <cfRule type="cellIs" dxfId="6297" priority="60744" stopIfTrue="1" operator="notEqual">
      <formula>11.5</formula>
    </cfRule>
  </conditionalFormatting>
  <conditionalFormatting sqref="Y150">
    <cfRule type="cellIs" dxfId="6296" priority="60745" stopIfTrue="1" operator="notEqual">
      <formula>7.8</formula>
    </cfRule>
  </conditionalFormatting>
  <conditionalFormatting sqref="Z150">
    <cfRule type="cellIs" dxfId="6295" priority="60746" stopIfTrue="1" operator="notEqual">
      <formula>168</formula>
    </cfRule>
  </conditionalFormatting>
  <conditionalFormatting sqref="AA150">
    <cfRule type="cellIs" dxfId="6294" priority="60747" stopIfTrue="1" operator="notEqual">
      <formula>"POTW"</formula>
    </cfRule>
  </conditionalFormatting>
  <conditionalFormatting sqref="AB150">
    <cfRule type="cellIs" dxfId="6293" priority="60748" stopIfTrue="1" operator="notEqual">
      <formula>"holding tank"</formula>
    </cfRule>
  </conditionalFormatting>
  <conditionalFormatting sqref="AC150">
    <cfRule type="cellIs" dxfId="6292" priority="60749" stopIfTrue="1" operator="notEqual">
      <formula>"eductors"</formula>
    </cfRule>
  </conditionalFormatting>
  <conditionalFormatting sqref="AD150">
    <cfRule type="cellIs" dxfId="6291" priority="60750" stopIfTrue="1" operator="notEqual">
      <formula>"non-hazardous"</formula>
    </cfRule>
  </conditionalFormatting>
  <conditionalFormatting sqref="AE150">
    <cfRule type="expression" dxfId="6290" priority="60751" stopIfTrue="1">
      <formula>NOT(ISBLANK($AE$150))</formula>
    </cfRule>
  </conditionalFormatting>
  <conditionalFormatting sqref="AF150">
    <cfRule type="cellIs" dxfId="6289" priority="60752" stopIfTrue="1" operator="notEqual">
      <formula>0</formula>
    </cfRule>
  </conditionalFormatting>
  <conditionalFormatting sqref="AG150">
    <cfRule type="expression" dxfId="6288" priority="60753" stopIfTrue="1">
      <formula>NOT(ISBLANK($AG$150))</formula>
    </cfRule>
  </conditionalFormatting>
  <conditionalFormatting sqref="AH150">
    <cfRule type="expression" dxfId="6287" priority="60754" stopIfTrue="1">
      <formula>NOT(ISBLANK($AH$150))</formula>
    </cfRule>
  </conditionalFormatting>
  <conditionalFormatting sqref="AI150">
    <cfRule type="cellIs" dxfId="6286" priority="60755" stopIfTrue="1" operator="notEqual">
      <formula>"fully automated"</formula>
    </cfRule>
  </conditionalFormatting>
  <conditionalFormatting sqref="AJ150">
    <cfRule type="expression" dxfId="6285" priority="60756" stopIfTrue="1">
      <formula>NOT(ISBLANK($AJ$150))</formula>
    </cfRule>
  </conditionalFormatting>
  <conditionalFormatting sqref="AK150">
    <cfRule type="expression" dxfId="6284" priority="60757" stopIfTrue="1">
      <formula>NOT(ISBLANK($AK$150))</formula>
    </cfRule>
  </conditionalFormatting>
  <conditionalFormatting sqref="AL150">
    <cfRule type="expression" dxfId="6283" priority="60758" stopIfTrue="1">
      <formula>NOT(ISBLANK($AL$150))</formula>
    </cfRule>
  </conditionalFormatting>
  <conditionalFormatting sqref="AM150">
    <cfRule type="expression" dxfId="6282" priority="60759" stopIfTrue="1">
      <formula>NOT(ISBLANK($AM$150))</formula>
    </cfRule>
  </conditionalFormatting>
  <conditionalFormatting sqref="AN150">
    <cfRule type="expression" dxfId="6281" priority="60760" stopIfTrue="1">
      <formula>NOT(ISBLANK($AN$150))</formula>
    </cfRule>
  </conditionalFormatting>
  <conditionalFormatting sqref="AO150">
    <cfRule type="expression" dxfId="6280" priority="60761" stopIfTrue="1">
      <formula>NOT(ISBLANK($AO$150))</formula>
    </cfRule>
  </conditionalFormatting>
  <conditionalFormatting sqref="AP150">
    <cfRule type="expression" dxfId="6279" priority="60762" stopIfTrue="1">
      <formula>NOT(ISBLANK($AP$150))</formula>
    </cfRule>
  </conditionalFormatting>
  <conditionalFormatting sqref="AQ150">
    <cfRule type="expression" dxfId="6278" priority="60763" stopIfTrue="1">
      <formula>NOT(ISBLANK($AQ$150))</formula>
    </cfRule>
  </conditionalFormatting>
  <conditionalFormatting sqref="A151">
    <cfRule type="cellIs" dxfId="6277" priority="60764" stopIfTrue="1" operator="notEqual">
      <formula>9</formula>
    </cfRule>
  </conditionalFormatting>
  <conditionalFormatting sqref="B151">
    <cfRule type="cellIs" dxfId="6276" priority="60765" stopIfTrue="1" operator="notEqual">
      <formula>2</formula>
    </cfRule>
  </conditionalFormatting>
  <conditionalFormatting sqref="C151">
    <cfRule type="cellIs" dxfId="6275" priority="60766" stopIfTrue="1" operator="notEqual">
      <formula>7</formula>
    </cfRule>
  </conditionalFormatting>
  <conditionalFormatting sqref="D151">
    <cfRule type="cellIs" dxfId="6274" priority="60767" stopIfTrue="1" operator="notEqual">
      <formula>22.614</formula>
    </cfRule>
  </conditionalFormatting>
  <conditionalFormatting sqref="E151">
    <cfRule type="cellIs" dxfId="6273" priority="60768" stopIfTrue="1" operator="notEqual">
      <formula>"MGD"</formula>
    </cfRule>
  </conditionalFormatting>
  <conditionalFormatting sqref="F151">
    <cfRule type="cellIs" dxfId="6272" priority="60769" stopIfTrue="1" operator="notEqual">
      <formula>11.066</formula>
    </cfRule>
  </conditionalFormatting>
  <conditionalFormatting sqref="G151">
    <cfRule type="cellIs" dxfId="6271" priority="60770" stopIfTrue="1" operator="notEqual">
      <formula>"MGD"</formula>
    </cfRule>
  </conditionalFormatting>
  <conditionalFormatting sqref="H151">
    <cfRule type="cellIs" dxfId="6270" priority="60771" stopIfTrue="1" operator="notEqual">
      <formula>"regeneration off-site (non-hazardous)"</formula>
    </cfRule>
  </conditionalFormatting>
  <conditionalFormatting sqref="I151">
    <cfRule type="cellIs" dxfId="6269" priority="60772" stopIfTrue="1" operator="notEqual">
      <formula>"carbon life value- bed volumes"</formula>
    </cfRule>
  </conditionalFormatting>
  <conditionalFormatting sqref="J151">
    <cfRule type="cellIs" dxfId="6268" priority="60773" stopIfTrue="1" operator="notEqual">
      <formula>21600</formula>
    </cfRule>
  </conditionalFormatting>
  <conditionalFormatting sqref="K151">
    <cfRule type="expression" dxfId="6267" priority="60774" stopIfTrue="1">
      <formula>NOT(ISBLANK($K$151))</formula>
    </cfRule>
  </conditionalFormatting>
  <conditionalFormatting sqref="L151">
    <cfRule type="expression" dxfId="6266" priority="60775" stopIfTrue="1">
      <formula>NOT(ISBLANK($L$151))</formula>
    </cfRule>
  </conditionalFormatting>
  <conditionalFormatting sqref="M151">
    <cfRule type="expression" dxfId="6265" priority="60776" stopIfTrue="1">
      <formula>NOT(ISBLANK($M$151))</formula>
    </cfRule>
  </conditionalFormatting>
  <conditionalFormatting sqref="N151">
    <cfRule type="cellIs" dxfId="6264" priority="60777" stopIfTrue="1" operator="notEqual">
      <formula>"EBCT"</formula>
    </cfRule>
  </conditionalFormatting>
  <conditionalFormatting sqref="O151">
    <cfRule type="cellIs" dxfId="6263" priority="60778" stopIfTrue="1" operator="notEqual">
      <formula>7.5</formula>
    </cfRule>
  </conditionalFormatting>
  <conditionalFormatting sqref="P151">
    <cfRule type="expression" dxfId="6262" priority="60779" stopIfTrue="1">
      <formula>NOT(ISBLANK($P$151))</formula>
    </cfRule>
  </conditionalFormatting>
  <conditionalFormatting sqref="Q151">
    <cfRule type="expression" dxfId="6261" priority="60780" stopIfTrue="1">
      <formula>NOT(ISBLANK($Q$151))</formula>
    </cfRule>
  </conditionalFormatting>
  <conditionalFormatting sqref="R151">
    <cfRule type="expression" dxfId="6260" priority="60781" stopIfTrue="1">
      <formula>NOT(ISBLANK($R$151))</formula>
    </cfRule>
  </conditionalFormatting>
  <conditionalFormatting sqref="S151">
    <cfRule type="expression" dxfId="6259" priority="60782" stopIfTrue="1">
      <formula>NOT(ISBLANK($S$151))</formula>
    </cfRule>
  </conditionalFormatting>
  <conditionalFormatting sqref="T151">
    <cfRule type="expression" dxfId="6258" priority="60783" stopIfTrue="1">
      <formula>NOT(ISBLANK($T$151))</formula>
    </cfRule>
  </conditionalFormatting>
  <conditionalFormatting sqref="U151">
    <cfRule type="expression" dxfId="6257" priority="60784" stopIfTrue="1">
      <formula>NOT(ISBLANK($U$151))</formula>
    </cfRule>
  </conditionalFormatting>
  <conditionalFormatting sqref="V151">
    <cfRule type="expression" dxfId="6256" priority="60785" stopIfTrue="1">
      <formula>NOT(ISBLANK($V$151))</formula>
    </cfRule>
  </conditionalFormatting>
  <conditionalFormatting sqref="W151">
    <cfRule type="cellIs" dxfId="6255" priority="60786" stopIfTrue="1" operator="notEqual">
      <formula>15</formula>
    </cfRule>
  </conditionalFormatting>
  <conditionalFormatting sqref="X151">
    <cfRule type="cellIs" dxfId="6254" priority="60787" stopIfTrue="1" operator="notEqual">
      <formula>15</formula>
    </cfRule>
  </conditionalFormatting>
  <conditionalFormatting sqref="Y151">
    <cfRule type="cellIs" dxfId="6253" priority="60788" stopIfTrue="1" operator="notEqual">
      <formula>7.8</formula>
    </cfRule>
  </conditionalFormatting>
  <conditionalFormatting sqref="Z151">
    <cfRule type="cellIs" dxfId="6252" priority="60789" stopIfTrue="1" operator="notEqual">
      <formula>168</formula>
    </cfRule>
  </conditionalFormatting>
  <conditionalFormatting sqref="AA151">
    <cfRule type="cellIs" dxfId="6251" priority="60790" stopIfTrue="1" operator="notEqual">
      <formula>"POTW"</formula>
    </cfRule>
  </conditionalFormatting>
  <conditionalFormatting sqref="AB151">
    <cfRule type="cellIs" dxfId="6250" priority="60791" stopIfTrue="1" operator="notEqual">
      <formula>"holding tank"</formula>
    </cfRule>
  </conditionalFormatting>
  <conditionalFormatting sqref="AC151">
    <cfRule type="cellIs" dxfId="6249" priority="60792" stopIfTrue="1" operator="notEqual">
      <formula>"eductors"</formula>
    </cfRule>
  </conditionalFormatting>
  <conditionalFormatting sqref="AD151">
    <cfRule type="cellIs" dxfId="6248" priority="60793" stopIfTrue="1" operator="notEqual">
      <formula>"non-hazardous"</formula>
    </cfRule>
  </conditionalFormatting>
  <conditionalFormatting sqref="AE151">
    <cfRule type="expression" dxfId="6247" priority="60794" stopIfTrue="1">
      <formula>NOT(ISBLANK($AE$151))</formula>
    </cfRule>
  </conditionalFormatting>
  <conditionalFormatting sqref="AF151">
    <cfRule type="cellIs" dxfId="6246" priority="60795" stopIfTrue="1" operator="notEqual">
      <formula>0</formula>
    </cfRule>
  </conditionalFormatting>
  <conditionalFormatting sqref="AG151">
    <cfRule type="expression" dxfId="6245" priority="60796" stopIfTrue="1">
      <formula>NOT(ISBLANK($AG$151))</formula>
    </cfRule>
  </conditionalFormatting>
  <conditionalFormatting sqref="AH151">
    <cfRule type="expression" dxfId="6244" priority="60797" stopIfTrue="1">
      <formula>NOT(ISBLANK($AH$151))</formula>
    </cfRule>
  </conditionalFormatting>
  <conditionalFormatting sqref="AI151">
    <cfRule type="cellIs" dxfId="6243" priority="60798" stopIfTrue="1" operator="notEqual">
      <formula>"fully automated"</formula>
    </cfRule>
  </conditionalFormatting>
  <conditionalFormatting sqref="AJ151">
    <cfRule type="expression" dxfId="6242" priority="60799" stopIfTrue="1">
      <formula>NOT(ISBLANK($AJ$151))</formula>
    </cfRule>
  </conditionalFormatting>
  <conditionalFormatting sqref="AK151">
    <cfRule type="expression" dxfId="6241" priority="60800" stopIfTrue="1">
      <formula>NOT(ISBLANK($AK$151))</formula>
    </cfRule>
  </conditionalFormatting>
  <conditionalFormatting sqref="AL151">
    <cfRule type="expression" dxfId="6240" priority="60801" stopIfTrue="1">
      <formula>NOT(ISBLANK($AL$151))</formula>
    </cfRule>
  </conditionalFormatting>
  <conditionalFormatting sqref="AM151">
    <cfRule type="expression" dxfId="6239" priority="60802" stopIfTrue="1">
      <formula>NOT(ISBLANK($AM$151))</formula>
    </cfRule>
  </conditionalFormatting>
  <conditionalFormatting sqref="AN151">
    <cfRule type="expression" dxfId="6238" priority="60803" stopIfTrue="1">
      <formula>NOT(ISBLANK($AN$151))</formula>
    </cfRule>
  </conditionalFormatting>
  <conditionalFormatting sqref="AO151">
    <cfRule type="expression" dxfId="6237" priority="60804" stopIfTrue="1">
      <formula>NOT(ISBLANK($AO$151))</formula>
    </cfRule>
  </conditionalFormatting>
  <conditionalFormatting sqref="AP151">
    <cfRule type="expression" dxfId="6236" priority="60805" stopIfTrue="1">
      <formula>NOT(ISBLANK($AP$151))</formula>
    </cfRule>
  </conditionalFormatting>
  <conditionalFormatting sqref="AQ151">
    <cfRule type="expression" dxfId="6235" priority="60806" stopIfTrue="1">
      <formula>NOT(ISBLANK($AQ$151))</formula>
    </cfRule>
  </conditionalFormatting>
  <conditionalFormatting sqref="A152">
    <cfRule type="cellIs" dxfId="6234" priority="60807" stopIfTrue="1" operator="notEqual">
      <formula>9</formula>
    </cfRule>
  </conditionalFormatting>
  <conditionalFormatting sqref="B152">
    <cfRule type="cellIs" dxfId="6233" priority="60808" stopIfTrue="1" operator="notEqual">
      <formula>2</formula>
    </cfRule>
  </conditionalFormatting>
  <conditionalFormatting sqref="C152">
    <cfRule type="cellIs" dxfId="6232" priority="60809" stopIfTrue="1" operator="notEqual">
      <formula>8</formula>
    </cfRule>
  </conditionalFormatting>
  <conditionalFormatting sqref="D152">
    <cfRule type="cellIs" dxfId="6231" priority="60810" stopIfTrue="1" operator="notEqual">
      <formula>75.072</formula>
    </cfRule>
  </conditionalFormatting>
  <conditionalFormatting sqref="E152">
    <cfRule type="cellIs" dxfId="6230" priority="60811" stopIfTrue="1" operator="notEqual">
      <formula>"MGD"</formula>
    </cfRule>
  </conditionalFormatting>
  <conditionalFormatting sqref="F152">
    <cfRule type="cellIs" dxfId="6229" priority="60812" stopIfTrue="1" operator="notEqual">
      <formula>37.536</formula>
    </cfRule>
  </conditionalFormatting>
  <conditionalFormatting sqref="G152">
    <cfRule type="cellIs" dxfId="6228" priority="60813" stopIfTrue="1" operator="notEqual">
      <formula>"MGD"</formula>
    </cfRule>
  </conditionalFormatting>
  <conditionalFormatting sqref="H152">
    <cfRule type="cellIs" dxfId="6227" priority="60814" stopIfTrue="1" operator="notEqual">
      <formula>"regeneration off-site (non-hazardous)"</formula>
    </cfRule>
  </conditionalFormatting>
  <conditionalFormatting sqref="I152">
    <cfRule type="cellIs" dxfId="6226" priority="60815" stopIfTrue="1" operator="notEqual">
      <formula>"carbon life value- bed volumes"</formula>
    </cfRule>
  </conditionalFormatting>
  <conditionalFormatting sqref="J152">
    <cfRule type="cellIs" dxfId="6225" priority="60816" stopIfTrue="1" operator="notEqual">
      <formula>21600</formula>
    </cfRule>
  </conditionalFormatting>
  <conditionalFormatting sqref="K152">
    <cfRule type="expression" dxfId="6224" priority="60817" stopIfTrue="1">
      <formula>NOT(ISBLANK($K$152))</formula>
    </cfRule>
  </conditionalFormatting>
  <conditionalFormatting sqref="L152">
    <cfRule type="expression" dxfId="6223" priority="60818" stopIfTrue="1">
      <formula>NOT(ISBLANK($L$152))</formula>
    </cfRule>
  </conditionalFormatting>
  <conditionalFormatting sqref="M152">
    <cfRule type="expression" dxfId="6222" priority="60819" stopIfTrue="1">
      <formula>NOT(ISBLANK($M$152))</formula>
    </cfRule>
  </conditionalFormatting>
  <conditionalFormatting sqref="N152">
    <cfRule type="cellIs" dxfId="6221" priority="60820" stopIfTrue="1" operator="notEqual">
      <formula>"EBCT"</formula>
    </cfRule>
  </conditionalFormatting>
  <conditionalFormatting sqref="O152">
    <cfRule type="cellIs" dxfId="6220" priority="60821" stopIfTrue="1" operator="notEqual">
      <formula>7.5</formula>
    </cfRule>
  </conditionalFormatting>
  <conditionalFormatting sqref="P152">
    <cfRule type="expression" dxfId="6219" priority="60822" stopIfTrue="1">
      <formula>NOT(ISBLANK($P$152))</formula>
    </cfRule>
  </conditionalFormatting>
  <conditionalFormatting sqref="Q152">
    <cfRule type="expression" dxfId="6218" priority="60823" stopIfTrue="1">
      <formula>NOT(ISBLANK($Q$152))</formula>
    </cfRule>
  </conditionalFormatting>
  <conditionalFormatting sqref="R152">
    <cfRule type="expression" dxfId="6217" priority="60824" stopIfTrue="1">
      <formula>NOT(ISBLANK($R$152))</formula>
    </cfRule>
  </conditionalFormatting>
  <conditionalFormatting sqref="S152">
    <cfRule type="expression" dxfId="6216" priority="60825" stopIfTrue="1">
      <formula>NOT(ISBLANK($S$152))</formula>
    </cfRule>
  </conditionalFormatting>
  <conditionalFormatting sqref="T152">
    <cfRule type="expression" dxfId="6215" priority="60826" stopIfTrue="1">
      <formula>NOT(ISBLANK($T$152))</formula>
    </cfRule>
  </conditionalFormatting>
  <conditionalFormatting sqref="U152">
    <cfRule type="expression" dxfId="6214" priority="60827" stopIfTrue="1">
      <formula>NOT(ISBLANK($U$152))</formula>
    </cfRule>
  </conditionalFormatting>
  <conditionalFormatting sqref="V152">
    <cfRule type="expression" dxfId="6213" priority="60828" stopIfTrue="1">
      <formula>NOT(ISBLANK($V$152))</formula>
    </cfRule>
  </conditionalFormatting>
  <conditionalFormatting sqref="W152">
    <cfRule type="cellIs" dxfId="6212" priority="60829" stopIfTrue="1" operator="notEqual">
      <formula>30</formula>
    </cfRule>
  </conditionalFormatting>
  <conditionalFormatting sqref="X152">
    <cfRule type="cellIs" dxfId="6211" priority="60830" stopIfTrue="1" operator="notEqual">
      <formula>30</formula>
    </cfRule>
  </conditionalFormatting>
  <conditionalFormatting sqref="Y152">
    <cfRule type="cellIs" dxfId="6210" priority="60831" stopIfTrue="1" operator="notEqual">
      <formula>9.7</formula>
    </cfRule>
  </conditionalFormatting>
  <conditionalFormatting sqref="Z152">
    <cfRule type="cellIs" dxfId="6209" priority="60832" stopIfTrue="1" operator="notEqual">
      <formula>168</formula>
    </cfRule>
  </conditionalFormatting>
  <conditionalFormatting sqref="AA152">
    <cfRule type="cellIs" dxfId="6208" priority="60833" stopIfTrue="1" operator="notEqual">
      <formula>"POTW"</formula>
    </cfRule>
  </conditionalFormatting>
  <conditionalFormatting sqref="AB152">
    <cfRule type="cellIs" dxfId="6207" priority="60834" stopIfTrue="1" operator="notEqual">
      <formula>"holding tank"</formula>
    </cfRule>
  </conditionalFormatting>
  <conditionalFormatting sqref="AC152">
    <cfRule type="cellIs" dxfId="6206" priority="60835" stopIfTrue="1" operator="notEqual">
      <formula>"eductors"</formula>
    </cfRule>
  </conditionalFormatting>
  <conditionalFormatting sqref="AD152">
    <cfRule type="cellIs" dxfId="6205" priority="60836" stopIfTrue="1" operator="notEqual">
      <formula>"non-hazardous"</formula>
    </cfRule>
  </conditionalFormatting>
  <conditionalFormatting sqref="AE152">
    <cfRule type="expression" dxfId="6204" priority="60837" stopIfTrue="1">
      <formula>NOT(ISBLANK($AE$152))</formula>
    </cfRule>
  </conditionalFormatting>
  <conditionalFormatting sqref="AF152">
    <cfRule type="cellIs" dxfId="6203" priority="60838" stopIfTrue="1" operator="notEqual">
      <formula>0</formula>
    </cfRule>
  </conditionalFormatting>
  <conditionalFormatting sqref="AG152">
    <cfRule type="expression" dxfId="6202" priority="60839" stopIfTrue="1">
      <formula>NOT(ISBLANK($AG$152))</formula>
    </cfRule>
  </conditionalFormatting>
  <conditionalFormatting sqref="AH152">
    <cfRule type="expression" dxfId="6201" priority="60840" stopIfTrue="1">
      <formula>NOT(ISBLANK($AH$152))</formula>
    </cfRule>
  </conditionalFormatting>
  <conditionalFormatting sqref="AI152">
    <cfRule type="cellIs" dxfId="6200" priority="60841" stopIfTrue="1" operator="notEqual">
      <formula>"fully automated"</formula>
    </cfRule>
  </conditionalFormatting>
  <conditionalFormatting sqref="AJ152">
    <cfRule type="expression" dxfId="6199" priority="60842" stopIfTrue="1">
      <formula>NOT(ISBLANK($AJ$152))</formula>
    </cfRule>
  </conditionalFormatting>
  <conditionalFormatting sqref="AK152">
    <cfRule type="expression" dxfId="6198" priority="60843" stopIfTrue="1">
      <formula>NOT(ISBLANK($AK$152))</formula>
    </cfRule>
  </conditionalFormatting>
  <conditionalFormatting sqref="AL152">
    <cfRule type="expression" dxfId="6197" priority="60844" stopIfTrue="1">
      <formula>NOT(ISBLANK($AL$152))</formula>
    </cfRule>
  </conditionalFormatting>
  <conditionalFormatting sqref="AM152">
    <cfRule type="expression" dxfId="6196" priority="60845" stopIfTrue="1">
      <formula>NOT(ISBLANK($AM$152))</formula>
    </cfRule>
  </conditionalFormatting>
  <conditionalFormatting sqref="AN152">
    <cfRule type="expression" dxfId="6195" priority="60846" stopIfTrue="1">
      <formula>NOT(ISBLANK($AN$152))</formula>
    </cfRule>
  </conditionalFormatting>
  <conditionalFormatting sqref="AO152">
    <cfRule type="expression" dxfId="6194" priority="60847" stopIfTrue="1">
      <formula>NOT(ISBLANK($AO$152))</formula>
    </cfRule>
  </conditionalFormatting>
  <conditionalFormatting sqref="AP152">
    <cfRule type="expression" dxfId="6193" priority="60848" stopIfTrue="1">
      <formula>NOT(ISBLANK($AP$152))</formula>
    </cfRule>
  </conditionalFormatting>
  <conditionalFormatting sqref="AQ152">
    <cfRule type="expression" dxfId="6192" priority="60849" stopIfTrue="1">
      <formula>NOT(ISBLANK($AQ$152))</formula>
    </cfRule>
  </conditionalFormatting>
  <conditionalFormatting sqref="A153">
    <cfRule type="cellIs" dxfId="6191" priority="60850" stopIfTrue="1" operator="notEqual">
      <formula>10</formula>
    </cfRule>
  </conditionalFormatting>
  <conditionalFormatting sqref="B153">
    <cfRule type="cellIs" dxfId="6190" priority="60851" stopIfTrue="1" operator="notEqual">
      <formula>1</formula>
    </cfRule>
  </conditionalFormatting>
  <conditionalFormatting sqref="C153">
    <cfRule type="cellIs" dxfId="6189" priority="60852" stopIfTrue="1" operator="notEqual">
      <formula>1</formula>
    </cfRule>
  </conditionalFormatting>
  <conditionalFormatting sqref="D153">
    <cfRule type="cellIs" dxfId="6188" priority="60853" stopIfTrue="1" operator="notEqual">
      <formula>0.03</formula>
    </cfRule>
  </conditionalFormatting>
  <conditionalFormatting sqref="E153">
    <cfRule type="cellIs" dxfId="6187" priority="60854" stopIfTrue="1" operator="notEqual">
      <formula>"MGD"</formula>
    </cfRule>
  </conditionalFormatting>
  <conditionalFormatting sqref="F153">
    <cfRule type="cellIs" dxfId="6186" priority="60855" stopIfTrue="1" operator="notEqual">
      <formula>0.007</formula>
    </cfRule>
  </conditionalFormatting>
  <conditionalFormatting sqref="G153">
    <cfRule type="cellIs" dxfId="6185" priority="60856" stopIfTrue="1" operator="notEqual">
      <formula>"MGD"</formula>
    </cfRule>
  </conditionalFormatting>
  <conditionalFormatting sqref="H153">
    <cfRule type="expression" dxfId="6184" priority="60857" stopIfTrue="1">
      <formula>NOT(ISBLANK($H$153))</formula>
    </cfRule>
  </conditionalFormatting>
  <conditionalFormatting sqref="I153">
    <cfRule type="expression" dxfId="6183" priority="60858" stopIfTrue="1">
      <formula>NOT(ISBLANK($I$153))</formula>
    </cfRule>
  </conditionalFormatting>
  <conditionalFormatting sqref="J153">
    <cfRule type="expression" dxfId="6182" priority="60859" stopIfTrue="1">
      <formula>NOT(ISBLANK($J$153))</formula>
    </cfRule>
  </conditionalFormatting>
  <conditionalFormatting sqref="K153">
    <cfRule type="expression" dxfId="6181" priority="60860" stopIfTrue="1">
      <formula>NOT(ISBLANK($K$153))</formula>
    </cfRule>
  </conditionalFormatting>
  <conditionalFormatting sqref="L153">
    <cfRule type="expression" dxfId="6180" priority="60861" stopIfTrue="1">
      <formula>NOT(ISBLANK($L$153))</formula>
    </cfRule>
  </conditionalFormatting>
  <conditionalFormatting sqref="M153">
    <cfRule type="expression" dxfId="6179" priority="60862" stopIfTrue="1">
      <formula>NOT(ISBLANK($M$153))</formula>
    </cfRule>
  </conditionalFormatting>
  <conditionalFormatting sqref="N153">
    <cfRule type="expression" dxfId="6178" priority="60863" stopIfTrue="1">
      <formula>NOT(ISBLANK($N$153))</formula>
    </cfRule>
  </conditionalFormatting>
  <conditionalFormatting sqref="O153">
    <cfRule type="expression" dxfId="6177" priority="60864" stopIfTrue="1">
      <formula>NOT(ISBLANK($O$153))</formula>
    </cfRule>
  </conditionalFormatting>
  <conditionalFormatting sqref="P153">
    <cfRule type="expression" dxfId="6176" priority="60865" stopIfTrue="1">
      <formula>NOT(ISBLANK($P$153))</formula>
    </cfRule>
  </conditionalFormatting>
  <conditionalFormatting sqref="Q153">
    <cfRule type="expression" dxfId="6175" priority="60866" stopIfTrue="1">
      <formula>NOT(ISBLANK($Q$153))</formula>
    </cfRule>
  </conditionalFormatting>
  <conditionalFormatting sqref="R153">
    <cfRule type="expression" dxfId="6174" priority="60867" stopIfTrue="1">
      <formula>NOT(ISBLANK($R$153))</formula>
    </cfRule>
  </conditionalFormatting>
  <conditionalFormatting sqref="S153">
    <cfRule type="expression" dxfId="6173" priority="60868" stopIfTrue="1">
      <formula>NOT(ISBLANK($S$153))</formula>
    </cfRule>
  </conditionalFormatting>
  <conditionalFormatting sqref="T153">
    <cfRule type="expression" dxfId="6172" priority="60869" stopIfTrue="1">
      <formula>NOT(ISBLANK($T$153))</formula>
    </cfRule>
  </conditionalFormatting>
  <conditionalFormatting sqref="U153">
    <cfRule type="expression" dxfId="6171" priority="60870" stopIfTrue="1">
      <formula>NOT(ISBLANK($U$153))</formula>
    </cfRule>
  </conditionalFormatting>
  <conditionalFormatting sqref="V153">
    <cfRule type="expression" dxfId="6170" priority="60871" stopIfTrue="1">
      <formula>NOT(ISBLANK($V$153))</formula>
    </cfRule>
  </conditionalFormatting>
  <conditionalFormatting sqref="W153">
    <cfRule type="expression" dxfId="6169" priority="60872" stopIfTrue="1">
      <formula>NOT(ISBLANK($W$153))</formula>
    </cfRule>
  </conditionalFormatting>
  <conditionalFormatting sqref="X153">
    <cfRule type="expression" dxfId="6168" priority="60873" stopIfTrue="1">
      <formula>NOT(ISBLANK($X$153))</formula>
    </cfRule>
  </conditionalFormatting>
  <conditionalFormatting sqref="Y153">
    <cfRule type="expression" dxfId="6167" priority="60874" stopIfTrue="1">
      <formula>NOT(ISBLANK($Y$153))</formula>
    </cfRule>
  </conditionalFormatting>
  <conditionalFormatting sqref="Z153">
    <cfRule type="expression" dxfId="6166" priority="60875" stopIfTrue="1">
      <formula>NOT(ISBLANK($Z$153))</formula>
    </cfRule>
  </conditionalFormatting>
  <conditionalFormatting sqref="AA153">
    <cfRule type="expression" dxfId="6165" priority="60876" stopIfTrue="1">
      <formula>NOT(ISBLANK($AA$153))</formula>
    </cfRule>
  </conditionalFormatting>
  <conditionalFormatting sqref="AB153">
    <cfRule type="expression" dxfId="6164" priority="60877" stopIfTrue="1">
      <formula>NOT(ISBLANK($AB$153))</formula>
    </cfRule>
  </conditionalFormatting>
  <conditionalFormatting sqref="AC153">
    <cfRule type="expression" dxfId="6163" priority="60878" stopIfTrue="1">
      <formula>NOT(ISBLANK($AC$153))</formula>
    </cfRule>
  </conditionalFormatting>
  <conditionalFormatting sqref="AD153">
    <cfRule type="expression" dxfId="6162" priority="60879" stopIfTrue="1">
      <formula>NOT(ISBLANK($AD$153))</formula>
    </cfRule>
  </conditionalFormatting>
  <conditionalFormatting sqref="AE153">
    <cfRule type="expression" dxfId="6161" priority="60880" stopIfTrue="1">
      <formula>NOT(ISBLANK($AE$153))</formula>
    </cfRule>
  </conditionalFormatting>
  <conditionalFormatting sqref="AF153">
    <cfRule type="expression" dxfId="6160" priority="60881" stopIfTrue="1">
      <formula>NOT(ISBLANK($AF$153))</formula>
    </cfRule>
  </conditionalFormatting>
  <conditionalFormatting sqref="AG153">
    <cfRule type="expression" dxfId="6159" priority="60882" stopIfTrue="1">
      <formula>NOT(ISBLANK($AG$153))</formula>
    </cfRule>
  </conditionalFormatting>
  <conditionalFormatting sqref="AH153">
    <cfRule type="expression" dxfId="6158" priority="60883" stopIfTrue="1">
      <formula>NOT(ISBLANK($AH$153))</formula>
    </cfRule>
  </conditionalFormatting>
  <conditionalFormatting sqref="AI153">
    <cfRule type="expression" dxfId="6157" priority="60884" stopIfTrue="1">
      <formula>NOT(ISBLANK($AI$153))</formula>
    </cfRule>
  </conditionalFormatting>
  <conditionalFormatting sqref="AJ153">
    <cfRule type="expression" dxfId="6156" priority="60885" stopIfTrue="1">
      <formula>NOT(ISBLANK($AJ$153))</formula>
    </cfRule>
  </conditionalFormatting>
  <conditionalFormatting sqref="AK153">
    <cfRule type="expression" dxfId="6155" priority="60886" stopIfTrue="1">
      <formula>NOT(ISBLANK($AK$153))</formula>
    </cfRule>
  </conditionalFormatting>
  <conditionalFormatting sqref="AL153">
    <cfRule type="expression" dxfId="6154" priority="60887" stopIfTrue="1">
      <formula>NOT(ISBLANK($AL$153))</formula>
    </cfRule>
  </conditionalFormatting>
  <conditionalFormatting sqref="AM153">
    <cfRule type="expression" dxfId="6153" priority="60888" stopIfTrue="1">
      <formula>NOT(ISBLANK($AM$153))</formula>
    </cfRule>
  </conditionalFormatting>
  <conditionalFormatting sqref="AN153">
    <cfRule type="expression" dxfId="6152" priority="60889" stopIfTrue="1">
      <formula>NOT(ISBLANK($AN$153))</formula>
    </cfRule>
  </conditionalFormatting>
  <conditionalFormatting sqref="AO153">
    <cfRule type="expression" dxfId="6151" priority="60890" stopIfTrue="1">
      <formula>NOT(ISBLANK($AO$153))</formula>
    </cfRule>
  </conditionalFormatting>
  <conditionalFormatting sqref="AP153">
    <cfRule type="expression" dxfId="6150" priority="60891" stopIfTrue="1">
      <formula>NOT(ISBLANK($AP$153))</formula>
    </cfRule>
  </conditionalFormatting>
  <conditionalFormatting sqref="AQ153">
    <cfRule type="expression" dxfId="6149" priority="60892" stopIfTrue="1">
      <formula>NOT(ISBLANK($AQ$153))</formula>
    </cfRule>
  </conditionalFormatting>
  <conditionalFormatting sqref="A154">
    <cfRule type="cellIs" dxfId="6148" priority="60893" stopIfTrue="1" operator="notEqual">
      <formula>10</formula>
    </cfRule>
  </conditionalFormatting>
  <conditionalFormatting sqref="B154">
    <cfRule type="cellIs" dxfId="6147" priority="60894" stopIfTrue="1" operator="notEqual">
      <formula>1</formula>
    </cfRule>
  </conditionalFormatting>
  <conditionalFormatting sqref="C154">
    <cfRule type="cellIs" dxfId="6146" priority="60895" stopIfTrue="1" operator="notEqual">
      <formula>2</formula>
    </cfRule>
  </conditionalFormatting>
  <conditionalFormatting sqref="D154">
    <cfRule type="cellIs" dxfId="6145" priority="60896" stopIfTrue="1" operator="notEqual">
      <formula>0.124</formula>
    </cfRule>
  </conditionalFormatting>
  <conditionalFormatting sqref="E154">
    <cfRule type="cellIs" dxfId="6144" priority="60897" stopIfTrue="1" operator="notEqual">
      <formula>"MGD"</formula>
    </cfRule>
  </conditionalFormatting>
  <conditionalFormatting sqref="F154">
    <cfRule type="cellIs" dxfId="6143" priority="60898" stopIfTrue="1" operator="notEqual">
      <formula>0.035</formula>
    </cfRule>
  </conditionalFormatting>
  <conditionalFormatting sqref="G154">
    <cfRule type="cellIs" dxfId="6142" priority="60899" stopIfTrue="1" operator="notEqual">
      <formula>"MGD"</formula>
    </cfRule>
  </conditionalFormatting>
  <conditionalFormatting sqref="H154">
    <cfRule type="expression" dxfId="6141" priority="60900" stopIfTrue="1">
      <formula>NOT(ISBLANK($H$154))</formula>
    </cfRule>
  </conditionalFormatting>
  <conditionalFormatting sqref="I154">
    <cfRule type="expression" dxfId="6140" priority="60901" stopIfTrue="1">
      <formula>NOT(ISBLANK($I$154))</formula>
    </cfRule>
  </conditionalFormatting>
  <conditionalFormatting sqref="J154">
    <cfRule type="expression" dxfId="6139" priority="60902" stopIfTrue="1">
      <formula>NOT(ISBLANK($J$154))</formula>
    </cfRule>
  </conditionalFormatting>
  <conditionalFormatting sqref="K154">
    <cfRule type="expression" dxfId="6138" priority="60903" stopIfTrue="1">
      <formula>NOT(ISBLANK($K$154))</formula>
    </cfRule>
  </conditionalFormatting>
  <conditionalFormatting sqref="L154">
    <cfRule type="expression" dxfId="6137" priority="60904" stopIfTrue="1">
      <formula>NOT(ISBLANK($L$154))</formula>
    </cfRule>
  </conditionalFormatting>
  <conditionalFormatting sqref="M154">
    <cfRule type="expression" dxfId="6136" priority="60905" stopIfTrue="1">
      <formula>NOT(ISBLANK($M$154))</formula>
    </cfRule>
  </conditionalFormatting>
  <conditionalFormatting sqref="N154">
    <cfRule type="expression" dxfId="6135" priority="60906" stopIfTrue="1">
      <formula>NOT(ISBLANK($N$154))</formula>
    </cfRule>
  </conditionalFormatting>
  <conditionalFormatting sqref="O154">
    <cfRule type="expression" dxfId="6134" priority="60907" stopIfTrue="1">
      <formula>NOT(ISBLANK($O$154))</formula>
    </cfRule>
  </conditionalFormatting>
  <conditionalFormatting sqref="P154">
    <cfRule type="expression" dxfId="6133" priority="60908" stopIfTrue="1">
      <formula>NOT(ISBLANK($P$154))</formula>
    </cfRule>
  </conditionalFormatting>
  <conditionalFormatting sqref="Q154">
    <cfRule type="expression" dxfId="6132" priority="60909" stopIfTrue="1">
      <formula>NOT(ISBLANK($Q$154))</formula>
    </cfRule>
  </conditionalFormatting>
  <conditionalFormatting sqref="R154">
    <cfRule type="expression" dxfId="6131" priority="60910" stopIfTrue="1">
      <formula>NOT(ISBLANK($R$154))</formula>
    </cfRule>
  </conditionalFormatting>
  <conditionalFormatting sqref="S154">
    <cfRule type="expression" dxfId="6130" priority="60911" stopIfTrue="1">
      <formula>NOT(ISBLANK($S$154))</formula>
    </cfRule>
  </conditionalFormatting>
  <conditionalFormatting sqref="T154">
    <cfRule type="expression" dxfId="6129" priority="60912" stopIfTrue="1">
      <formula>NOT(ISBLANK($T$154))</formula>
    </cfRule>
  </conditionalFormatting>
  <conditionalFormatting sqref="U154">
    <cfRule type="expression" dxfId="6128" priority="60913" stopIfTrue="1">
      <formula>NOT(ISBLANK($U$154))</formula>
    </cfRule>
  </conditionalFormatting>
  <conditionalFormatting sqref="V154">
    <cfRule type="expression" dxfId="6127" priority="60914" stopIfTrue="1">
      <formula>NOT(ISBLANK($V$154))</formula>
    </cfRule>
  </conditionalFormatting>
  <conditionalFormatting sqref="W154">
    <cfRule type="expression" dxfId="6126" priority="60915" stopIfTrue="1">
      <formula>NOT(ISBLANK($W$154))</formula>
    </cfRule>
  </conditionalFormatting>
  <conditionalFormatting sqref="X154">
    <cfRule type="expression" dxfId="6125" priority="60916" stopIfTrue="1">
      <formula>NOT(ISBLANK($X$154))</formula>
    </cfRule>
  </conditionalFormatting>
  <conditionalFormatting sqref="Y154">
    <cfRule type="expression" dxfId="6124" priority="60917" stopIfTrue="1">
      <formula>NOT(ISBLANK($Y$154))</formula>
    </cfRule>
  </conditionalFormatting>
  <conditionalFormatting sqref="Z154">
    <cfRule type="expression" dxfId="6123" priority="60918" stopIfTrue="1">
      <formula>NOT(ISBLANK($Z$154))</formula>
    </cfRule>
  </conditionalFormatting>
  <conditionalFormatting sqref="AA154">
    <cfRule type="expression" dxfId="6122" priority="60919" stopIfTrue="1">
      <formula>NOT(ISBLANK($AA$154))</formula>
    </cfRule>
  </conditionalFormatting>
  <conditionalFormatting sqref="AB154">
    <cfRule type="expression" dxfId="6121" priority="60920" stopIfTrue="1">
      <formula>NOT(ISBLANK($AB$154))</formula>
    </cfRule>
  </conditionalFormatting>
  <conditionalFormatting sqref="AC154">
    <cfRule type="expression" dxfId="6120" priority="60921" stopIfTrue="1">
      <formula>NOT(ISBLANK($AC$154))</formula>
    </cfRule>
  </conditionalFormatting>
  <conditionalFormatting sqref="AD154">
    <cfRule type="expression" dxfId="6119" priority="60922" stopIfTrue="1">
      <formula>NOT(ISBLANK($AD$154))</formula>
    </cfRule>
  </conditionalFormatting>
  <conditionalFormatting sqref="AE154">
    <cfRule type="expression" dxfId="6118" priority="60923" stopIfTrue="1">
      <formula>NOT(ISBLANK($AE$154))</formula>
    </cfRule>
  </conditionalFormatting>
  <conditionalFormatting sqref="AF154">
    <cfRule type="expression" dxfId="6117" priority="60924" stopIfTrue="1">
      <formula>NOT(ISBLANK($AF$154))</formula>
    </cfRule>
  </conditionalFormatting>
  <conditionalFormatting sqref="AG154">
    <cfRule type="expression" dxfId="6116" priority="60925" stopIfTrue="1">
      <formula>NOT(ISBLANK($AG$154))</formula>
    </cfRule>
  </conditionalFormatting>
  <conditionalFormatting sqref="AH154">
    <cfRule type="expression" dxfId="6115" priority="60926" stopIfTrue="1">
      <formula>NOT(ISBLANK($AH$154))</formula>
    </cfRule>
  </conditionalFormatting>
  <conditionalFormatting sqref="AI154">
    <cfRule type="expression" dxfId="6114" priority="60927" stopIfTrue="1">
      <formula>NOT(ISBLANK($AI$154))</formula>
    </cfRule>
  </conditionalFormatting>
  <conditionalFormatting sqref="AJ154">
    <cfRule type="expression" dxfId="6113" priority="60928" stopIfTrue="1">
      <formula>NOT(ISBLANK($AJ$154))</formula>
    </cfRule>
  </conditionalFormatting>
  <conditionalFormatting sqref="AK154">
    <cfRule type="expression" dxfId="6112" priority="60929" stopIfTrue="1">
      <formula>NOT(ISBLANK($AK$154))</formula>
    </cfRule>
  </conditionalFormatting>
  <conditionalFormatting sqref="AL154">
    <cfRule type="expression" dxfId="6111" priority="60930" stopIfTrue="1">
      <formula>NOT(ISBLANK($AL$154))</formula>
    </cfRule>
  </conditionalFormatting>
  <conditionalFormatting sqref="AM154">
    <cfRule type="expression" dxfId="6110" priority="60931" stopIfTrue="1">
      <formula>NOT(ISBLANK($AM$154))</formula>
    </cfRule>
  </conditionalFormatting>
  <conditionalFormatting sqref="AN154">
    <cfRule type="expression" dxfId="6109" priority="60932" stopIfTrue="1">
      <formula>NOT(ISBLANK($AN$154))</formula>
    </cfRule>
  </conditionalFormatting>
  <conditionalFormatting sqref="AO154">
    <cfRule type="expression" dxfId="6108" priority="60933" stopIfTrue="1">
      <formula>NOT(ISBLANK($AO$154))</formula>
    </cfRule>
  </conditionalFormatting>
  <conditionalFormatting sqref="AP154">
    <cfRule type="expression" dxfId="6107" priority="60934" stopIfTrue="1">
      <formula>NOT(ISBLANK($AP$154))</formula>
    </cfRule>
  </conditionalFormatting>
  <conditionalFormatting sqref="AQ154">
    <cfRule type="expression" dxfId="6106" priority="60935" stopIfTrue="1">
      <formula>NOT(ISBLANK($AQ$154))</formula>
    </cfRule>
  </conditionalFormatting>
  <conditionalFormatting sqref="A155">
    <cfRule type="cellIs" dxfId="6105" priority="60936" stopIfTrue="1" operator="notEqual">
      <formula>10</formula>
    </cfRule>
  </conditionalFormatting>
  <conditionalFormatting sqref="B155">
    <cfRule type="cellIs" dxfId="6104" priority="60937" stopIfTrue="1" operator="notEqual">
      <formula>1</formula>
    </cfRule>
  </conditionalFormatting>
  <conditionalFormatting sqref="C155">
    <cfRule type="cellIs" dxfId="6103" priority="60938" stopIfTrue="1" operator="notEqual">
      <formula>3</formula>
    </cfRule>
  </conditionalFormatting>
  <conditionalFormatting sqref="D155">
    <cfRule type="cellIs" dxfId="6102" priority="60939" stopIfTrue="1" operator="notEqual">
      <formula>0.305</formula>
    </cfRule>
  </conditionalFormatting>
  <conditionalFormatting sqref="E155">
    <cfRule type="cellIs" dxfId="6101" priority="60940" stopIfTrue="1" operator="notEqual">
      <formula>"MGD"</formula>
    </cfRule>
  </conditionalFormatting>
  <conditionalFormatting sqref="F155">
    <cfRule type="cellIs" dxfId="6100" priority="60941" stopIfTrue="1" operator="notEqual">
      <formula>0.094</formula>
    </cfRule>
  </conditionalFormatting>
  <conditionalFormatting sqref="G155">
    <cfRule type="cellIs" dxfId="6099" priority="60942" stopIfTrue="1" operator="notEqual">
      <formula>"MGD"</formula>
    </cfRule>
  </conditionalFormatting>
  <conditionalFormatting sqref="H155">
    <cfRule type="expression" dxfId="6098" priority="60943" stopIfTrue="1">
      <formula>NOT(ISBLANK($H$155))</formula>
    </cfRule>
  </conditionalFormatting>
  <conditionalFormatting sqref="I155">
    <cfRule type="expression" dxfId="6097" priority="60944" stopIfTrue="1">
      <formula>NOT(ISBLANK($I$155))</formula>
    </cfRule>
  </conditionalFormatting>
  <conditionalFormatting sqref="J155">
    <cfRule type="expression" dxfId="6096" priority="60945" stopIfTrue="1">
      <formula>NOT(ISBLANK($J$155))</formula>
    </cfRule>
  </conditionalFormatting>
  <conditionalFormatting sqref="K155">
    <cfRule type="expression" dxfId="6095" priority="60946" stopIfTrue="1">
      <formula>NOT(ISBLANK($K$155))</formula>
    </cfRule>
  </conditionalFormatting>
  <conditionalFormatting sqref="L155">
    <cfRule type="expression" dxfId="6094" priority="60947" stopIfTrue="1">
      <formula>NOT(ISBLANK($L$155))</formula>
    </cfRule>
  </conditionalFormatting>
  <conditionalFormatting sqref="M155">
    <cfRule type="expression" dxfId="6093" priority="60948" stopIfTrue="1">
      <formula>NOT(ISBLANK($M$155))</formula>
    </cfRule>
  </conditionalFormatting>
  <conditionalFormatting sqref="N155">
    <cfRule type="expression" dxfId="6092" priority="60949" stopIfTrue="1">
      <formula>NOT(ISBLANK($N$155))</formula>
    </cfRule>
  </conditionalFormatting>
  <conditionalFormatting sqref="O155">
    <cfRule type="expression" dxfId="6091" priority="60950" stopIfTrue="1">
      <formula>NOT(ISBLANK($O$155))</formula>
    </cfRule>
  </conditionalFormatting>
  <conditionalFormatting sqref="P155">
    <cfRule type="expression" dxfId="6090" priority="60951" stopIfTrue="1">
      <formula>NOT(ISBLANK($P$155))</formula>
    </cfRule>
  </conditionalFormatting>
  <conditionalFormatting sqref="Q155">
    <cfRule type="expression" dxfId="6089" priority="60952" stopIfTrue="1">
      <formula>NOT(ISBLANK($Q$155))</formula>
    </cfRule>
  </conditionalFormatting>
  <conditionalFormatting sqref="R155">
    <cfRule type="expression" dxfId="6088" priority="60953" stopIfTrue="1">
      <formula>NOT(ISBLANK($R$155))</formula>
    </cfRule>
  </conditionalFormatting>
  <conditionalFormatting sqref="S155">
    <cfRule type="expression" dxfId="6087" priority="60954" stopIfTrue="1">
      <formula>NOT(ISBLANK($S$155))</formula>
    </cfRule>
  </conditionalFormatting>
  <conditionalFormatting sqref="T155">
    <cfRule type="expression" dxfId="6086" priority="60955" stopIfTrue="1">
      <formula>NOT(ISBLANK($T$155))</formula>
    </cfRule>
  </conditionalFormatting>
  <conditionalFormatting sqref="U155">
    <cfRule type="expression" dxfId="6085" priority="60956" stopIfTrue="1">
      <formula>NOT(ISBLANK($U$155))</formula>
    </cfRule>
  </conditionalFormatting>
  <conditionalFormatting sqref="V155">
    <cfRule type="expression" dxfId="6084" priority="60957" stopIfTrue="1">
      <formula>NOT(ISBLANK($V$155))</formula>
    </cfRule>
  </conditionalFormatting>
  <conditionalFormatting sqref="W155">
    <cfRule type="expression" dxfId="6083" priority="60958" stopIfTrue="1">
      <formula>NOT(ISBLANK($W$155))</formula>
    </cfRule>
  </conditionalFormatting>
  <conditionalFormatting sqref="X155">
    <cfRule type="expression" dxfId="6082" priority="60959" stopIfTrue="1">
      <formula>NOT(ISBLANK($X$155))</formula>
    </cfRule>
  </conditionalFormatting>
  <conditionalFormatting sqref="Y155">
    <cfRule type="expression" dxfId="6081" priority="60960" stopIfTrue="1">
      <formula>NOT(ISBLANK($Y$155))</formula>
    </cfRule>
  </conditionalFormatting>
  <conditionalFormatting sqref="Z155">
    <cfRule type="expression" dxfId="6080" priority="60961" stopIfTrue="1">
      <formula>NOT(ISBLANK($Z$155))</formula>
    </cfRule>
  </conditionalFormatting>
  <conditionalFormatting sqref="AA155">
    <cfRule type="expression" dxfId="6079" priority="60962" stopIfTrue="1">
      <formula>NOT(ISBLANK($AA$155))</formula>
    </cfRule>
  </conditionalFormatting>
  <conditionalFormatting sqref="AB155">
    <cfRule type="expression" dxfId="6078" priority="60963" stopIfTrue="1">
      <formula>NOT(ISBLANK($AB$155))</formula>
    </cfRule>
  </conditionalFormatting>
  <conditionalFormatting sqref="AC155">
    <cfRule type="expression" dxfId="6077" priority="60964" stopIfTrue="1">
      <formula>NOT(ISBLANK($AC$155))</formula>
    </cfRule>
  </conditionalFormatting>
  <conditionalFormatting sqref="AD155">
    <cfRule type="expression" dxfId="6076" priority="60965" stopIfTrue="1">
      <formula>NOT(ISBLANK($AD$155))</formula>
    </cfRule>
  </conditionalFormatting>
  <conditionalFormatting sqref="AE155">
    <cfRule type="expression" dxfId="6075" priority="60966" stopIfTrue="1">
      <formula>NOT(ISBLANK($AE$155))</formula>
    </cfRule>
  </conditionalFormatting>
  <conditionalFormatting sqref="AF155">
    <cfRule type="expression" dxfId="6074" priority="60967" stopIfTrue="1">
      <formula>NOT(ISBLANK($AF$155))</formula>
    </cfRule>
  </conditionalFormatting>
  <conditionalFormatting sqref="AG155">
    <cfRule type="expression" dxfId="6073" priority="60968" stopIfTrue="1">
      <formula>NOT(ISBLANK($AG$155))</formula>
    </cfRule>
  </conditionalFormatting>
  <conditionalFormatting sqref="AH155">
    <cfRule type="expression" dxfId="6072" priority="60969" stopIfTrue="1">
      <formula>NOT(ISBLANK($AH$155))</formula>
    </cfRule>
  </conditionalFormatting>
  <conditionalFormatting sqref="AI155">
    <cfRule type="expression" dxfId="6071" priority="60970" stopIfTrue="1">
      <formula>NOT(ISBLANK($AI$155))</formula>
    </cfRule>
  </conditionalFormatting>
  <conditionalFormatting sqref="AJ155">
    <cfRule type="expression" dxfId="6070" priority="60971" stopIfTrue="1">
      <formula>NOT(ISBLANK($AJ$155))</formula>
    </cfRule>
  </conditionalFormatting>
  <conditionalFormatting sqref="AK155">
    <cfRule type="expression" dxfId="6069" priority="60972" stopIfTrue="1">
      <formula>NOT(ISBLANK($AK$155))</formula>
    </cfRule>
  </conditionalFormatting>
  <conditionalFormatting sqref="AL155">
    <cfRule type="expression" dxfId="6068" priority="60973" stopIfTrue="1">
      <formula>NOT(ISBLANK($AL$155))</formula>
    </cfRule>
  </conditionalFormatting>
  <conditionalFormatting sqref="AM155">
    <cfRule type="expression" dxfId="6067" priority="60974" stopIfTrue="1">
      <formula>NOT(ISBLANK($AM$155))</formula>
    </cfRule>
  </conditionalFormatting>
  <conditionalFormatting sqref="AN155">
    <cfRule type="expression" dxfId="6066" priority="60975" stopIfTrue="1">
      <formula>NOT(ISBLANK($AN$155))</formula>
    </cfRule>
  </conditionalFormatting>
  <conditionalFormatting sqref="AO155">
    <cfRule type="expression" dxfId="6065" priority="60976" stopIfTrue="1">
      <formula>NOT(ISBLANK($AO$155))</formula>
    </cfRule>
  </conditionalFormatting>
  <conditionalFormatting sqref="AP155">
    <cfRule type="expression" dxfId="6064" priority="60977" stopIfTrue="1">
      <formula>NOT(ISBLANK($AP$155))</formula>
    </cfRule>
  </conditionalFormatting>
  <conditionalFormatting sqref="AQ155">
    <cfRule type="expression" dxfId="6063" priority="60978" stopIfTrue="1">
      <formula>NOT(ISBLANK($AQ$155))</formula>
    </cfRule>
  </conditionalFormatting>
  <conditionalFormatting sqref="A156">
    <cfRule type="cellIs" dxfId="6062" priority="60979" stopIfTrue="1" operator="notEqual">
      <formula>10</formula>
    </cfRule>
  </conditionalFormatting>
  <conditionalFormatting sqref="B156">
    <cfRule type="cellIs" dxfId="6061" priority="60980" stopIfTrue="1" operator="notEqual">
      <formula>1</formula>
    </cfRule>
  </conditionalFormatting>
  <conditionalFormatting sqref="C156">
    <cfRule type="cellIs" dxfId="6060" priority="60981" stopIfTrue="1" operator="notEqual">
      <formula>4</formula>
    </cfRule>
  </conditionalFormatting>
  <conditionalFormatting sqref="D156">
    <cfRule type="cellIs" dxfId="6059" priority="60982" stopIfTrue="1" operator="notEqual">
      <formula>0.74</formula>
    </cfRule>
  </conditionalFormatting>
  <conditionalFormatting sqref="E156">
    <cfRule type="cellIs" dxfId="6058" priority="60983" stopIfTrue="1" operator="notEqual">
      <formula>"MGD"</formula>
    </cfRule>
  </conditionalFormatting>
  <conditionalFormatting sqref="F156">
    <cfRule type="cellIs" dxfId="6057" priority="60984" stopIfTrue="1" operator="notEqual">
      <formula>0.251</formula>
    </cfRule>
  </conditionalFormatting>
  <conditionalFormatting sqref="G156">
    <cfRule type="cellIs" dxfId="6056" priority="60985" stopIfTrue="1" operator="notEqual">
      <formula>"MGD"</formula>
    </cfRule>
  </conditionalFormatting>
  <conditionalFormatting sqref="H156">
    <cfRule type="expression" dxfId="6055" priority="60986" stopIfTrue="1">
      <formula>NOT(ISBLANK($H$156))</formula>
    </cfRule>
  </conditionalFormatting>
  <conditionalFormatting sqref="I156">
    <cfRule type="expression" dxfId="6054" priority="60987" stopIfTrue="1">
      <formula>NOT(ISBLANK($I$156))</formula>
    </cfRule>
  </conditionalFormatting>
  <conditionalFormatting sqref="J156">
    <cfRule type="expression" dxfId="6053" priority="60988" stopIfTrue="1">
      <formula>NOT(ISBLANK($J$156))</formula>
    </cfRule>
  </conditionalFormatting>
  <conditionalFormatting sqref="K156">
    <cfRule type="expression" dxfId="6052" priority="60989" stopIfTrue="1">
      <formula>NOT(ISBLANK($K$156))</formula>
    </cfRule>
  </conditionalFormatting>
  <conditionalFormatting sqref="L156">
    <cfRule type="expression" dxfId="6051" priority="60990" stopIfTrue="1">
      <formula>NOT(ISBLANK($L$156))</formula>
    </cfRule>
  </conditionalFormatting>
  <conditionalFormatting sqref="M156">
    <cfRule type="expression" dxfId="6050" priority="60991" stopIfTrue="1">
      <formula>NOT(ISBLANK($M$156))</formula>
    </cfRule>
  </conditionalFormatting>
  <conditionalFormatting sqref="N156">
    <cfRule type="expression" dxfId="6049" priority="60992" stopIfTrue="1">
      <formula>NOT(ISBLANK($N$156))</formula>
    </cfRule>
  </conditionalFormatting>
  <conditionalFormatting sqref="O156">
    <cfRule type="expression" dxfId="6048" priority="60993" stopIfTrue="1">
      <formula>NOT(ISBLANK($O$156))</formula>
    </cfRule>
  </conditionalFormatting>
  <conditionalFormatting sqref="P156">
    <cfRule type="expression" dxfId="6047" priority="60994" stopIfTrue="1">
      <formula>NOT(ISBLANK($P$156))</formula>
    </cfRule>
  </conditionalFormatting>
  <conditionalFormatting sqref="Q156">
    <cfRule type="expression" dxfId="6046" priority="60995" stopIfTrue="1">
      <formula>NOT(ISBLANK($Q$156))</formula>
    </cfRule>
  </conditionalFormatting>
  <conditionalFormatting sqref="R156">
    <cfRule type="expression" dxfId="6045" priority="60996" stopIfTrue="1">
      <formula>NOT(ISBLANK($R$156))</formula>
    </cfRule>
  </conditionalFormatting>
  <conditionalFormatting sqref="S156">
    <cfRule type="expression" dxfId="6044" priority="60997" stopIfTrue="1">
      <formula>NOT(ISBLANK($S$156))</formula>
    </cfRule>
  </conditionalFormatting>
  <conditionalFormatting sqref="T156">
    <cfRule type="expression" dxfId="6043" priority="60998" stopIfTrue="1">
      <formula>NOT(ISBLANK($T$156))</formula>
    </cfRule>
  </conditionalFormatting>
  <conditionalFormatting sqref="U156">
    <cfRule type="expression" dxfId="6042" priority="60999" stopIfTrue="1">
      <formula>NOT(ISBLANK($U$156))</formula>
    </cfRule>
  </conditionalFormatting>
  <conditionalFormatting sqref="V156">
    <cfRule type="expression" dxfId="6041" priority="61000" stopIfTrue="1">
      <formula>NOT(ISBLANK($V$156))</formula>
    </cfRule>
  </conditionalFormatting>
  <conditionalFormatting sqref="W156">
    <cfRule type="expression" dxfId="6040" priority="61001" stopIfTrue="1">
      <formula>NOT(ISBLANK($W$156))</formula>
    </cfRule>
  </conditionalFormatting>
  <conditionalFormatting sqref="X156">
    <cfRule type="expression" dxfId="6039" priority="61002" stopIfTrue="1">
      <formula>NOT(ISBLANK($X$156))</formula>
    </cfRule>
  </conditionalFormatting>
  <conditionalFormatting sqref="Y156">
    <cfRule type="expression" dxfId="6038" priority="61003" stopIfTrue="1">
      <formula>NOT(ISBLANK($Y$156))</formula>
    </cfRule>
  </conditionalFormatting>
  <conditionalFormatting sqref="Z156">
    <cfRule type="expression" dxfId="6037" priority="61004" stopIfTrue="1">
      <formula>NOT(ISBLANK($Z$156))</formula>
    </cfRule>
  </conditionalFormatting>
  <conditionalFormatting sqref="AA156">
    <cfRule type="expression" dxfId="6036" priority="61005" stopIfTrue="1">
      <formula>NOT(ISBLANK($AA$156))</formula>
    </cfRule>
  </conditionalFormatting>
  <conditionalFormatting sqref="AB156">
    <cfRule type="expression" dxfId="6035" priority="61006" stopIfTrue="1">
      <formula>NOT(ISBLANK($AB$156))</formula>
    </cfRule>
  </conditionalFormatting>
  <conditionalFormatting sqref="AC156">
    <cfRule type="expression" dxfId="6034" priority="61007" stopIfTrue="1">
      <formula>NOT(ISBLANK($AC$156))</formula>
    </cfRule>
  </conditionalFormatting>
  <conditionalFormatting sqref="AD156">
    <cfRule type="expression" dxfId="6033" priority="61008" stopIfTrue="1">
      <formula>NOT(ISBLANK($AD$156))</formula>
    </cfRule>
  </conditionalFormatting>
  <conditionalFormatting sqref="AE156">
    <cfRule type="expression" dxfId="6032" priority="61009" stopIfTrue="1">
      <formula>NOT(ISBLANK($AE$156))</formula>
    </cfRule>
  </conditionalFormatting>
  <conditionalFormatting sqref="AF156">
    <cfRule type="expression" dxfId="6031" priority="61010" stopIfTrue="1">
      <formula>NOT(ISBLANK($AF$156))</formula>
    </cfRule>
  </conditionalFormatting>
  <conditionalFormatting sqref="AG156">
    <cfRule type="expression" dxfId="6030" priority="61011" stopIfTrue="1">
      <formula>NOT(ISBLANK($AG$156))</formula>
    </cfRule>
  </conditionalFormatting>
  <conditionalFormatting sqref="AH156">
    <cfRule type="expression" dxfId="6029" priority="61012" stopIfTrue="1">
      <formula>NOT(ISBLANK($AH$156))</formula>
    </cfRule>
  </conditionalFormatting>
  <conditionalFormatting sqref="AI156">
    <cfRule type="expression" dxfId="6028" priority="61013" stopIfTrue="1">
      <formula>NOT(ISBLANK($AI$156))</formula>
    </cfRule>
  </conditionalFormatting>
  <conditionalFormatting sqref="AJ156">
    <cfRule type="expression" dxfId="6027" priority="61014" stopIfTrue="1">
      <formula>NOT(ISBLANK($AJ$156))</formula>
    </cfRule>
  </conditionalFormatting>
  <conditionalFormatting sqref="AK156">
    <cfRule type="expression" dxfId="6026" priority="61015" stopIfTrue="1">
      <formula>NOT(ISBLANK($AK$156))</formula>
    </cfRule>
  </conditionalFormatting>
  <conditionalFormatting sqref="AL156">
    <cfRule type="expression" dxfId="6025" priority="61016" stopIfTrue="1">
      <formula>NOT(ISBLANK($AL$156))</formula>
    </cfRule>
  </conditionalFormatting>
  <conditionalFormatting sqref="AM156">
    <cfRule type="expression" dxfId="6024" priority="61017" stopIfTrue="1">
      <formula>NOT(ISBLANK($AM$156))</formula>
    </cfRule>
  </conditionalFormatting>
  <conditionalFormatting sqref="AN156">
    <cfRule type="expression" dxfId="6023" priority="61018" stopIfTrue="1">
      <formula>NOT(ISBLANK($AN$156))</formula>
    </cfRule>
  </conditionalFormatting>
  <conditionalFormatting sqref="AO156">
    <cfRule type="expression" dxfId="6022" priority="61019" stopIfTrue="1">
      <formula>NOT(ISBLANK($AO$156))</formula>
    </cfRule>
  </conditionalFormatting>
  <conditionalFormatting sqref="AP156">
    <cfRule type="expression" dxfId="6021" priority="61020" stopIfTrue="1">
      <formula>NOT(ISBLANK($AP$156))</formula>
    </cfRule>
  </conditionalFormatting>
  <conditionalFormatting sqref="AQ156">
    <cfRule type="expression" dxfId="6020" priority="61021" stopIfTrue="1">
      <formula>NOT(ISBLANK($AQ$156))</formula>
    </cfRule>
  </conditionalFormatting>
  <conditionalFormatting sqref="A157">
    <cfRule type="cellIs" dxfId="6019" priority="61022" stopIfTrue="1" operator="notEqual">
      <formula>10</formula>
    </cfRule>
  </conditionalFormatting>
  <conditionalFormatting sqref="B157">
    <cfRule type="cellIs" dxfId="6018" priority="61023" stopIfTrue="1" operator="notEqual">
      <formula>1</formula>
    </cfRule>
  </conditionalFormatting>
  <conditionalFormatting sqref="C157">
    <cfRule type="cellIs" dxfId="6017" priority="61024" stopIfTrue="1" operator="notEqual">
      <formula>5</formula>
    </cfRule>
  </conditionalFormatting>
  <conditionalFormatting sqref="D157">
    <cfRule type="cellIs" dxfId="6016" priority="61025" stopIfTrue="1" operator="notEqual">
      <formula>2.152</formula>
    </cfRule>
  </conditionalFormatting>
  <conditionalFormatting sqref="E157">
    <cfRule type="cellIs" dxfId="6015" priority="61026" stopIfTrue="1" operator="notEqual">
      <formula>"MGD"</formula>
    </cfRule>
  </conditionalFormatting>
  <conditionalFormatting sqref="F157">
    <cfRule type="cellIs" dxfId="6014" priority="61027" stopIfTrue="1" operator="notEqual">
      <formula>0.819</formula>
    </cfRule>
  </conditionalFormatting>
  <conditionalFormatting sqref="G157">
    <cfRule type="cellIs" dxfId="6013" priority="61028" stopIfTrue="1" operator="notEqual">
      <formula>"MGD"</formula>
    </cfRule>
  </conditionalFormatting>
  <conditionalFormatting sqref="H157">
    <cfRule type="expression" dxfId="6012" priority="61029" stopIfTrue="1">
      <formula>NOT(ISBLANK($H$157))</formula>
    </cfRule>
  </conditionalFormatting>
  <conditionalFormatting sqref="I157">
    <cfRule type="expression" dxfId="6011" priority="61030" stopIfTrue="1">
      <formula>NOT(ISBLANK($I$157))</formula>
    </cfRule>
  </conditionalFormatting>
  <conditionalFormatting sqref="J157">
    <cfRule type="expression" dxfId="6010" priority="61031" stopIfTrue="1">
      <formula>NOT(ISBLANK($J$157))</formula>
    </cfRule>
  </conditionalFormatting>
  <conditionalFormatting sqref="K157">
    <cfRule type="expression" dxfId="6009" priority="61032" stopIfTrue="1">
      <formula>NOT(ISBLANK($K$157))</formula>
    </cfRule>
  </conditionalFormatting>
  <conditionalFormatting sqref="L157">
    <cfRule type="expression" dxfId="6008" priority="61033" stopIfTrue="1">
      <formula>NOT(ISBLANK($L$157))</formula>
    </cfRule>
  </conditionalFormatting>
  <conditionalFormatting sqref="M157">
    <cfRule type="expression" dxfId="6007" priority="61034" stopIfTrue="1">
      <formula>NOT(ISBLANK($M$157))</formula>
    </cfRule>
  </conditionalFormatting>
  <conditionalFormatting sqref="N157">
    <cfRule type="expression" dxfId="6006" priority="61035" stopIfTrue="1">
      <formula>NOT(ISBLANK($N$157))</formula>
    </cfRule>
  </conditionalFormatting>
  <conditionalFormatting sqref="O157">
    <cfRule type="expression" dxfId="6005" priority="61036" stopIfTrue="1">
      <formula>NOT(ISBLANK($O$157))</formula>
    </cfRule>
  </conditionalFormatting>
  <conditionalFormatting sqref="P157">
    <cfRule type="expression" dxfId="6004" priority="61037" stopIfTrue="1">
      <formula>NOT(ISBLANK($P$157))</formula>
    </cfRule>
  </conditionalFormatting>
  <conditionalFormatting sqref="Q157">
    <cfRule type="expression" dxfId="6003" priority="61038" stopIfTrue="1">
      <formula>NOT(ISBLANK($Q$157))</formula>
    </cfRule>
  </conditionalFormatting>
  <conditionalFormatting sqref="R157">
    <cfRule type="expression" dxfId="6002" priority="61039" stopIfTrue="1">
      <formula>NOT(ISBLANK($R$157))</formula>
    </cfRule>
  </conditionalFormatting>
  <conditionalFormatting sqref="S157">
    <cfRule type="expression" dxfId="6001" priority="61040" stopIfTrue="1">
      <formula>NOT(ISBLANK($S$157))</formula>
    </cfRule>
  </conditionalFormatting>
  <conditionalFormatting sqref="T157">
    <cfRule type="expression" dxfId="6000" priority="61041" stopIfTrue="1">
      <formula>NOT(ISBLANK($T$157))</formula>
    </cfRule>
  </conditionalFormatting>
  <conditionalFormatting sqref="U157">
    <cfRule type="expression" dxfId="5999" priority="61042" stopIfTrue="1">
      <formula>NOT(ISBLANK($U$157))</formula>
    </cfRule>
  </conditionalFormatting>
  <conditionalFormatting sqref="V157">
    <cfRule type="expression" dxfId="5998" priority="61043" stopIfTrue="1">
      <formula>NOT(ISBLANK($V$157))</formula>
    </cfRule>
  </conditionalFormatting>
  <conditionalFormatting sqref="W157">
    <cfRule type="expression" dxfId="5997" priority="61044" stopIfTrue="1">
      <formula>NOT(ISBLANK($W$157))</formula>
    </cfRule>
  </conditionalFormatting>
  <conditionalFormatting sqref="X157">
    <cfRule type="expression" dxfId="5996" priority="61045" stopIfTrue="1">
      <formula>NOT(ISBLANK($X$157))</formula>
    </cfRule>
  </conditionalFormatting>
  <conditionalFormatting sqref="Y157">
    <cfRule type="expression" dxfId="5995" priority="61046" stopIfTrue="1">
      <formula>NOT(ISBLANK($Y$157))</formula>
    </cfRule>
  </conditionalFormatting>
  <conditionalFormatting sqref="Z157">
    <cfRule type="expression" dxfId="5994" priority="61047" stopIfTrue="1">
      <formula>NOT(ISBLANK($Z$157))</formula>
    </cfRule>
  </conditionalFormatting>
  <conditionalFormatting sqref="AA157">
    <cfRule type="expression" dxfId="5993" priority="61048" stopIfTrue="1">
      <formula>NOT(ISBLANK($AA$157))</formula>
    </cfRule>
  </conditionalFormatting>
  <conditionalFormatting sqref="AB157">
    <cfRule type="expression" dxfId="5992" priority="61049" stopIfTrue="1">
      <formula>NOT(ISBLANK($AB$157))</formula>
    </cfRule>
  </conditionalFormatting>
  <conditionalFormatting sqref="AC157">
    <cfRule type="expression" dxfId="5991" priority="61050" stopIfTrue="1">
      <formula>NOT(ISBLANK($AC$157))</formula>
    </cfRule>
  </conditionalFormatting>
  <conditionalFormatting sqref="AD157">
    <cfRule type="expression" dxfId="5990" priority="61051" stopIfTrue="1">
      <formula>NOT(ISBLANK($AD$157))</formula>
    </cfRule>
  </conditionalFormatting>
  <conditionalFormatting sqref="AE157">
    <cfRule type="expression" dxfId="5989" priority="61052" stopIfTrue="1">
      <formula>NOT(ISBLANK($AE$157))</formula>
    </cfRule>
  </conditionalFormatting>
  <conditionalFormatting sqref="AF157">
    <cfRule type="expression" dxfId="5988" priority="61053" stopIfTrue="1">
      <formula>NOT(ISBLANK($AF$157))</formula>
    </cfRule>
  </conditionalFormatting>
  <conditionalFormatting sqref="AG157">
    <cfRule type="expression" dxfId="5987" priority="61054" stopIfTrue="1">
      <formula>NOT(ISBLANK($AG$157))</formula>
    </cfRule>
  </conditionalFormatting>
  <conditionalFormatting sqref="AH157">
    <cfRule type="expression" dxfId="5986" priority="61055" stopIfTrue="1">
      <formula>NOT(ISBLANK($AH$157))</formula>
    </cfRule>
  </conditionalFormatting>
  <conditionalFormatting sqref="AI157">
    <cfRule type="expression" dxfId="5985" priority="61056" stopIfTrue="1">
      <formula>NOT(ISBLANK($AI$157))</formula>
    </cfRule>
  </conditionalFormatting>
  <conditionalFormatting sqref="AJ157">
    <cfRule type="expression" dxfId="5984" priority="61057" stopIfTrue="1">
      <formula>NOT(ISBLANK($AJ$157))</formula>
    </cfRule>
  </conditionalFormatting>
  <conditionalFormatting sqref="AK157">
    <cfRule type="expression" dxfId="5983" priority="61058" stopIfTrue="1">
      <formula>NOT(ISBLANK($AK$157))</formula>
    </cfRule>
  </conditionalFormatting>
  <conditionalFormatting sqref="AL157">
    <cfRule type="expression" dxfId="5982" priority="61059" stopIfTrue="1">
      <formula>NOT(ISBLANK($AL$157))</formula>
    </cfRule>
  </conditionalFormatting>
  <conditionalFormatting sqref="AM157">
    <cfRule type="expression" dxfId="5981" priority="61060" stopIfTrue="1">
      <formula>NOT(ISBLANK($AM$157))</formula>
    </cfRule>
  </conditionalFormatting>
  <conditionalFormatting sqref="AN157">
    <cfRule type="expression" dxfId="5980" priority="61061" stopIfTrue="1">
      <formula>NOT(ISBLANK($AN$157))</formula>
    </cfRule>
  </conditionalFormatting>
  <conditionalFormatting sqref="AO157">
    <cfRule type="expression" dxfId="5979" priority="61062" stopIfTrue="1">
      <formula>NOT(ISBLANK($AO$157))</formula>
    </cfRule>
  </conditionalFormatting>
  <conditionalFormatting sqref="AP157">
    <cfRule type="expression" dxfId="5978" priority="61063" stopIfTrue="1">
      <formula>NOT(ISBLANK($AP$157))</formula>
    </cfRule>
  </conditionalFormatting>
  <conditionalFormatting sqref="AQ157">
    <cfRule type="expression" dxfId="5977" priority="61064" stopIfTrue="1">
      <formula>NOT(ISBLANK($AQ$157))</formula>
    </cfRule>
  </conditionalFormatting>
  <conditionalFormatting sqref="A158">
    <cfRule type="cellIs" dxfId="5976" priority="61065" stopIfTrue="1" operator="notEqual">
      <formula>10</formula>
    </cfRule>
  </conditionalFormatting>
  <conditionalFormatting sqref="B158">
    <cfRule type="cellIs" dxfId="5975" priority="61066" stopIfTrue="1" operator="notEqual">
      <formula>1</formula>
    </cfRule>
  </conditionalFormatting>
  <conditionalFormatting sqref="C158">
    <cfRule type="cellIs" dxfId="5974" priority="61067" stopIfTrue="1" operator="notEqual">
      <formula>6</formula>
    </cfRule>
  </conditionalFormatting>
  <conditionalFormatting sqref="D158">
    <cfRule type="cellIs" dxfId="5973" priority="61068" stopIfTrue="1" operator="notEqual">
      <formula>7.365</formula>
    </cfRule>
  </conditionalFormatting>
  <conditionalFormatting sqref="E158">
    <cfRule type="cellIs" dxfId="5972" priority="61069" stopIfTrue="1" operator="notEqual">
      <formula>"MGD"</formula>
    </cfRule>
  </conditionalFormatting>
  <conditionalFormatting sqref="F158">
    <cfRule type="cellIs" dxfId="5971" priority="61070" stopIfTrue="1" operator="notEqual">
      <formula>3.2</formula>
    </cfRule>
  </conditionalFormatting>
  <conditionalFormatting sqref="G158">
    <cfRule type="cellIs" dxfId="5970" priority="61071" stopIfTrue="1" operator="notEqual">
      <formula>"MGD"</formula>
    </cfRule>
  </conditionalFormatting>
  <conditionalFormatting sqref="H158">
    <cfRule type="expression" dxfId="5969" priority="61072" stopIfTrue="1">
      <formula>NOT(ISBLANK($H$158))</formula>
    </cfRule>
  </conditionalFormatting>
  <conditionalFormatting sqref="I158">
    <cfRule type="expression" dxfId="5968" priority="61073" stopIfTrue="1">
      <formula>NOT(ISBLANK($I$158))</formula>
    </cfRule>
  </conditionalFormatting>
  <conditionalFormatting sqref="J158">
    <cfRule type="expression" dxfId="5967" priority="61074" stopIfTrue="1">
      <formula>NOT(ISBLANK($J$158))</formula>
    </cfRule>
  </conditionalFormatting>
  <conditionalFormatting sqref="K158">
    <cfRule type="expression" dxfId="5966" priority="61075" stopIfTrue="1">
      <formula>NOT(ISBLANK($K$158))</formula>
    </cfRule>
  </conditionalFormatting>
  <conditionalFormatting sqref="L158">
    <cfRule type="expression" dxfId="5965" priority="61076" stopIfTrue="1">
      <formula>NOT(ISBLANK($L$158))</formula>
    </cfRule>
  </conditionalFormatting>
  <conditionalFormatting sqref="M158">
    <cfRule type="expression" dxfId="5964" priority="61077" stopIfTrue="1">
      <formula>NOT(ISBLANK($M$158))</formula>
    </cfRule>
  </conditionalFormatting>
  <conditionalFormatting sqref="N158">
    <cfRule type="expression" dxfId="5963" priority="61078" stopIfTrue="1">
      <formula>NOT(ISBLANK($N$158))</formula>
    </cfRule>
  </conditionalFormatting>
  <conditionalFormatting sqref="O158">
    <cfRule type="expression" dxfId="5962" priority="61079" stopIfTrue="1">
      <formula>NOT(ISBLANK($O$158))</formula>
    </cfRule>
  </conditionalFormatting>
  <conditionalFormatting sqref="P158">
    <cfRule type="expression" dxfId="5961" priority="61080" stopIfTrue="1">
      <formula>NOT(ISBLANK($P$158))</formula>
    </cfRule>
  </conditionalFormatting>
  <conditionalFormatting sqref="Q158">
    <cfRule type="expression" dxfId="5960" priority="61081" stopIfTrue="1">
      <formula>NOT(ISBLANK($Q$158))</formula>
    </cfRule>
  </conditionalFormatting>
  <conditionalFormatting sqref="R158">
    <cfRule type="expression" dxfId="5959" priority="61082" stopIfTrue="1">
      <formula>NOT(ISBLANK($R$158))</formula>
    </cfRule>
  </conditionalFormatting>
  <conditionalFormatting sqref="S158">
    <cfRule type="expression" dxfId="5958" priority="61083" stopIfTrue="1">
      <formula>NOT(ISBLANK($S$158))</formula>
    </cfRule>
  </conditionalFormatting>
  <conditionalFormatting sqref="T158">
    <cfRule type="expression" dxfId="5957" priority="61084" stopIfTrue="1">
      <formula>NOT(ISBLANK($T$158))</formula>
    </cfRule>
  </conditionalFormatting>
  <conditionalFormatting sqref="U158">
    <cfRule type="expression" dxfId="5956" priority="61085" stopIfTrue="1">
      <formula>NOT(ISBLANK($U$158))</formula>
    </cfRule>
  </conditionalFormatting>
  <conditionalFormatting sqref="V158">
    <cfRule type="expression" dxfId="5955" priority="61086" stopIfTrue="1">
      <formula>NOT(ISBLANK($V$158))</formula>
    </cfRule>
  </conditionalFormatting>
  <conditionalFormatting sqref="W158">
    <cfRule type="expression" dxfId="5954" priority="61087" stopIfTrue="1">
      <formula>NOT(ISBLANK($W$158))</formula>
    </cfRule>
  </conditionalFormatting>
  <conditionalFormatting sqref="X158">
    <cfRule type="expression" dxfId="5953" priority="61088" stopIfTrue="1">
      <formula>NOT(ISBLANK($X$158))</formula>
    </cfRule>
  </conditionalFormatting>
  <conditionalFormatting sqref="Y158">
    <cfRule type="expression" dxfId="5952" priority="61089" stopIfTrue="1">
      <formula>NOT(ISBLANK($Y$158))</formula>
    </cfRule>
  </conditionalFormatting>
  <conditionalFormatting sqref="Z158">
    <cfRule type="expression" dxfId="5951" priority="61090" stopIfTrue="1">
      <formula>NOT(ISBLANK($Z$158))</formula>
    </cfRule>
  </conditionalFormatting>
  <conditionalFormatting sqref="AA158">
    <cfRule type="expression" dxfId="5950" priority="61091" stopIfTrue="1">
      <formula>NOT(ISBLANK($AA$158))</formula>
    </cfRule>
  </conditionalFormatting>
  <conditionalFormatting sqref="AB158">
    <cfRule type="expression" dxfId="5949" priority="61092" stopIfTrue="1">
      <formula>NOT(ISBLANK($AB$158))</formula>
    </cfRule>
  </conditionalFormatting>
  <conditionalFormatting sqref="AC158">
    <cfRule type="expression" dxfId="5948" priority="61093" stopIfTrue="1">
      <formula>NOT(ISBLANK($AC$158))</formula>
    </cfRule>
  </conditionalFormatting>
  <conditionalFormatting sqref="AD158">
    <cfRule type="expression" dxfId="5947" priority="61094" stopIfTrue="1">
      <formula>NOT(ISBLANK($AD$158))</formula>
    </cfRule>
  </conditionalFormatting>
  <conditionalFormatting sqref="AE158">
    <cfRule type="expression" dxfId="5946" priority="61095" stopIfTrue="1">
      <formula>NOT(ISBLANK($AE$158))</formula>
    </cfRule>
  </conditionalFormatting>
  <conditionalFormatting sqref="AF158">
    <cfRule type="expression" dxfId="5945" priority="61096" stopIfTrue="1">
      <formula>NOT(ISBLANK($AF$158))</formula>
    </cfRule>
  </conditionalFormatting>
  <conditionalFormatting sqref="AG158">
    <cfRule type="expression" dxfId="5944" priority="61097" stopIfTrue="1">
      <formula>NOT(ISBLANK($AG$158))</formula>
    </cfRule>
  </conditionalFormatting>
  <conditionalFormatting sqref="AH158">
    <cfRule type="expression" dxfId="5943" priority="61098" stopIfTrue="1">
      <formula>NOT(ISBLANK($AH$158))</formula>
    </cfRule>
  </conditionalFormatting>
  <conditionalFormatting sqref="AI158">
    <cfRule type="expression" dxfId="5942" priority="61099" stopIfTrue="1">
      <formula>NOT(ISBLANK($AI$158))</formula>
    </cfRule>
  </conditionalFormatting>
  <conditionalFormatting sqref="AJ158">
    <cfRule type="expression" dxfId="5941" priority="61100" stopIfTrue="1">
      <formula>NOT(ISBLANK($AJ$158))</formula>
    </cfRule>
  </conditionalFormatting>
  <conditionalFormatting sqref="AK158">
    <cfRule type="expression" dxfId="5940" priority="61101" stopIfTrue="1">
      <formula>NOT(ISBLANK($AK$158))</formula>
    </cfRule>
  </conditionalFormatting>
  <conditionalFormatting sqref="AL158">
    <cfRule type="expression" dxfId="5939" priority="61102" stopIfTrue="1">
      <formula>NOT(ISBLANK($AL$158))</formula>
    </cfRule>
  </conditionalFormatting>
  <conditionalFormatting sqref="AM158">
    <cfRule type="expression" dxfId="5938" priority="61103" stopIfTrue="1">
      <formula>NOT(ISBLANK($AM$158))</formula>
    </cfRule>
  </conditionalFormatting>
  <conditionalFormatting sqref="AN158">
    <cfRule type="expression" dxfId="5937" priority="61104" stopIfTrue="1">
      <formula>NOT(ISBLANK($AN$158))</formula>
    </cfRule>
  </conditionalFormatting>
  <conditionalFormatting sqref="AO158">
    <cfRule type="expression" dxfId="5936" priority="61105" stopIfTrue="1">
      <formula>NOT(ISBLANK($AO$158))</formula>
    </cfRule>
  </conditionalFormatting>
  <conditionalFormatting sqref="AP158">
    <cfRule type="expression" dxfId="5935" priority="61106" stopIfTrue="1">
      <formula>NOT(ISBLANK($AP$158))</formula>
    </cfRule>
  </conditionalFormatting>
  <conditionalFormatting sqref="AQ158">
    <cfRule type="expression" dxfId="5934" priority="61107" stopIfTrue="1">
      <formula>NOT(ISBLANK($AQ$158))</formula>
    </cfRule>
  </conditionalFormatting>
  <conditionalFormatting sqref="A159">
    <cfRule type="cellIs" dxfId="5933" priority="61108" stopIfTrue="1" operator="notEqual">
      <formula>10</formula>
    </cfRule>
  </conditionalFormatting>
  <conditionalFormatting sqref="B159">
    <cfRule type="cellIs" dxfId="5932" priority="61109" stopIfTrue="1" operator="notEqual">
      <formula>1</formula>
    </cfRule>
  </conditionalFormatting>
  <conditionalFormatting sqref="C159">
    <cfRule type="cellIs" dxfId="5931" priority="61110" stopIfTrue="1" operator="notEqual">
      <formula>7</formula>
    </cfRule>
  </conditionalFormatting>
  <conditionalFormatting sqref="D159">
    <cfRule type="cellIs" dxfId="5930" priority="61111" stopIfTrue="1" operator="notEqual">
      <formula>22.614</formula>
    </cfRule>
  </conditionalFormatting>
  <conditionalFormatting sqref="E159">
    <cfRule type="cellIs" dxfId="5929" priority="61112" stopIfTrue="1" operator="notEqual">
      <formula>"MGD"</formula>
    </cfRule>
  </conditionalFormatting>
  <conditionalFormatting sqref="F159">
    <cfRule type="cellIs" dxfId="5928" priority="61113" stopIfTrue="1" operator="notEqual">
      <formula>11.066</formula>
    </cfRule>
  </conditionalFormatting>
  <conditionalFormatting sqref="G159">
    <cfRule type="cellIs" dxfId="5927" priority="61114" stopIfTrue="1" operator="notEqual">
      <formula>"MGD"</formula>
    </cfRule>
  </conditionalFormatting>
  <conditionalFormatting sqref="H159">
    <cfRule type="expression" dxfId="5926" priority="61115" stopIfTrue="1">
      <formula>NOT(ISBLANK($H$159))</formula>
    </cfRule>
  </conditionalFormatting>
  <conditionalFormatting sqref="I159">
    <cfRule type="expression" dxfId="5925" priority="61116" stopIfTrue="1">
      <formula>NOT(ISBLANK($I$159))</formula>
    </cfRule>
  </conditionalFormatting>
  <conditionalFormatting sqref="J159">
    <cfRule type="expression" dxfId="5924" priority="61117" stopIfTrue="1">
      <formula>NOT(ISBLANK($J$159))</formula>
    </cfRule>
  </conditionalFormatting>
  <conditionalFormatting sqref="K159">
    <cfRule type="expression" dxfId="5923" priority="61118" stopIfTrue="1">
      <formula>NOT(ISBLANK($K$159))</formula>
    </cfRule>
  </conditionalFormatting>
  <conditionalFormatting sqref="L159">
    <cfRule type="expression" dxfId="5922" priority="61119" stopIfTrue="1">
      <formula>NOT(ISBLANK($L$159))</formula>
    </cfRule>
  </conditionalFormatting>
  <conditionalFormatting sqref="M159">
    <cfRule type="expression" dxfId="5921" priority="61120" stopIfTrue="1">
      <formula>NOT(ISBLANK($M$159))</formula>
    </cfRule>
  </conditionalFormatting>
  <conditionalFormatting sqref="N159">
    <cfRule type="expression" dxfId="5920" priority="61121" stopIfTrue="1">
      <formula>NOT(ISBLANK($N$159))</formula>
    </cfRule>
  </conditionalFormatting>
  <conditionalFormatting sqref="O159">
    <cfRule type="expression" dxfId="5919" priority="61122" stopIfTrue="1">
      <formula>NOT(ISBLANK($O$159))</formula>
    </cfRule>
  </conditionalFormatting>
  <conditionalFormatting sqref="P159">
    <cfRule type="expression" dxfId="5918" priority="61123" stopIfTrue="1">
      <formula>NOT(ISBLANK($P$159))</formula>
    </cfRule>
  </conditionalFormatting>
  <conditionalFormatting sqref="Q159">
    <cfRule type="expression" dxfId="5917" priority="61124" stopIfTrue="1">
      <formula>NOT(ISBLANK($Q$159))</formula>
    </cfRule>
  </conditionalFormatting>
  <conditionalFormatting sqref="R159">
    <cfRule type="expression" dxfId="5916" priority="61125" stopIfTrue="1">
      <formula>NOT(ISBLANK($R$159))</formula>
    </cfRule>
  </conditionalFormatting>
  <conditionalFormatting sqref="S159">
    <cfRule type="expression" dxfId="5915" priority="61126" stopIfTrue="1">
      <formula>NOT(ISBLANK($S$159))</formula>
    </cfRule>
  </conditionalFormatting>
  <conditionalFormatting sqref="T159">
    <cfRule type="expression" dxfId="5914" priority="61127" stopIfTrue="1">
      <formula>NOT(ISBLANK($T$159))</formula>
    </cfRule>
  </conditionalFormatting>
  <conditionalFormatting sqref="U159">
    <cfRule type="expression" dxfId="5913" priority="61128" stopIfTrue="1">
      <formula>NOT(ISBLANK($U$159))</formula>
    </cfRule>
  </conditionalFormatting>
  <conditionalFormatting sqref="V159">
    <cfRule type="expression" dxfId="5912" priority="61129" stopIfTrue="1">
      <formula>NOT(ISBLANK($V$159))</formula>
    </cfRule>
  </conditionalFormatting>
  <conditionalFormatting sqref="W159">
    <cfRule type="expression" dxfId="5911" priority="61130" stopIfTrue="1">
      <formula>NOT(ISBLANK($W$159))</formula>
    </cfRule>
  </conditionalFormatting>
  <conditionalFormatting sqref="X159">
    <cfRule type="expression" dxfId="5910" priority="61131" stopIfTrue="1">
      <formula>NOT(ISBLANK($X$159))</formula>
    </cfRule>
  </conditionalFormatting>
  <conditionalFormatting sqref="Y159">
    <cfRule type="expression" dxfId="5909" priority="61132" stopIfTrue="1">
      <formula>NOT(ISBLANK($Y$159))</formula>
    </cfRule>
  </conditionalFormatting>
  <conditionalFormatting sqref="Z159">
    <cfRule type="expression" dxfId="5908" priority="61133" stopIfTrue="1">
      <formula>NOT(ISBLANK($Z$159))</formula>
    </cfRule>
  </conditionalFormatting>
  <conditionalFormatting sqref="AA159">
    <cfRule type="expression" dxfId="5907" priority="61134" stopIfTrue="1">
      <formula>NOT(ISBLANK($AA$159))</formula>
    </cfRule>
  </conditionalFormatting>
  <conditionalFormatting sqref="AB159">
    <cfRule type="expression" dxfId="5906" priority="61135" stopIfTrue="1">
      <formula>NOT(ISBLANK($AB$159))</formula>
    </cfRule>
  </conditionalFormatting>
  <conditionalFormatting sqref="AC159">
    <cfRule type="expression" dxfId="5905" priority="61136" stopIfTrue="1">
      <formula>NOT(ISBLANK($AC$159))</formula>
    </cfRule>
  </conditionalFormatting>
  <conditionalFormatting sqref="AD159">
    <cfRule type="expression" dxfId="5904" priority="61137" stopIfTrue="1">
      <formula>NOT(ISBLANK($AD$159))</formula>
    </cfRule>
  </conditionalFormatting>
  <conditionalFormatting sqref="AE159">
    <cfRule type="expression" dxfId="5903" priority="61138" stopIfTrue="1">
      <formula>NOT(ISBLANK($AE$159))</formula>
    </cfRule>
  </conditionalFormatting>
  <conditionalFormatting sqref="AF159">
    <cfRule type="expression" dxfId="5902" priority="61139" stopIfTrue="1">
      <formula>NOT(ISBLANK($AF$159))</formula>
    </cfRule>
  </conditionalFormatting>
  <conditionalFormatting sqref="AG159">
    <cfRule type="expression" dxfId="5901" priority="61140" stopIfTrue="1">
      <formula>NOT(ISBLANK($AG$159))</formula>
    </cfRule>
  </conditionalFormatting>
  <conditionalFormatting sqref="AH159">
    <cfRule type="expression" dxfId="5900" priority="61141" stopIfTrue="1">
      <formula>NOT(ISBLANK($AH$159))</formula>
    </cfRule>
  </conditionalFormatting>
  <conditionalFormatting sqref="AI159">
    <cfRule type="expression" dxfId="5899" priority="61142" stopIfTrue="1">
      <formula>NOT(ISBLANK($AI$159))</formula>
    </cfRule>
  </conditionalFormatting>
  <conditionalFormatting sqref="AJ159">
    <cfRule type="expression" dxfId="5898" priority="61143" stopIfTrue="1">
      <formula>NOT(ISBLANK($AJ$159))</formula>
    </cfRule>
  </conditionalFormatting>
  <conditionalFormatting sqref="AK159">
    <cfRule type="expression" dxfId="5897" priority="61144" stopIfTrue="1">
      <formula>NOT(ISBLANK($AK$159))</formula>
    </cfRule>
  </conditionalFormatting>
  <conditionalFormatting sqref="AL159">
    <cfRule type="expression" dxfId="5896" priority="61145" stopIfTrue="1">
      <formula>NOT(ISBLANK($AL$159))</formula>
    </cfRule>
  </conditionalFormatting>
  <conditionalFormatting sqref="AM159">
    <cfRule type="expression" dxfId="5895" priority="61146" stopIfTrue="1">
      <formula>NOT(ISBLANK($AM$159))</formula>
    </cfRule>
  </conditionalFormatting>
  <conditionalFormatting sqref="AN159">
    <cfRule type="expression" dxfId="5894" priority="61147" stopIfTrue="1">
      <formula>NOT(ISBLANK($AN$159))</formula>
    </cfRule>
  </conditionalFormatting>
  <conditionalFormatting sqref="AO159">
    <cfRule type="expression" dxfId="5893" priority="61148" stopIfTrue="1">
      <formula>NOT(ISBLANK($AO$159))</formula>
    </cfRule>
  </conditionalFormatting>
  <conditionalFormatting sqref="AP159">
    <cfRule type="expression" dxfId="5892" priority="61149" stopIfTrue="1">
      <formula>NOT(ISBLANK($AP$159))</formula>
    </cfRule>
  </conditionalFormatting>
  <conditionalFormatting sqref="AQ159">
    <cfRule type="expression" dxfId="5891" priority="61150" stopIfTrue="1">
      <formula>NOT(ISBLANK($AQ$159))</formula>
    </cfRule>
  </conditionalFormatting>
  <conditionalFormatting sqref="A160">
    <cfRule type="cellIs" dxfId="5890" priority="61151" stopIfTrue="1" operator="notEqual">
      <formula>10</formula>
    </cfRule>
  </conditionalFormatting>
  <conditionalFormatting sqref="B160">
    <cfRule type="cellIs" dxfId="5889" priority="61152" stopIfTrue="1" operator="notEqual">
      <formula>1</formula>
    </cfRule>
  </conditionalFormatting>
  <conditionalFormatting sqref="C160">
    <cfRule type="cellIs" dxfId="5888" priority="61153" stopIfTrue="1" operator="notEqual">
      <formula>8</formula>
    </cfRule>
  </conditionalFormatting>
  <conditionalFormatting sqref="D160">
    <cfRule type="cellIs" dxfId="5887" priority="61154" stopIfTrue="1" operator="notEqual">
      <formula>75.072</formula>
    </cfRule>
  </conditionalFormatting>
  <conditionalFormatting sqref="E160">
    <cfRule type="cellIs" dxfId="5886" priority="61155" stopIfTrue="1" operator="notEqual">
      <formula>"MGD"</formula>
    </cfRule>
  </conditionalFormatting>
  <conditionalFormatting sqref="F160">
    <cfRule type="cellIs" dxfId="5885" priority="61156" stopIfTrue="1" operator="notEqual">
      <formula>37.536</formula>
    </cfRule>
  </conditionalFormatting>
  <conditionalFormatting sqref="G160">
    <cfRule type="cellIs" dxfId="5884" priority="61157" stopIfTrue="1" operator="notEqual">
      <formula>"MGD"</formula>
    </cfRule>
  </conditionalFormatting>
  <conditionalFormatting sqref="H160">
    <cfRule type="expression" dxfId="5883" priority="61158" stopIfTrue="1">
      <formula>NOT(ISBLANK($H$160))</formula>
    </cfRule>
  </conditionalFormatting>
  <conditionalFormatting sqref="I160">
    <cfRule type="expression" dxfId="5882" priority="61159" stopIfTrue="1">
      <formula>NOT(ISBLANK($I$160))</formula>
    </cfRule>
  </conditionalFormatting>
  <conditionalFormatting sqref="J160">
    <cfRule type="expression" dxfId="5881" priority="61160" stopIfTrue="1">
      <formula>NOT(ISBLANK($J$160))</formula>
    </cfRule>
  </conditionalFormatting>
  <conditionalFormatting sqref="K160">
    <cfRule type="expression" dxfId="5880" priority="61161" stopIfTrue="1">
      <formula>NOT(ISBLANK($K$160))</formula>
    </cfRule>
  </conditionalFormatting>
  <conditionalFormatting sqref="L160">
    <cfRule type="expression" dxfId="5879" priority="61162" stopIfTrue="1">
      <formula>NOT(ISBLANK($L$160))</formula>
    </cfRule>
  </conditionalFormatting>
  <conditionalFormatting sqref="M160">
    <cfRule type="expression" dxfId="5878" priority="61163" stopIfTrue="1">
      <formula>NOT(ISBLANK($M$160))</formula>
    </cfRule>
  </conditionalFormatting>
  <conditionalFormatting sqref="N160">
    <cfRule type="expression" dxfId="5877" priority="61164" stopIfTrue="1">
      <formula>NOT(ISBLANK($N$160))</formula>
    </cfRule>
  </conditionalFormatting>
  <conditionalFormatting sqref="O160">
    <cfRule type="expression" dxfId="5876" priority="61165" stopIfTrue="1">
      <formula>NOT(ISBLANK($O$160))</formula>
    </cfRule>
  </conditionalFormatting>
  <conditionalFormatting sqref="P160">
    <cfRule type="expression" dxfId="5875" priority="61166" stopIfTrue="1">
      <formula>NOT(ISBLANK($P$160))</formula>
    </cfRule>
  </conditionalFormatting>
  <conditionalFormatting sqref="Q160">
    <cfRule type="expression" dxfId="5874" priority="61167" stopIfTrue="1">
      <formula>NOT(ISBLANK($Q$160))</formula>
    </cfRule>
  </conditionalFormatting>
  <conditionalFormatting sqref="R160">
    <cfRule type="expression" dxfId="5873" priority="61168" stopIfTrue="1">
      <formula>NOT(ISBLANK($R$160))</formula>
    </cfRule>
  </conditionalFormatting>
  <conditionalFormatting sqref="S160">
    <cfRule type="expression" dxfId="5872" priority="61169" stopIfTrue="1">
      <formula>NOT(ISBLANK($S$160))</formula>
    </cfRule>
  </conditionalFormatting>
  <conditionalFormatting sqref="T160">
    <cfRule type="expression" dxfId="5871" priority="61170" stopIfTrue="1">
      <formula>NOT(ISBLANK($T$160))</formula>
    </cfRule>
  </conditionalFormatting>
  <conditionalFormatting sqref="U160">
    <cfRule type="expression" dxfId="5870" priority="61171" stopIfTrue="1">
      <formula>NOT(ISBLANK($U$160))</formula>
    </cfRule>
  </conditionalFormatting>
  <conditionalFormatting sqref="V160">
    <cfRule type="expression" dxfId="5869" priority="61172" stopIfTrue="1">
      <formula>NOT(ISBLANK($V$160))</formula>
    </cfRule>
  </conditionalFormatting>
  <conditionalFormatting sqref="W160">
    <cfRule type="expression" dxfId="5868" priority="61173" stopIfTrue="1">
      <formula>NOT(ISBLANK($W$160))</formula>
    </cfRule>
  </conditionalFormatting>
  <conditionalFormatting sqref="X160">
    <cfRule type="expression" dxfId="5867" priority="61174" stopIfTrue="1">
      <formula>NOT(ISBLANK($X$160))</formula>
    </cfRule>
  </conditionalFormatting>
  <conditionalFormatting sqref="Y160">
    <cfRule type="expression" dxfId="5866" priority="61175" stopIfTrue="1">
      <formula>NOT(ISBLANK($Y$160))</formula>
    </cfRule>
  </conditionalFormatting>
  <conditionalFormatting sqref="Z160">
    <cfRule type="expression" dxfId="5865" priority="61176" stopIfTrue="1">
      <formula>NOT(ISBLANK($Z$160))</formula>
    </cfRule>
  </conditionalFormatting>
  <conditionalFormatting sqref="AA160">
    <cfRule type="expression" dxfId="5864" priority="61177" stopIfTrue="1">
      <formula>NOT(ISBLANK($AA$160))</formula>
    </cfRule>
  </conditionalFormatting>
  <conditionalFormatting sqref="AB160">
    <cfRule type="expression" dxfId="5863" priority="61178" stopIfTrue="1">
      <formula>NOT(ISBLANK($AB$160))</formula>
    </cfRule>
  </conditionalFormatting>
  <conditionalFormatting sqref="AC160">
    <cfRule type="expression" dxfId="5862" priority="61179" stopIfTrue="1">
      <formula>NOT(ISBLANK($AC$160))</formula>
    </cfRule>
  </conditionalFormatting>
  <conditionalFormatting sqref="AD160">
    <cfRule type="expression" dxfId="5861" priority="61180" stopIfTrue="1">
      <formula>NOT(ISBLANK($AD$160))</formula>
    </cfRule>
  </conditionalFormatting>
  <conditionalFormatting sqref="AE160">
    <cfRule type="expression" dxfId="5860" priority="61181" stopIfTrue="1">
      <formula>NOT(ISBLANK($AE$160))</formula>
    </cfRule>
  </conditionalFormatting>
  <conditionalFormatting sqref="AF160">
    <cfRule type="expression" dxfId="5859" priority="61182" stopIfTrue="1">
      <formula>NOT(ISBLANK($AF$160))</formula>
    </cfRule>
  </conditionalFormatting>
  <conditionalFormatting sqref="AG160">
    <cfRule type="expression" dxfId="5858" priority="61183" stopIfTrue="1">
      <formula>NOT(ISBLANK($AG$160))</formula>
    </cfRule>
  </conditionalFormatting>
  <conditionalFormatting sqref="AH160">
    <cfRule type="expression" dxfId="5857" priority="61184" stopIfTrue="1">
      <formula>NOT(ISBLANK($AH$160))</formula>
    </cfRule>
  </conditionalFormatting>
  <conditionalFormatting sqref="AI160">
    <cfRule type="expression" dxfId="5856" priority="61185" stopIfTrue="1">
      <formula>NOT(ISBLANK($AI$160))</formula>
    </cfRule>
  </conditionalFormatting>
  <conditionalFormatting sqref="AJ160">
    <cfRule type="expression" dxfId="5855" priority="61186" stopIfTrue="1">
      <formula>NOT(ISBLANK($AJ$160))</formula>
    </cfRule>
  </conditionalFormatting>
  <conditionalFormatting sqref="AK160">
    <cfRule type="expression" dxfId="5854" priority="61187" stopIfTrue="1">
      <formula>NOT(ISBLANK($AK$160))</formula>
    </cfRule>
  </conditionalFormatting>
  <conditionalFormatting sqref="AL160">
    <cfRule type="expression" dxfId="5853" priority="61188" stopIfTrue="1">
      <formula>NOT(ISBLANK($AL$160))</formula>
    </cfRule>
  </conditionalFormatting>
  <conditionalFormatting sqref="AM160">
    <cfRule type="expression" dxfId="5852" priority="61189" stopIfTrue="1">
      <formula>NOT(ISBLANK($AM$160))</formula>
    </cfRule>
  </conditionalFormatting>
  <conditionalFormatting sqref="AN160">
    <cfRule type="expression" dxfId="5851" priority="61190" stopIfTrue="1">
      <formula>NOT(ISBLANK($AN$160))</formula>
    </cfRule>
  </conditionalFormatting>
  <conditionalFormatting sqref="AO160">
    <cfRule type="expression" dxfId="5850" priority="61191" stopIfTrue="1">
      <formula>NOT(ISBLANK($AO$160))</formula>
    </cfRule>
  </conditionalFormatting>
  <conditionalFormatting sqref="AP160">
    <cfRule type="expression" dxfId="5849" priority="61192" stopIfTrue="1">
      <formula>NOT(ISBLANK($AP$160))</formula>
    </cfRule>
  </conditionalFormatting>
  <conditionalFormatting sqref="AQ160">
    <cfRule type="expression" dxfId="5848" priority="61193" stopIfTrue="1">
      <formula>NOT(ISBLANK($AQ$160))</formula>
    </cfRule>
  </conditionalFormatting>
  <conditionalFormatting sqref="A161">
    <cfRule type="cellIs" dxfId="5847" priority="61194" stopIfTrue="1" operator="notEqual">
      <formula>10</formula>
    </cfRule>
  </conditionalFormatting>
  <conditionalFormatting sqref="B161">
    <cfRule type="cellIs" dxfId="5846" priority="61195" stopIfTrue="1" operator="notEqual">
      <formula>2</formula>
    </cfRule>
  </conditionalFormatting>
  <conditionalFormatting sqref="C161">
    <cfRule type="cellIs" dxfId="5845" priority="61196" stopIfTrue="1" operator="notEqual">
      <formula>1</formula>
    </cfRule>
  </conditionalFormatting>
  <conditionalFormatting sqref="D161">
    <cfRule type="cellIs" dxfId="5844" priority="61197" stopIfTrue="1" operator="notEqual">
      <formula>0.03</formula>
    </cfRule>
  </conditionalFormatting>
  <conditionalFormatting sqref="E161">
    <cfRule type="cellIs" dxfId="5843" priority="61198" stopIfTrue="1" operator="notEqual">
      <formula>"MGD"</formula>
    </cfRule>
  </conditionalFormatting>
  <conditionalFormatting sqref="F161">
    <cfRule type="cellIs" dxfId="5842" priority="61199" stopIfTrue="1" operator="notEqual">
      <formula>0.007</formula>
    </cfRule>
  </conditionalFormatting>
  <conditionalFormatting sqref="G161">
    <cfRule type="cellIs" dxfId="5841" priority="61200" stopIfTrue="1" operator="notEqual">
      <formula>"MGD"</formula>
    </cfRule>
  </conditionalFormatting>
  <conditionalFormatting sqref="H161">
    <cfRule type="expression" dxfId="5840" priority="61201" stopIfTrue="1">
      <formula>NOT(ISBLANK($H$161))</formula>
    </cfRule>
  </conditionalFormatting>
  <conditionalFormatting sqref="I161">
    <cfRule type="expression" dxfId="5839" priority="61202" stopIfTrue="1">
      <formula>NOT(ISBLANK($I$161))</formula>
    </cfRule>
  </conditionalFormatting>
  <conditionalFormatting sqref="J161">
    <cfRule type="expression" dxfId="5838" priority="61203" stopIfTrue="1">
      <formula>NOT(ISBLANK($J$161))</formula>
    </cfRule>
  </conditionalFormatting>
  <conditionalFormatting sqref="K161">
    <cfRule type="expression" dxfId="5837" priority="61204" stopIfTrue="1">
      <formula>NOT(ISBLANK($K$161))</formula>
    </cfRule>
  </conditionalFormatting>
  <conditionalFormatting sqref="L161">
    <cfRule type="expression" dxfId="5836" priority="61205" stopIfTrue="1">
      <formula>NOT(ISBLANK($L$161))</formula>
    </cfRule>
  </conditionalFormatting>
  <conditionalFormatting sqref="M161">
    <cfRule type="expression" dxfId="5835" priority="61206" stopIfTrue="1">
      <formula>NOT(ISBLANK($M$161))</formula>
    </cfRule>
  </conditionalFormatting>
  <conditionalFormatting sqref="N161">
    <cfRule type="expression" dxfId="5834" priority="61207" stopIfTrue="1">
      <formula>NOT(ISBLANK($N$161))</formula>
    </cfRule>
  </conditionalFormatting>
  <conditionalFormatting sqref="O161">
    <cfRule type="expression" dxfId="5833" priority="61208" stopIfTrue="1">
      <formula>NOT(ISBLANK($O$161))</formula>
    </cfRule>
  </conditionalFormatting>
  <conditionalFormatting sqref="P161">
    <cfRule type="expression" dxfId="5832" priority="61209" stopIfTrue="1">
      <formula>NOT(ISBLANK($P$161))</formula>
    </cfRule>
  </conditionalFormatting>
  <conditionalFormatting sqref="Q161">
    <cfRule type="expression" dxfId="5831" priority="61210" stopIfTrue="1">
      <formula>NOT(ISBLANK($Q$161))</formula>
    </cfRule>
  </conditionalFormatting>
  <conditionalFormatting sqref="R161">
    <cfRule type="expression" dxfId="5830" priority="61211" stopIfTrue="1">
      <formula>NOT(ISBLANK($R$161))</formula>
    </cfRule>
  </conditionalFormatting>
  <conditionalFormatting sqref="S161">
    <cfRule type="expression" dxfId="5829" priority="61212" stopIfTrue="1">
      <formula>NOT(ISBLANK($S$161))</formula>
    </cfRule>
  </conditionalFormatting>
  <conditionalFormatting sqref="T161">
    <cfRule type="expression" dxfId="5828" priority="61213" stopIfTrue="1">
      <formula>NOT(ISBLANK($T$161))</formula>
    </cfRule>
  </conditionalFormatting>
  <conditionalFormatting sqref="U161">
    <cfRule type="expression" dxfId="5827" priority="61214" stopIfTrue="1">
      <formula>NOT(ISBLANK($U$161))</formula>
    </cfRule>
  </conditionalFormatting>
  <conditionalFormatting sqref="V161">
    <cfRule type="expression" dxfId="5826" priority="61215" stopIfTrue="1">
      <formula>NOT(ISBLANK($V$161))</formula>
    </cfRule>
  </conditionalFormatting>
  <conditionalFormatting sqref="W161">
    <cfRule type="expression" dxfId="5825" priority="61216" stopIfTrue="1">
      <formula>NOT(ISBLANK($W$161))</formula>
    </cfRule>
  </conditionalFormatting>
  <conditionalFormatting sqref="X161">
    <cfRule type="expression" dxfId="5824" priority="61217" stopIfTrue="1">
      <formula>NOT(ISBLANK($X$161))</formula>
    </cfRule>
  </conditionalFormatting>
  <conditionalFormatting sqref="Y161">
    <cfRule type="expression" dxfId="5823" priority="61218" stopIfTrue="1">
      <formula>NOT(ISBLANK($Y$161))</formula>
    </cfRule>
  </conditionalFormatting>
  <conditionalFormatting sqref="Z161">
    <cfRule type="expression" dxfId="5822" priority="61219" stopIfTrue="1">
      <formula>NOT(ISBLANK($Z$161))</formula>
    </cfRule>
  </conditionalFormatting>
  <conditionalFormatting sqref="AA161">
    <cfRule type="expression" dxfId="5821" priority="61220" stopIfTrue="1">
      <formula>NOT(ISBLANK($AA$161))</formula>
    </cfRule>
  </conditionalFormatting>
  <conditionalFormatting sqref="AB161">
    <cfRule type="expression" dxfId="5820" priority="61221" stopIfTrue="1">
      <formula>NOT(ISBLANK($AB$161))</formula>
    </cfRule>
  </conditionalFormatting>
  <conditionalFormatting sqref="AC161">
    <cfRule type="expression" dxfId="5819" priority="61222" stopIfTrue="1">
      <formula>NOT(ISBLANK($AC$161))</formula>
    </cfRule>
  </conditionalFormatting>
  <conditionalFormatting sqref="AD161">
    <cfRule type="expression" dxfId="5818" priority="61223" stopIfTrue="1">
      <formula>NOT(ISBLANK($AD$161))</formula>
    </cfRule>
  </conditionalFormatting>
  <conditionalFormatting sqref="AE161">
    <cfRule type="expression" dxfId="5817" priority="61224" stopIfTrue="1">
      <formula>NOT(ISBLANK($AE$161))</formula>
    </cfRule>
  </conditionalFormatting>
  <conditionalFormatting sqref="AF161">
    <cfRule type="expression" dxfId="5816" priority="61225" stopIfTrue="1">
      <formula>NOT(ISBLANK($AF$161))</formula>
    </cfRule>
  </conditionalFormatting>
  <conditionalFormatting sqref="AG161">
    <cfRule type="expression" dxfId="5815" priority="61226" stopIfTrue="1">
      <formula>NOT(ISBLANK($AG$161))</formula>
    </cfRule>
  </conditionalFormatting>
  <conditionalFormatting sqref="AH161">
    <cfRule type="expression" dxfId="5814" priority="61227" stopIfTrue="1">
      <formula>NOT(ISBLANK($AH$161))</formula>
    </cfRule>
  </conditionalFormatting>
  <conditionalFormatting sqref="AI161">
    <cfRule type="expression" dxfId="5813" priority="61228" stopIfTrue="1">
      <formula>NOT(ISBLANK($AI$161))</formula>
    </cfRule>
  </conditionalFormatting>
  <conditionalFormatting sqref="AJ161">
    <cfRule type="expression" dxfId="5812" priority="61229" stopIfTrue="1">
      <formula>NOT(ISBLANK($AJ$161))</formula>
    </cfRule>
  </conditionalFormatting>
  <conditionalFormatting sqref="AK161">
    <cfRule type="expression" dxfId="5811" priority="61230" stopIfTrue="1">
      <formula>NOT(ISBLANK($AK$161))</formula>
    </cfRule>
  </conditionalFormatting>
  <conditionalFormatting sqref="AL161">
    <cfRule type="expression" dxfId="5810" priority="61231" stopIfTrue="1">
      <formula>NOT(ISBLANK($AL$161))</formula>
    </cfRule>
  </conditionalFormatting>
  <conditionalFormatting sqref="AM161">
    <cfRule type="expression" dxfId="5809" priority="61232" stopIfTrue="1">
      <formula>NOT(ISBLANK($AM$161))</formula>
    </cfRule>
  </conditionalFormatting>
  <conditionalFormatting sqref="AN161">
    <cfRule type="expression" dxfId="5808" priority="61233" stopIfTrue="1">
      <formula>NOT(ISBLANK($AN$161))</formula>
    </cfRule>
  </conditionalFormatting>
  <conditionalFormatting sqref="AO161">
    <cfRule type="expression" dxfId="5807" priority="61234" stopIfTrue="1">
      <formula>NOT(ISBLANK($AO$161))</formula>
    </cfRule>
  </conditionalFormatting>
  <conditionalFormatting sqref="AP161">
    <cfRule type="expression" dxfId="5806" priority="61235" stopIfTrue="1">
      <formula>NOT(ISBLANK($AP$161))</formula>
    </cfRule>
  </conditionalFormatting>
  <conditionalFormatting sqref="AQ161">
    <cfRule type="expression" dxfId="5805" priority="61236" stopIfTrue="1">
      <formula>NOT(ISBLANK($AQ$161))</formula>
    </cfRule>
  </conditionalFormatting>
  <conditionalFormatting sqref="A162">
    <cfRule type="cellIs" dxfId="5804" priority="61237" stopIfTrue="1" operator="notEqual">
      <formula>10</formula>
    </cfRule>
  </conditionalFormatting>
  <conditionalFormatting sqref="B162">
    <cfRule type="cellIs" dxfId="5803" priority="61238" stopIfTrue="1" operator="notEqual">
      <formula>2</formula>
    </cfRule>
  </conditionalFormatting>
  <conditionalFormatting sqref="C162">
    <cfRule type="cellIs" dxfId="5802" priority="61239" stopIfTrue="1" operator="notEqual">
      <formula>2</formula>
    </cfRule>
  </conditionalFormatting>
  <conditionalFormatting sqref="D162">
    <cfRule type="cellIs" dxfId="5801" priority="61240" stopIfTrue="1" operator="notEqual">
      <formula>0.124</formula>
    </cfRule>
  </conditionalFormatting>
  <conditionalFormatting sqref="E162">
    <cfRule type="cellIs" dxfId="5800" priority="61241" stopIfTrue="1" operator="notEqual">
      <formula>"MGD"</formula>
    </cfRule>
  </conditionalFormatting>
  <conditionalFormatting sqref="F162">
    <cfRule type="cellIs" dxfId="5799" priority="61242" stopIfTrue="1" operator="notEqual">
      <formula>0.035</formula>
    </cfRule>
  </conditionalFormatting>
  <conditionalFormatting sqref="G162">
    <cfRule type="cellIs" dxfId="5798" priority="61243" stopIfTrue="1" operator="notEqual">
      <formula>"MGD"</formula>
    </cfRule>
  </conditionalFormatting>
  <conditionalFormatting sqref="H162">
    <cfRule type="expression" dxfId="5797" priority="61244" stopIfTrue="1">
      <formula>NOT(ISBLANK($H$162))</formula>
    </cfRule>
  </conditionalFormatting>
  <conditionalFormatting sqref="I162">
    <cfRule type="expression" dxfId="5796" priority="61245" stopIfTrue="1">
      <formula>NOT(ISBLANK($I$162))</formula>
    </cfRule>
  </conditionalFormatting>
  <conditionalFormatting sqref="J162">
    <cfRule type="expression" dxfId="5795" priority="61246" stopIfTrue="1">
      <formula>NOT(ISBLANK($J$162))</formula>
    </cfRule>
  </conditionalFormatting>
  <conditionalFormatting sqref="K162">
    <cfRule type="expression" dxfId="5794" priority="61247" stopIfTrue="1">
      <formula>NOT(ISBLANK($K$162))</formula>
    </cfRule>
  </conditionalFormatting>
  <conditionalFormatting sqref="L162">
    <cfRule type="expression" dxfId="5793" priority="61248" stopIfTrue="1">
      <formula>NOT(ISBLANK($L$162))</formula>
    </cfRule>
  </conditionalFormatting>
  <conditionalFormatting sqref="M162">
    <cfRule type="expression" dxfId="5792" priority="61249" stopIfTrue="1">
      <formula>NOT(ISBLANK($M$162))</formula>
    </cfRule>
  </conditionalFormatting>
  <conditionalFormatting sqref="N162">
    <cfRule type="expression" dxfId="5791" priority="61250" stopIfTrue="1">
      <formula>NOT(ISBLANK($N$162))</formula>
    </cfRule>
  </conditionalFormatting>
  <conditionalFormatting sqref="O162">
    <cfRule type="expression" dxfId="5790" priority="61251" stopIfTrue="1">
      <formula>NOT(ISBLANK($O$162))</formula>
    </cfRule>
  </conditionalFormatting>
  <conditionalFormatting sqref="P162">
    <cfRule type="expression" dxfId="5789" priority="61252" stopIfTrue="1">
      <formula>NOT(ISBLANK($P$162))</formula>
    </cfRule>
  </conditionalFormatting>
  <conditionalFormatting sqref="Q162">
    <cfRule type="expression" dxfId="5788" priority="61253" stopIfTrue="1">
      <formula>NOT(ISBLANK($Q$162))</formula>
    </cfRule>
  </conditionalFormatting>
  <conditionalFormatting sqref="R162">
    <cfRule type="expression" dxfId="5787" priority="61254" stopIfTrue="1">
      <formula>NOT(ISBLANK($R$162))</formula>
    </cfRule>
  </conditionalFormatting>
  <conditionalFormatting sqref="S162">
    <cfRule type="expression" dxfId="5786" priority="61255" stopIfTrue="1">
      <formula>NOT(ISBLANK($S$162))</formula>
    </cfRule>
  </conditionalFormatting>
  <conditionalFormatting sqref="T162">
    <cfRule type="expression" dxfId="5785" priority="61256" stopIfTrue="1">
      <formula>NOT(ISBLANK($T$162))</formula>
    </cfRule>
  </conditionalFormatting>
  <conditionalFormatting sqref="U162">
    <cfRule type="expression" dxfId="5784" priority="61257" stopIfTrue="1">
      <formula>NOT(ISBLANK($U$162))</formula>
    </cfRule>
  </conditionalFormatting>
  <conditionalFormatting sqref="V162">
    <cfRule type="expression" dxfId="5783" priority="61258" stopIfTrue="1">
      <formula>NOT(ISBLANK($V$162))</formula>
    </cfRule>
  </conditionalFormatting>
  <conditionalFormatting sqref="W162">
    <cfRule type="expression" dxfId="5782" priority="61259" stopIfTrue="1">
      <formula>NOT(ISBLANK($W$162))</formula>
    </cfRule>
  </conditionalFormatting>
  <conditionalFormatting sqref="X162">
    <cfRule type="expression" dxfId="5781" priority="61260" stopIfTrue="1">
      <formula>NOT(ISBLANK($X$162))</formula>
    </cfRule>
  </conditionalFormatting>
  <conditionalFormatting sqref="Y162">
    <cfRule type="expression" dxfId="5780" priority="61261" stopIfTrue="1">
      <formula>NOT(ISBLANK($Y$162))</formula>
    </cfRule>
  </conditionalFormatting>
  <conditionalFormatting sqref="Z162">
    <cfRule type="expression" dxfId="5779" priority="61262" stopIfTrue="1">
      <formula>NOT(ISBLANK($Z$162))</formula>
    </cfRule>
  </conditionalFormatting>
  <conditionalFormatting sqref="AA162">
    <cfRule type="expression" dxfId="5778" priority="61263" stopIfTrue="1">
      <formula>NOT(ISBLANK($AA$162))</formula>
    </cfRule>
  </conditionalFormatting>
  <conditionalFormatting sqref="AB162">
    <cfRule type="expression" dxfId="5777" priority="61264" stopIfTrue="1">
      <formula>NOT(ISBLANK($AB$162))</formula>
    </cfRule>
  </conditionalFormatting>
  <conditionalFormatting sqref="AC162">
    <cfRule type="expression" dxfId="5776" priority="61265" stopIfTrue="1">
      <formula>NOT(ISBLANK($AC$162))</formula>
    </cfRule>
  </conditionalFormatting>
  <conditionalFormatting sqref="AD162">
    <cfRule type="expression" dxfId="5775" priority="61266" stopIfTrue="1">
      <formula>NOT(ISBLANK($AD$162))</formula>
    </cfRule>
  </conditionalFormatting>
  <conditionalFormatting sqref="AE162">
    <cfRule type="expression" dxfId="5774" priority="61267" stopIfTrue="1">
      <formula>NOT(ISBLANK($AE$162))</formula>
    </cfRule>
  </conditionalFormatting>
  <conditionalFormatting sqref="AF162">
    <cfRule type="expression" dxfId="5773" priority="61268" stopIfTrue="1">
      <formula>NOT(ISBLANK($AF$162))</formula>
    </cfRule>
  </conditionalFormatting>
  <conditionalFormatting sqref="AG162">
    <cfRule type="expression" dxfId="5772" priority="61269" stopIfTrue="1">
      <formula>NOT(ISBLANK($AG$162))</formula>
    </cfRule>
  </conditionalFormatting>
  <conditionalFormatting sqref="AH162">
    <cfRule type="expression" dxfId="5771" priority="61270" stopIfTrue="1">
      <formula>NOT(ISBLANK($AH$162))</formula>
    </cfRule>
  </conditionalFormatting>
  <conditionalFormatting sqref="AI162">
    <cfRule type="expression" dxfId="5770" priority="61271" stopIfTrue="1">
      <formula>NOT(ISBLANK($AI$162))</formula>
    </cfRule>
  </conditionalFormatting>
  <conditionalFormatting sqref="AJ162">
    <cfRule type="expression" dxfId="5769" priority="61272" stopIfTrue="1">
      <formula>NOT(ISBLANK($AJ$162))</formula>
    </cfRule>
  </conditionalFormatting>
  <conditionalFormatting sqref="AK162">
    <cfRule type="expression" dxfId="5768" priority="61273" stopIfTrue="1">
      <formula>NOT(ISBLANK($AK$162))</formula>
    </cfRule>
  </conditionalFormatting>
  <conditionalFormatting sqref="AL162">
    <cfRule type="expression" dxfId="5767" priority="61274" stopIfTrue="1">
      <formula>NOT(ISBLANK($AL$162))</formula>
    </cfRule>
  </conditionalFormatting>
  <conditionalFormatting sqref="AM162">
    <cfRule type="expression" dxfId="5766" priority="61275" stopIfTrue="1">
      <formula>NOT(ISBLANK($AM$162))</formula>
    </cfRule>
  </conditionalFormatting>
  <conditionalFormatting sqref="AN162">
    <cfRule type="expression" dxfId="5765" priority="61276" stopIfTrue="1">
      <formula>NOT(ISBLANK($AN$162))</formula>
    </cfRule>
  </conditionalFormatting>
  <conditionalFormatting sqref="AO162">
    <cfRule type="expression" dxfId="5764" priority="61277" stopIfTrue="1">
      <formula>NOT(ISBLANK($AO$162))</formula>
    </cfRule>
  </conditionalFormatting>
  <conditionalFormatting sqref="AP162">
    <cfRule type="expression" dxfId="5763" priority="61278" stopIfTrue="1">
      <formula>NOT(ISBLANK($AP$162))</formula>
    </cfRule>
  </conditionalFormatting>
  <conditionalFormatting sqref="AQ162">
    <cfRule type="expression" dxfId="5762" priority="61279" stopIfTrue="1">
      <formula>NOT(ISBLANK($AQ$162))</formula>
    </cfRule>
  </conditionalFormatting>
  <conditionalFormatting sqref="A163">
    <cfRule type="cellIs" dxfId="5761" priority="61280" stopIfTrue="1" operator="notEqual">
      <formula>10</formula>
    </cfRule>
  </conditionalFormatting>
  <conditionalFormatting sqref="B163">
    <cfRule type="cellIs" dxfId="5760" priority="61281" stopIfTrue="1" operator="notEqual">
      <formula>2</formula>
    </cfRule>
  </conditionalFormatting>
  <conditionalFormatting sqref="C163">
    <cfRule type="cellIs" dxfId="5759" priority="61282" stopIfTrue="1" operator="notEqual">
      <formula>3</formula>
    </cfRule>
  </conditionalFormatting>
  <conditionalFormatting sqref="D163">
    <cfRule type="cellIs" dxfId="5758" priority="61283" stopIfTrue="1" operator="notEqual">
      <formula>0.305</formula>
    </cfRule>
  </conditionalFormatting>
  <conditionalFormatting sqref="E163">
    <cfRule type="cellIs" dxfId="5757" priority="61284" stopIfTrue="1" operator="notEqual">
      <formula>"MGD"</formula>
    </cfRule>
  </conditionalFormatting>
  <conditionalFormatting sqref="F163">
    <cfRule type="cellIs" dxfId="5756" priority="61285" stopIfTrue="1" operator="notEqual">
      <formula>0.094</formula>
    </cfRule>
  </conditionalFormatting>
  <conditionalFormatting sqref="G163">
    <cfRule type="cellIs" dxfId="5755" priority="61286" stopIfTrue="1" operator="notEqual">
      <formula>"MGD"</formula>
    </cfRule>
  </conditionalFormatting>
  <conditionalFormatting sqref="H163">
    <cfRule type="expression" dxfId="5754" priority="61287" stopIfTrue="1">
      <formula>NOT(ISBLANK($H$163))</formula>
    </cfRule>
  </conditionalFormatting>
  <conditionalFormatting sqref="I163">
    <cfRule type="expression" dxfId="5753" priority="61288" stopIfTrue="1">
      <formula>NOT(ISBLANK($I$163))</formula>
    </cfRule>
  </conditionalFormatting>
  <conditionalFormatting sqref="J163">
    <cfRule type="expression" dxfId="5752" priority="61289" stopIfTrue="1">
      <formula>NOT(ISBLANK($J$163))</formula>
    </cfRule>
  </conditionalFormatting>
  <conditionalFormatting sqref="K163">
    <cfRule type="expression" dxfId="5751" priority="61290" stopIfTrue="1">
      <formula>NOT(ISBLANK($K$163))</formula>
    </cfRule>
  </conditionalFormatting>
  <conditionalFormatting sqref="L163">
    <cfRule type="expression" dxfId="5750" priority="61291" stopIfTrue="1">
      <formula>NOT(ISBLANK($L$163))</formula>
    </cfRule>
  </conditionalFormatting>
  <conditionalFormatting sqref="M163">
    <cfRule type="expression" dxfId="5749" priority="61292" stopIfTrue="1">
      <formula>NOT(ISBLANK($M$163))</formula>
    </cfRule>
  </conditionalFormatting>
  <conditionalFormatting sqref="N163">
    <cfRule type="expression" dxfId="5748" priority="61293" stopIfTrue="1">
      <formula>NOT(ISBLANK($N$163))</formula>
    </cfRule>
  </conditionalFormatting>
  <conditionalFormatting sqref="O163">
    <cfRule type="expression" dxfId="5747" priority="61294" stopIfTrue="1">
      <formula>NOT(ISBLANK($O$163))</formula>
    </cfRule>
  </conditionalFormatting>
  <conditionalFormatting sqref="P163">
    <cfRule type="expression" dxfId="5746" priority="61295" stopIfTrue="1">
      <formula>NOT(ISBLANK($P$163))</formula>
    </cfRule>
  </conditionalFormatting>
  <conditionalFormatting sqref="Q163">
    <cfRule type="expression" dxfId="5745" priority="61296" stopIfTrue="1">
      <formula>NOT(ISBLANK($Q$163))</formula>
    </cfRule>
  </conditionalFormatting>
  <conditionalFormatting sqref="R163">
    <cfRule type="expression" dxfId="5744" priority="61297" stopIfTrue="1">
      <formula>NOT(ISBLANK($R$163))</formula>
    </cfRule>
  </conditionalFormatting>
  <conditionalFormatting sqref="S163">
    <cfRule type="expression" dxfId="5743" priority="61298" stopIfTrue="1">
      <formula>NOT(ISBLANK($S$163))</formula>
    </cfRule>
  </conditionalFormatting>
  <conditionalFormatting sqref="T163">
    <cfRule type="expression" dxfId="5742" priority="61299" stopIfTrue="1">
      <formula>NOT(ISBLANK($T$163))</formula>
    </cfRule>
  </conditionalFormatting>
  <conditionalFormatting sqref="U163">
    <cfRule type="expression" dxfId="5741" priority="61300" stopIfTrue="1">
      <formula>NOT(ISBLANK($U$163))</formula>
    </cfRule>
  </conditionalFormatting>
  <conditionalFormatting sqref="V163">
    <cfRule type="expression" dxfId="5740" priority="61301" stopIfTrue="1">
      <formula>NOT(ISBLANK($V$163))</formula>
    </cfRule>
  </conditionalFormatting>
  <conditionalFormatting sqref="W163">
    <cfRule type="expression" dxfId="5739" priority="61302" stopIfTrue="1">
      <formula>NOT(ISBLANK($W$163))</formula>
    </cfRule>
  </conditionalFormatting>
  <conditionalFormatting sqref="X163">
    <cfRule type="expression" dxfId="5738" priority="61303" stopIfTrue="1">
      <formula>NOT(ISBLANK($X$163))</formula>
    </cfRule>
  </conditionalFormatting>
  <conditionalFormatting sqref="Y163">
    <cfRule type="expression" dxfId="5737" priority="61304" stopIfTrue="1">
      <formula>NOT(ISBLANK($Y$163))</formula>
    </cfRule>
  </conditionalFormatting>
  <conditionalFormatting sqref="Z163">
    <cfRule type="expression" dxfId="5736" priority="61305" stopIfTrue="1">
      <formula>NOT(ISBLANK($Z$163))</formula>
    </cfRule>
  </conditionalFormatting>
  <conditionalFormatting sqref="AA163">
    <cfRule type="expression" dxfId="5735" priority="61306" stopIfTrue="1">
      <formula>NOT(ISBLANK($AA$163))</formula>
    </cfRule>
  </conditionalFormatting>
  <conditionalFormatting sqref="AB163">
    <cfRule type="expression" dxfId="5734" priority="61307" stopIfTrue="1">
      <formula>NOT(ISBLANK($AB$163))</formula>
    </cfRule>
  </conditionalFormatting>
  <conditionalFormatting sqref="AC163">
    <cfRule type="expression" dxfId="5733" priority="61308" stopIfTrue="1">
      <formula>NOT(ISBLANK($AC$163))</formula>
    </cfRule>
  </conditionalFormatting>
  <conditionalFormatting sqref="AD163">
    <cfRule type="expression" dxfId="5732" priority="61309" stopIfTrue="1">
      <formula>NOT(ISBLANK($AD$163))</formula>
    </cfRule>
  </conditionalFormatting>
  <conditionalFormatting sqref="AE163">
    <cfRule type="expression" dxfId="5731" priority="61310" stopIfTrue="1">
      <formula>NOT(ISBLANK($AE$163))</formula>
    </cfRule>
  </conditionalFormatting>
  <conditionalFormatting sqref="AF163">
    <cfRule type="expression" dxfId="5730" priority="61311" stopIfTrue="1">
      <formula>NOT(ISBLANK($AF$163))</formula>
    </cfRule>
  </conditionalFormatting>
  <conditionalFormatting sqref="AG163">
    <cfRule type="expression" dxfId="5729" priority="61312" stopIfTrue="1">
      <formula>NOT(ISBLANK($AG$163))</formula>
    </cfRule>
  </conditionalFormatting>
  <conditionalFormatting sqref="AH163">
    <cfRule type="expression" dxfId="5728" priority="61313" stopIfTrue="1">
      <formula>NOT(ISBLANK($AH$163))</formula>
    </cfRule>
  </conditionalFormatting>
  <conditionalFormatting sqref="AI163">
    <cfRule type="expression" dxfId="5727" priority="61314" stopIfTrue="1">
      <formula>NOT(ISBLANK($AI$163))</formula>
    </cfRule>
  </conditionalFormatting>
  <conditionalFormatting sqref="AJ163">
    <cfRule type="expression" dxfId="5726" priority="61315" stopIfTrue="1">
      <formula>NOT(ISBLANK($AJ$163))</formula>
    </cfRule>
  </conditionalFormatting>
  <conditionalFormatting sqref="AK163">
    <cfRule type="expression" dxfId="5725" priority="61316" stopIfTrue="1">
      <formula>NOT(ISBLANK($AK$163))</formula>
    </cfRule>
  </conditionalFormatting>
  <conditionalFormatting sqref="AL163">
    <cfRule type="expression" dxfId="5724" priority="61317" stopIfTrue="1">
      <formula>NOT(ISBLANK($AL$163))</formula>
    </cfRule>
  </conditionalFormatting>
  <conditionalFormatting sqref="AM163">
    <cfRule type="expression" dxfId="5723" priority="61318" stopIfTrue="1">
      <formula>NOT(ISBLANK($AM$163))</formula>
    </cfRule>
  </conditionalFormatting>
  <conditionalFormatting sqref="AN163">
    <cfRule type="expression" dxfId="5722" priority="61319" stopIfTrue="1">
      <formula>NOT(ISBLANK($AN$163))</formula>
    </cfRule>
  </conditionalFormatting>
  <conditionalFormatting sqref="AO163">
    <cfRule type="expression" dxfId="5721" priority="61320" stopIfTrue="1">
      <formula>NOT(ISBLANK($AO$163))</formula>
    </cfRule>
  </conditionalFormatting>
  <conditionalFormatting sqref="AP163">
    <cfRule type="expression" dxfId="5720" priority="61321" stopIfTrue="1">
      <formula>NOT(ISBLANK($AP$163))</formula>
    </cfRule>
  </conditionalFormatting>
  <conditionalFormatting sqref="AQ163">
    <cfRule type="expression" dxfId="5719" priority="61322" stopIfTrue="1">
      <formula>NOT(ISBLANK($AQ$163))</formula>
    </cfRule>
  </conditionalFormatting>
  <conditionalFormatting sqref="A164">
    <cfRule type="cellIs" dxfId="5718" priority="61323" stopIfTrue="1" operator="notEqual">
      <formula>10</formula>
    </cfRule>
  </conditionalFormatting>
  <conditionalFormatting sqref="B164">
    <cfRule type="cellIs" dxfId="5717" priority="61324" stopIfTrue="1" operator="notEqual">
      <formula>2</formula>
    </cfRule>
  </conditionalFormatting>
  <conditionalFormatting sqref="C164">
    <cfRule type="cellIs" dxfId="5716" priority="61325" stopIfTrue="1" operator="notEqual">
      <formula>4</formula>
    </cfRule>
  </conditionalFormatting>
  <conditionalFormatting sqref="D164">
    <cfRule type="cellIs" dxfId="5715" priority="61326" stopIfTrue="1" operator="notEqual">
      <formula>0.74</formula>
    </cfRule>
  </conditionalFormatting>
  <conditionalFormatting sqref="E164">
    <cfRule type="cellIs" dxfId="5714" priority="61327" stopIfTrue="1" operator="notEqual">
      <formula>"MGD"</formula>
    </cfRule>
  </conditionalFormatting>
  <conditionalFormatting sqref="F164">
    <cfRule type="cellIs" dxfId="5713" priority="61328" stopIfTrue="1" operator="notEqual">
      <formula>0.251</formula>
    </cfRule>
  </conditionalFormatting>
  <conditionalFormatting sqref="G164">
    <cfRule type="cellIs" dxfId="5712" priority="61329" stopIfTrue="1" operator="notEqual">
      <formula>"MGD"</formula>
    </cfRule>
  </conditionalFormatting>
  <conditionalFormatting sqref="H164">
    <cfRule type="expression" dxfId="5711" priority="61330" stopIfTrue="1">
      <formula>NOT(ISBLANK($H$164))</formula>
    </cfRule>
  </conditionalFormatting>
  <conditionalFormatting sqref="I164">
    <cfRule type="expression" dxfId="5710" priority="61331" stopIfTrue="1">
      <formula>NOT(ISBLANK($I$164))</formula>
    </cfRule>
  </conditionalFormatting>
  <conditionalFormatting sqref="J164">
    <cfRule type="expression" dxfId="5709" priority="61332" stopIfTrue="1">
      <formula>NOT(ISBLANK($J$164))</formula>
    </cfRule>
  </conditionalFormatting>
  <conditionalFormatting sqref="K164">
    <cfRule type="expression" dxfId="5708" priority="61333" stopIfTrue="1">
      <formula>NOT(ISBLANK($K$164))</formula>
    </cfRule>
  </conditionalFormatting>
  <conditionalFormatting sqref="L164">
    <cfRule type="expression" dxfId="5707" priority="61334" stopIfTrue="1">
      <formula>NOT(ISBLANK($L$164))</formula>
    </cfRule>
  </conditionalFormatting>
  <conditionalFormatting sqref="M164">
    <cfRule type="expression" dxfId="5706" priority="61335" stopIfTrue="1">
      <formula>NOT(ISBLANK($M$164))</formula>
    </cfRule>
  </conditionalFormatting>
  <conditionalFormatting sqref="N164">
    <cfRule type="expression" dxfId="5705" priority="61336" stopIfTrue="1">
      <formula>NOT(ISBLANK($N$164))</formula>
    </cfRule>
  </conditionalFormatting>
  <conditionalFormatting sqref="O164">
    <cfRule type="expression" dxfId="5704" priority="61337" stopIfTrue="1">
      <formula>NOT(ISBLANK($O$164))</formula>
    </cfRule>
  </conditionalFormatting>
  <conditionalFormatting sqref="P164">
    <cfRule type="expression" dxfId="5703" priority="61338" stopIfTrue="1">
      <formula>NOT(ISBLANK($P$164))</formula>
    </cfRule>
  </conditionalFormatting>
  <conditionalFormatting sqref="Q164">
    <cfRule type="expression" dxfId="5702" priority="61339" stopIfTrue="1">
      <formula>NOT(ISBLANK($Q$164))</formula>
    </cfRule>
  </conditionalFormatting>
  <conditionalFormatting sqref="R164">
    <cfRule type="expression" dxfId="5701" priority="61340" stopIfTrue="1">
      <formula>NOT(ISBLANK($R$164))</formula>
    </cfRule>
  </conditionalFormatting>
  <conditionalFormatting sqref="S164">
    <cfRule type="expression" dxfId="5700" priority="61341" stopIfTrue="1">
      <formula>NOT(ISBLANK($S$164))</formula>
    </cfRule>
  </conditionalFormatting>
  <conditionalFormatting sqref="T164">
    <cfRule type="expression" dxfId="5699" priority="61342" stopIfTrue="1">
      <formula>NOT(ISBLANK($T$164))</formula>
    </cfRule>
  </conditionalFormatting>
  <conditionalFormatting sqref="U164">
    <cfRule type="expression" dxfId="5698" priority="61343" stopIfTrue="1">
      <formula>NOT(ISBLANK($U$164))</formula>
    </cfRule>
  </conditionalFormatting>
  <conditionalFormatting sqref="V164">
    <cfRule type="expression" dxfId="5697" priority="61344" stopIfTrue="1">
      <formula>NOT(ISBLANK($V$164))</formula>
    </cfRule>
  </conditionalFormatting>
  <conditionalFormatting sqref="W164">
    <cfRule type="expression" dxfId="5696" priority="61345" stopIfTrue="1">
      <formula>NOT(ISBLANK($W$164))</formula>
    </cfRule>
  </conditionalFormatting>
  <conditionalFormatting sqref="X164">
    <cfRule type="expression" dxfId="5695" priority="61346" stopIfTrue="1">
      <formula>NOT(ISBLANK($X$164))</formula>
    </cfRule>
  </conditionalFormatting>
  <conditionalFormatting sqref="Y164">
    <cfRule type="expression" dxfId="5694" priority="61347" stopIfTrue="1">
      <formula>NOT(ISBLANK($Y$164))</formula>
    </cfRule>
  </conditionalFormatting>
  <conditionalFormatting sqref="Z164">
    <cfRule type="expression" dxfId="5693" priority="61348" stopIfTrue="1">
      <formula>NOT(ISBLANK($Z$164))</formula>
    </cfRule>
  </conditionalFormatting>
  <conditionalFormatting sqref="AA164">
    <cfRule type="expression" dxfId="5692" priority="61349" stopIfTrue="1">
      <formula>NOT(ISBLANK($AA$164))</formula>
    </cfRule>
  </conditionalFormatting>
  <conditionalFormatting sqref="AB164">
    <cfRule type="expression" dxfId="5691" priority="61350" stopIfTrue="1">
      <formula>NOT(ISBLANK($AB$164))</formula>
    </cfRule>
  </conditionalFormatting>
  <conditionalFormatting sqref="AC164">
    <cfRule type="expression" dxfId="5690" priority="61351" stopIfTrue="1">
      <formula>NOT(ISBLANK($AC$164))</formula>
    </cfRule>
  </conditionalFormatting>
  <conditionalFormatting sqref="AD164">
    <cfRule type="expression" dxfId="5689" priority="61352" stopIfTrue="1">
      <formula>NOT(ISBLANK($AD$164))</formula>
    </cfRule>
  </conditionalFormatting>
  <conditionalFormatting sqref="AE164">
    <cfRule type="expression" dxfId="5688" priority="61353" stopIfTrue="1">
      <formula>NOT(ISBLANK($AE$164))</formula>
    </cfRule>
  </conditionalFormatting>
  <conditionalFormatting sqref="AF164">
    <cfRule type="expression" dxfId="5687" priority="61354" stopIfTrue="1">
      <formula>NOT(ISBLANK($AF$164))</formula>
    </cfRule>
  </conditionalFormatting>
  <conditionalFormatting sqref="AG164">
    <cfRule type="expression" dxfId="5686" priority="61355" stopIfTrue="1">
      <formula>NOT(ISBLANK($AG$164))</formula>
    </cfRule>
  </conditionalFormatting>
  <conditionalFormatting sqref="AH164">
    <cfRule type="expression" dxfId="5685" priority="61356" stopIfTrue="1">
      <formula>NOT(ISBLANK($AH$164))</formula>
    </cfRule>
  </conditionalFormatting>
  <conditionalFormatting sqref="AI164">
    <cfRule type="expression" dxfId="5684" priority="61357" stopIfTrue="1">
      <formula>NOT(ISBLANK($AI$164))</formula>
    </cfRule>
  </conditionalFormatting>
  <conditionalFormatting sqref="AJ164">
    <cfRule type="expression" dxfId="5683" priority="61358" stopIfTrue="1">
      <formula>NOT(ISBLANK($AJ$164))</formula>
    </cfRule>
  </conditionalFormatting>
  <conditionalFormatting sqref="AK164">
    <cfRule type="expression" dxfId="5682" priority="61359" stopIfTrue="1">
      <formula>NOT(ISBLANK($AK$164))</formula>
    </cfRule>
  </conditionalFormatting>
  <conditionalFormatting sqref="AL164">
    <cfRule type="expression" dxfId="5681" priority="61360" stopIfTrue="1">
      <formula>NOT(ISBLANK($AL$164))</formula>
    </cfRule>
  </conditionalFormatting>
  <conditionalFormatting sqref="AM164">
    <cfRule type="expression" dxfId="5680" priority="61361" stopIfTrue="1">
      <formula>NOT(ISBLANK($AM$164))</formula>
    </cfRule>
  </conditionalFormatting>
  <conditionalFormatting sqref="AN164">
    <cfRule type="expression" dxfId="5679" priority="61362" stopIfTrue="1">
      <formula>NOT(ISBLANK($AN$164))</formula>
    </cfRule>
  </conditionalFormatting>
  <conditionalFormatting sqref="AO164">
    <cfRule type="expression" dxfId="5678" priority="61363" stopIfTrue="1">
      <formula>NOT(ISBLANK($AO$164))</formula>
    </cfRule>
  </conditionalFormatting>
  <conditionalFormatting sqref="AP164">
    <cfRule type="expression" dxfId="5677" priority="61364" stopIfTrue="1">
      <formula>NOT(ISBLANK($AP$164))</formula>
    </cfRule>
  </conditionalFormatting>
  <conditionalFormatting sqref="AQ164">
    <cfRule type="expression" dxfId="5676" priority="61365" stopIfTrue="1">
      <formula>NOT(ISBLANK($AQ$164))</formula>
    </cfRule>
  </conditionalFormatting>
  <conditionalFormatting sqref="A165">
    <cfRule type="cellIs" dxfId="5675" priority="61366" stopIfTrue="1" operator="notEqual">
      <formula>10</formula>
    </cfRule>
  </conditionalFormatting>
  <conditionalFormatting sqref="B165">
    <cfRule type="cellIs" dxfId="5674" priority="61367" stopIfTrue="1" operator="notEqual">
      <formula>2</formula>
    </cfRule>
  </conditionalFormatting>
  <conditionalFormatting sqref="C165">
    <cfRule type="cellIs" dxfId="5673" priority="61368" stopIfTrue="1" operator="notEqual">
      <formula>5</formula>
    </cfRule>
  </conditionalFormatting>
  <conditionalFormatting sqref="D165">
    <cfRule type="cellIs" dxfId="5672" priority="61369" stopIfTrue="1" operator="notEqual">
      <formula>2.152</formula>
    </cfRule>
  </conditionalFormatting>
  <conditionalFormatting sqref="E165">
    <cfRule type="cellIs" dxfId="5671" priority="61370" stopIfTrue="1" operator="notEqual">
      <formula>"MGD"</formula>
    </cfRule>
  </conditionalFormatting>
  <conditionalFormatting sqref="F165">
    <cfRule type="cellIs" dxfId="5670" priority="61371" stopIfTrue="1" operator="notEqual">
      <formula>0.819</formula>
    </cfRule>
  </conditionalFormatting>
  <conditionalFormatting sqref="G165">
    <cfRule type="cellIs" dxfId="5669" priority="61372" stopIfTrue="1" operator="notEqual">
      <formula>"MGD"</formula>
    </cfRule>
  </conditionalFormatting>
  <conditionalFormatting sqref="H165">
    <cfRule type="expression" dxfId="5668" priority="61373" stopIfTrue="1">
      <formula>NOT(ISBLANK($H$165))</formula>
    </cfRule>
  </conditionalFormatting>
  <conditionalFormatting sqref="I165">
    <cfRule type="expression" dxfId="5667" priority="61374" stopIfTrue="1">
      <formula>NOT(ISBLANK($I$165))</formula>
    </cfRule>
  </conditionalFormatting>
  <conditionalFormatting sqref="J165">
    <cfRule type="expression" dxfId="5666" priority="61375" stopIfTrue="1">
      <formula>NOT(ISBLANK($J$165))</formula>
    </cfRule>
  </conditionalFormatting>
  <conditionalFormatting sqref="K165">
    <cfRule type="expression" dxfId="5665" priority="61376" stopIfTrue="1">
      <formula>NOT(ISBLANK($K$165))</formula>
    </cfRule>
  </conditionalFormatting>
  <conditionalFormatting sqref="L165">
    <cfRule type="expression" dxfId="5664" priority="61377" stopIfTrue="1">
      <formula>NOT(ISBLANK($L$165))</formula>
    </cfRule>
  </conditionalFormatting>
  <conditionalFormatting sqref="M165">
    <cfRule type="expression" dxfId="5663" priority="61378" stopIfTrue="1">
      <formula>NOT(ISBLANK($M$165))</formula>
    </cfRule>
  </conditionalFormatting>
  <conditionalFormatting sqref="N165">
    <cfRule type="expression" dxfId="5662" priority="61379" stopIfTrue="1">
      <formula>NOT(ISBLANK($N$165))</formula>
    </cfRule>
  </conditionalFormatting>
  <conditionalFormatting sqref="O165">
    <cfRule type="expression" dxfId="5661" priority="61380" stopIfTrue="1">
      <formula>NOT(ISBLANK($O$165))</formula>
    </cfRule>
  </conditionalFormatting>
  <conditionalFormatting sqref="P165">
    <cfRule type="expression" dxfId="5660" priority="61381" stopIfTrue="1">
      <formula>NOT(ISBLANK($P$165))</formula>
    </cfRule>
  </conditionalFormatting>
  <conditionalFormatting sqref="Q165">
    <cfRule type="expression" dxfId="5659" priority="61382" stopIfTrue="1">
      <formula>NOT(ISBLANK($Q$165))</formula>
    </cfRule>
  </conditionalFormatting>
  <conditionalFormatting sqref="R165">
    <cfRule type="expression" dxfId="5658" priority="61383" stopIfTrue="1">
      <formula>NOT(ISBLANK($R$165))</formula>
    </cfRule>
  </conditionalFormatting>
  <conditionalFormatting sqref="S165">
    <cfRule type="expression" dxfId="5657" priority="61384" stopIfTrue="1">
      <formula>NOT(ISBLANK($S$165))</formula>
    </cfRule>
  </conditionalFormatting>
  <conditionalFormatting sqref="T165">
    <cfRule type="expression" dxfId="5656" priority="61385" stopIfTrue="1">
      <formula>NOT(ISBLANK($T$165))</formula>
    </cfRule>
  </conditionalFormatting>
  <conditionalFormatting sqref="U165">
    <cfRule type="expression" dxfId="5655" priority="61386" stopIfTrue="1">
      <formula>NOT(ISBLANK($U$165))</formula>
    </cfRule>
  </conditionalFormatting>
  <conditionalFormatting sqref="V165">
    <cfRule type="expression" dxfId="5654" priority="61387" stopIfTrue="1">
      <formula>NOT(ISBLANK($V$165))</formula>
    </cfRule>
  </conditionalFormatting>
  <conditionalFormatting sqref="W165">
    <cfRule type="expression" dxfId="5653" priority="61388" stopIfTrue="1">
      <formula>NOT(ISBLANK($W$165))</formula>
    </cfRule>
  </conditionalFormatting>
  <conditionalFormatting sqref="X165">
    <cfRule type="expression" dxfId="5652" priority="61389" stopIfTrue="1">
      <formula>NOT(ISBLANK($X$165))</formula>
    </cfRule>
  </conditionalFormatting>
  <conditionalFormatting sqref="Y165">
    <cfRule type="expression" dxfId="5651" priority="61390" stopIfTrue="1">
      <formula>NOT(ISBLANK($Y$165))</formula>
    </cfRule>
  </conditionalFormatting>
  <conditionalFormatting sqref="Z165">
    <cfRule type="expression" dxfId="5650" priority="61391" stopIfTrue="1">
      <formula>NOT(ISBLANK($Z$165))</formula>
    </cfRule>
  </conditionalFormatting>
  <conditionalFormatting sqref="AA165">
    <cfRule type="expression" dxfId="5649" priority="61392" stopIfTrue="1">
      <formula>NOT(ISBLANK($AA$165))</formula>
    </cfRule>
  </conditionalFormatting>
  <conditionalFormatting sqref="AB165">
    <cfRule type="expression" dxfId="5648" priority="61393" stopIfTrue="1">
      <formula>NOT(ISBLANK($AB$165))</formula>
    </cfRule>
  </conditionalFormatting>
  <conditionalFormatting sqref="AC165">
    <cfRule type="expression" dxfId="5647" priority="61394" stopIfTrue="1">
      <formula>NOT(ISBLANK($AC$165))</formula>
    </cfRule>
  </conditionalFormatting>
  <conditionalFormatting sqref="AD165">
    <cfRule type="expression" dxfId="5646" priority="61395" stopIfTrue="1">
      <formula>NOT(ISBLANK($AD$165))</formula>
    </cfRule>
  </conditionalFormatting>
  <conditionalFormatting sqref="AE165">
    <cfRule type="expression" dxfId="5645" priority="61396" stopIfTrue="1">
      <formula>NOT(ISBLANK($AE$165))</formula>
    </cfRule>
  </conditionalFormatting>
  <conditionalFormatting sqref="AF165">
    <cfRule type="expression" dxfId="5644" priority="61397" stopIfTrue="1">
      <formula>NOT(ISBLANK($AF$165))</formula>
    </cfRule>
  </conditionalFormatting>
  <conditionalFormatting sqref="AG165">
    <cfRule type="expression" dxfId="5643" priority="61398" stopIfTrue="1">
      <formula>NOT(ISBLANK($AG$165))</formula>
    </cfRule>
  </conditionalFormatting>
  <conditionalFormatting sqref="AH165">
    <cfRule type="expression" dxfId="5642" priority="61399" stopIfTrue="1">
      <formula>NOT(ISBLANK($AH$165))</formula>
    </cfRule>
  </conditionalFormatting>
  <conditionalFormatting sqref="AI165">
    <cfRule type="expression" dxfId="5641" priority="61400" stopIfTrue="1">
      <formula>NOT(ISBLANK($AI$165))</formula>
    </cfRule>
  </conditionalFormatting>
  <conditionalFormatting sqref="AJ165">
    <cfRule type="expression" dxfId="5640" priority="61401" stopIfTrue="1">
      <formula>NOT(ISBLANK($AJ$165))</formula>
    </cfRule>
  </conditionalFormatting>
  <conditionalFormatting sqref="AK165">
    <cfRule type="expression" dxfId="5639" priority="61402" stopIfTrue="1">
      <formula>NOT(ISBLANK($AK$165))</formula>
    </cfRule>
  </conditionalFormatting>
  <conditionalFormatting sqref="AL165">
    <cfRule type="expression" dxfId="5638" priority="61403" stopIfTrue="1">
      <formula>NOT(ISBLANK($AL$165))</formula>
    </cfRule>
  </conditionalFormatting>
  <conditionalFormatting sqref="AM165">
    <cfRule type="expression" dxfId="5637" priority="61404" stopIfTrue="1">
      <formula>NOT(ISBLANK($AM$165))</formula>
    </cfRule>
  </conditionalFormatting>
  <conditionalFormatting sqref="AN165">
    <cfRule type="expression" dxfId="5636" priority="61405" stopIfTrue="1">
      <formula>NOT(ISBLANK($AN$165))</formula>
    </cfRule>
  </conditionalFormatting>
  <conditionalFormatting sqref="AO165">
    <cfRule type="expression" dxfId="5635" priority="61406" stopIfTrue="1">
      <formula>NOT(ISBLANK($AO$165))</formula>
    </cfRule>
  </conditionalFormatting>
  <conditionalFormatting sqref="AP165">
    <cfRule type="expression" dxfId="5634" priority="61407" stopIfTrue="1">
      <formula>NOT(ISBLANK($AP$165))</formula>
    </cfRule>
  </conditionalFormatting>
  <conditionalFormatting sqref="AQ165">
    <cfRule type="expression" dxfId="5633" priority="61408" stopIfTrue="1">
      <formula>NOT(ISBLANK($AQ$165))</formula>
    </cfRule>
  </conditionalFormatting>
  <conditionalFormatting sqref="A166">
    <cfRule type="cellIs" dxfId="5632" priority="61409" stopIfTrue="1" operator="notEqual">
      <formula>10</formula>
    </cfRule>
  </conditionalFormatting>
  <conditionalFormatting sqref="B166">
    <cfRule type="cellIs" dxfId="5631" priority="61410" stopIfTrue="1" operator="notEqual">
      <formula>2</formula>
    </cfRule>
  </conditionalFormatting>
  <conditionalFormatting sqref="C166">
    <cfRule type="cellIs" dxfId="5630" priority="61411" stopIfTrue="1" operator="notEqual">
      <formula>6</formula>
    </cfRule>
  </conditionalFormatting>
  <conditionalFormatting sqref="D166">
    <cfRule type="cellIs" dxfId="5629" priority="61412" stopIfTrue="1" operator="notEqual">
      <formula>7.365</formula>
    </cfRule>
  </conditionalFormatting>
  <conditionalFormatting sqref="E166">
    <cfRule type="cellIs" dxfId="5628" priority="61413" stopIfTrue="1" operator="notEqual">
      <formula>"MGD"</formula>
    </cfRule>
  </conditionalFormatting>
  <conditionalFormatting sqref="F166">
    <cfRule type="cellIs" dxfId="5627" priority="61414" stopIfTrue="1" operator="notEqual">
      <formula>3.2</formula>
    </cfRule>
  </conditionalFormatting>
  <conditionalFormatting sqref="G166">
    <cfRule type="cellIs" dxfId="5626" priority="61415" stopIfTrue="1" operator="notEqual">
      <formula>"MGD"</formula>
    </cfRule>
  </conditionalFormatting>
  <conditionalFormatting sqref="H166">
    <cfRule type="expression" dxfId="5625" priority="61416" stopIfTrue="1">
      <formula>NOT(ISBLANK($H$166))</formula>
    </cfRule>
  </conditionalFormatting>
  <conditionalFormatting sqref="I166">
    <cfRule type="expression" dxfId="5624" priority="61417" stopIfTrue="1">
      <formula>NOT(ISBLANK($I$166))</formula>
    </cfRule>
  </conditionalFormatting>
  <conditionalFormatting sqref="J166">
    <cfRule type="expression" dxfId="5623" priority="61418" stopIfTrue="1">
      <formula>NOT(ISBLANK($J$166))</formula>
    </cfRule>
  </conditionalFormatting>
  <conditionalFormatting sqref="K166">
    <cfRule type="expression" dxfId="5622" priority="61419" stopIfTrue="1">
      <formula>NOT(ISBLANK($K$166))</formula>
    </cfRule>
  </conditionalFormatting>
  <conditionalFormatting sqref="L166">
    <cfRule type="expression" dxfId="5621" priority="61420" stopIfTrue="1">
      <formula>NOT(ISBLANK($L$166))</formula>
    </cfRule>
  </conditionalFormatting>
  <conditionalFormatting sqref="M166">
    <cfRule type="expression" dxfId="5620" priority="61421" stopIfTrue="1">
      <formula>NOT(ISBLANK($M$166))</formula>
    </cfRule>
  </conditionalFormatting>
  <conditionalFormatting sqref="N166">
    <cfRule type="expression" dxfId="5619" priority="61422" stopIfTrue="1">
      <formula>NOT(ISBLANK($N$166))</formula>
    </cfRule>
  </conditionalFormatting>
  <conditionalFormatting sqref="O166">
    <cfRule type="expression" dxfId="5618" priority="61423" stopIfTrue="1">
      <formula>NOT(ISBLANK($O$166))</formula>
    </cfRule>
  </conditionalFormatting>
  <conditionalFormatting sqref="P166">
    <cfRule type="expression" dxfId="5617" priority="61424" stopIfTrue="1">
      <formula>NOT(ISBLANK($P$166))</formula>
    </cfRule>
  </conditionalFormatting>
  <conditionalFormatting sqref="Q166">
    <cfRule type="expression" dxfId="5616" priority="61425" stopIfTrue="1">
      <formula>NOT(ISBLANK($Q$166))</formula>
    </cfRule>
  </conditionalFormatting>
  <conditionalFormatting sqref="R166">
    <cfRule type="expression" dxfId="5615" priority="61426" stopIfTrue="1">
      <formula>NOT(ISBLANK($R$166))</formula>
    </cfRule>
  </conditionalFormatting>
  <conditionalFormatting sqref="S166">
    <cfRule type="expression" dxfId="5614" priority="61427" stopIfTrue="1">
      <formula>NOT(ISBLANK($S$166))</formula>
    </cfRule>
  </conditionalFormatting>
  <conditionalFormatting sqref="T166">
    <cfRule type="expression" dxfId="5613" priority="61428" stopIfTrue="1">
      <formula>NOT(ISBLANK($T$166))</formula>
    </cfRule>
  </conditionalFormatting>
  <conditionalFormatting sqref="U166">
    <cfRule type="expression" dxfId="5612" priority="61429" stopIfTrue="1">
      <formula>NOT(ISBLANK($U$166))</formula>
    </cfRule>
  </conditionalFormatting>
  <conditionalFormatting sqref="V166">
    <cfRule type="expression" dxfId="5611" priority="61430" stopIfTrue="1">
      <formula>NOT(ISBLANK($V$166))</formula>
    </cfRule>
  </conditionalFormatting>
  <conditionalFormatting sqref="W166">
    <cfRule type="expression" dxfId="5610" priority="61431" stopIfTrue="1">
      <formula>NOT(ISBLANK($W$166))</formula>
    </cfRule>
  </conditionalFormatting>
  <conditionalFormatting sqref="X166">
    <cfRule type="expression" dxfId="5609" priority="61432" stopIfTrue="1">
      <formula>NOT(ISBLANK($X$166))</formula>
    </cfRule>
  </conditionalFormatting>
  <conditionalFormatting sqref="Y166">
    <cfRule type="expression" dxfId="5608" priority="61433" stopIfTrue="1">
      <formula>NOT(ISBLANK($Y$166))</formula>
    </cfRule>
  </conditionalFormatting>
  <conditionalFormatting sqref="Z166">
    <cfRule type="expression" dxfId="5607" priority="61434" stopIfTrue="1">
      <formula>NOT(ISBLANK($Z$166))</formula>
    </cfRule>
  </conditionalFormatting>
  <conditionalFormatting sqref="AA166">
    <cfRule type="expression" dxfId="5606" priority="61435" stopIfTrue="1">
      <formula>NOT(ISBLANK($AA$166))</formula>
    </cfRule>
  </conditionalFormatting>
  <conditionalFormatting sqref="AB166">
    <cfRule type="expression" dxfId="5605" priority="61436" stopIfTrue="1">
      <formula>NOT(ISBLANK($AB$166))</formula>
    </cfRule>
  </conditionalFormatting>
  <conditionalFormatting sqref="AC166">
    <cfRule type="expression" dxfId="5604" priority="61437" stopIfTrue="1">
      <formula>NOT(ISBLANK($AC$166))</formula>
    </cfRule>
  </conditionalFormatting>
  <conditionalFormatting sqref="AD166">
    <cfRule type="expression" dxfId="5603" priority="61438" stopIfTrue="1">
      <formula>NOT(ISBLANK($AD$166))</formula>
    </cfRule>
  </conditionalFormatting>
  <conditionalFormatting sqref="AE166">
    <cfRule type="expression" dxfId="5602" priority="61439" stopIfTrue="1">
      <formula>NOT(ISBLANK($AE$166))</formula>
    </cfRule>
  </conditionalFormatting>
  <conditionalFormatting sqref="AF166">
    <cfRule type="expression" dxfId="5601" priority="61440" stopIfTrue="1">
      <formula>NOT(ISBLANK($AF$166))</formula>
    </cfRule>
  </conditionalFormatting>
  <conditionalFormatting sqref="AG166">
    <cfRule type="expression" dxfId="5600" priority="61441" stopIfTrue="1">
      <formula>NOT(ISBLANK($AG$166))</formula>
    </cfRule>
  </conditionalFormatting>
  <conditionalFormatting sqref="AH166">
    <cfRule type="expression" dxfId="5599" priority="61442" stopIfTrue="1">
      <formula>NOT(ISBLANK($AH$166))</formula>
    </cfRule>
  </conditionalFormatting>
  <conditionalFormatting sqref="AI166">
    <cfRule type="expression" dxfId="5598" priority="61443" stopIfTrue="1">
      <formula>NOT(ISBLANK($AI$166))</formula>
    </cfRule>
  </conditionalFormatting>
  <conditionalFormatting sqref="AJ166">
    <cfRule type="expression" dxfId="5597" priority="61444" stopIfTrue="1">
      <formula>NOT(ISBLANK($AJ$166))</formula>
    </cfRule>
  </conditionalFormatting>
  <conditionalFormatting sqref="AK166">
    <cfRule type="expression" dxfId="5596" priority="61445" stopIfTrue="1">
      <formula>NOT(ISBLANK($AK$166))</formula>
    </cfRule>
  </conditionalFormatting>
  <conditionalFormatting sqref="AL166">
    <cfRule type="expression" dxfId="5595" priority="61446" stopIfTrue="1">
      <formula>NOT(ISBLANK($AL$166))</formula>
    </cfRule>
  </conditionalFormatting>
  <conditionalFormatting sqref="AM166">
    <cfRule type="expression" dxfId="5594" priority="61447" stopIfTrue="1">
      <formula>NOT(ISBLANK($AM$166))</formula>
    </cfRule>
  </conditionalFormatting>
  <conditionalFormatting sqref="AN166">
    <cfRule type="expression" dxfId="5593" priority="61448" stopIfTrue="1">
      <formula>NOT(ISBLANK($AN$166))</formula>
    </cfRule>
  </conditionalFormatting>
  <conditionalFormatting sqref="AO166">
    <cfRule type="expression" dxfId="5592" priority="61449" stopIfTrue="1">
      <formula>NOT(ISBLANK($AO$166))</formula>
    </cfRule>
  </conditionalFormatting>
  <conditionalFormatting sqref="AP166">
    <cfRule type="expression" dxfId="5591" priority="61450" stopIfTrue="1">
      <formula>NOT(ISBLANK($AP$166))</formula>
    </cfRule>
  </conditionalFormatting>
  <conditionalFormatting sqref="AQ166">
    <cfRule type="expression" dxfId="5590" priority="61451" stopIfTrue="1">
      <formula>NOT(ISBLANK($AQ$166))</formula>
    </cfRule>
  </conditionalFormatting>
  <conditionalFormatting sqref="A167">
    <cfRule type="cellIs" dxfId="5589" priority="61452" stopIfTrue="1" operator="notEqual">
      <formula>10</formula>
    </cfRule>
  </conditionalFormatting>
  <conditionalFormatting sqref="B167">
    <cfRule type="cellIs" dxfId="5588" priority="61453" stopIfTrue="1" operator="notEqual">
      <formula>2</formula>
    </cfRule>
  </conditionalFormatting>
  <conditionalFormatting sqref="C167">
    <cfRule type="cellIs" dxfId="5587" priority="61454" stopIfTrue="1" operator="notEqual">
      <formula>7</formula>
    </cfRule>
  </conditionalFormatting>
  <conditionalFormatting sqref="D167">
    <cfRule type="cellIs" dxfId="5586" priority="61455" stopIfTrue="1" operator="notEqual">
      <formula>22.614</formula>
    </cfRule>
  </conditionalFormatting>
  <conditionalFormatting sqref="E167">
    <cfRule type="cellIs" dxfId="5585" priority="61456" stopIfTrue="1" operator="notEqual">
      <formula>"MGD"</formula>
    </cfRule>
  </conditionalFormatting>
  <conditionalFormatting sqref="F167">
    <cfRule type="cellIs" dxfId="5584" priority="61457" stopIfTrue="1" operator="notEqual">
      <formula>11.066</formula>
    </cfRule>
  </conditionalFormatting>
  <conditionalFormatting sqref="G167">
    <cfRule type="cellIs" dxfId="5583" priority="61458" stopIfTrue="1" operator="notEqual">
      <formula>"MGD"</formula>
    </cfRule>
  </conditionalFormatting>
  <conditionalFormatting sqref="H167">
    <cfRule type="expression" dxfId="5582" priority="61459" stopIfTrue="1">
      <formula>NOT(ISBLANK($H$167))</formula>
    </cfRule>
  </conditionalFormatting>
  <conditionalFormatting sqref="I167">
    <cfRule type="expression" dxfId="5581" priority="61460" stopIfTrue="1">
      <formula>NOT(ISBLANK($I$167))</formula>
    </cfRule>
  </conditionalFormatting>
  <conditionalFormatting sqref="J167">
    <cfRule type="expression" dxfId="5580" priority="61461" stopIfTrue="1">
      <formula>NOT(ISBLANK($J$167))</formula>
    </cfRule>
  </conditionalFormatting>
  <conditionalFormatting sqref="K167">
    <cfRule type="expression" dxfId="5579" priority="61462" stopIfTrue="1">
      <formula>NOT(ISBLANK($K$167))</formula>
    </cfRule>
  </conditionalFormatting>
  <conditionalFormatting sqref="L167">
    <cfRule type="expression" dxfId="5578" priority="61463" stopIfTrue="1">
      <formula>NOT(ISBLANK($L$167))</formula>
    </cfRule>
  </conditionalFormatting>
  <conditionalFormatting sqref="M167">
    <cfRule type="expression" dxfId="5577" priority="61464" stopIfTrue="1">
      <formula>NOT(ISBLANK($M$167))</formula>
    </cfRule>
  </conditionalFormatting>
  <conditionalFormatting sqref="N167">
    <cfRule type="expression" dxfId="5576" priority="61465" stopIfTrue="1">
      <formula>NOT(ISBLANK($N$167))</formula>
    </cfRule>
  </conditionalFormatting>
  <conditionalFormatting sqref="O167">
    <cfRule type="expression" dxfId="5575" priority="61466" stopIfTrue="1">
      <formula>NOT(ISBLANK($O$167))</formula>
    </cfRule>
  </conditionalFormatting>
  <conditionalFormatting sqref="P167">
    <cfRule type="expression" dxfId="5574" priority="61467" stopIfTrue="1">
      <formula>NOT(ISBLANK($P$167))</formula>
    </cfRule>
  </conditionalFormatting>
  <conditionalFormatting sqref="Q167">
    <cfRule type="expression" dxfId="5573" priority="61468" stopIfTrue="1">
      <formula>NOT(ISBLANK($Q$167))</formula>
    </cfRule>
  </conditionalFormatting>
  <conditionalFormatting sqref="R167">
    <cfRule type="expression" dxfId="5572" priority="61469" stopIfTrue="1">
      <formula>NOT(ISBLANK($R$167))</formula>
    </cfRule>
  </conditionalFormatting>
  <conditionalFormatting sqref="S167">
    <cfRule type="expression" dxfId="5571" priority="61470" stopIfTrue="1">
      <formula>NOT(ISBLANK($S$167))</formula>
    </cfRule>
  </conditionalFormatting>
  <conditionalFormatting sqref="T167">
    <cfRule type="expression" dxfId="5570" priority="61471" stopIfTrue="1">
      <formula>NOT(ISBLANK($T$167))</formula>
    </cfRule>
  </conditionalFormatting>
  <conditionalFormatting sqref="U167">
    <cfRule type="expression" dxfId="5569" priority="61472" stopIfTrue="1">
      <formula>NOT(ISBLANK($U$167))</formula>
    </cfRule>
  </conditionalFormatting>
  <conditionalFormatting sqref="V167">
    <cfRule type="expression" dxfId="5568" priority="61473" stopIfTrue="1">
      <formula>NOT(ISBLANK($V$167))</formula>
    </cfRule>
  </conditionalFormatting>
  <conditionalFormatting sqref="W167">
    <cfRule type="expression" dxfId="5567" priority="61474" stopIfTrue="1">
      <formula>NOT(ISBLANK($W$167))</formula>
    </cfRule>
  </conditionalFormatting>
  <conditionalFormatting sqref="X167">
    <cfRule type="expression" dxfId="5566" priority="61475" stopIfTrue="1">
      <formula>NOT(ISBLANK($X$167))</formula>
    </cfRule>
  </conditionalFormatting>
  <conditionalFormatting sqref="Y167">
    <cfRule type="expression" dxfId="5565" priority="61476" stopIfTrue="1">
      <formula>NOT(ISBLANK($Y$167))</formula>
    </cfRule>
  </conditionalFormatting>
  <conditionalFormatting sqref="Z167">
    <cfRule type="expression" dxfId="5564" priority="61477" stopIfTrue="1">
      <formula>NOT(ISBLANK($Z$167))</formula>
    </cfRule>
  </conditionalFormatting>
  <conditionalFormatting sqref="AA167">
    <cfRule type="expression" dxfId="5563" priority="61478" stopIfTrue="1">
      <formula>NOT(ISBLANK($AA$167))</formula>
    </cfRule>
  </conditionalFormatting>
  <conditionalFormatting sqref="AB167">
    <cfRule type="expression" dxfId="5562" priority="61479" stopIfTrue="1">
      <formula>NOT(ISBLANK($AB$167))</formula>
    </cfRule>
  </conditionalFormatting>
  <conditionalFormatting sqref="AC167">
    <cfRule type="expression" dxfId="5561" priority="61480" stopIfTrue="1">
      <formula>NOT(ISBLANK($AC$167))</formula>
    </cfRule>
  </conditionalFormatting>
  <conditionalFormatting sqref="AD167">
    <cfRule type="expression" dxfId="5560" priority="61481" stopIfTrue="1">
      <formula>NOT(ISBLANK($AD$167))</formula>
    </cfRule>
  </conditionalFormatting>
  <conditionalFormatting sqref="AE167">
    <cfRule type="expression" dxfId="5559" priority="61482" stopIfTrue="1">
      <formula>NOT(ISBLANK($AE$167))</formula>
    </cfRule>
  </conditionalFormatting>
  <conditionalFormatting sqref="AF167">
    <cfRule type="expression" dxfId="5558" priority="61483" stopIfTrue="1">
      <formula>NOT(ISBLANK($AF$167))</formula>
    </cfRule>
  </conditionalFormatting>
  <conditionalFormatting sqref="AG167">
    <cfRule type="expression" dxfId="5557" priority="61484" stopIfTrue="1">
      <formula>NOT(ISBLANK($AG$167))</formula>
    </cfRule>
  </conditionalFormatting>
  <conditionalFormatting sqref="AH167">
    <cfRule type="expression" dxfId="5556" priority="61485" stopIfTrue="1">
      <formula>NOT(ISBLANK($AH$167))</formula>
    </cfRule>
  </conditionalFormatting>
  <conditionalFormatting sqref="AI167">
    <cfRule type="expression" dxfId="5555" priority="61486" stopIfTrue="1">
      <formula>NOT(ISBLANK($AI$167))</formula>
    </cfRule>
  </conditionalFormatting>
  <conditionalFormatting sqref="AJ167">
    <cfRule type="expression" dxfId="5554" priority="61487" stopIfTrue="1">
      <formula>NOT(ISBLANK($AJ$167))</formula>
    </cfRule>
  </conditionalFormatting>
  <conditionalFormatting sqref="AK167">
    <cfRule type="expression" dxfId="5553" priority="61488" stopIfTrue="1">
      <formula>NOT(ISBLANK($AK$167))</formula>
    </cfRule>
  </conditionalFormatting>
  <conditionalFormatting sqref="AL167">
    <cfRule type="expression" dxfId="5552" priority="61489" stopIfTrue="1">
      <formula>NOT(ISBLANK($AL$167))</formula>
    </cfRule>
  </conditionalFormatting>
  <conditionalFormatting sqref="AM167">
    <cfRule type="expression" dxfId="5551" priority="61490" stopIfTrue="1">
      <formula>NOT(ISBLANK($AM$167))</formula>
    </cfRule>
  </conditionalFormatting>
  <conditionalFormatting sqref="AN167">
    <cfRule type="expression" dxfId="5550" priority="61491" stopIfTrue="1">
      <formula>NOT(ISBLANK($AN$167))</formula>
    </cfRule>
  </conditionalFormatting>
  <conditionalFormatting sqref="AO167">
    <cfRule type="expression" dxfId="5549" priority="61492" stopIfTrue="1">
      <formula>NOT(ISBLANK($AO$167))</formula>
    </cfRule>
  </conditionalFormatting>
  <conditionalFormatting sqref="AP167">
    <cfRule type="expression" dxfId="5548" priority="61493" stopIfTrue="1">
      <formula>NOT(ISBLANK($AP$167))</formula>
    </cfRule>
  </conditionalFormatting>
  <conditionalFormatting sqref="AQ167">
    <cfRule type="expression" dxfId="5547" priority="61494" stopIfTrue="1">
      <formula>NOT(ISBLANK($AQ$167))</formula>
    </cfRule>
  </conditionalFormatting>
  <conditionalFormatting sqref="A168">
    <cfRule type="cellIs" dxfId="5546" priority="61495" stopIfTrue="1" operator="notEqual">
      <formula>10</formula>
    </cfRule>
  </conditionalFormatting>
  <conditionalFormatting sqref="B168">
    <cfRule type="cellIs" dxfId="5545" priority="61496" stopIfTrue="1" operator="notEqual">
      <formula>2</formula>
    </cfRule>
  </conditionalFormatting>
  <conditionalFormatting sqref="C168">
    <cfRule type="cellIs" dxfId="5544" priority="61497" stopIfTrue="1" operator="notEqual">
      <formula>8</formula>
    </cfRule>
  </conditionalFormatting>
  <conditionalFormatting sqref="D168">
    <cfRule type="cellIs" dxfId="5543" priority="61498" stopIfTrue="1" operator="notEqual">
      <formula>75.072</formula>
    </cfRule>
  </conditionalFormatting>
  <conditionalFormatting sqref="E168">
    <cfRule type="cellIs" dxfId="5542" priority="61499" stopIfTrue="1" operator="notEqual">
      <formula>"MGD"</formula>
    </cfRule>
  </conditionalFormatting>
  <conditionalFormatting sqref="F168">
    <cfRule type="cellIs" dxfId="5541" priority="61500" stopIfTrue="1" operator="notEqual">
      <formula>37.536</formula>
    </cfRule>
  </conditionalFormatting>
  <conditionalFormatting sqref="G168">
    <cfRule type="cellIs" dxfId="5540" priority="61501" stopIfTrue="1" operator="notEqual">
      <formula>"MGD"</formula>
    </cfRule>
  </conditionalFormatting>
  <conditionalFormatting sqref="H168">
    <cfRule type="expression" dxfId="5539" priority="61502" stopIfTrue="1">
      <formula>NOT(ISBLANK($H$168))</formula>
    </cfRule>
  </conditionalFormatting>
  <conditionalFormatting sqref="I168">
    <cfRule type="expression" dxfId="5538" priority="61503" stopIfTrue="1">
      <formula>NOT(ISBLANK($I$168))</formula>
    </cfRule>
  </conditionalFormatting>
  <conditionalFormatting sqref="J168">
    <cfRule type="expression" dxfId="5537" priority="61504" stopIfTrue="1">
      <formula>NOT(ISBLANK($J$168))</formula>
    </cfRule>
  </conditionalFormatting>
  <conditionalFormatting sqref="K168">
    <cfRule type="expression" dxfId="5536" priority="61505" stopIfTrue="1">
      <formula>NOT(ISBLANK($K$168))</formula>
    </cfRule>
  </conditionalFormatting>
  <conditionalFormatting sqref="L168">
    <cfRule type="expression" dxfId="5535" priority="61506" stopIfTrue="1">
      <formula>NOT(ISBLANK($L$168))</formula>
    </cfRule>
  </conditionalFormatting>
  <conditionalFormatting sqref="M168">
    <cfRule type="expression" dxfId="5534" priority="61507" stopIfTrue="1">
      <formula>NOT(ISBLANK($M$168))</formula>
    </cfRule>
  </conditionalFormatting>
  <conditionalFormatting sqref="N168">
    <cfRule type="expression" dxfId="5533" priority="61508" stopIfTrue="1">
      <formula>NOT(ISBLANK($N$168))</formula>
    </cfRule>
  </conditionalFormatting>
  <conditionalFormatting sqref="O168">
    <cfRule type="expression" dxfId="5532" priority="61509" stopIfTrue="1">
      <formula>NOT(ISBLANK($O$168))</formula>
    </cfRule>
  </conditionalFormatting>
  <conditionalFormatting sqref="P168">
    <cfRule type="expression" dxfId="5531" priority="61510" stopIfTrue="1">
      <formula>NOT(ISBLANK($P$168))</formula>
    </cfRule>
  </conditionalFormatting>
  <conditionalFormatting sqref="Q168">
    <cfRule type="expression" dxfId="5530" priority="61511" stopIfTrue="1">
      <formula>NOT(ISBLANK($Q$168))</formula>
    </cfRule>
  </conditionalFormatting>
  <conditionalFormatting sqref="R168">
    <cfRule type="expression" dxfId="5529" priority="61512" stopIfTrue="1">
      <formula>NOT(ISBLANK($R$168))</formula>
    </cfRule>
  </conditionalFormatting>
  <conditionalFormatting sqref="S168">
    <cfRule type="expression" dxfId="5528" priority="61513" stopIfTrue="1">
      <formula>NOT(ISBLANK($S$168))</formula>
    </cfRule>
  </conditionalFormatting>
  <conditionalFormatting sqref="T168">
    <cfRule type="expression" dxfId="5527" priority="61514" stopIfTrue="1">
      <formula>NOT(ISBLANK($T$168))</formula>
    </cfRule>
  </conditionalFormatting>
  <conditionalFormatting sqref="U168">
    <cfRule type="expression" dxfId="5526" priority="61515" stopIfTrue="1">
      <formula>NOT(ISBLANK($U$168))</formula>
    </cfRule>
  </conditionalFormatting>
  <conditionalFormatting sqref="V168">
    <cfRule type="expression" dxfId="5525" priority="61516" stopIfTrue="1">
      <formula>NOT(ISBLANK($V$168))</formula>
    </cfRule>
  </conditionalFormatting>
  <conditionalFormatting sqref="W168">
    <cfRule type="expression" dxfId="5524" priority="61517" stopIfTrue="1">
      <formula>NOT(ISBLANK($W$168))</formula>
    </cfRule>
  </conditionalFormatting>
  <conditionalFormatting sqref="X168">
    <cfRule type="expression" dxfId="5523" priority="61518" stopIfTrue="1">
      <formula>NOT(ISBLANK($X$168))</formula>
    </cfRule>
  </conditionalFormatting>
  <conditionalFormatting sqref="Y168">
    <cfRule type="expression" dxfId="5522" priority="61519" stopIfTrue="1">
      <formula>NOT(ISBLANK($Y$168))</formula>
    </cfRule>
  </conditionalFormatting>
  <conditionalFormatting sqref="Z168">
    <cfRule type="expression" dxfId="5521" priority="61520" stopIfTrue="1">
      <formula>NOT(ISBLANK($Z$168))</formula>
    </cfRule>
  </conditionalFormatting>
  <conditionalFormatting sqref="AA168">
    <cfRule type="expression" dxfId="5520" priority="61521" stopIfTrue="1">
      <formula>NOT(ISBLANK($AA$168))</formula>
    </cfRule>
  </conditionalFormatting>
  <conditionalFormatting sqref="AB168">
    <cfRule type="expression" dxfId="5519" priority="61522" stopIfTrue="1">
      <formula>NOT(ISBLANK($AB$168))</formula>
    </cfRule>
  </conditionalFormatting>
  <conditionalFormatting sqref="AC168">
    <cfRule type="expression" dxfId="5518" priority="61523" stopIfTrue="1">
      <formula>NOT(ISBLANK($AC$168))</formula>
    </cfRule>
  </conditionalFormatting>
  <conditionalFormatting sqref="AD168">
    <cfRule type="expression" dxfId="5517" priority="61524" stopIfTrue="1">
      <formula>NOT(ISBLANK($AD$168))</formula>
    </cfRule>
  </conditionalFormatting>
  <conditionalFormatting sqref="AE168">
    <cfRule type="expression" dxfId="5516" priority="61525" stopIfTrue="1">
      <formula>NOT(ISBLANK($AE$168))</formula>
    </cfRule>
  </conditionalFormatting>
  <conditionalFormatting sqref="AF168">
    <cfRule type="expression" dxfId="5515" priority="61526" stopIfTrue="1">
      <formula>NOT(ISBLANK($AF$168))</formula>
    </cfRule>
  </conditionalFormatting>
  <conditionalFormatting sqref="AG168">
    <cfRule type="expression" dxfId="5514" priority="61527" stopIfTrue="1">
      <formula>NOT(ISBLANK($AG$168))</formula>
    </cfRule>
  </conditionalFormatting>
  <conditionalFormatting sqref="AH168">
    <cfRule type="expression" dxfId="5513" priority="61528" stopIfTrue="1">
      <formula>NOT(ISBLANK($AH$168))</formula>
    </cfRule>
  </conditionalFormatting>
  <conditionalFormatting sqref="AI168">
    <cfRule type="expression" dxfId="5512" priority="61529" stopIfTrue="1">
      <formula>NOT(ISBLANK($AI$168))</formula>
    </cfRule>
  </conditionalFormatting>
  <conditionalFormatting sqref="AJ168">
    <cfRule type="expression" dxfId="5511" priority="61530" stopIfTrue="1">
      <formula>NOT(ISBLANK($AJ$168))</formula>
    </cfRule>
  </conditionalFormatting>
  <conditionalFormatting sqref="AK168">
    <cfRule type="expression" dxfId="5510" priority="61531" stopIfTrue="1">
      <formula>NOT(ISBLANK($AK$168))</formula>
    </cfRule>
  </conditionalFormatting>
  <conditionalFormatting sqref="AL168">
    <cfRule type="expression" dxfId="5509" priority="61532" stopIfTrue="1">
      <formula>NOT(ISBLANK($AL$168))</formula>
    </cfRule>
  </conditionalFormatting>
  <conditionalFormatting sqref="AM168">
    <cfRule type="expression" dxfId="5508" priority="61533" stopIfTrue="1">
      <formula>NOT(ISBLANK($AM$168))</formula>
    </cfRule>
  </conditionalFormatting>
  <conditionalFormatting sqref="AN168">
    <cfRule type="expression" dxfId="5507" priority="61534" stopIfTrue="1">
      <formula>NOT(ISBLANK($AN$168))</formula>
    </cfRule>
  </conditionalFormatting>
  <conditionalFormatting sqref="AO168">
    <cfRule type="expression" dxfId="5506" priority="61535" stopIfTrue="1">
      <formula>NOT(ISBLANK($AO$168))</formula>
    </cfRule>
  </conditionalFormatting>
  <conditionalFormatting sqref="AP168">
    <cfRule type="expression" dxfId="5505" priority="61536" stopIfTrue="1">
      <formula>NOT(ISBLANK($AP$168))</formula>
    </cfRule>
  </conditionalFormatting>
  <conditionalFormatting sqref="AQ168">
    <cfRule type="expression" dxfId="5504" priority="61537" stopIfTrue="1">
      <formula>NOT(ISBLANK($AQ$168))</formula>
    </cfRule>
  </conditionalFormatting>
  <conditionalFormatting sqref="A169">
    <cfRule type="cellIs" dxfId="5503" priority="61538" stopIfTrue="1" operator="notEqual">
      <formula>11</formula>
    </cfRule>
  </conditionalFormatting>
  <conditionalFormatting sqref="B169">
    <cfRule type="cellIs" dxfId="5502" priority="61539" stopIfTrue="1" operator="notEqual">
      <formula>1</formula>
    </cfRule>
  </conditionalFormatting>
  <conditionalFormatting sqref="C169">
    <cfRule type="cellIs" dxfId="5501" priority="61540" stopIfTrue="1" operator="notEqual">
      <formula>1</formula>
    </cfRule>
  </conditionalFormatting>
  <conditionalFormatting sqref="D169">
    <cfRule type="cellIs" dxfId="5500" priority="61541" stopIfTrue="1" operator="notEqual">
      <formula>0.03</formula>
    </cfRule>
  </conditionalFormatting>
  <conditionalFormatting sqref="E169">
    <cfRule type="cellIs" dxfId="5499" priority="61542" stopIfTrue="1" operator="notEqual">
      <formula>"MGD"</formula>
    </cfRule>
  </conditionalFormatting>
  <conditionalFormatting sqref="F169">
    <cfRule type="cellIs" dxfId="5498" priority="61543" stopIfTrue="1" operator="notEqual">
      <formula>0.007</formula>
    </cfRule>
  </conditionalFormatting>
  <conditionalFormatting sqref="G169">
    <cfRule type="cellIs" dxfId="5497" priority="61544" stopIfTrue="1" operator="notEqual">
      <formula>"MGD"</formula>
    </cfRule>
  </conditionalFormatting>
  <conditionalFormatting sqref="H169">
    <cfRule type="cellIs" dxfId="5496" priority="61545" stopIfTrue="1" operator="notEqual">
      <formula>"regeneration off-site (non-hazardous)"</formula>
    </cfRule>
  </conditionalFormatting>
  <conditionalFormatting sqref="I169">
    <cfRule type="cellIs" dxfId="5495" priority="61546" stopIfTrue="1" operator="notEqual">
      <formula>"carbon life value- bed volumes"</formula>
    </cfRule>
  </conditionalFormatting>
  <conditionalFormatting sqref="J169">
    <cfRule type="cellIs" dxfId="5494" priority="61547" stopIfTrue="1" operator="notEqual">
      <formula>7940</formula>
    </cfRule>
  </conditionalFormatting>
  <conditionalFormatting sqref="K169">
    <cfRule type="expression" dxfId="5493" priority="61548" stopIfTrue="1">
      <formula>NOT(ISBLANK($K$169))</formula>
    </cfRule>
  </conditionalFormatting>
  <conditionalFormatting sqref="L169">
    <cfRule type="expression" dxfId="5492" priority="61549" stopIfTrue="1">
      <formula>NOT(ISBLANK($L$169))</formula>
    </cfRule>
  </conditionalFormatting>
  <conditionalFormatting sqref="M169">
    <cfRule type="expression" dxfId="5491" priority="61550" stopIfTrue="1">
      <formula>NOT(ISBLANK($M$169))</formula>
    </cfRule>
  </conditionalFormatting>
  <conditionalFormatting sqref="N169">
    <cfRule type="cellIs" dxfId="5490" priority="61551" stopIfTrue="1" operator="notEqual">
      <formula>"EBCT"</formula>
    </cfRule>
  </conditionalFormatting>
  <conditionalFormatting sqref="O169">
    <cfRule type="cellIs" dxfId="5489" priority="61552" stopIfTrue="1" operator="notEqual">
      <formula>7.5</formula>
    </cfRule>
  </conditionalFormatting>
  <conditionalFormatting sqref="P169">
    <cfRule type="expression" dxfId="5488" priority="61553" stopIfTrue="1">
      <formula>NOT(ISBLANK($P$169))</formula>
    </cfRule>
  </conditionalFormatting>
  <conditionalFormatting sqref="Q169">
    <cfRule type="expression" dxfId="5487" priority="61554" stopIfTrue="1">
      <formula>NOT(ISBLANK($Q$169))</formula>
    </cfRule>
  </conditionalFormatting>
  <conditionalFormatting sqref="R169">
    <cfRule type="cellIs" dxfId="5486" priority="61555" stopIfTrue="1" operator="notEqual">
      <formula>1</formula>
    </cfRule>
  </conditionalFormatting>
  <conditionalFormatting sqref="S169">
    <cfRule type="cellIs" dxfId="5485" priority="61556" stopIfTrue="1" operator="notEqual">
      <formula>3.4</formula>
    </cfRule>
  </conditionalFormatting>
  <conditionalFormatting sqref="T169">
    <cfRule type="cellIs" dxfId="5484" priority="61557" stopIfTrue="1" operator="notEqual">
      <formula>"upright"</formula>
    </cfRule>
  </conditionalFormatting>
  <conditionalFormatting sqref="U169">
    <cfRule type="cellIs" dxfId="5483" priority="61558" stopIfTrue="1" operator="notEqual">
      <formula>6</formula>
    </cfRule>
  </conditionalFormatting>
  <conditionalFormatting sqref="V169">
    <cfRule type="cellIs" dxfId="5482" priority="61559" stopIfTrue="1" operator="notEqual">
      <formula>2</formula>
    </cfRule>
  </conditionalFormatting>
  <conditionalFormatting sqref="W169">
    <cfRule type="expression" dxfId="5481" priority="61560" stopIfTrue="1">
      <formula>NOT(ISBLANK($W$169))</formula>
    </cfRule>
  </conditionalFormatting>
  <conditionalFormatting sqref="X169">
    <cfRule type="expression" dxfId="5480" priority="61561" stopIfTrue="1">
      <formula>NOT(ISBLANK($X$169))</formula>
    </cfRule>
  </conditionalFormatting>
  <conditionalFormatting sqref="Y169">
    <cfRule type="expression" dxfId="5479" priority="61562" stopIfTrue="1">
      <formula>NOT(ISBLANK($Y$169))</formula>
    </cfRule>
  </conditionalFormatting>
  <conditionalFormatting sqref="Z169">
    <cfRule type="cellIs" dxfId="5478" priority="61563" stopIfTrue="1" operator="notEqual">
      <formula>168</formula>
    </cfRule>
  </conditionalFormatting>
  <conditionalFormatting sqref="AA169">
    <cfRule type="cellIs" dxfId="5477" priority="61564" stopIfTrue="1" operator="notEqual">
      <formula>"POTW"</formula>
    </cfRule>
  </conditionalFormatting>
  <conditionalFormatting sqref="AB169">
    <cfRule type="cellIs" dxfId="5476" priority="61565" stopIfTrue="1" operator="notEqual">
      <formula>"no holding tank"</formula>
    </cfRule>
  </conditionalFormatting>
  <conditionalFormatting sqref="AC169">
    <cfRule type="cellIs" dxfId="5475" priority="61566" stopIfTrue="1" operator="notEqual">
      <formula>"manual transfer"</formula>
    </cfRule>
  </conditionalFormatting>
  <conditionalFormatting sqref="AD169">
    <cfRule type="expression" dxfId="5474" priority="61567" stopIfTrue="1">
      <formula>NOT(ISBLANK($AD$169))</formula>
    </cfRule>
  </conditionalFormatting>
  <conditionalFormatting sqref="AE169">
    <cfRule type="expression" dxfId="5473" priority="61568" stopIfTrue="1">
      <formula>NOT(ISBLANK($AE$169))</formula>
    </cfRule>
  </conditionalFormatting>
  <conditionalFormatting sqref="AF169">
    <cfRule type="cellIs" dxfId="5472" priority="61569" stopIfTrue="1" operator="notEqual">
      <formula>0</formula>
    </cfRule>
  </conditionalFormatting>
  <conditionalFormatting sqref="AG169">
    <cfRule type="expression" dxfId="5471" priority="61570" stopIfTrue="1">
      <formula>NOT(ISBLANK($AG$169))</formula>
    </cfRule>
  </conditionalFormatting>
  <conditionalFormatting sqref="AH169">
    <cfRule type="expression" dxfId="5470" priority="61571" stopIfTrue="1">
      <formula>NOT(ISBLANK($AH$169))</formula>
    </cfRule>
  </conditionalFormatting>
  <conditionalFormatting sqref="AI169">
    <cfRule type="cellIs" dxfId="5469" priority="61572" stopIfTrue="1" operator="notEqual">
      <formula>"fully automated"</formula>
    </cfRule>
  </conditionalFormatting>
  <conditionalFormatting sqref="AJ169">
    <cfRule type="expression" dxfId="5468" priority="61573" stopIfTrue="1">
      <formula>NOT(ISBLANK($AJ$169))</formula>
    </cfRule>
  </conditionalFormatting>
  <conditionalFormatting sqref="AK169">
    <cfRule type="expression" dxfId="5467" priority="61574" stopIfTrue="1">
      <formula>NOT(ISBLANK($AK$169))</formula>
    </cfRule>
  </conditionalFormatting>
  <conditionalFormatting sqref="AL169">
    <cfRule type="expression" dxfId="5466" priority="61575" stopIfTrue="1">
      <formula>NOT(ISBLANK($AL$169))</formula>
    </cfRule>
  </conditionalFormatting>
  <conditionalFormatting sqref="AM169">
    <cfRule type="expression" dxfId="5465" priority="61576" stopIfTrue="1">
      <formula>NOT(ISBLANK($AM$169))</formula>
    </cfRule>
  </conditionalFormatting>
  <conditionalFormatting sqref="AN169">
    <cfRule type="expression" dxfId="5464" priority="61577" stopIfTrue="1">
      <formula>NOT(ISBLANK($AN$169))</formula>
    </cfRule>
  </conditionalFormatting>
  <conditionalFormatting sqref="AO169">
    <cfRule type="expression" dxfId="5463" priority="61578" stopIfTrue="1">
      <formula>NOT(ISBLANK($AO$169))</formula>
    </cfRule>
  </conditionalFormatting>
  <conditionalFormatting sqref="AP169">
    <cfRule type="expression" dxfId="5462" priority="61579" stopIfTrue="1">
      <formula>NOT(ISBLANK($AP$169))</formula>
    </cfRule>
  </conditionalFormatting>
  <conditionalFormatting sqref="AQ169">
    <cfRule type="expression" dxfId="5461" priority="61580" stopIfTrue="1">
      <formula>NOT(ISBLANK($AQ$169))</formula>
    </cfRule>
  </conditionalFormatting>
  <conditionalFormatting sqref="A170">
    <cfRule type="cellIs" dxfId="5460" priority="61581" stopIfTrue="1" operator="notEqual">
      <formula>11</formula>
    </cfRule>
  </conditionalFormatting>
  <conditionalFormatting sqref="B170">
    <cfRule type="cellIs" dxfId="5459" priority="61582" stopIfTrue="1" operator="notEqual">
      <formula>1</formula>
    </cfRule>
  </conditionalFormatting>
  <conditionalFormatting sqref="C170">
    <cfRule type="cellIs" dxfId="5458" priority="61583" stopIfTrue="1" operator="notEqual">
      <formula>2</formula>
    </cfRule>
  </conditionalFormatting>
  <conditionalFormatting sqref="D170">
    <cfRule type="cellIs" dxfId="5457" priority="61584" stopIfTrue="1" operator="notEqual">
      <formula>0.124</formula>
    </cfRule>
  </conditionalFormatting>
  <conditionalFormatting sqref="E170">
    <cfRule type="cellIs" dxfId="5456" priority="61585" stopIfTrue="1" operator="notEqual">
      <formula>"MGD"</formula>
    </cfRule>
  </conditionalFormatting>
  <conditionalFormatting sqref="F170">
    <cfRule type="cellIs" dxfId="5455" priority="61586" stopIfTrue="1" operator="notEqual">
      <formula>0.035</formula>
    </cfRule>
  </conditionalFormatting>
  <conditionalFormatting sqref="G170">
    <cfRule type="cellIs" dxfId="5454" priority="61587" stopIfTrue="1" operator="notEqual">
      <formula>"MGD"</formula>
    </cfRule>
  </conditionalFormatting>
  <conditionalFormatting sqref="H170">
    <cfRule type="cellIs" dxfId="5453" priority="61588" stopIfTrue="1" operator="notEqual">
      <formula>"regeneration off-site (non-hazardous)"</formula>
    </cfRule>
  </conditionalFormatting>
  <conditionalFormatting sqref="I170">
    <cfRule type="cellIs" dxfId="5452" priority="61589" stopIfTrue="1" operator="notEqual">
      <formula>"carbon life value- bed volumes"</formula>
    </cfRule>
  </conditionalFormatting>
  <conditionalFormatting sqref="J170">
    <cfRule type="cellIs" dxfId="5451" priority="61590" stopIfTrue="1" operator="notEqual">
      <formula>7940</formula>
    </cfRule>
  </conditionalFormatting>
  <conditionalFormatting sqref="K170">
    <cfRule type="expression" dxfId="5450" priority="61591" stopIfTrue="1">
      <formula>NOT(ISBLANK($K$170))</formula>
    </cfRule>
  </conditionalFormatting>
  <conditionalFormatting sqref="L170">
    <cfRule type="expression" dxfId="5449" priority="61592" stopIfTrue="1">
      <formula>NOT(ISBLANK($L$170))</formula>
    </cfRule>
  </conditionalFormatting>
  <conditionalFormatting sqref="M170">
    <cfRule type="expression" dxfId="5448" priority="61593" stopIfTrue="1">
      <formula>NOT(ISBLANK($M$170))</formula>
    </cfRule>
  </conditionalFormatting>
  <conditionalFormatting sqref="N170">
    <cfRule type="cellIs" dxfId="5447" priority="61594" stopIfTrue="1" operator="notEqual">
      <formula>"EBCT"</formula>
    </cfRule>
  </conditionalFormatting>
  <conditionalFormatting sqref="O170">
    <cfRule type="cellIs" dxfId="5446" priority="61595" stopIfTrue="1" operator="notEqual">
      <formula>7.5</formula>
    </cfRule>
  </conditionalFormatting>
  <conditionalFormatting sqref="P170">
    <cfRule type="expression" dxfId="5445" priority="61596" stopIfTrue="1">
      <formula>NOT(ISBLANK($P$170))</formula>
    </cfRule>
  </conditionalFormatting>
  <conditionalFormatting sqref="Q170">
    <cfRule type="expression" dxfId="5444" priority="61597" stopIfTrue="1">
      <formula>NOT(ISBLANK($Q$170))</formula>
    </cfRule>
  </conditionalFormatting>
  <conditionalFormatting sqref="R170">
    <cfRule type="cellIs" dxfId="5443" priority="61598" stopIfTrue="1" operator="notEqual">
      <formula>1</formula>
    </cfRule>
  </conditionalFormatting>
  <conditionalFormatting sqref="S170">
    <cfRule type="cellIs" dxfId="5442" priority="61599" stopIfTrue="1" operator="notEqual">
      <formula>6.9</formula>
    </cfRule>
  </conditionalFormatting>
  <conditionalFormatting sqref="T170">
    <cfRule type="cellIs" dxfId="5441" priority="61600" stopIfTrue="1" operator="notEqual">
      <formula>"upright"</formula>
    </cfRule>
  </conditionalFormatting>
  <conditionalFormatting sqref="U170">
    <cfRule type="cellIs" dxfId="5440" priority="61601" stopIfTrue="1" operator="notEqual">
      <formula>11</formula>
    </cfRule>
  </conditionalFormatting>
  <conditionalFormatting sqref="V170">
    <cfRule type="cellIs" dxfId="5439" priority="61602" stopIfTrue="1" operator="notEqual">
      <formula>4</formula>
    </cfRule>
  </conditionalFormatting>
  <conditionalFormatting sqref="W170">
    <cfRule type="expression" dxfId="5438" priority="61603" stopIfTrue="1">
      <formula>NOT(ISBLANK($W$170))</formula>
    </cfRule>
  </conditionalFormatting>
  <conditionalFormatting sqref="X170">
    <cfRule type="expression" dxfId="5437" priority="61604" stopIfTrue="1">
      <formula>NOT(ISBLANK($X$170))</formula>
    </cfRule>
  </conditionalFormatting>
  <conditionalFormatting sqref="Y170">
    <cfRule type="expression" dxfId="5436" priority="61605" stopIfTrue="1">
      <formula>NOT(ISBLANK($Y$170))</formula>
    </cfRule>
  </conditionalFormatting>
  <conditionalFormatting sqref="Z170">
    <cfRule type="cellIs" dxfId="5435" priority="61606" stopIfTrue="1" operator="notEqual">
      <formula>168</formula>
    </cfRule>
  </conditionalFormatting>
  <conditionalFormatting sqref="AA170">
    <cfRule type="cellIs" dxfId="5434" priority="61607" stopIfTrue="1" operator="notEqual">
      <formula>"POTW"</formula>
    </cfRule>
  </conditionalFormatting>
  <conditionalFormatting sqref="AB170">
    <cfRule type="cellIs" dxfId="5433" priority="61608" stopIfTrue="1" operator="notEqual">
      <formula>"Holding tank"</formula>
    </cfRule>
  </conditionalFormatting>
  <conditionalFormatting sqref="AC170">
    <cfRule type="cellIs" dxfId="5432" priority="61609" stopIfTrue="1" operator="notEqual">
      <formula>"manual transfer"</formula>
    </cfRule>
  </conditionalFormatting>
  <conditionalFormatting sqref="AD170">
    <cfRule type="cellIs" dxfId="5431" priority="61610" stopIfTrue="1" operator="notEqual">
      <formula>"non-hazardous"</formula>
    </cfRule>
  </conditionalFormatting>
  <conditionalFormatting sqref="AE170">
    <cfRule type="expression" dxfId="5430" priority="61611" stopIfTrue="1">
      <formula>NOT(ISBLANK($AE$170))</formula>
    </cfRule>
  </conditionalFormatting>
  <conditionalFormatting sqref="AF170">
    <cfRule type="cellIs" dxfId="5429" priority="61612" stopIfTrue="1" operator="notEqual">
      <formula>0</formula>
    </cfRule>
  </conditionalFormatting>
  <conditionalFormatting sqref="AG170">
    <cfRule type="expression" dxfId="5428" priority="61613" stopIfTrue="1">
      <formula>NOT(ISBLANK($AG$170))</formula>
    </cfRule>
  </conditionalFormatting>
  <conditionalFormatting sqref="AH170">
    <cfRule type="expression" dxfId="5427" priority="61614" stopIfTrue="1">
      <formula>NOT(ISBLANK($AH$170))</formula>
    </cfRule>
  </conditionalFormatting>
  <conditionalFormatting sqref="AI170">
    <cfRule type="cellIs" dxfId="5426" priority="61615" stopIfTrue="1" operator="notEqual">
      <formula>"fully automated"</formula>
    </cfRule>
  </conditionalFormatting>
  <conditionalFormatting sqref="AJ170">
    <cfRule type="expression" dxfId="5425" priority="61616" stopIfTrue="1">
      <formula>NOT(ISBLANK($AJ$170))</formula>
    </cfRule>
  </conditionalFormatting>
  <conditionalFormatting sqref="AK170">
    <cfRule type="expression" dxfId="5424" priority="61617" stopIfTrue="1">
      <formula>NOT(ISBLANK($AK$170))</formula>
    </cfRule>
  </conditionalFormatting>
  <conditionalFormatting sqref="AL170">
    <cfRule type="expression" dxfId="5423" priority="61618" stopIfTrue="1">
      <formula>NOT(ISBLANK($AL$170))</formula>
    </cfRule>
  </conditionalFormatting>
  <conditionalFormatting sqref="AM170">
    <cfRule type="expression" dxfId="5422" priority="61619" stopIfTrue="1">
      <formula>NOT(ISBLANK($AM$170))</formula>
    </cfRule>
  </conditionalFormatting>
  <conditionalFormatting sqref="AN170">
    <cfRule type="expression" dxfId="5421" priority="61620" stopIfTrue="1">
      <formula>NOT(ISBLANK($AN$170))</formula>
    </cfRule>
  </conditionalFormatting>
  <conditionalFormatting sqref="AO170">
    <cfRule type="expression" dxfId="5420" priority="61621" stopIfTrue="1">
      <formula>NOT(ISBLANK($AO$170))</formula>
    </cfRule>
  </conditionalFormatting>
  <conditionalFormatting sqref="AP170">
    <cfRule type="expression" dxfId="5419" priority="61622" stopIfTrue="1">
      <formula>NOT(ISBLANK($AP$170))</formula>
    </cfRule>
  </conditionalFormatting>
  <conditionalFormatting sqref="AQ170">
    <cfRule type="expression" dxfId="5418" priority="61623" stopIfTrue="1">
      <formula>NOT(ISBLANK($AQ$170))</formula>
    </cfRule>
  </conditionalFormatting>
  <conditionalFormatting sqref="A171">
    <cfRule type="cellIs" dxfId="5417" priority="61624" stopIfTrue="1" operator="notEqual">
      <formula>11</formula>
    </cfRule>
  </conditionalFormatting>
  <conditionalFormatting sqref="B171">
    <cfRule type="cellIs" dxfId="5416" priority="61625" stopIfTrue="1" operator="notEqual">
      <formula>1</formula>
    </cfRule>
  </conditionalFormatting>
  <conditionalFormatting sqref="C171">
    <cfRule type="cellIs" dxfId="5415" priority="61626" stopIfTrue="1" operator="notEqual">
      <formula>3</formula>
    </cfRule>
  </conditionalFormatting>
  <conditionalFormatting sqref="D171">
    <cfRule type="cellIs" dxfId="5414" priority="61627" stopIfTrue="1" operator="notEqual">
      <formula>0.305</formula>
    </cfRule>
  </conditionalFormatting>
  <conditionalFormatting sqref="E171">
    <cfRule type="cellIs" dxfId="5413" priority="61628" stopIfTrue="1" operator="notEqual">
      <formula>"MGD"</formula>
    </cfRule>
  </conditionalFormatting>
  <conditionalFormatting sqref="F171">
    <cfRule type="cellIs" dxfId="5412" priority="61629" stopIfTrue="1" operator="notEqual">
      <formula>0.094</formula>
    </cfRule>
  </conditionalFormatting>
  <conditionalFormatting sqref="G171">
    <cfRule type="cellIs" dxfId="5411" priority="61630" stopIfTrue="1" operator="notEqual">
      <formula>"MGD"</formula>
    </cfRule>
  </conditionalFormatting>
  <conditionalFormatting sqref="H171">
    <cfRule type="cellIs" dxfId="5410" priority="61631" stopIfTrue="1" operator="notEqual">
      <formula>"regeneration off-site (non-hazardous)"</formula>
    </cfRule>
  </conditionalFormatting>
  <conditionalFormatting sqref="I171">
    <cfRule type="cellIs" dxfId="5409" priority="61632" stopIfTrue="1" operator="notEqual">
      <formula>"carbon life value- bed volumes"</formula>
    </cfRule>
  </conditionalFormatting>
  <conditionalFormatting sqref="J171">
    <cfRule type="cellIs" dxfId="5408" priority="61633" stopIfTrue="1" operator="notEqual">
      <formula>7940</formula>
    </cfRule>
  </conditionalFormatting>
  <conditionalFormatting sqref="K171">
    <cfRule type="expression" dxfId="5407" priority="61634" stopIfTrue="1">
      <formula>NOT(ISBLANK($K$171))</formula>
    </cfRule>
  </conditionalFormatting>
  <conditionalFormatting sqref="L171">
    <cfRule type="expression" dxfId="5406" priority="61635" stopIfTrue="1">
      <formula>NOT(ISBLANK($L$171))</formula>
    </cfRule>
  </conditionalFormatting>
  <conditionalFormatting sqref="M171">
    <cfRule type="expression" dxfId="5405" priority="61636" stopIfTrue="1">
      <formula>NOT(ISBLANK($M$171))</formula>
    </cfRule>
  </conditionalFormatting>
  <conditionalFormatting sqref="N171">
    <cfRule type="cellIs" dxfId="5404" priority="61637" stopIfTrue="1" operator="notEqual">
      <formula>"EBCT"</formula>
    </cfRule>
  </conditionalFormatting>
  <conditionalFormatting sqref="O171">
    <cfRule type="cellIs" dxfId="5403" priority="61638" stopIfTrue="1" operator="notEqual">
      <formula>7.5</formula>
    </cfRule>
  </conditionalFormatting>
  <conditionalFormatting sqref="P171">
    <cfRule type="expression" dxfId="5402" priority="61639" stopIfTrue="1">
      <formula>NOT(ISBLANK($P$171))</formula>
    </cfRule>
  </conditionalFormatting>
  <conditionalFormatting sqref="Q171">
    <cfRule type="expression" dxfId="5401" priority="61640" stopIfTrue="1">
      <formula>NOT(ISBLANK($Q$171))</formula>
    </cfRule>
  </conditionalFormatting>
  <conditionalFormatting sqref="R171">
    <cfRule type="cellIs" dxfId="5400" priority="61641" stopIfTrue="1" operator="notEqual">
      <formula>1</formula>
    </cfRule>
  </conditionalFormatting>
  <conditionalFormatting sqref="S171">
    <cfRule type="cellIs" dxfId="5399" priority="61642" stopIfTrue="1" operator="notEqual">
      <formula>6.7</formula>
    </cfRule>
  </conditionalFormatting>
  <conditionalFormatting sqref="T171">
    <cfRule type="cellIs" dxfId="5398" priority="61643" stopIfTrue="1" operator="notEqual">
      <formula>"upright"</formula>
    </cfRule>
  </conditionalFormatting>
  <conditionalFormatting sqref="U171">
    <cfRule type="cellIs" dxfId="5397" priority="61644" stopIfTrue="1" operator="notEqual">
      <formula>11</formula>
    </cfRule>
  </conditionalFormatting>
  <conditionalFormatting sqref="V171">
    <cfRule type="cellIs" dxfId="5396" priority="61645" stopIfTrue="1" operator="notEqual">
      <formula>4.5</formula>
    </cfRule>
  </conditionalFormatting>
  <conditionalFormatting sqref="W171">
    <cfRule type="expression" dxfId="5395" priority="61646" stopIfTrue="1">
      <formula>NOT(ISBLANK($W$171))</formula>
    </cfRule>
  </conditionalFormatting>
  <conditionalFormatting sqref="X171">
    <cfRule type="expression" dxfId="5394" priority="61647" stopIfTrue="1">
      <formula>NOT(ISBLANK($X$171))</formula>
    </cfRule>
  </conditionalFormatting>
  <conditionalFormatting sqref="Y171">
    <cfRule type="expression" dxfId="5393" priority="61648" stopIfTrue="1">
      <formula>NOT(ISBLANK($Y$171))</formula>
    </cfRule>
  </conditionalFormatting>
  <conditionalFormatting sqref="Z171">
    <cfRule type="cellIs" dxfId="5392" priority="61649" stopIfTrue="1" operator="notEqual">
      <formula>168</formula>
    </cfRule>
  </conditionalFormatting>
  <conditionalFormatting sqref="AA171">
    <cfRule type="cellIs" dxfId="5391" priority="61650" stopIfTrue="1" operator="notEqual">
      <formula>"POTW"</formula>
    </cfRule>
  </conditionalFormatting>
  <conditionalFormatting sqref="AB171">
    <cfRule type="cellIs" dxfId="5390" priority="61651" stopIfTrue="1" operator="notEqual">
      <formula>"Holding tank"</formula>
    </cfRule>
  </conditionalFormatting>
  <conditionalFormatting sqref="AC171">
    <cfRule type="cellIs" dxfId="5389" priority="61652" stopIfTrue="1" operator="notEqual">
      <formula>"manual transfer"</formula>
    </cfRule>
  </conditionalFormatting>
  <conditionalFormatting sqref="AD171">
    <cfRule type="cellIs" dxfId="5388" priority="61653" stopIfTrue="1" operator="notEqual">
      <formula>"non-hazardous"</formula>
    </cfRule>
  </conditionalFormatting>
  <conditionalFormatting sqref="AE171">
    <cfRule type="expression" dxfId="5387" priority="61654" stopIfTrue="1">
      <formula>NOT(ISBLANK($AE$171))</formula>
    </cfRule>
  </conditionalFormatting>
  <conditionalFormatting sqref="AF171">
    <cfRule type="cellIs" dxfId="5386" priority="61655" stopIfTrue="1" operator="notEqual">
      <formula>0</formula>
    </cfRule>
  </conditionalFormatting>
  <conditionalFormatting sqref="AG171">
    <cfRule type="expression" dxfId="5385" priority="61656" stopIfTrue="1">
      <formula>NOT(ISBLANK($AG$171))</formula>
    </cfRule>
  </conditionalFormatting>
  <conditionalFormatting sqref="AH171">
    <cfRule type="expression" dxfId="5384" priority="61657" stopIfTrue="1">
      <formula>NOT(ISBLANK($AH$171))</formula>
    </cfRule>
  </conditionalFormatting>
  <conditionalFormatting sqref="AI171">
    <cfRule type="cellIs" dxfId="5383" priority="61658" stopIfTrue="1" operator="notEqual">
      <formula>"fully automated"</formula>
    </cfRule>
  </conditionalFormatting>
  <conditionalFormatting sqref="AJ171">
    <cfRule type="expression" dxfId="5382" priority="61659" stopIfTrue="1">
      <formula>NOT(ISBLANK($AJ$171))</formula>
    </cfRule>
  </conditionalFormatting>
  <conditionalFormatting sqref="AK171">
    <cfRule type="expression" dxfId="5381" priority="61660" stopIfTrue="1">
      <formula>NOT(ISBLANK($AK$171))</formula>
    </cfRule>
  </conditionalFormatting>
  <conditionalFormatting sqref="AL171">
    <cfRule type="expression" dxfId="5380" priority="61661" stopIfTrue="1">
      <formula>NOT(ISBLANK($AL$171))</formula>
    </cfRule>
  </conditionalFormatting>
  <conditionalFormatting sqref="AM171">
    <cfRule type="expression" dxfId="5379" priority="61662" stopIfTrue="1">
      <formula>NOT(ISBLANK($AM$171))</formula>
    </cfRule>
  </conditionalFormatting>
  <conditionalFormatting sqref="AN171">
    <cfRule type="expression" dxfId="5378" priority="61663" stopIfTrue="1">
      <formula>NOT(ISBLANK($AN$171))</formula>
    </cfRule>
  </conditionalFormatting>
  <conditionalFormatting sqref="AO171">
    <cfRule type="expression" dxfId="5377" priority="61664" stopIfTrue="1">
      <formula>NOT(ISBLANK($AO$171))</formula>
    </cfRule>
  </conditionalFormatting>
  <conditionalFormatting sqref="AP171">
    <cfRule type="expression" dxfId="5376" priority="61665" stopIfTrue="1">
      <formula>NOT(ISBLANK($AP$171))</formula>
    </cfRule>
  </conditionalFormatting>
  <conditionalFormatting sqref="AQ171">
    <cfRule type="expression" dxfId="5375" priority="61666" stopIfTrue="1">
      <formula>NOT(ISBLANK($AQ$171))</formula>
    </cfRule>
  </conditionalFormatting>
  <conditionalFormatting sqref="A172">
    <cfRule type="cellIs" dxfId="5374" priority="61667" stopIfTrue="1" operator="notEqual">
      <formula>11</formula>
    </cfRule>
  </conditionalFormatting>
  <conditionalFormatting sqref="B172">
    <cfRule type="cellIs" dxfId="5373" priority="61668" stopIfTrue="1" operator="notEqual">
      <formula>1</formula>
    </cfRule>
  </conditionalFormatting>
  <conditionalFormatting sqref="C172">
    <cfRule type="cellIs" dxfId="5372" priority="61669" stopIfTrue="1" operator="notEqual">
      <formula>4</formula>
    </cfRule>
  </conditionalFormatting>
  <conditionalFormatting sqref="D172">
    <cfRule type="cellIs" dxfId="5371" priority="61670" stopIfTrue="1" operator="notEqual">
      <formula>0.74</formula>
    </cfRule>
  </conditionalFormatting>
  <conditionalFormatting sqref="E172">
    <cfRule type="cellIs" dxfId="5370" priority="61671" stopIfTrue="1" operator="notEqual">
      <formula>"MGD"</formula>
    </cfRule>
  </conditionalFormatting>
  <conditionalFormatting sqref="F172">
    <cfRule type="cellIs" dxfId="5369" priority="61672" stopIfTrue="1" operator="notEqual">
      <formula>0.251</formula>
    </cfRule>
  </conditionalFormatting>
  <conditionalFormatting sqref="G172">
    <cfRule type="cellIs" dxfId="5368" priority="61673" stopIfTrue="1" operator="notEqual">
      <formula>"MGD"</formula>
    </cfRule>
  </conditionalFormatting>
  <conditionalFormatting sqref="H172">
    <cfRule type="cellIs" dxfId="5367" priority="61674" stopIfTrue="1" operator="notEqual">
      <formula>"regeneration off-site (non-hazardous)"</formula>
    </cfRule>
  </conditionalFormatting>
  <conditionalFormatting sqref="I172">
    <cfRule type="cellIs" dxfId="5366" priority="61675" stopIfTrue="1" operator="notEqual">
      <formula>"carbon life value- bed volumes"</formula>
    </cfRule>
  </conditionalFormatting>
  <conditionalFormatting sqref="J172">
    <cfRule type="cellIs" dxfId="5365" priority="61676" stopIfTrue="1" operator="notEqual">
      <formula>7940</formula>
    </cfRule>
  </conditionalFormatting>
  <conditionalFormatting sqref="K172">
    <cfRule type="expression" dxfId="5364" priority="61677" stopIfTrue="1">
      <formula>NOT(ISBLANK($K$172))</formula>
    </cfRule>
  </conditionalFormatting>
  <conditionalFormatting sqref="L172">
    <cfRule type="expression" dxfId="5363" priority="61678" stopIfTrue="1">
      <formula>NOT(ISBLANK($L$172))</formula>
    </cfRule>
  </conditionalFormatting>
  <conditionalFormatting sqref="M172">
    <cfRule type="expression" dxfId="5362" priority="61679" stopIfTrue="1">
      <formula>NOT(ISBLANK($M$172))</formula>
    </cfRule>
  </conditionalFormatting>
  <conditionalFormatting sqref="N172">
    <cfRule type="cellIs" dxfId="5361" priority="61680" stopIfTrue="1" operator="notEqual">
      <formula>"EBCT"</formula>
    </cfRule>
  </conditionalFormatting>
  <conditionalFormatting sqref="O172">
    <cfRule type="cellIs" dxfId="5360" priority="61681" stopIfTrue="1" operator="notEqual">
      <formula>7.5</formula>
    </cfRule>
  </conditionalFormatting>
  <conditionalFormatting sqref="P172">
    <cfRule type="expression" dxfId="5359" priority="61682" stopIfTrue="1">
      <formula>NOT(ISBLANK($P$172))</formula>
    </cfRule>
  </conditionalFormatting>
  <conditionalFormatting sqref="Q172">
    <cfRule type="expression" dxfId="5358" priority="61683" stopIfTrue="1">
      <formula>NOT(ISBLANK($Q$172))</formula>
    </cfRule>
  </conditionalFormatting>
  <conditionalFormatting sqref="R172">
    <cfRule type="cellIs" dxfId="5357" priority="61684" stopIfTrue="1" operator="notEqual">
      <formula>1</formula>
    </cfRule>
  </conditionalFormatting>
  <conditionalFormatting sqref="S172">
    <cfRule type="cellIs" dxfId="5356" priority="61685" stopIfTrue="1" operator="notEqual">
      <formula>6.7</formula>
    </cfRule>
  </conditionalFormatting>
  <conditionalFormatting sqref="T172">
    <cfRule type="cellIs" dxfId="5355" priority="61686" stopIfTrue="1" operator="notEqual">
      <formula>"upright"</formula>
    </cfRule>
  </conditionalFormatting>
  <conditionalFormatting sqref="U172">
    <cfRule type="cellIs" dxfId="5354" priority="61687" stopIfTrue="1" operator="notEqual">
      <formula>11</formula>
    </cfRule>
  </conditionalFormatting>
  <conditionalFormatting sqref="V172">
    <cfRule type="cellIs" dxfId="5353" priority="61688" stopIfTrue="1" operator="notEqual">
      <formula>7</formula>
    </cfRule>
  </conditionalFormatting>
  <conditionalFormatting sqref="W172">
    <cfRule type="expression" dxfId="5352" priority="61689" stopIfTrue="1">
      <formula>NOT(ISBLANK($W$172))</formula>
    </cfRule>
  </conditionalFormatting>
  <conditionalFormatting sqref="X172">
    <cfRule type="expression" dxfId="5351" priority="61690" stopIfTrue="1">
      <formula>NOT(ISBLANK($X$172))</formula>
    </cfRule>
  </conditionalFormatting>
  <conditionalFormatting sqref="Y172">
    <cfRule type="expression" dxfId="5350" priority="61691" stopIfTrue="1">
      <formula>NOT(ISBLANK($Y$172))</formula>
    </cfRule>
  </conditionalFormatting>
  <conditionalFormatting sqref="Z172">
    <cfRule type="cellIs" dxfId="5349" priority="61692" stopIfTrue="1" operator="notEqual">
      <formula>168</formula>
    </cfRule>
  </conditionalFormatting>
  <conditionalFormatting sqref="AA172">
    <cfRule type="cellIs" dxfId="5348" priority="61693" stopIfTrue="1" operator="notEqual">
      <formula>"POTW"</formula>
    </cfRule>
  </conditionalFormatting>
  <conditionalFormatting sqref="AB172">
    <cfRule type="cellIs" dxfId="5347" priority="61694" stopIfTrue="1" operator="notEqual">
      <formula>"Holding tank"</formula>
    </cfRule>
  </conditionalFormatting>
  <conditionalFormatting sqref="AC172">
    <cfRule type="cellIs" dxfId="5346" priority="61695" stopIfTrue="1" operator="notEqual">
      <formula>"manual transfer"</formula>
    </cfRule>
  </conditionalFormatting>
  <conditionalFormatting sqref="AD172">
    <cfRule type="cellIs" dxfId="5345" priority="61696" stopIfTrue="1" operator="notEqual">
      <formula>"non-hazardous"</formula>
    </cfRule>
  </conditionalFormatting>
  <conditionalFormatting sqref="AE172">
    <cfRule type="expression" dxfId="5344" priority="61697" stopIfTrue="1">
      <formula>NOT(ISBLANK($AE$172))</formula>
    </cfRule>
  </conditionalFormatting>
  <conditionalFormatting sqref="AF172">
    <cfRule type="cellIs" dxfId="5343" priority="61698" stopIfTrue="1" operator="notEqual">
      <formula>0</formula>
    </cfRule>
  </conditionalFormatting>
  <conditionalFormatting sqref="AG172">
    <cfRule type="expression" dxfId="5342" priority="61699" stopIfTrue="1">
      <formula>NOT(ISBLANK($AG$172))</formula>
    </cfRule>
  </conditionalFormatting>
  <conditionalFormatting sqref="AH172">
    <cfRule type="expression" dxfId="5341" priority="61700" stopIfTrue="1">
      <formula>NOT(ISBLANK($AH$172))</formula>
    </cfRule>
  </conditionalFormatting>
  <conditionalFormatting sqref="AI172">
    <cfRule type="cellIs" dxfId="5340" priority="61701" stopIfTrue="1" operator="notEqual">
      <formula>"fully automated"</formula>
    </cfRule>
  </conditionalFormatting>
  <conditionalFormatting sqref="AJ172">
    <cfRule type="expression" dxfId="5339" priority="61702" stopIfTrue="1">
      <formula>NOT(ISBLANK($AJ$172))</formula>
    </cfRule>
  </conditionalFormatting>
  <conditionalFormatting sqref="AK172">
    <cfRule type="expression" dxfId="5338" priority="61703" stopIfTrue="1">
      <formula>NOT(ISBLANK($AK$172))</formula>
    </cfRule>
  </conditionalFormatting>
  <conditionalFormatting sqref="AL172">
    <cfRule type="expression" dxfId="5337" priority="61704" stopIfTrue="1">
      <formula>NOT(ISBLANK($AL$172))</formula>
    </cfRule>
  </conditionalFormatting>
  <conditionalFormatting sqref="AM172">
    <cfRule type="expression" dxfId="5336" priority="61705" stopIfTrue="1">
      <formula>NOT(ISBLANK($AM$172))</formula>
    </cfRule>
  </conditionalFormatting>
  <conditionalFormatting sqref="AN172">
    <cfRule type="expression" dxfId="5335" priority="61706" stopIfTrue="1">
      <formula>NOT(ISBLANK($AN$172))</formula>
    </cfRule>
  </conditionalFormatting>
  <conditionalFormatting sqref="AO172">
    <cfRule type="expression" dxfId="5334" priority="61707" stopIfTrue="1">
      <formula>NOT(ISBLANK($AO$172))</formula>
    </cfRule>
  </conditionalFormatting>
  <conditionalFormatting sqref="AP172">
    <cfRule type="expression" dxfId="5333" priority="61708" stopIfTrue="1">
      <formula>NOT(ISBLANK($AP$172))</formula>
    </cfRule>
  </conditionalFormatting>
  <conditionalFormatting sqref="AQ172">
    <cfRule type="expression" dxfId="5332" priority="61709" stopIfTrue="1">
      <formula>NOT(ISBLANK($AQ$172))</formula>
    </cfRule>
  </conditionalFormatting>
  <conditionalFormatting sqref="A173">
    <cfRule type="cellIs" dxfId="5331" priority="61710" stopIfTrue="1" operator="notEqual">
      <formula>11</formula>
    </cfRule>
  </conditionalFormatting>
  <conditionalFormatting sqref="B173">
    <cfRule type="cellIs" dxfId="5330" priority="61711" stopIfTrue="1" operator="notEqual">
      <formula>1</formula>
    </cfRule>
  </conditionalFormatting>
  <conditionalFormatting sqref="C173">
    <cfRule type="cellIs" dxfId="5329" priority="61712" stopIfTrue="1" operator="notEqual">
      <formula>5</formula>
    </cfRule>
  </conditionalFormatting>
  <conditionalFormatting sqref="D173">
    <cfRule type="cellIs" dxfId="5328" priority="61713" stopIfTrue="1" operator="notEqual">
      <formula>2.152</formula>
    </cfRule>
  </conditionalFormatting>
  <conditionalFormatting sqref="E173">
    <cfRule type="cellIs" dxfId="5327" priority="61714" stopIfTrue="1" operator="notEqual">
      <formula>"MGD"</formula>
    </cfRule>
  </conditionalFormatting>
  <conditionalFormatting sqref="F173">
    <cfRule type="cellIs" dxfId="5326" priority="61715" stopIfTrue="1" operator="notEqual">
      <formula>0.819</formula>
    </cfRule>
  </conditionalFormatting>
  <conditionalFormatting sqref="G173">
    <cfRule type="cellIs" dxfId="5325" priority="61716" stopIfTrue="1" operator="notEqual">
      <formula>"MGD"</formula>
    </cfRule>
  </conditionalFormatting>
  <conditionalFormatting sqref="H173">
    <cfRule type="cellIs" dxfId="5324" priority="61717" stopIfTrue="1" operator="notEqual">
      <formula>"regeneration off-site (non-hazardous)"</formula>
    </cfRule>
  </conditionalFormatting>
  <conditionalFormatting sqref="I173">
    <cfRule type="cellIs" dxfId="5323" priority="61718" stopIfTrue="1" operator="notEqual">
      <formula>"carbon life value- bed volumes"</formula>
    </cfRule>
  </conditionalFormatting>
  <conditionalFormatting sqref="J173">
    <cfRule type="cellIs" dxfId="5322" priority="61719" stopIfTrue="1" operator="notEqual">
      <formula>7940</formula>
    </cfRule>
  </conditionalFormatting>
  <conditionalFormatting sqref="K173">
    <cfRule type="expression" dxfId="5321" priority="61720" stopIfTrue="1">
      <formula>NOT(ISBLANK($K$173))</formula>
    </cfRule>
  </conditionalFormatting>
  <conditionalFormatting sqref="L173">
    <cfRule type="expression" dxfId="5320" priority="61721" stopIfTrue="1">
      <formula>NOT(ISBLANK($L$173))</formula>
    </cfRule>
  </conditionalFormatting>
  <conditionalFormatting sqref="M173">
    <cfRule type="expression" dxfId="5319" priority="61722" stopIfTrue="1">
      <formula>NOT(ISBLANK($M$173))</formula>
    </cfRule>
  </conditionalFormatting>
  <conditionalFormatting sqref="N173">
    <cfRule type="cellIs" dxfId="5318" priority="61723" stopIfTrue="1" operator="notEqual">
      <formula>"EBCT"</formula>
    </cfRule>
  </conditionalFormatting>
  <conditionalFormatting sqref="O173">
    <cfRule type="cellIs" dxfId="5317" priority="61724" stopIfTrue="1" operator="notEqual">
      <formula>7.5</formula>
    </cfRule>
  </conditionalFormatting>
  <conditionalFormatting sqref="P173">
    <cfRule type="expression" dxfId="5316" priority="61725" stopIfTrue="1">
      <formula>NOT(ISBLANK($P$173))</formula>
    </cfRule>
  </conditionalFormatting>
  <conditionalFormatting sqref="Q173">
    <cfRule type="expression" dxfId="5315" priority="61726" stopIfTrue="1">
      <formula>NOT(ISBLANK($Q$173))</formula>
    </cfRule>
  </conditionalFormatting>
  <conditionalFormatting sqref="R173">
    <cfRule type="cellIs" dxfId="5314" priority="61727" stopIfTrue="1" operator="notEqual">
      <formula>1</formula>
    </cfRule>
  </conditionalFormatting>
  <conditionalFormatting sqref="S173">
    <cfRule type="cellIs" dxfId="5313" priority="61728" stopIfTrue="1" operator="notEqual">
      <formula>6.7</formula>
    </cfRule>
  </conditionalFormatting>
  <conditionalFormatting sqref="T173">
    <cfRule type="cellIs" dxfId="5312" priority="61729" stopIfTrue="1" operator="notEqual">
      <formula>"upright"</formula>
    </cfRule>
  </conditionalFormatting>
  <conditionalFormatting sqref="U173">
    <cfRule type="cellIs" dxfId="5311" priority="61730" stopIfTrue="1" operator="notEqual">
      <formula>11</formula>
    </cfRule>
  </conditionalFormatting>
  <conditionalFormatting sqref="V173">
    <cfRule type="cellIs" dxfId="5310" priority="61731" stopIfTrue="1" operator="notEqual">
      <formula>8.5</formula>
    </cfRule>
  </conditionalFormatting>
  <conditionalFormatting sqref="W173">
    <cfRule type="expression" dxfId="5309" priority="61732" stopIfTrue="1">
      <formula>NOT(ISBLANK($W$173))</formula>
    </cfRule>
  </conditionalFormatting>
  <conditionalFormatting sqref="X173">
    <cfRule type="expression" dxfId="5308" priority="61733" stopIfTrue="1">
      <formula>NOT(ISBLANK($X$173))</formula>
    </cfRule>
  </conditionalFormatting>
  <conditionalFormatting sqref="Y173">
    <cfRule type="expression" dxfId="5307" priority="61734" stopIfTrue="1">
      <formula>NOT(ISBLANK($Y$173))</formula>
    </cfRule>
  </conditionalFormatting>
  <conditionalFormatting sqref="Z173">
    <cfRule type="cellIs" dxfId="5306" priority="61735" stopIfTrue="1" operator="notEqual">
      <formula>168</formula>
    </cfRule>
  </conditionalFormatting>
  <conditionalFormatting sqref="AA173">
    <cfRule type="cellIs" dxfId="5305" priority="61736" stopIfTrue="1" operator="notEqual">
      <formula>"POTW"</formula>
    </cfRule>
  </conditionalFormatting>
  <conditionalFormatting sqref="AB173">
    <cfRule type="cellIs" dxfId="5304" priority="61737" stopIfTrue="1" operator="notEqual">
      <formula>"Holding tank"</formula>
    </cfRule>
  </conditionalFormatting>
  <conditionalFormatting sqref="AC173">
    <cfRule type="cellIs" dxfId="5303" priority="61738" stopIfTrue="1" operator="notEqual">
      <formula>"eductors"</formula>
    </cfRule>
  </conditionalFormatting>
  <conditionalFormatting sqref="AD173">
    <cfRule type="cellIs" dxfId="5302" priority="61739" stopIfTrue="1" operator="notEqual">
      <formula>"non-hazardous"</formula>
    </cfRule>
  </conditionalFormatting>
  <conditionalFormatting sqref="AE173">
    <cfRule type="expression" dxfId="5301" priority="61740" stopIfTrue="1">
      <formula>NOT(ISBLANK($AE$173))</formula>
    </cfRule>
  </conditionalFormatting>
  <conditionalFormatting sqref="AF173">
    <cfRule type="cellIs" dxfId="5300" priority="61741" stopIfTrue="1" operator="notEqual">
      <formula>0</formula>
    </cfRule>
  </conditionalFormatting>
  <conditionalFormatting sqref="AG173">
    <cfRule type="expression" dxfId="5299" priority="61742" stopIfTrue="1">
      <formula>NOT(ISBLANK($AG$173))</formula>
    </cfRule>
  </conditionalFormatting>
  <conditionalFormatting sqref="AH173">
    <cfRule type="expression" dxfId="5298" priority="61743" stopIfTrue="1">
      <formula>NOT(ISBLANK($AH$173))</formula>
    </cfRule>
  </conditionalFormatting>
  <conditionalFormatting sqref="AI173">
    <cfRule type="cellIs" dxfId="5297" priority="61744" stopIfTrue="1" operator="notEqual">
      <formula>"fully automated"</formula>
    </cfRule>
  </conditionalFormatting>
  <conditionalFormatting sqref="AJ173">
    <cfRule type="expression" dxfId="5296" priority="61745" stopIfTrue="1">
      <formula>NOT(ISBLANK($AJ$173))</formula>
    </cfRule>
  </conditionalFormatting>
  <conditionalFormatting sqref="AK173">
    <cfRule type="expression" dxfId="5295" priority="61746" stopIfTrue="1">
      <formula>NOT(ISBLANK($AK$173))</formula>
    </cfRule>
  </conditionalFormatting>
  <conditionalFormatting sqref="AL173">
    <cfRule type="expression" dxfId="5294" priority="61747" stopIfTrue="1">
      <formula>NOT(ISBLANK($AL$173))</formula>
    </cfRule>
  </conditionalFormatting>
  <conditionalFormatting sqref="AM173">
    <cfRule type="expression" dxfId="5293" priority="61748" stopIfTrue="1">
      <formula>NOT(ISBLANK($AM$173))</formula>
    </cfRule>
  </conditionalFormatting>
  <conditionalFormatting sqref="AN173">
    <cfRule type="expression" dxfId="5292" priority="61749" stopIfTrue="1">
      <formula>NOT(ISBLANK($AN$173))</formula>
    </cfRule>
  </conditionalFormatting>
  <conditionalFormatting sqref="AO173">
    <cfRule type="expression" dxfId="5291" priority="61750" stopIfTrue="1">
      <formula>NOT(ISBLANK($AO$173))</formula>
    </cfRule>
  </conditionalFormatting>
  <conditionalFormatting sqref="AP173">
    <cfRule type="expression" dxfId="5290" priority="61751" stopIfTrue="1">
      <formula>NOT(ISBLANK($AP$173))</formula>
    </cfRule>
  </conditionalFormatting>
  <conditionalFormatting sqref="AQ173">
    <cfRule type="expression" dxfId="5289" priority="61752" stopIfTrue="1">
      <formula>NOT(ISBLANK($AQ$173))</formula>
    </cfRule>
  </conditionalFormatting>
  <conditionalFormatting sqref="A174">
    <cfRule type="cellIs" dxfId="5288" priority="61753" stopIfTrue="1" operator="notEqual">
      <formula>11</formula>
    </cfRule>
  </conditionalFormatting>
  <conditionalFormatting sqref="B174">
    <cfRule type="cellIs" dxfId="5287" priority="61754" stopIfTrue="1" operator="notEqual">
      <formula>1</formula>
    </cfRule>
  </conditionalFormatting>
  <conditionalFormatting sqref="C174">
    <cfRule type="cellIs" dxfId="5286" priority="61755" stopIfTrue="1" operator="notEqual">
      <formula>6</formula>
    </cfRule>
  </conditionalFormatting>
  <conditionalFormatting sqref="D174">
    <cfRule type="cellIs" dxfId="5285" priority="61756" stopIfTrue="1" operator="notEqual">
      <formula>7.365</formula>
    </cfRule>
  </conditionalFormatting>
  <conditionalFormatting sqref="E174">
    <cfRule type="cellIs" dxfId="5284" priority="61757" stopIfTrue="1" operator="notEqual">
      <formula>"MGD"</formula>
    </cfRule>
  </conditionalFormatting>
  <conditionalFormatting sqref="F174">
    <cfRule type="cellIs" dxfId="5283" priority="61758" stopIfTrue="1" operator="notEqual">
      <formula>3.2</formula>
    </cfRule>
  </conditionalFormatting>
  <conditionalFormatting sqref="G174">
    <cfRule type="cellIs" dxfId="5282" priority="61759" stopIfTrue="1" operator="notEqual">
      <formula>"MGD"</formula>
    </cfRule>
  </conditionalFormatting>
  <conditionalFormatting sqref="H174">
    <cfRule type="cellIs" dxfId="5281" priority="61760" stopIfTrue="1" operator="notEqual">
      <formula>"regeneration off-site (non-hazardous)"</formula>
    </cfRule>
  </conditionalFormatting>
  <conditionalFormatting sqref="I174">
    <cfRule type="cellIs" dxfId="5280" priority="61761" stopIfTrue="1" operator="notEqual">
      <formula>"carbon life value- bed volumes"</formula>
    </cfRule>
  </conditionalFormatting>
  <conditionalFormatting sqref="J174">
    <cfRule type="cellIs" dxfId="5279" priority="61762" stopIfTrue="1" operator="notEqual">
      <formula>7940</formula>
    </cfRule>
  </conditionalFormatting>
  <conditionalFormatting sqref="K174">
    <cfRule type="expression" dxfId="5278" priority="61763" stopIfTrue="1">
      <formula>NOT(ISBLANK($K$174))</formula>
    </cfRule>
  </conditionalFormatting>
  <conditionalFormatting sqref="L174">
    <cfRule type="expression" dxfId="5277" priority="61764" stopIfTrue="1">
      <formula>NOT(ISBLANK($L$174))</formula>
    </cfRule>
  </conditionalFormatting>
  <conditionalFormatting sqref="M174">
    <cfRule type="expression" dxfId="5276" priority="61765" stopIfTrue="1">
      <formula>NOT(ISBLANK($M$174))</formula>
    </cfRule>
  </conditionalFormatting>
  <conditionalFormatting sqref="N174">
    <cfRule type="cellIs" dxfId="5275" priority="61766" stopIfTrue="1" operator="notEqual">
      <formula>"EBCT"</formula>
    </cfRule>
  </conditionalFormatting>
  <conditionalFormatting sqref="O174">
    <cfRule type="cellIs" dxfId="5274" priority="61767" stopIfTrue="1" operator="notEqual">
      <formula>7.5</formula>
    </cfRule>
  </conditionalFormatting>
  <conditionalFormatting sqref="P174">
    <cfRule type="expression" dxfId="5273" priority="61768" stopIfTrue="1">
      <formula>NOT(ISBLANK($P$174))</formula>
    </cfRule>
  </conditionalFormatting>
  <conditionalFormatting sqref="Q174">
    <cfRule type="expression" dxfId="5272" priority="61769" stopIfTrue="1">
      <formula>NOT(ISBLANK($Q$174))</formula>
    </cfRule>
  </conditionalFormatting>
  <conditionalFormatting sqref="R174">
    <cfRule type="cellIs" dxfId="5271" priority="61770" stopIfTrue="1" operator="notEqual">
      <formula>1</formula>
    </cfRule>
  </conditionalFormatting>
  <conditionalFormatting sqref="S174">
    <cfRule type="cellIs" dxfId="5270" priority="61771" stopIfTrue="1" operator="notEqual">
      <formula>6.2</formula>
    </cfRule>
  </conditionalFormatting>
  <conditionalFormatting sqref="T174">
    <cfRule type="cellIs" dxfId="5269" priority="61772" stopIfTrue="1" operator="notEqual">
      <formula>"horizontal"</formula>
    </cfRule>
  </conditionalFormatting>
  <conditionalFormatting sqref="U174">
    <cfRule type="cellIs" dxfId="5268" priority="61773" stopIfTrue="1" operator="notEqual">
      <formula>20</formula>
    </cfRule>
  </conditionalFormatting>
  <conditionalFormatting sqref="V174">
    <cfRule type="cellIs" dxfId="5267" priority="61774" stopIfTrue="1" operator="notEqual">
      <formula>14</formula>
    </cfRule>
  </conditionalFormatting>
  <conditionalFormatting sqref="W174">
    <cfRule type="expression" dxfId="5266" priority="61775" stopIfTrue="1">
      <formula>NOT(ISBLANK($W$174))</formula>
    </cfRule>
  </conditionalFormatting>
  <conditionalFormatting sqref="X174">
    <cfRule type="expression" dxfId="5265" priority="61776" stopIfTrue="1">
      <formula>NOT(ISBLANK($X$174))</formula>
    </cfRule>
  </conditionalFormatting>
  <conditionalFormatting sqref="Y174">
    <cfRule type="expression" dxfId="5264" priority="61777" stopIfTrue="1">
      <formula>NOT(ISBLANK($Y$174))</formula>
    </cfRule>
  </conditionalFormatting>
  <conditionalFormatting sqref="Z174">
    <cfRule type="cellIs" dxfId="5263" priority="61778" stopIfTrue="1" operator="notEqual">
      <formula>168</formula>
    </cfRule>
  </conditionalFormatting>
  <conditionalFormatting sqref="AA174">
    <cfRule type="cellIs" dxfId="5262" priority="61779" stopIfTrue="1" operator="notEqual">
      <formula>"POTW"</formula>
    </cfRule>
  </conditionalFormatting>
  <conditionalFormatting sqref="AB174">
    <cfRule type="cellIs" dxfId="5261" priority="61780" stopIfTrue="1" operator="notEqual">
      <formula>"Holding tank"</formula>
    </cfRule>
  </conditionalFormatting>
  <conditionalFormatting sqref="AC174">
    <cfRule type="cellIs" dxfId="5260" priority="61781" stopIfTrue="1" operator="notEqual">
      <formula>"eductors"</formula>
    </cfRule>
  </conditionalFormatting>
  <conditionalFormatting sqref="AD174">
    <cfRule type="cellIs" dxfId="5259" priority="61782" stopIfTrue="1" operator="notEqual">
      <formula>"non-hazardous"</formula>
    </cfRule>
  </conditionalFormatting>
  <conditionalFormatting sqref="AE174">
    <cfRule type="expression" dxfId="5258" priority="61783" stopIfTrue="1">
      <formula>NOT(ISBLANK($AE$174))</formula>
    </cfRule>
  </conditionalFormatting>
  <conditionalFormatting sqref="AF174">
    <cfRule type="cellIs" dxfId="5257" priority="61784" stopIfTrue="1" operator="notEqual">
      <formula>0</formula>
    </cfRule>
  </conditionalFormatting>
  <conditionalFormatting sqref="AG174">
    <cfRule type="expression" dxfId="5256" priority="61785" stopIfTrue="1">
      <formula>NOT(ISBLANK($AG$174))</formula>
    </cfRule>
  </conditionalFormatting>
  <conditionalFormatting sqref="AH174">
    <cfRule type="expression" dxfId="5255" priority="61786" stopIfTrue="1">
      <formula>NOT(ISBLANK($AH$174))</formula>
    </cfRule>
  </conditionalFormatting>
  <conditionalFormatting sqref="AI174">
    <cfRule type="cellIs" dxfId="5254" priority="61787" stopIfTrue="1" operator="notEqual">
      <formula>"fully automated"</formula>
    </cfRule>
  </conditionalFormatting>
  <conditionalFormatting sqref="AJ174">
    <cfRule type="expression" dxfId="5253" priority="61788" stopIfTrue="1">
      <formula>NOT(ISBLANK($AJ$174))</formula>
    </cfRule>
  </conditionalFormatting>
  <conditionalFormatting sqref="AK174">
    <cfRule type="expression" dxfId="5252" priority="61789" stopIfTrue="1">
      <formula>NOT(ISBLANK($AK$174))</formula>
    </cfRule>
  </conditionalFormatting>
  <conditionalFormatting sqref="AL174">
    <cfRule type="expression" dxfId="5251" priority="61790" stopIfTrue="1">
      <formula>NOT(ISBLANK($AL$174))</formula>
    </cfRule>
  </conditionalFormatting>
  <conditionalFormatting sqref="AM174">
    <cfRule type="expression" dxfId="5250" priority="61791" stopIfTrue="1">
      <formula>NOT(ISBLANK($AM$174))</formula>
    </cfRule>
  </conditionalFormatting>
  <conditionalFormatting sqref="AN174">
    <cfRule type="expression" dxfId="5249" priority="61792" stopIfTrue="1">
      <formula>NOT(ISBLANK($AN$174))</formula>
    </cfRule>
  </conditionalFormatting>
  <conditionalFormatting sqref="AO174">
    <cfRule type="expression" dxfId="5248" priority="61793" stopIfTrue="1">
      <formula>NOT(ISBLANK($AO$174))</formula>
    </cfRule>
  </conditionalFormatting>
  <conditionalFormatting sqref="AP174">
    <cfRule type="expression" dxfId="5247" priority="61794" stopIfTrue="1">
      <formula>NOT(ISBLANK($AP$174))</formula>
    </cfRule>
  </conditionalFormatting>
  <conditionalFormatting sqref="AQ174">
    <cfRule type="expression" dxfId="5246" priority="61795" stopIfTrue="1">
      <formula>NOT(ISBLANK($AQ$174))</formula>
    </cfRule>
  </conditionalFormatting>
  <conditionalFormatting sqref="A175">
    <cfRule type="cellIs" dxfId="5245" priority="61796" stopIfTrue="1" operator="notEqual">
      <formula>11</formula>
    </cfRule>
  </conditionalFormatting>
  <conditionalFormatting sqref="B175">
    <cfRule type="cellIs" dxfId="5244" priority="61797" stopIfTrue="1" operator="notEqual">
      <formula>1</formula>
    </cfRule>
  </conditionalFormatting>
  <conditionalFormatting sqref="C175">
    <cfRule type="cellIs" dxfId="5243" priority="61798" stopIfTrue="1" operator="notEqual">
      <formula>7</formula>
    </cfRule>
  </conditionalFormatting>
  <conditionalFormatting sqref="D175">
    <cfRule type="cellIs" dxfId="5242" priority="61799" stopIfTrue="1" operator="notEqual">
      <formula>22.614</formula>
    </cfRule>
  </conditionalFormatting>
  <conditionalFormatting sqref="E175">
    <cfRule type="cellIs" dxfId="5241" priority="61800" stopIfTrue="1" operator="notEqual">
      <formula>"MGD"</formula>
    </cfRule>
  </conditionalFormatting>
  <conditionalFormatting sqref="F175">
    <cfRule type="cellIs" dxfId="5240" priority="61801" stopIfTrue="1" operator="notEqual">
      <formula>11.066</formula>
    </cfRule>
  </conditionalFormatting>
  <conditionalFormatting sqref="G175">
    <cfRule type="cellIs" dxfId="5239" priority="61802" stopIfTrue="1" operator="notEqual">
      <formula>"MGD"</formula>
    </cfRule>
  </conditionalFormatting>
  <conditionalFormatting sqref="H175">
    <cfRule type="cellIs" dxfId="5238" priority="61803" stopIfTrue="1" operator="notEqual">
      <formula>"regeneration off-site (non-hazardous)"</formula>
    </cfRule>
  </conditionalFormatting>
  <conditionalFormatting sqref="I175">
    <cfRule type="cellIs" dxfId="5237" priority="61804" stopIfTrue="1" operator="notEqual">
      <formula>"carbon life value- bed volumes"</formula>
    </cfRule>
  </conditionalFormatting>
  <conditionalFormatting sqref="J175">
    <cfRule type="cellIs" dxfId="5236" priority="61805" stopIfTrue="1" operator="notEqual">
      <formula>7940</formula>
    </cfRule>
  </conditionalFormatting>
  <conditionalFormatting sqref="K175">
    <cfRule type="expression" dxfId="5235" priority="61806" stopIfTrue="1">
      <formula>NOT(ISBLANK($K$175))</formula>
    </cfRule>
  </conditionalFormatting>
  <conditionalFormatting sqref="L175">
    <cfRule type="expression" dxfId="5234" priority="61807" stopIfTrue="1">
      <formula>NOT(ISBLANK($L$175))</formula>
    </cfRule>
  </conditionalFormatting>
  <conditionalFormatting sqref="M175">
    <cfRule type="expression" dxfId="5233" priority="61808" stopIfTrue="1">
      <formula>NOT(ISBLANK($M$175))</formula>
    </cfRule>
  </conditionalFormatting>
  <conditionalFormatting sqref="N175">
    <cfRule type="cellIs" dxfId="5232" priority="61809" stopIfTrue="1" operator="notEqual">
      <formula>"EBCT"</formula>
    </cfRule>
  </conditionalFormatting>
  <conditionalFormatting sqref="O175">
    <cfRule type="cellIs" dxfId="5231" priority="61810" stopIfTrue="1" operator="notEqual">
      <formula>7.5</formula>
    </cfRule>
  </conditionalFormatting>
  <conditionalFormatting sqref="P175">
    <cfRule type="expression" dxfId="5230" priority="61811" stopIfTrue="1">
      <formula>NOT(ISBLANK($P$175))</formula>
    </cfRule>
  </conditionalFormatting>
  <conditionalFormatting sqref="Q175">
    <cfRule type="expression" dxfId="5229" priority="61812" stopIfTrue="1">
      <formula>NOT(ISBLANK($Q$175))</formula>
    </cfRule>
  </conditionalFormatting>
  <conditionalFormatting sqref="R175">
    <cfRule type="cellIs" dxfId="5228" priority="61813" stopIfTrue="1" operator="notEqual">
      <formula>1</formula>
    </cfRule>
  </conditionalFormatting>
  <conditionalFormatting sqref="S175">
    <cfRule type="cellIs" dxfId="5227" priority="61814" stopIfTrue="1" operator="notEqual">
      <formula>7.1</formula>
    </cfRule>
  </conditionalFormatting>
  <conditionalFormatting sqref="T175">
    <cfRule type="cellIs" dxfId="5226" priority="61815" stopIfTrue="1" operator="notEqual">
      <formula>"horizontal"</formula>
    </cfRule>
  </conditionalFormatting>
  <conditionalFormatting sqref="U175">
    <cfRule type="cellIs" dxfId="5225" priority="61816" stopIfTrue="1" operator="notEqual">
      <formula>20</formula>
    </cfRule>
  </conditionalFormatting>
  <conditionalFormatting sqref="V175">
    <cfRule type="cellIs" dxfId="5224" priority="61817" stopIfTrue="1" operator="notEqual">
      <formula>14</formula>
    </cfRule>
  </conditionalFormatting>
  <conditionalFormatting sqref="W175">
    <cfRule type="expression" dxfId="5223" priority="61818" stopIfTrue="1">
      <formula>NOT(ISBLANK($W$175))</formula>
    </cfRule>
  </conditionalFormatting>
  <conditionalFormatting sqref="X175">
    <cfRule type="expression" dxfId="5222" priority="61819" stopIfTrue="1">
      <formula>NOT(ISBLANK($X$175))</formula>
    </cfRule>
  </conditionalFormatting>
  <conditionalFormatting sqref="Y175">
    <cfRule type="expression" dxfId="5221" priority="61820" stopIfTrue="1">
      <formula>NOT(ISBLANK($Y$175))</formula>
    </cfRule>
  </conditionalFormatting>
  <conditionalFormatting sqref="Z175">
    <cfRule type="cellIs" dxfId="5220" priority="61821" stopIfTrue="1" operator="notEqual">
      <formula>168</formula>
    </cfRule>
  </conditionalFormatting>
  <conditionalFormatting sqref="AA175">
    <cfRule type="cellIs" dxfId="5219" priority="61822" stopIfTrue="1" operator="notEqual">
      <formula>"POTW"</formula>
    </cfRule>
  </conditionalFormatting>
  <conditionalFormatting sqref="AB175">
    <cfRule type="cellIs" dxfId="5218" priority="61823" stopIfTrue="1" operator="notEqual">
      <formula>"Holding tank"</formula>
    </cfRule>
  </conditionalFormatting>
  <conditionalFormatting sqref="AC175">
    <cfRule type="cellIs" dxfId="5217" priority="61824" stopIfTrue="1" operator="notEqual">
      <formula>"eductors"</formula>
    </cfRule>
  </conditionalFormatting>
  <conditionalFormatting sqref="AD175">
    <cfRule type="cellIs" dxfId="5216" priority="61825" stopIfTrue="1" operator="notEqual">
      <formula>"non-hazardous"</formula>
    </cfRule>
  </conditionalFormatting>
  <conditionalFormatting sqref="AE175">
    <cfRule type="expression" dxfId="5215" priority="61826" stopIfTrue="1">
      <formula>NOT(ISBLANK($AE$175))</formula>
    </cfRule>
  </conditionalFormatting>
  <conditionalFormatting sqref="AF175">
    <cfRule type="cellIs" dxfId="5214" priority="61827" stopIfTrue="1" operator="notEqual">
      <formula>0</formula>
    </cfRule>
  </conditionalFormatting>
  <conditionalFormatting sqref="AG175">
    <cfRule type="expression" dxfId="5213" priority="61828" stopIfTrue="1">
      <formula>NOT(ISBLANK($AG$175))</formula>
    </cfRule>
  </conditionalFormatting>
  <conditionalFormatting sqref="AH175">
    <cfRule type="expression" dxfId="5212" priority="61829" stopIfTrue="1">
      <formula>NOT(ISBLANK($AH$175))</formula>
    </cfRule>
  </conditionalFormatting>
  <conditionalFormatting sqref="AI175">
    <cfRule type="cellIs" dxfId="5211" priority="61830" stopIfTrue="1" operator="notEqual">
      <formula>"fully automated"</formula>
    </cfRule>
  </conditionalFormatting>
  <conditionalFormatting sqref="AJ175">
    <cfRule type="expression" dxfId="5210" priority="61831" stopIfTrue="1">
      <formula>NOT(ISBLANK($AJ$175))</formula>
    </cfRule>
  </conditionalFormatting>
  <conditionalFormatting sqref="AK175">
    <cfRule type="expression" dxfId="5209" priority="61832" stopIfTrue="1">
      <formula>NOT(ISBLANK($AK$175))</formula>
    </cfRule>
  </conditionalFormatting>
  <conditionalFormatting sqref="AL175">
    <cfRule type="expression" dxfId="5208" priority="61833" stopIfTrue="1">
      <formula>NOT(ISBLANK($AL$175))</formula>
    </cfRule>
  </conditionalFormatting>
  <conditionalFormatting sqref="AM175">
    <cfRule type="expression" dxfId="5207" priority="61834" stopIfTrue="1">
      <formula>NOT(ISBLANK($AM$175))</formula>
    </cfRule>
  </conditionalFormatting>
  <conditionalFormatting sqref="AN175">
    <cfRule type="expression" dxfId="5206" priority="61835" stopIfTrue="1">
      <formula>NOT(ISBLANK($AN$175))</formula>
    </cfRule>
  </conditionalFormatting>
  <conditionalFormatting sqref="AO175">
    <cfRule type="expression" dxfId="5205" priority="61836" stopIfTrue="1">
      <formula>NOT(ISBLANK($AO$175))</formula>
    </cfRule>
  </conditionalFormatting>
  <conditionalFormatting sqref="AP175">
    <cfRule type="expression" dxfId="5204" priority="61837" stopIfTrue="1">
      <formula>NOT(ISBLANK($AP$175))</formula>
    </cfRule>
  </conditionalFormatting>
  <conditionalFormatting sqref="AQ175">
    <cfRule type="expression" dxfId="5203" priority="61838" stopIfTrue="1">
      <formula>NOT(ISBLANK($AQ$175))</formula>
    </cfRule>
  </conditionalFormatting>
  <conditionalFormatting sqref="A176">
    <cfRule type="cellIs" dxfId="5202" priority="61839" stopIfTrue="1" operator="notEqual">
      <formula>11</formula>
    </cfRule>
  </conditionalFormatting>
  <conditionalFormatting sqref="B176">
    <cfRule type="cellIs" dxfId="5201" priority="61840" stopIfTrue="1" operator="notEqual">
      <formula>1</formula>
    </cfRule>
  </conditionalFormatting>
  <conditionalFormatting sqref="C176">
    <cfRule type="cellIs" dxfId="5200" priority="61841" stopIfTrue="1" operator="notEqual">
      <formula>8</formula>
    </cfRule>
  </conditionalFormatting>
  <conditionalFormatting sqref="D176">
    <cfRule type="cellIs" dxfId="5199" priority="61842" stopIfTrue="1" operator="notEqual">
      <formula>75.072</formula>
    </cfRule>
  </conditionalFormatting>
  <conditionalFormatting sqref="E176">
    <cfRule type="cellIs" dxfId="5198" priority="61843" stopIfTrue="1" operator="notEqual">
      <formula>"MGD"</formula>
    </cfRule>
  </conditionalFormatting>
  <conditionalFormatting sqref="F176">
    <cfRule type="cellIs" dxfId="5197" priority="61844" stopIfTrue="1" operator="notEqual">
      <formula>37.536</formula>
    </cfRule>
  </conditionalFormatting>
  <conditionalFormatting sqref="G176">
    <cfRule type="cellIs" dxfId="5196" priority="61845" stopIfTrue="1" operator="notEqual">
      <formula>"MGD"</formula>
    </cfRule>
  </conditionalFormatting>
  <conditionalFormatting sqref="H176">
    <cfRule type="cellIs" dxfId="5195" priority="61846" stopIfTrue="1" operator="notEqual">
      <formula>"regeneration off-site (non-hazardous)"</formula>
    </cfRule>
  </conditionalFormatting>
  <conditionalFormatting sqref="I176">
    <cfRule type="cellIs" dxfId="5194" priority="61847" stopIfTrue="1" operator="notEqual">
      <formula>"carbon life value- bed volumes"</formula>
    </cfRule>
  </conditionalFormatting>
  <conditionalFormatting sqref="J176">
    <cfRule type="cellIs" dxfId="5193" priority="61848" stopIfTrue="1" operator="notEqual">
      <formula>7940</formula>
    </cfRule>
  </conditionalFormatting>
  <conditionalFormatting sqref="K176">
    <cfRule type="expression" dxfId="5192" priority="61849" stopIfTrue="1">
      <formula>NOT(ISBLANK($K$176))</formula>
    </cfRule>
  </conditionalFormatting>
  <conditionalFormatting sqref="L176">
    <cfRule type="expression" dxfId="5191" priority="61850" stopIfTrue="1">
      <formula>NOT(ISBLANK($L$176))</formula>
    </cfRule>
  </conditionalFormatting>
  <conditionalFormatting sqref="M176">
    <cfRule type="expression" dxfId="5190" priority="61851" stopIfTrue="1">
      <formula>NOT(ISBLANK($M$176))</formula>
    </cfRule>
  </conditionalFormatting>
  <conditionalFormatting sqref="N176">
    <cfRule type="cellIs" dxfId="5189" priority="61852" stopIfTrue="1" operator="notEqual">
      <formula>"EBCT"</formula>
    </cfRule>
  </conditionalFormatting>
  <conditionalFormatting sqref="O176">
    <cfRule type="cellIs" dxfId="5188" priority="61853" stopIfTrue="1" operator="notEqual">
      <formula>7.5</formula>
    </cfRule>
  </conditionalFormatting>
  <conditionalFormatting sqref="P176">
    <cfRule type="expression" dxfId="5187" priority="61854" stopIfTrue="1">
      <formula>NOT(ISBLANK($P$176))</formula>
    </cfRule>
  </conditionalFormatting>
  <conditionalFormatting sqref="Q176">
    <cfRule type="expression" dxfId="5186" priority="61855" stopIfTrue="1">
      <formula>NOT(ISBLANK($Q$176))</formula>
    </cfRule>
  </conditionalFormatting>
  <conditionalFormatting sqref="R176">
    <cfRule type="cellIs" dxfId="5185" priority="61856" stopIfTrue="1" operator="notEqual">
      <formula>1</formula>
    </cfRule>
  </conditionalFormatting>
  <conditionalFormatting sqref="S176">
    <cfRule type="cellIs" dxfId="5184" priority="61857" stopIfTrue="1" operator="notEqual">
      <formula>6.7</formula>
    </cfRule>
  </conditionalFormatting>
  <conditionalFormatting sqref="T176">
    <cfRule type="cellIs" dxfId="5183" priority="61858" stopIfTrue="1" operator="notEqual">
      <formula>"horizontal"</formula>
    </cfRule>
  </conditionalFormatting>
  <conditionalFormatting sqref="U176">
    <cfRule type="cellIs" dxfId="5182" priority="61859" stopIfTrue="1" operator="notEqual">
      <formula>20</formula>
    </cfRule>
  </conditionalFormatting>
  <conditionalFormatting sqref="V176">
    <cfRule type="cellIs" dxfId="5181" priority="61860" stopIfTrue="1" operator="notEqual">
      <formula>14</formula>
    </cfRule>
  </conditionalFormatting>
  <conditionalFormatting sqref="W176">
    <cfRule type="expression" dxfId="5180" priority="61861" stopIfTrue="1">
      <formula>NOT(ISBLANK($W$176))</formula>
    </cfRule>
  </conditionalFormatting>
  <conditionalFormatting sqref="X176">
    <cfRule type="expression" dxfId="5179" priority="61862" stopIfTrue="1">
      <formula>NOT(ISBLANK($X$176))</formula>
    </cfRule>
  </conditionalFormatting>
  <conditionalFormatting sqref="Y176">
    <cfRule type="expression" dxfId="5178" priority="61863" stopIfTrue="1">
      <formula>NOT(ISBLANK($Y$176))</formula>
    </cfRule>
  </conditionalFormatting>
  <conditionalFormatting sqref="Z176">
    <cfRule type="cellIs" dxfId="5177" priority="61864" stopIfTrue="1" operator="notEqual">
      <formula>168</formula>
    </cfRule>
  </conditionalFormatting>
  <conditionalFormatting sqref="AA176">
    <cfRule type="cellIs" dxfId="5176" priority="61865" stopIfTrue="1" operator="notEqual">
      <formula>"POTW"</formula>
    </cfRule>
  </conditionalFormatting>
  <conditionalFormatting sqref="AB176">
    <cfRule type="cellIs" dxfId="5175" priority="61866" stopIfTrue="1" operator="notEqual">
      <formula>"Holding tank"</formula>
    </cfRule>
  </conditionalFormatting>
  <conditionalFormatting sqref="AC176">
    <cfRule type="cellIs" dxfId="5174" priority="61867" stopIfTrue="1" operator="notEqual">
      <formula>"eductors"</formula>
    </cfRule>
  </conditionalFormatting>
  <conditionalFormatting sqref="AD176">
    <cfRule type="cellIs" dxfId="5173" priority="61868" stopIfTrue="1" operator="notEqual">
      <formula>"non-hazardous"</formula>
    </cfRule>
  </conditionalFormatting>
  <conditionalFormatting sqref="AE176">
    <cfRule type="expression" dxfId="5172" priority="61869" stopIfTrue="1">
      <formula>NOT(ISBLANK($AE$176))</formula>
    </cfRule>
  </conditionalFormatting>
  <conditionalFormatting sqref="AF176">
    <cfRule type="cellIs" dxfId="5171" priority="61870" stopIfTrue="1" operator="notEqual">
      <formula>0</formula>
    </cfRule>
  </conditionalFormatting>
  <conditionalFormatting sqref="AG176">
    <cfRule type="expression" dxfId="5170" priority="61871" stopIfTrue="1">
      <formula>NOT(ISBLANK($AG$176))</formula>
    </cfRule>
  </conditionalFormatting>
  <conditionalFormatting sqref="AH176">
    <cfRule type="expression" dxfId="5169" priority="61872" stopIfTrue="1">
      <formula>NOT(ISBLANK($AH$176))</formula>
    </cfRule>
  </conditionalFormatting>
  <conditionalFormatting sqref="AI176">
    <cfRule type="cellIs" dxfId="5168" priority="61873" stopIfTrue="1" operator="notEqual">
      <formula>"fully automated"</formula>
    </cfRule>
  </conditionalFormatting>
  <conditionalFormatting sqref="AJ176">
    <cfRule type="expression" dxfId="5167" priority="61874" stopIfTrue="1">
      <formula>NOT(ISBLANK($AJ$176))</formula>
    </cfRule>
  </conditionalFormatting>
  <conditionalFormatting sqref="AK176">
    <cfRule type="expression" dxfId="5166" priority="61875" stopIfTrue="1">
      <formula>NOT(ISBLANK($AK$176))</formula>
    </cfRule>
  </conditionalFormatting>
  <conditionalFormatting sqref="AL176">
    <cfRule type="expression" dxfId="5165" priority="61876" stopIfTrue="1">
      <formula>NOT(ISBLANK($AL$176))</formula>
    </cfRule>
  </conditionalFormatting>
  <conditionalFormatting sqref="AM176">
    <cfRule type="expression" dxfId="5164" priority="61877" stopIfTrue="1">
      <formula>NOT(ISBLANK($AM$176))</formula>
    </cfRule>
  </conditionalFormatting>
  <conditionalFormatting sqref="AN176">
    <cfRule type="expression" dxfId="5163" priority="61878" stopIfTrue="1">
      <formula>NOT(ISBLANK($AN$176))</formula>
    </cfRule>
  </conditionalFormatting>
  <conditionalFormatting sqref="AO176">
    <cfRule type="expression" dxfId="5162" priority="61879" stopIfTrue="1">
      <formula>NOT(ISBLANK($AO$176))</formula>
    </cfRule>
  </conditionalFormatting>
  <conditionalFormatting sqref="AP176">
    <cfRule type="expression" dxfId="5161" priority="61880" stopIfTrue="1">
      <formula>NOT(ISBLANK($AP$176))</formula>
    </cfRule>
  </conditionalFormatting>
  <conditionalFormatting sqref="AQ176">
    <cfRule type="expression" dxfId="5160" priority="61881" stopIfTrue="1">
      <formula>NOT(ISBLANK($AQ$176))</formula>
    </cfRule>
  </conditionalFormatting>
  <conditionalFormatting sqref="A177">
    <cfRule type="cellIs" dxfId="5159" priority="61882" stopIfTrue="1" operator="notEqual">
      <formula>11</formula>
    </cfRule>
  </conditionalFormatting>
  <conditionalFormatting sqref="B177">
    <cfRule type="cellIs" dxfId="5158" priority="61883" stopIfTrue="1" operator="notEqual">
      <formula>2</formula>
    </cfRule>
  </conditionalFormatting>
  <conditionalFormatting sqref="C177">
    <cfRule type="cellIs" dxfId="5157" priority="61884" stopIfTrue="1" operator="notEqual">
      <formula>1</formula>
    </cfRule>
  </conditionalFormatting>
  <conditionalFormatting sqref="D177">
    <cfRule type="cellIs" dxfId="5156" priority="61885" stopIfTrue="1" operator="notEqual">
      <formula>0.03</formula>
    </cfRule>
  </conditionalFormatting>
  <conditionalFormatting sqref="E177">
    <cfRule type="cellIs" dxfId="5155" priority="61886" stopIfTrue="1" operator="notEqual">
      <formula>"MGD"</formula>
    </cfRule>
  </conditionalFormatting>
  <conditionalFormatting sqref="F177">
    <cfRule type="cellIs" dxfId="5154" priority="61887" stopIfTrue="1" operator="notEqual">
      <formula>0.007</formula>
    </cfRule>
  </conditionalFormatting>
  <conditionalFormatting sqref="G177">
    <cfRule type="cellIs" dxfId="5153" priority="61888" stopIfTrue="1" operator="notEqual">
      <formula>"MGD"</formula>
    </cfRule>
  </conditionalFormatting>
  <conditionalFormatting sqref="H177">
    <cfRule type="cellIs" dxfId="5152" priority="61889" stopIfTrue="1" operator="notEqual">
      <formula>"regeneration off-site (non-hazardous)"</formula>
    </cfRule>
  </conditionalFormatting>
  <conditionalFormatting sqref="I177">
    <cfRule type="cellIs" dxfId="5151" priority="61890" stopIfTrue="1" operator="notEqual">
      <formula>"carbon life value- bed volumes"</formula>
    </cfRule>
  </conditionalFormatting>
  <conditionalFormatting sqref="J177">
    <cfRule type="cellIs" dxfId="5150" priority="61891" stopIfTrue="1" operator="notEqual">
      <formula>7940</formula>
    </cfRule>
  </conditionalFormatting>
  <conditionalFormatting sqref="K177">
    <cfRule type="expression" dxfId="5149" priority="61892" stopIfTrue="1">
      <formula>NOT(ISBLANK($K$177))</formula>
    </cfRule>
  </conditionalFormatting>
  <conditionalFormatting sqref="L177">
    <cfRule type="expression" dxfId="5148" priority="61893" stopIfTrue="1">
      <formula>NOT(ISBLANK($L$177))</formula>
    </cfRule>
  </conditionalFormatting>
  <conditionalFormatting sqref="M177">
    <cfRule type="expression" dxfId="5147" priority="61894" stopIfTrue="1">
      <formula>NOT(ISBLANK($M$177))</formula>
    </cfRule>
  </conditionalFormatting>
  <conditionalFormatting sqref="N177">
    <cfRule type="cellIs" dxfId="5146" priority="61895" stopIfTrue="1" operator="notEqual">
      <formula>"EBCT"</formula>
    </cfRule>
  </conditionalFormatting>
  <conditionalFormatting sqref="O177">
    <cfRule type="cellIs" dxfId="5145" priority="61896" stopIfTrue="1" operator="notEqual">
      <formula>7.5</formula>
    </cfRule>
  </conditionalFormatting>
  <conditionalFormatting sqref="P177">
    <cfRule type="expression" dxfId="5144" priority="61897" stopIfTrue="1">
      <formula>NOT(ISBLANK($P$177))</formula>
    </cfRule>
  </conditionalFormatting>
  <conditionalFormatting sqref="Q177">
    <cfRule type="expression" dxfId="5143" priority="61898" stopIfTrue="1">
      <formula>NOT(ISBLANK($Q$177))</formula>
    </cfRule>
  </conditionalFormatting>
  <conditionalFormatting sqref="R177">
    <cfRule type="expression" dxfId="5142" priority="61899" stopIfTrue="1">
      <formula>NOT(ISBLANK($R$177))</formula>
    </cfRule>
  </conditionalFormatting>
  <conditionalFormatting sqref="S177">
    <cfRule type="expression" dxfId="5141" priority="61900" stopIfTrue="1">
      <formula>NOT(ISBLANK($S$177))</formula>
    </cfRule>
  </conditionalFormatting>
  <conditionalFormatting sqref="T177">
    <cfRule type="expression" dxfId="5140" priority="61901" stopIfTrue="1">
      <formula>NOT(ISBLANK($T$177))</formula>
    </cfRule>
  </conditionalFormatting>
  <conditionalFormatting sqref="U177">
    <cfRule type="expression" dxfId="5139" priority="61902" stopIfTrue="1">
      <formula>NOT(ISBLANK($U$177))</formula>
    </cfRule>
  </conditionalFormatting>
  <conditionalFormatting sqref="V177">
    <cfRule type="expression" dxfId="5138" priority="61903" stopIfTrue="1">
      <formula>NOT(ISBLANK($V$177))</formula>
    </cfRule>
  </conditionalFormatting>
  <conditionalFormatting sqref="W177">
    <cfRule type="cellIs" dxfId="5137" priority="61904" stopIfTrue="1" operator="notEqual">
      <formula>6</formula>
    </cfRule>
  </conditionalFormatting>
  <conditionalFormatting sqref="X177">
    <cfRule type="cellIs" dxfId="5136" priority="61905" stopIfTrue="1" operator="notEqual">
      <formula>6</formula>
    </cfRule>
  </conditionalFormatting>
  <conditionalFormatting sqref="Y177">
    <cfRule type="cellIs" dxfId="5135" priority="61906" stopIfTrue="1" operator="notEqual">
      <formula>3</formula>
    </cfRule>
  </conditionalFormatting>
  <conditionalFormatting sqref="Z177">
    <cfRule type="cellIs" dxfId="5134" priority="61907" stopIfTrue="1" operator="notEqual">
      <formula>168</formula>
    </cfRule>
  </conditionalFormatting>
  <conditionalFormatting sqref="AA177">
    <cfRule type="cellIs" dxfId="5133" priority="61908" stopIfTrue="1" operator="notEqual">
      <formula>"POTW"</formula>
    </cfRule>
  </conditionalFormatting>
  <conditionalFormatting sqref="AB177">
    <cfRule type="cellIs" dxfId="5132" priority="61909" stopIfTrue="1" operator="notEqual">
      <formula>"holding tank"</formula>
    </cfRule>
  </conditionalFormatting>
  <conditionalFormatting sqref="AC177">
    <cfRule type="cellIs" dxfId="5131" priority="61910" stopIfTrue="1" operator="notEqual">
      <formula>"manual transfer"</formula>
    </cfRule>
  </conditionalFormatting>
  <conditionalFormatting sqref="AD177">
    <cfRule type="cellIs" dxfId="5130" priority="61911" stopIfTrue="1" operator="notEqual">
      <formula>"non-hazardous"</formula>
    </cfRule>
  </conditionalFormatting>
  <conditionalFormatting sqref="AE177">
    <cfRule type="expression" dxfId="5129" priority="61912" stopIfTrue="1">
      <formula>NOT(ISBLANK($AE$177))</formula>
    </cfRule>
  </conditionalFormatting>
  <conditionalFormatting sqref="AF177">
    <cfRule type="cellIs" dxfId="5128" priority="61913" stopIfTrue="1" operator="notEqual">
      <formula>0</formula>
    </cfRule>
  </conditionalFormatting>
  <conditionalFormatting sqref="AG177">
    <cfRule type="expression" dxfId="5127" priority="61914" stopIfTrue="1">
      <formula>NOT(ISBLANK($AG$177))</formula>
    </cfRule>
  </conditionalFormatting>
  <conditionalFormatting sqref="AH177">
    <cfRule type="expression" dxfId="5126" priority="61915" stopIfTrue="1">
      <formula>NOT(ISBLANK($AH$177))</formula>
    </cfRule>
  </conditionalFormatting>
  <conditionalFormatting sqref="AI177">
    <cfRule type="cellIs" dxfId="5125" priority="61916" stopIfTrue="1" operator="notEqual">
      <formula>"fully automated"</formula>
    </cfRule>
  </conditionalFormatting>
  <conditionalFormatting sqref="AJ177">
    <cfRule type="expression" dxfId="5124" priority="61917" stopIfTrue="1">
      <formula>NOT(ISBLANK($AJ$177))</formula>
    </cfRule>
  </conditionalFormatting>
  <conditionalFormatting sqref="AK177">
    <cfRule type="expression" dxfId="5123" priority="61918" stopIfTrue="1">
      <formula>NOT(ISBLANK($AK$177))</formula>
    </cfRule>
  </conditionalFormatting>
  <conditionalFormatting sqref="AL177">
    <cfRule type="expression" dxfId="5122" priority="61919" stopIfTrue="1">
      <formula>NOT(ISBLANK($AL$177))</formula>
    </cfRule>
  </conditionalFormatting>
  <conditionalFormatting sqref="AM177">
    <cfRule type="expression" dxfId="5121" priority="61920" stopIfTrue="1">
      <formula>NOT(ISBLANK($AM$177))</formula>
    </cfRule>
  </conditionalFormatting>
  <conditionalFormatting sqref="AN177">
    <cfRule type="expression" dxfId="5120" priority="61921" stopIfTrue="1">
      <formula>NOT(ISBLANK($AN$177))</formula>
    </cfRule>
  </conditionalFormatting>
  <conditionalFormatting sqref="AO177">
    <cfRule type="expression" dxfId="5119" priority="61922" stopIfTrue="1">
      <formula>NOT(ISBLANK($AO$177))</formula>
    </cfRule>
  </conditionalFormatting>
  <conditionalFormatting sqref="AP177">
    <cfRule type="expression" dxfId="5118" priority="61923" stopIfTrue="1">
      <formula>NOT(ISBLANK($AP$177))</formula>
    </cfRule>
  </conditionalFormatting>
  <conditionalFormatting sqref="AQ177">
    <cfRule type="expression" dxfId="5117" priority="61924" stopIfTrue="1">
      <formula>NOT(ISBLANK($AQ$177))</formula>
    </cfRule>
  </conditionalFormatting>
  <conditionalFormatting sqref="A178">
    <cfRule type="cellIs" dxfId="5116" priority="61925" stopIfTrue="1" operator="notEqual">
      <formula>11</formula>
    </cfRule>
  </conditionalFormatting>
  <conditionalFormatting sqref="B178">
    <cfRule type="cellIs" dxfId="5115" priority="61926" stopIfTrue="1" operator="notEqual">
      <formula>2</formula>
    </cfRule>
  </conditionalFormatting>
  <conditionalFormatting sqref="C178">
    <cfRule type="cellIs" dxfId="5114" priority="61927" stopIfTrue="1" operator="notEqual">
      <formula>2</formula>
    </cfRule>
  </conditionalFormatting>
  <conditionalFormatting sqref="D178">
    <cfRule type="cellIs" dxfId="5113" priority="61928" stopIfTrue="1" operator="notEqual">
      <formula>0.124</formula>
    </cfRule>
  </conditionalFormatting>
  <conditionalFormatting sqref="E178">
    <cfRule type="cellIs" dxfId="5112" priority="61929" stopIfTrue="1" operator="notEqual">
      <formula>"MGD"</formula>
    </cfRule>
  </conditionalFormatting>
  <conditionalFormatting sqref="F178">
    <cfRule type="cellIs" dxfId="5111" priority="61930" stopIfTrue="1" operator="notEqual">
      <formula>0.035</formula>
    </cfRule>
  </conditionalFormatting>
  <conditionalFormatting sqref="G178">
    <cfRule type="cellIs" dxfId="5110" priority="61931" stopIfTrue="1" operator="notEqual">
      <formula>"MGD"</formula>
    </cfRule>
  </conditionalFormatting>
  <conditionalFormatting sqref="H178">
    <cfRule type="cellIs" dxfId="5109" priority="61932" stopIfTrue="1" operator="notEqual">
      <formula>"regeneration off-site (non-hazardous)"</formula>
    </cfRule>
  </conditionalFormatting>
  <conditionalFormatting sqref="I178">
    <cfRule type="cellIs" dxfId="5108" priority="61933" stopIfTrue="1" operator="notEqual">
      <formula>"carbon life value- bed volumes"</formula>
    </cfRule>
  </conditionalFormatting>
  <conditionalFormatting sqref="J178">
    <cfRule type="cellIs" dxfId="5107" priority="61934" stopIfTrue="1" operator="notEqual">
      <formula>7940</formula>
    </cfRule>
  </conditionalFormatting>
  <conditionalFormatting sqref="K178">
    <cfRule type="expression" dxfId="5106" priority="61935" stopIfTrue="1">
      <formula>NOT(ISBLANK($K$178))</formula>
    </cfRule>
  </conditionalFormatting>
  <conditionalFormatting sqref="L178">
    <cfRule type="expression" dxfId="5105" priority="61936" stopIfTrue="1">
      <formula>NOT(ISBLANK($L$178))</formula>
    </cfRule>
  </conditionalFormatting>
  <conditionalFormatting sqref="M178">
    <cfRule type="expression" dxfId="5104" priority="61937" stopIfTrue="1">
      <formula>NOT(ISBLANK($M$178))</formula>
    </cfRule>
  </conditionalFormatting>
  <conditionalFormatting sqref="N178">
    <cfRule type="cellIs" dxfId="5103" priority="61938" stopIfTrue="1" operator="notEqual">
      <formula>"EBCT"</formula>
    </cfRule>
  </conditionalFormatting>
  <conditionalFormatting sqref="O178">
    <cfRule type="cellIs" dxfId="5102" priority="61939" stopIfTrue="1" operator="notEqual">
      <formula>7.5</formula>
    </cfRule>
  </conditionalFormatting>
  <conditionalFormatting sqref="P178">
    <cfRule type="expression" dxfId="5101" priority="61940" stopIfTrue="1">
      <formula>NOT(ISBLANK($P$178))</formula>
    </cfRule>
  </conditionalFormatting>
  <conditionalFormatting sqref="Q178">
    <cfRule type="expression" dxfId="5100" priority="61941" stopIfTrue="1">
      <formula>NOT(ISBLANK($Q$178))</formula>
    </cfRule>
  </conditionalFormatting>
  <conditionalFormatting sqref="R178">
    <cfRule type="expression" dxfId="5099" priority="61942" stopIfTrue="1">
      <formula>NOT(ISBLANK($R$178))</formula>
    </cfRule>
  </conditionalFormatting>
  <conditionalFormatting sqref="S178">
    <cfRule type="expression" dxfId="5098" priority="61943" stopIfTrue="1">
      <formula>NOT(ISBLANK($S$178))</formula>
    </cfRule>
  </conditionalFormatting>
  <conditionalFormatting sqref="T178">
    <cfRule type="expression" dxfId="5097" priority="61944" stopIfTrue="1">
      <formula>NOT(ISBLANK($T$178))</formula>
    </cfRule>
  </conditionalFormatting>
  <conditionalFormatting sqref="U178">
    <cfRule type="expression" dxfId="5096" priority="61945" stopIfTrue="1">
      <formula>NOT(ISBLANK($U$178))</formula>
    </cfRule>
  </conditionalFormatting>
  <conditionalFormatting sqref="V178">
    <cfRule type="expression" dxfId="5095" priority="61946" stopIfTrue="1">
      <formula>NOT(ISBLANK($V$178))</formula>
    </cfRule>
  </conditionalFormatting>
  <conditionalFormatting sqref="W178">
    <cfRule type="cellIs" dxfId="5094" priority="61947" stopIfTrue="1" operator="notEqual">
      <formula>6</formula>
    </cfRule>
  </conditionalFormatting>
  <conditionalFormatting sqref="X178">
    <cfRule type="cellIs" dxfId="5093" priority="61948" stopIfTrue="1" operator="notEqual">
      <formula>6</formula>
    </cfRule>
  </conditionalFormatting>
  <conditionalFormatting sqref="Y178">
    <cfRule type="cellIs" dxfId="5092" priority="61949" stopIfTrue="1" operator="notEqual">
      <formula>3</formula>
    </cfRule>
  </conditionalFormatting>
  <conditionalFormatting sqref="Z178">
    <cfRule type="cellIs" dxfId="5091" priority="61950" stopIfTrue="1" operator="notEqual">
      <formula>168</formula>
    </cfRule>
  </conditionalFormatting>
  <conditionalFormatting sqref="AA178">
    <cfRule type="cellIs" dxfId="5090" priority="61951" stopIfTrue="1" operator="notEqual">
      <formula>"POTW"</formula>
    </cfRule>
  </conditionalFormatting>
  <conditionalFormatting sqref="AB178">
    <cfRule type="cellIs" dxfId="5089" priority="61952" stopIfTrue="1" operator="notEqual">
      <formula>"holding tank"</formula>
    </cfRule>
  </conditionalFormatting>
  <conditionalFormatting sqref="AC178">
    <cfRule type="cellIs" dxfId="5088" priority="61953" stopIfTrue="1" operator="notEqual">
      <formula>"manual transfer"</formula>
    </cfRule>
  </conditionalFormatting>
  <conditionalFormatting sqref="AD178">
    <cfRule type="cellIs" dxfId="5087" priority="61954" stopIfTrue="1" operator="notEqual">
      <formula>"non-hazardous"</formula>
    </cfRule>
  </conditionalFormatting>
  <conditionalFormatting sqref="AE178">
    <cfRule type="expression" dxfId="5086" priority="61955" stopIfTrue="1">
      <formula>NOT(ISBLANK($AE$178))</formula>
    </cfRule>
  </conditionalFormatting>
  <conditionalFormatting sqref="AF178">
    <cfRule type="cellIs" dxfId="5085" priority="61956" stopIfTrue="1" operator="notEqual">
      <formula>0</formula>
    </cfRule>
  </conditionalFormatting>
  <conditionalFormatting sqref="AG178">
    <cfRule type="expression" dxfId="5084" priority="61957" stopIfTrue="1">
      <formula>NOT(ISBLANK($AG$178))</formula>
    </cfRule>
  </conditionalFormatting>
  <conditionalFormatting sqref="AH178">
    <cfRule type="expression" dxfId="5083" priority="61958" stopIfTrue="1">
      <formula>NOT(ISBLANK($AH$178))</formula>
    </cfRule>
  </conditionalFormatting>
  <conditionalFormatting sqref="AI178">
    <cfRule type="cellIs" dxfId="5082" priority="61959" stopIfTrue="1" operator="notEqual">
      <formula>"fully automated"</formula>
    </cfRule>
  </conditionalFormatting>
  <conditionalFormatting sqref="AJ178">
    <cfRule type="expression" dxfId="5081" priority="61960" stopIfTrue="1">
      <formula>NOT(ISBLANK($AJ$178))</formula>
    </cfRule>
  </conditionalFormatting>
  <conditionalFormatting sqref="AK178">
    <cfRule type="expression" dxfId="5080" priority="61961" stopIfTrue="1">
      <formula>NOT(ISBLANK($AK$178))</formula>
    </cfRule>
  </conditionalFormatting>
  <conditionalFormatting sqref="AL178">
    <cfRule type="expression" dxfId="5079" priority="61962" stopIfTrue="1">
      <formula>NOT(ISBLANK($AL$178))</formula>
    </cfRule>
  </conditionalFormatting>
  <conditionalFormatting sqref="AM178">
    <cfRule type="expression" dxfId="5078" priority="61963" stopIfTrue="1">
      <formula>NOT(ISBLANK($AM$178))</formula>
    </cfRule>
  </conditionalFormatting>
  <conditionalFormatting sqref="AN178">
    <cfRule type="expression" dxfId="5077" priority="61964" stopIfTrue="1">
      <formula>NOT(ISBLANK($AN$178))</formula>
    </cfRule>
  </conditionalFormatting>
  <conditionalFormatting sqref="AO178">
    <cfRule type="expression" dxfId="5076" priority="61965" stopIfTrue="1">
      <formula>NOT(ISBLANK($AO$178))</formula>
    </cfRule>
  </conditionalFormatting>
  <conditionalFormatting sqref="AP178">
    <cfRule type="expression" dxfId="5075" priority="61966" stopIfTrue="1">
      <formula>NOT(ISBLANK($AP$178))</formula>
    </cfRule>
  </conditionalFormatting>
  <conditionalFormatting sqref="AQ178">
    <cfRule type="expression" dxfId="5074" priority="61967" stopIfTrue="1">
      <formula>NOT(ISBLANK($AQ$178))</formula>
    </cfRule>
  </conditionalFormatting>
  <conditionalFormatting sqref="A179">
    <cfRule type="cellIs" dxfId="5073" priority="61968" stopIfTrue="1" operator="notEqual">
      <formula>11</formula>
    </cfRule>
  </conditionalFormatting>
  <conditionalFormatting sqref="B179">
    <cfRule type="cellIs" dxfId="5072" priority="61969" stopIfTrue="1" operator="notEqual">
      <formula>2</formula>
    </cfRule>
  </conditionalFormatting>
  <conditionalFormatting sqref="C179">
    <cfRule type="cellIs" dxfId="5071" priority="61970" stopIfTrue="1" operator="notEqual">
      <formula>3</formula>
    </cfRule>
  </conditionalFormatting>
  <conditionalFormatting sqref="D179">
    <cfRule type="cellIs" dxfId="5070" priority="61971" stopIfTrue="1" operator="notEqual">
      <formula>0.305</formula>
    </cfRule>
  </conditionalFormatting>
  <conditionalFormatting sqref="E179">
    <cfRule type="cellIs" dxfId="5069" priority="61972" stopIfTrue="1" operator="notEqual">
      <formula>"MGD"</formula>
    </cfRule>
  </conditionalFormatting>
  <conditionalFormatting sqref="F179">
    <cfRule type="cellIs" dxfId="5068" priority="61973" stopIfTrue="1" operator="notEqual">
      <formula>0.094</formula>
    </cfRule>
  </conditionalFormatting>
  <conditionalFormatting sqref="G179">
    <cfRule type="cellIs" dxfId="5067" priority="61974" stopIfTrue="1" operator="notEqual">
      <formula>"MGD"</formula>
    </cfRule>
  </conditionalFormatting>
  <conditionalFormatting sqref="H179">
    <cfRule type="cellIs" dxfId="5066" priority="61975" stopIfTrue="1" operator="notEqual">
      <formula>"regeneration off-site (non-hazardous)"</formula>
    </cfRule>
  </conditionalFormatting>
  <conditionalFormatting sqref="I179">
    <cfRule type="cellIs" dxfId="5065" priority="61976" stopIfTrue="1" operator="notEqual">
      <formula>"carbon life value- bed volumes"</formula>
    </cfRule>
  </conditionalFormatting>
  <conditionalFormatting sqref="J179">
    <cfRule type="cellIs" dxfId="5064" priority="61977" stopIfTrue="1" operator="notEqual">
      <formula>7940</formula>
    </cfRule>
  </conditionalFormatting>
  <conditionalFormatting sqref="K179">
    <cfRule type="expression" dxfId="5063" priority="61978" stopIfTrue="1">
      <formula>NOT(ISBLANK($K$179))</formula>
    </cfRule>
  </conditionalFormatting>
  <conditionalFormatting sqref="L179">
    <cfRule type="expression" dxfId="5062" priority="61979" stopIfTrue="1">
      <formula>NOT(ISBLANK($L$179))</formula>
    </cfRule>
  </conditionalFormatting>
  <conditionalFormatting sqref="M179">
    <cfRule type="expression" dxfId="5061" priority="61980" stopIfTrue="1">
      <formula>NOT(ISBLANK($M$179))</formula>
    </cfRule>
  </conditionalFormatting>
  <conditionalFormatting sqref="N179">
    <cfRule type="cellIs" dxfId="5060" priority="61981" stopIfTrue="1" operator="notEqual">
      <formula>"EBCT"</formula>
    </cfRule>
  </conditionalFormatting>
  <conditionalFormatting sqref="O179">
    <cfRule type="cellIs" dxfId="5059" priority="61982" stopIfTrue="1" operator="notEqual">
      <formula>7.5</formula>
    </cfRule>
  </conditionalFormatting>
  <conditionalFormatting sqref="P179">
    <cfRule type="expression" dxfId="5058" priority="61983" stopIfTrue="1">
      <formula>NOT(ISBLANK($P$179))</formula>
    </cfRule>
  </conditionalFormatting>
  <conditionalFormatting sqref="Q179">
    <cfRule type="expression" dxfId="5057" priority="61984" stopIfTrue="1">
      <formula>NOT(ISBLANK($Q$179))</formula>
    </cfRule>
  </conditionalFormatting>
  <conditionalFormatting sqref="R179">
    <cfRule type="expression" dxfId="5056" priority="61985" stopIfTrue="1">
      <formula>NOT(ISBLANK($R$179))</formula>
    </cfRule>
  </conditionalFormatting>
  <conditionalFormatting sqref="S179">
    <cfRule type="expression" dxfId="5055" priority="61986" stopIfTrue="1">
      <formula>NOT(ISBLANK($S$179))</formula>
    </cfRule>
  </conditionalFormatting>
  <conditionalFormatting sqref="T179">
    <cfRule type="expression" dxfId="5054" priority="61987" stopIfTrue="1">
      <formula>NOT(ISBLANK($T$179))</formula>
    </cfRule>
  </conditionalFormatting>
  <conditionalFormatting sqref="U179">
    <cfRule type="expression" dxfId="5053" priority="61988" stopIfTrue="1">
      <formula>NOT(ISBLANK($U$179))</formula>
    </cfRule>
  </conditionalFormatting>
  <conditionalFormatting sqref="V179">
    <cfRule type="expression" dxfId="5052" priority="61989" stopIfTrue="1">
      <formula>NOT(ISBLANK($V$179))</formula>
    </cfRule>
  </conditionalFormatting>
  <conditionalFormatting sqref="W179">
    <cfRule type="cellIs" dxfId="5051" priority="61990" stopIfTrue="1" operator="notEqual">
      <formula>6</formula>
    </cfRule>
  </conditionalFormatting>
  <conditionalFormatting sqref="X179">
    <cfRule type="cellIs" dxfId="5050" priority="61991" stopIfTrue="1" operator="notEqual">
      <formula>6</formula>
    </cfRule>
  </conditionalFormatting>
  <conditionalFormatting sqref="Y179">
    <cfRule type="cellIs" dxfId="5049" priority="61992" stopIfTrue="1" operator="notEqual">
      <formula>3</formula>
    </cfRule>
  </conditionalFormatting>
  <conditionalFormatting sqref="Z179">
    <cfRule type="cellIs" dxfId="5048" priority="61993" stopIfTrue="1" operator="notEqual">
      <formula>168</formula>
    </cfRule>
  </conditionalFormatting>
  <conditionalFormatting sqref="AA179">
    <cfRule type="cellIs" dxfId="5047" priority="61994" stopIfTrue="1" operator="notEqual">
      <formula>"POTW"</formula>
    </cfRule>
  </conditionalFormatting>
  <conditionalFormatting sqref="AB179">
    <cfRule type="cellIs" dxfId="5046" priority="61995" stopIfTrue="1" operator="notEqual">
      <formula>"holding tank"</formula>
    </cfRule>
  </conditionalFormatting>
  <conditionalFormatting sqref="AC179">
    <cfRule type="cellIs" dxfId="5045" priority="61996" stopIfTrue="1" operator="notEqual">
      <formula>"manual transfer"</formula>
    </cfRule>
  </conditionalFormatting>
  <conditionalFormatting sqref="AD179">
    <cfRule type="cellIs" dxfId="5044" priority="61997" stopIfTrue="1" operator="notEqual">
      <formula>"non-hazardous"</formula>
    </cfRule>
  </conditionalFormatting>
  <conditionalFormatting sqref="AE179">
    <cfRule type="expression" dxfId="5043" priority="61998" stopIfTrue="1">
      <formula>NOT(ISBLANK($AE$179))</formula>
    </cfRule>
  </conditionalFormatting>
  <conditionalFormatting sqref="AF179">
    <cfRule type="cellIs" dxfId="5042" priority="61999" stopIfTrue="1" operator="notEqual">
      <formula>0</formula>
    </cfRule>
  </conditionalFormatting>
  <conditionalFormatting sqref="AG179">
    <cfRule type="expression" dxfId="5041" priority="62000" stopIfTrue="1">
      <formula>NOT(ISBLANK($AG$179))</formula>
    </cfRule>
  </conditionalFormatting>
  <conditionalFormatting sqref="AH179">
    <cfRule type="expression" dxfId="5040" priority="62001" stopIfTrue="1">
      <formula>NOT(ISBLANK($AH$179))</formula>
    </cfRule>
  </conditionalFormatting>
  <conditionalFormatting sqref="AI179">
    <cfRule type="cellIs" dxfId="5039" priority="62002" stopIfTrue="1" operator="notEqual">
      <formula>"fully automated"</formula>
    </cfRule>
  </conditionalFormatting>
  <conditionalFormatting sqref="AJ179">
    <cfRule type="expression" dxfId="5038" priority="62003" stopIfTrue="1">
      <formula>NOT(ISBLANK($AJ$179))</formula>
    </cfRule>
  </conditionalFormatting>
  <conditionalFormatting sqref="AK179">
    <cfRule type="expression" dxfId="5037" priority="62004" stopIfTrue="1">
      <formula>NOT(ISBLANK($AK$179))</formula>
    </cfRule>
  </conditionalFormatting>
  <conditionalFormatting sqref="AL179">
    <cfRule type="expression" dxfId="5036" priority="62005" stopIfTrue="1">
      <formula>NOT(ISBLANK($AL$179))</formula>
    </cfRule>
  </conditionalFormatting>
  <conditionalFormatting sqref="AM179">
    <cfRule type="expression" dxfId="5035" priority="62006" stopIfTrue="1">
      <formula>NOT(ISBLANK($AM$179))</formula>
    </cfRule>
  </conditionalFormatting>
  <conditionalFormatting sqref="AN179">
    <cfRule type="expression" dxfId="5034" priority="62007" stopIfTrue="1">
      <formula>NOT(ISBLANK($AN$179))</formula>
    </cfRule>
  </conditionalFormatting>
  <conditionalFormatting sqref="AO179">
    <cfRule type="expression" dxfId="5033" priority="62008" stopIfTrue="1">
      <formula>NOT(ISBLANK($AO$179))</formula>
    </cfRule>
  </conditionalFormatting>
  <conditionalFormatting sqref="AP179">
    <cfRule type="expression" dxfId="5032" priority="62009" stopIfTrue="1">
      <formula>NOT(ISBLANK($AP$179))</formula>
    </cfRule>
  </conditionalFormatting>
  <conditionalFormatting sqref="AQ179">
    <cfRule type="expression" dxfId="5031" priority="62010" stopIfTrue="1">
      <formula>NOT(ISBLANK($AQ$179))</formula>
    </cfRule>
  </conditionalFormatting>
  <conditionalFormatting sqref="A180">
    <cfRule type="cellIs" dxfId="5030" priority="62011" stopIfTrue="1" operator="notEqual">
      <formula>11</formula>
    </cfRule>
  </conditionalFormatting>
  <conditionalFormatting sqref="B180">
    <cfRule type="cellIs" dxfId="5029" priority="62012" stopIfTrue="1" operator="notEqual">
      <formula>2</formula>
    </cfRule>
  </conditionalFormatting>
  <conditionalFormatting sqref="C180">
    <cfRule type="cellIs" dxfId="5028" priority="62013" stopIfTrue="1" operator="notEqual">
      <formula>4</formula>
    </cfRule>
  </conditionalFormatting>
  <conditionalFormatting sqref="D180">
    <cfRule type="cellIs" dxfId="5027" priority="62014" stopIfTrue="1" operator="notEqual">
      <formula>0.74</formula>
    </cfRule>
  </conditionalFormatting>
  <conditionalFormatting sqref="E180">
    <cfRule type="cellIs" dxfId="5026" priority="62015" stopIfTrue="1" operator="notEqual">
      <formula>"MGD"</formula>
    </cfRule>
  </conditionalFormatting>
  <conditionalFormatting sqref="F180">
    <cfRule type="cellIs" dxfId="5025" priority="62016" stopIfTrue="1" operator="notEqual">
      <formula>0.251</formula>
    </cfRule>
  </conditionalFormatting>
  <conditionalFormatting sqref="G180">
    <cfRule type="cellIs" dxfId="5024" priority="62017" stopIfTrue="1" operator="notEqual">
      <formula>"MGD"</formula>
    </cfRule>
  </conditionalFormatting>
  <conditionalFormatting sqref="H180">
    <cfRule type="cellIs" dxfId="5023" priority="62018" stopIfTrue="1" operator="notEqual">
      <formula>"regeneration off-site (non-hazardous)"</formula>
    </cfRule>
  </conditionalFormatting>
  <conditionalFormatting sqref="I180">
    <cfRule type="cellIs" dxfId="5022" priority="62019" stopIfTrue="1" operator="notEqual">
      <formula>"carbon life value- bed volumes"</formula>
    </cfRule>
  </conditionalFormatting>
  <conditionalFormatting sqref="J180">
    <cfRule type="cellIs" dxfId="5021" priority="62020" stopIfTrue="1" operator="notEqual">
      <formula>7940</formula>
    </cfRule>
  </conditionalFormatting>
  <conditionalFormatting sqref="K180">
    <cfRule type="expression" dxfId="5020" priority="62021" stopIfTrue="1">
      <formula>NOT(ISBLANK($K$180))</formula>
    </cfRule>
  </conditionalFormatting>
  <conditionalFormatting sqref="L180">
    <cfRule type="expression" dxfId="5019" priority="62022" stopIfTrue="1">
      <formula>NOT(ISBLANK($L$180))</formula>
    </cfRule>
  </conditionalFormatting>
  <conditionalFormatting sqref="M180">
    <cfRule type="expression" dxfId="5018" priority="62023" stopIfTrue="1">
      <formula>NOT(ISBLANK($M$180))</formula>
    </cfRule>
  </conditionalFormatting>
  <conditionalFormatting sqref="N180">
    <cfRule type="cellIs" dxfId="5017" priority="62024" stopIfTrue="1" operator="notEqual">
      <formula>"EBCT"</formula>
    </cfRule>
  </conditionalFormatting>
  <conditionalFormatting sqref="O180">
    <cfRule type="cellIs" dxfId="5016" priority="62025" stopIfTrue="1" operator="notEqual">
      <formula>7.5</formula>
    </cfRule>
  </conditionalFormatting>
  <conditionalFormatting sqref="P180">
    <cfRule type="expression" dxfId="5015" priority="62026" stopIfTrue="1">
      <formula>NOT(ISBLANK($P$180))</formula>
    </cfRule>
  </conditionalFormatting>
  <conditionalFormatting sqref="Q180">
    <cfRule type="expression" dxfId="5014" priority="62027" stopIfTrue="1">
      <formula>NOT(ISBLANK($Q$180))</formula>
    </cfRule>
  </conditionalFormatting>
  <conditionalFormatting sqref="R180">
    <cfRule type="expression" dxfId="5013" priority="62028" stopIfTrue="1">
      <formula>NOT(ISBLANK($R$180))</formula>
    </cfRule>
  </conditionalFormatting>
  <conditionalFormatting sqref="S180">
    <cfRule type="expression" dxfId="5012" priority="62029" stopIfTrue="1">
      <formula>NOT(ISBLANK($S$180))</formula>
    </cfRule>
  </conditionalFormatting>
  <conditionalFormatting sqref="T180">
    <cfRule type="expression" dxfId="5011" priority="62030" stopIfTrue="1">
      <formula>NOT(ISBLANK($T$180))</formula>
    </cfRule>
  </conditionalFormatting>
  <conditionalFormatting sqref="U180">
    <cfRule type="expression" dxfId="5010" priority="62031" stopIfTrue="1">
      <formula>NOT(ISBLANK($U$180))</formula>
    </cfRule>
  </conditionalFormatting>
  <conditionalFormatting sqref="V180">
    <cfRule type="expression" dxfId="5009" priority="62032" stopIfTrue="1">
      <formula>NOT(ISBLANK($V$180))</formula>
    </cfRule>
  </conditionalFormatting>
  <conditionalFormatting sqref="W180">
    <cfRule type="cellIs" dxfId="5008" priority="62033" stopIfTrue="1" operator="notEqual">
      <formula>7</formula>
    </cfRule>
  </conditionalFormatting>
  <conditionalFormatting sqref="X180">
    <cfRule type="cellIs" dxfId="5007" priority="62034" stopIfTrue="1" operator="notEqual">
      <formula>7</formula>
    </cfRule>
  </conditionalFormatting>
  <conditionalFormatting sqref="Y180">
    <cfRule type="cellIs" dxfId="5006" priority="62035" stopIfTrue="1" operator="notEqual">
      <formula>5.3</formula>
    </cfRule>
  </conditionalFormatting>
  <conditionalFormatting sqref="Z180">
    <cfRule type="cellIs" dxfId="5005" priority="62036" stopIfTrue="1" operator="notEqual">
      <formula>168</formula>
    </cfRule>
  </conditionalFormatting>
  <conditionalFormatting sqref="AA180">
    <cfRule type="cellIs" dxfId="5004" priority="62037" stopIfTrue="1" operator="notEqual">
      <formula>"POTW"</formula>
    </cfRule>
  </conditionalFormatting>
  <conditionalFormatting sqref="AB180">
    <cfRule type="cellIs" dxfId="5003" priority="62038" stopIfTrue="1" operator="notEqual">
      <formula>"holding tank"</formula>
    </cfRule>
  </conditionalFormatting>
  <conditionalFormatting sqref="AC180">
    <cfRule type="cellIs" dxfId="5002" priority="62039" stopIfTrue="1" operator="notEqual">
      <formula>"manual transfer"</formula>
    </cfRule>
  </conditionalFormatting>
  <conditionalFormatting sqref="AD180">
    <cfRule type="cellIs" dxfId="5001" priority="62040" stopIfTrue="1" operator="notEqual">
      <formula>"non-hazardous"</formula>
    </cfRule>
  </conditionalFormatting>
  <conditionalFormatting sqref="AE180">
    <cfRule type="expression" dxfId="5000" priority="62041" stopIfTrue="1">
      <formula>NOT(ISBLANK($AE$180))</formula>
    </cfRule>
  </conditionalFormatting>
  <conditionalFormatting sqref="AF180">
    <cfRule type="cellIs" dxfId="4999" priority="62042" stopIfTrue="1" operator="notEqual">
      <formula>0</formula>
    </cfRule>
  </conditionalFormatting>
  <conditionalFormatting sqref="AG180">
    <cfRule type="expression" dxfId="4998" priority="62043" stopIfTrue="1">
      <formula>NOT(ISBLANK($AG$180))</formula>
    </cfRule>
  </conditionalFormatting>
  <conditionalFormatting sqref="AH180">
    <cfRule type="expression" dxfId="4997" priority="62044" stopIfTrue="1">
      <formula>NOT(ISBLANK($AH$180))</formula>
    </cfRule>
  </conditionalFormatting>
  <conditionalFormatting sqref="AI180">
    <cfRule type="cellIs" dxfId="4996" priority="62045" stopIfTrue="1" operator="notEqual">
      <formula>"fully automated"</formula>
    </cfRule>
  </conditionalFormatting>
  <conditionalFormatting sqref="AJ180">
    <cfRule type="expression" dxfId="4995" priority="62046" stopIfTrue="1">
      <formula>NOT(ISBLANK($AJ$180))</formula>
    </cfRule>
  </conditionalFormatting>
  <conditionalFormatting sqref="AK180">
    <cfRule type="expression" dxfId="4994" priority="62047" stopIfTrue="1">
      <formula>NOT(ISBLANK($AK$180))</formula>
    </cfRule>
  </conditionalFormatting>
  <conditionalFormatting sqref="AL180">
    <cfRule type="expression" dxfId="4993" priority="62048" stopIfTrue="1">
      <formula>NOT(ISBLANK($AL$180))</formula>
    </cfRule>
  </conditionalFormatting>
  <conditionalFormatting sqref="AM180">
    <cfRule type="expression" dxfId="4992" priority="62049" stopIfTrue="1">
      <formula>NOT(ISBLANK($AM$180))</formula>
    </cfRule>
  </conditionalFormatting>
  <conditionalFormatting sqref="AN180">
    <cfRule type="expression" dxfId="4991" priority="62050" stopIfTrue="1">
      <formula>NOT(ISBLANK($AN$180))</formula>
    </cfRule>
  </conditionalFormatting>
  <conditionalFormatting sqref="AO180">
    <cfRule type="expression" dxfId="4990" priority="62051" stopIfTrue="1">
      <formula>NOT(ISBLANK($AO$180))</formula>
    </cfRule>
  </conditionalFormatting>
  <conditionalFormatting sqref="AP180">
    <cfRule type="expression" dxfId="4989" priority="62052" stopIfTrue="1">
      <formula>NOT(ISBLANK($AP$180))</formula>
    </cfRule>
  </conditionalFormatting>
  <conditionalFormatting sqref="AQ180">
    <cfRule type="expression" dxfId="4988" priority="62053" stopIfTrue="1">
      <formula>NOT(ISBLANK($AQ$180))</formula>
    </cfRule>
  </conditionalFormatting>
  <conditionalFormatting sqref="A181">
    <cfRule type="cellIs" dxfId="4987" priority="62054" stopIfTrue="1" operator="notEqual">
      <formula>11</formula>
    </cfRule>
  </conditionalFormatting>
  <conditionalFormatting sqref="B181">
    <cfRule type="cellIs" dxfId="4986" priority="62055" stopIfTrue="1" operator="notEqual">
      <formula>2</formula>
    </cfRule>
  </conditionalFormatting>
  <conditionalFormatting sqref="C181">
    <cfRule type="cellIs" dxfId="4985" priority="62056" stopIfTrue="1" operator="notEqual">
      <formula>5</formula>
    </cfRule>
  </conditionalFormatting>
  <conditionalFormatting sqref="D181">
    <cfRule type="cellIs" dxfId="4984" priority="62057" stopIfTrue="1" operator="notEqual">
      <formula>2.152</formula>
    </cfRule>
  </conditionalFormatting>
  <conditionalFormatting sqref="E181">
    <cfRule type="cellIs" dxfId="4983" priority="62058" stopIfTrue="1" operator="notEqual">
      <formula>"MGD"</formula>
    </cfRule>
  </conditionalFormatting>
  <conditionalFormatting sqref="F181">
    <cfRule type="cellIs" dxfId="4982" priority="62059" stopIfTrue="1" operator="notEqual">
      <formula>0.819</formula>
    </cfRule>
  </conditionalFormatting>
  <conditionalFormatting sqref="G181">
    <cfRule type="cellIs" dxfId="4981" priority="62060" stopIfTrue="1" operator="notEqual">
      <formula>"MGD"</formula>
    </cfRule>
  </conditionalFormatting>
  <conditionalFormatting sqref="H181">
    <cfRule type="cellIs" dxfId="4980" priority="62061" stopIfTrue="1" operator="notEqual">
      <formula>"regeneration off-site (non-hazardous)"</formula>
    </cfRule>
  </conditionalFormatting>
  <conditionalFormatting sqref="I181">
    <cfRule type="cellIs" dxfId="4979" priority="62062" stopIfTrue="1" operator="notEqual">
      <formula>"carbon life value- bed volumes"</formula>
    </cfRule>
  </conditionalFormatting>
  <conditionalFormatting sqref="J181">
    <cfRule type="cellIs" dxfId="4978" priority="62063" stopIfTrue="1" operator="notEqual">
      <formula>7940</formula>
    </cfRule>
  </conditionalFormatting>
  <conditionalFormatting sqref="K181">
    <cfRule type="expression" dxfId="4977" priority="62064" stopIfTrue="1">
      <formula>NOT(ISBLANK($K$181))</formula>
    </cfRule>
  </conditionalFormatting>
  <conditionalFormatting sqref="L181">
    <cfRule type="expression" dxfId="4976" priority="62065" stopIfTrue="1">
      <formula>NOT(ISBLANK($L$181))</formula>
    </cfRule>
  </conditionalFormatting>
  <conditionalFormatting sqref="M181">
    <cfRule type="expression" dxfId="4975" priority="62066" stopIfTrue="1">
      <formula>NOT(ISBLANK($M$181))</formula>
    </cfRule>
  </conditionalFormatting>
  <conditionalFormatting sqref="N181">
    <cfRule type="cellIs" dxfId="4974" priority="62067" stopIfTrue="1" operator="notEqual">
      <formula>"EBCT"</formula>
    </cfRule>
  </conditionalFormatting>
  <conditionalFormatting sqref="O181">
    <cfRule type="cellIs" dxfId="4973" priority="62068" stopIfTrue="1" operator="notEqual">
      <formula>7.5</formula>
    </cfRule>
  </conditionalFormatting>
  <conditionalFormatting sqref="P181">
    <cfRule type="expression" dxfId="4972" priority="62069" stopIfTrue="1">
      <formula>NOT(ISBLANK($P$181))</formula>
    </cfRule>
  </conditionalFormatting>
  <conditionalFormatting sqref="Q181">
    <cfRule type="expression" dxfId="4971" priority="62070" stopIfTrue="1">
      <formula>NOT(ISBLANK($Q$181))</formula>
    </cfRule>
  </conditionalFormatting>
  <conditionalFormatting sqref="R181">
    <cfRule type="expression" dxfId="4970" priority="62071" stopIfTrue="1">
      <formula>NOT(ISBLANK($R$181))</formula>
    </cfRule>
  </conditionalFormatting>
  <conditionalFormatting sqref="S181">
    <cfRule type="expression" dxfId="4969" priority="62072" stopIfTrue="1">
      <formula>NOT(ISBLANK($S$181))</formula>
    </cfRule>
  </conditionalFormatting>
  <conditionalFormatting sqref="T181">
    <cfRule type="expression" dxfId="4968" priority="62073" stopIfTrue="1">
      <formula>NOT(ISBLANK($T$181))</formula>
    </cfRule>
  </conditionalFormatting>
  <conditionalFormatting sqref="U181">
    <cfRule type="expression" dxfId="4967" priority="62074" stopIfTrue="1">
      <formula>NOT(ISBLANK($U$181))</formula>
    </cfRule>
  </conditionalFormatting>
  <conditionalFormatting sqref="V181">
    <cfRule type="expression" dxfId="4966" priority="62075" stopIfTrue="1">
      <formula>NOT(ISBLANK($V$181))</formula>
    </cfRule>
  </conditionalFormatting>
  <conditionalFormatting sqref="W181">
    <cfRule type="cellIs" dxfId="4965" priority="62076" stopIfTrue="1" operator="notEqual">
      <formula>8</formula>
    </cfRule>
  </conditionalFormatting>
  <conditionalFormatting sqref="X181">
    <cfRule type="cellIs" dxfId="4964" priority="62077" stopIfTrue="1" operator="notEqual">
      <formula>8</formula>
    </cfRule>
  </conditionalFormatting>
  <conditionalFormatting sqref="Y181">
    <cfRule type="cellIs" dxfId="4963" priority="62078" stopIfTrue="1" operator="notEqual">
      <formula>7.9</formula>
    </cfRule>
  </conditionalFormatting>
  <conditionalFormatting sqref="Z181">
    <cfRule type="cellIs" dxfId="4962" priority="62079" stopIfTrue="1" operator="notEqual">
      <formula>168</formula>
    </cfRule>
  </conditionalFormatting>
  <conditionalFormatting sqref="AA181">
    <cfRule type="cellIs" dxfId="4961" priority="62080" stopIfTrue="1" operator="notEqual">
      <formula>"POTW"</formula>
    </cfRule>
  </conditionalFormatting>
  <conditionalFormatting sqref="AB181">
    <cfRule type="cellIs" dxfId="4960" priority="62081" stopIfTrue="1" operator="notEqual">
      <formula>"holding tank"</formula>
    </cfRule>
  </conditionalFormatting>
  <conditionalFormatting sqref="AC181">
    <cfRule type="cellIs" dxfId="4959" priority="62082" stopIfTrue="1" operator="notEqual">
      <formula>"eductors"</formula>
    </cfRule>
  </conditionalFormatting>
  <conditionalFormatting sqref="AD181">
    <cfRule type="cellIs" dxfId="4958" priority="62083" stopIfTrue="1" operator="notEqual">
      <formula>"non-hazardous"</formula>
    </cfRule>
  </conditionalFormatting>
  <conditionalFormatting sqref="AE181">
    <cfRule type="expression" dxfId="4957" priority="62084" stopIfTrue="1">
      <formula>NOT(ISBLANK($AE$181))</formula>
    </cfRule>
  </conditionalFormatting>
  <conditionalFormatting sqref="AF181">
    <cfRule type="cellIs" dxfId="4956" priority="62085" stopIfTrue="1" operator="notEqual">
      <formula>0</formula>
    </cfRule>
  </conditionalFormatting>
  <conditionalFormatting sqref="AG181">
    <cfRule type="expression" dxfId="4955" priority="62086" stopIfTrue="1">
      <formula>NOT(ISBLANK($AG$181))</formula>
    </cfRule>
  </conditionalFormatting>
  <conditionalFormatting sqref="AH181">
    <cfRule type="expression" dxfId="4954" priority="62087" stopIfTrue="1">
      <formula>NOT(ISBLANK($AH$181))</formula>
    </cfRule>
  </conditionalFormatting>
  <conditionalFormatting sqref="AI181">
    <cfRule type="cellIs" dxfId="4953" priority="62088" stopIfTrue="1" operator="notEqual">
      <formula>"fully automated"</formula>
    </cfRule>
  </conditionalFormatting>
  <conditionalFormatting sqref="AJ181">
    <cfRule type="expression" dxfId="4952" priority="62089" stopIfTrue="1">
      <formula>NOT(ISBLANK($AJ$181))</formula>
    </cfRule>
  </conditionalFormatting>
  <conditionalFormatting sqref="AK181">
    <cfRule type="expression" dxfId="4951" priority="62090" stopIfTrue="1">
      <formula>NOT(ISBLANK($AK$181))</formula>
    </cfRule>
  </conditionalFormatting>
  <conditionalFormatting sqref="AL181">
    <cfRule type="expression" dxfId="4950" priority="62091" stopIfTrue="1">
      <formula>NOT(ISBLANK($AL$181))</formula>
    </cfRule>
  </conditionalFormatting>
  <conditionalFormatting sqref="AM181">
    <cfRule type="expression" dxfId="4949" priority="62092" stopIfTrue="1">
      <formula>NOT(ISBLANK($AM$181))</formula>
    </cfRule>
  </conditionalFormatting>
  <conditionalFormatting sqref="AN181">
    <cfRule type="expression" dxfId="4948" priority="62093" stopIfTrue="1">
      <formula>NOT(ISBLANK($AN$181))</formula>
    </cfRule>
  </conditionalFormatting>
  <conditionalFormatting sqref="AO181">
    <cfRule type="expression" dxfId="4947" priority="62094" stopIfTrue="1">
      <formula>NOT(ISBLANK($AO$181))</formula>
    </cfRule>
  </conditionalFormatting>
  <conditionalFormatting sqref="AP181">
    <cfRule type="expression" dxfId="4946" priority="62095" stopIfTrue="1">
      <formula>NOT(ISBLANK($AP$181))</formula>
    </cfRule>
  </conditionalFormatting>
  <conditionalFormatting sqref="AQ181">
    <cfRule type="expression" dxfId="4945" priority="62096" stopIfTrue="1">
      <formula>NOT(ISBLANK($AQ$181))</formula>
    </cfRule>
  </conditionalFormatting>
  <conditionalFormatting sqref="A182">
    <cfRule type="cellIs" dxfId="4944" priority="62097" stopIfTrue="1" operator="notEqual">
      <formula>11</formula>
    </cfRule>
  </conditionalFormatting>
  <conditionalFormatting sqref="B182">
    <cfRule type="cellIs" dxfId="4943" priority="62098" stopIfTrue="1" operator="notEqual">
      <formula>2</formula>
    </cfRule>
  </conditionalFormatting>
  <conditionalFormatting sqref="C182">
    <cfRule type="cellIs" dxfId="4942" priority="62099" stopIfTrue="1" operator="notEqual">
      <formula>6</formula>
    </cfRule>
  </conditionalFormatting>
  <conditionalFormatting sqref="D182">
    <cfRule type="cellIs" dxfId="4941" priority="62100" stopIfTrue="1" operator="notEqual">
      <formula>7.365</formula>
    </cfRule>
  </conditionalFormatting>
  <conditionalFormatting sqref="E182">
    <cfRule type="cellIs" dxfId="4940" priority="62101" stopIfTrue="1" operator="notEqual">
      <formula>"MGD"</formula>
    </cfRule>
  </conditionalFormatting>
  <conditionalFormatting sqref="F182">
    <cfRule type="cellIs" dxfId="4939" priority="62102" stopIfTrue="1" operator="notEqual">
      <formula>3.2</formula>
    </cfRule>
  </conditionalFormatting>
  <conditionalFormatting sqref="G182">
    <cfRule type="cellIs" dxfId="4938" priority="62103" stopIfTrue="1" operator="notEqual">
      <formula>"MGD"</formula>
    </cfRule>
  </conditionalFormatting>
  <conditionalFormatting sqref="H182">
    <cfRule type="cellIs" dxfId="4937" priority="62104" stopIfTrue="1" operator="notEqual">
      <formula>"regeneration off-site (non-hazardous)"</formula>
    </cfRule>
  </conditionalFormatting>
  <conditionalFormatting sqref="I182">
    <cfRule type="cellIs" dxfId="4936" priority="62105" stopIfTrue="1" operator="notEqual">
      <formula>"carbon life value- bed volumes"</formula>
    </cfRule>
  </conditionalFormatting>
  <conditionalFormatting sqref="J182">
    <cfRule type="cellIs" dxfId="4935" priority="62106" stopIfTrue="1" operator="notEqual">
      <formula>7940</formula>
    </cfRule>
  </conditionalFormatting>
  <conditionalFormatting sqref="K182">
    <cfRule type="expression" dxfId="4934" priority="62107" stopIfTrue="1">
      <formula>NOT(ISBLANK($K$182))</formula>
    </cfRule>
  </conditionalFormatting>
  <conditionalFormatting sqref="L182">
    <cfRule type="expression" dxfId="4933" priority="62108" stopIfTrue="1">
      <formula>NOT(ISBLANK($L$182))</formula>
    </cfRule>
  </conditionalFormatting>
  <conditionalFormatting sqref="M182">
    <cfRule type="expression" dxfId="4932" priority="62109" stopIfTrue="1">
      <formula>NOT(ISBLANK($M$182))</formula>
    </cfRule>
  </conditionalFormatting>
  <conditionalFormatting sqref="N182">
    <cfRule type="cellIs" dxfId="4931" priority="62110" stopIfTrue="1" operator="notEqual">
      <formula>"EBCT"</formula>
    </cfRule>
  </conditionalFormatting>
  <conditionalFormatting sqref="O182">
    <cfRule type="cellIs" dxfId="4930" priority="62111" stopIfTrue="1" operator="notEqual">
      <formula>7.5</formula>
    </cfRule>
  </conditionalFormatting>
  <conditionalFormatting sqref="P182">
    <cfRule type="expression" dxfId="4929" priority="62112" stopIfTrue="1">
      <formula>NOT(ISBLANK($P$182))</formula>
    </cfRule>
  </conditionalFormatting>
  <conditionalFormatting sqref="Q182">
    <cfRule type="expression" dxfId="4928" priority="62113" stopIfTrue="1">
      <formula>NOT(ISBLANK($Q$182))</formula>
    </cfRule>
  </conditionalFormatting>
  <conditionalFormatting sqref="R182">
    <cfRule type="expression" dxfId="4927" priority="62114" stopIfTrue="1">
      <formula>NOT(ISBLANK($R$182))</formula>
    </cfRule>
  </conditionalFormatting>
  <conditionalFormatting sqref="S182">
    <cfRule type="expression" dxfId="4926" priority="62115" stopIfTrue="1">
      <formula>NOT(ISBLANK($S$182))</formula>
    </cfRule>
  </conditionalFormatting>
  <conditionalFormatting sqref="T182">
    <cfRule type="expression" dxfId="4925" priority="62116" stopIfTrue="1">
      <formula>NOT(ISBLANK($T$182))</formula>
    </cfRule>
  </conditionalFormatting>
  <conditionalFormatting sqref="U182">
    <cfRule type="expression" dxfId="4924" priority="62117" stopIfTrue="1">
      <formula>NOT(ISBLANK($U$182))</formula>
    </cfRule>
  </conditionalFormatting>
  <conditionalFormatting sqref="V182">
    <cfRule type="expression" dxfId="4923" priority="62118" stopIfTrue="1">
      <formula>NOT(ISBLANK($V$182))</formula>
    </cfRule>
  </conditionalFormatting>
  <conditionalFormatting sqref="W182">
    <cfRule type="cellIs" dxfId="4922" priority="62119" stopIfTrue="1" operator="notEqual">
      <formula>11.5</formula>
    </cfRule>
  </conditionalFormatting>
  <conditionalFormatting sqref="X182">
    <cfRule type="cellIs" dxfId="4921" priority="62120" stopIfTrue="1" operator="notEqual">
      <formula>11.5</formula>
    </cfRule>
  </conditionalFormatting>
  <conditionalFormatting sqref="Y182">
    <cfRule type="cellIs" dxfId="4920" priority="62121" stopIfTrue="1" operator="notEqual">
      <formula>7.8</formula>
    </cfRule>
  </conditionalFormatting>
  <conditionalFormatting sqref="Z182">
    <cfRule type="cellIs" dxfId="4919" priority="62122" stopIfTrue="1" operator="notEqual">
      <formula>168</formula>
    </cfRule>
  </conditionalFormatting>
  <conditionalFormatting sqref="AA182">
    <cfRule type="cellIs" dxfId="4918" priority="62123" stopIfTrue="1" operator="notEqual">
      <formula>"POTW"</formula>
    </cfRule>
  </conditionalFormatting>
  <conditionalFormatting sqref="AB182">
    <cfRule type="cellIs" dxfId="4917" priority="62124" stopIfTrue="1" operator="notEqual">
      <formula>"holding tank"</formula>
    </cfRule>
  </conditionalFormatting>
  <conditionalFormatting sqref="AC182">
    <cfRule type="cellIs" dxfId="4916" priority="62125" stopIfTrue="1" operator="notEqual">
      <formula>"eductors"</formula>
    </cfRule>
  </conditionalFormatting>
  <conditionalFormatting sqref="AD182">
    <cfRule type="cellIs" dxfId="4915" priority="62126" stopIfTrue="1" operator="notEqual">
      <formula>"non-hazardous"</formula>
    </cfRule>
  </conditionalFormatting>
  <conditionalFormatting sqref="AE182">
    <cfRule type="expression" dxfId="4914" priority="62127" stopIfTrue="1">
      <formula>NOT(ISBLANK($AE$182))</formula>
    </cfRule>
  </conditionalFormatting>
  <conditionalFormatting sqref="AF182">
    <cfRule type="cellIs" dxfId="4913" priority="62128" stopIfTrue="1" operator="notEqual">
      <formula>0</formula>
    </cfRule>
  </conditionalFormatting>
  <conditionalFormatting sqref="AG182">
    <cfRule type="expression" dxfId="4912" priority="62129" stopIfTrue="1">
      <formula>NOT(ISBLANK($AG$182))</formula>
    </cfRule>
  </conditionalFormatting>
  <conditionalFormatting sqref="AH182">
    <cfRule type="expression" dxfId="4911" priority="62130" stopIfTrue="1">
      <formula>NOT(ISBLANK($AH$182))</formula>
    </cfRule>
  </conditionalFormatting>
  <conditionalFormatting sqref="AI182">
    <cfRule type="cellIs" dxfId="4910" priority="62131" stopIfTrue="1" operator="notEqual">
      <formula>"fully automated"</formula>
    </cfRule>
  </conditionalFormatting>
  <conditionalFormatting sqref="AJ182">
    <cfRule type="expression" dxfId="4909" priority="62132" stopIfTrue="1">
      <formula>NOT(ISBLANK($AJ$182))</formula>
    </cfRule>
  </conditionalFormatting>
  <conditionalFormatting sqref="AK182">
    <cfRule type="expression" dxfId="4908" priority="62133" stopIfTrue="1">
      <formula>NOT(ISBLANK($AK$182))</formula>
    </cfRule>
  </conditionalFormatting>
  <conditionalFormatting sqref="AL182">
    <cfRule type="expression" dxfId="4907" priority="62134" stopIfTrue="1">
      <formula>NOT(ISBLANK($AL$182))</formula>
    </cfRule>
  </conditionalFormatting>
  <conditionalFormatting sqref="AM182">
    <cfRule type="expression" dxfId="4906" priority="62135" stopIfTrue="1">
      <formula>NOT(ISBLANK($AM$182))</formula>
    </cfRule>
  </conditionalFormatting>
  <conditionalFormatting sqref="AN182">
    <cfRule type="expression" dxfId="4905" priority="62136" stopIfTrue="1">
      <formula>NOT(ISBLANK($AN$182))</formula>
    </cfRule>
  </conditionalFormatting>
  <conditionalFormatting sqref="AO182">
    <cfRule type="expression" dxfId="4904" priority="62137" stopIfTrue="1">
      <formula>NOT(ISBLANK($AO$182))</formula>
    </cfRule>
  </conditionalFormatting>
  <conditionalFormatting sqref="AP182">
    <cfRule type="expression" dxfId="4903" priority="62138" stopIfTrue="1">
      <formula>NOT(ISBLANK($AP$182))</formula>
    </cfRule>
  </conditionalFormatting>
  <conditionalFormatting sqref="AQ182">
    <cfRule type="expression" dxfId="4902" priority="62139" stopIfTrue="1">
      <formula>NOT(ISBLANK($AQ$182))</formula>
    </cfRule>
  </conditionalFormatting>
  <conditionalFormatting sqref="A183">
    <cfRule type="cellIs" dxfId="4901" priority="62140" stopIfTrue="1" operator="notEqual">
      <formula>11</formula>
    </cfRule>
  </conditionalFormatting>
  <conditionalFormatting sqref="B183">
    <cfRule type="cellIs" dxfId="4900" priority="62141" stopIfTrue="1" operator="notEqual">
      <formula>2</formula>
    </cfRule>
  </conditionalFormatting>
  <conditionalFormatting sqref="C183">
    <cfRule type="cellIs" dxfId="4899" priority="62142" stopIfTrue="1" operator="notEqual">
      <formula>7</formula>
    </cfRule>
  </conditionalFormatting>
  <conditionalFormatting sqref="D183">
    <cfRule type="cellIs" dxfId="4898" priority="62143" stopIfTrue="1" operator="notEqual">
      <formula>22.614</formula>
    </cfRule>
  </conditionalFormatting>
  <conditionalFormatting sqref="E183">
    <cfRule type="cellIs" dxfId="4897" priority="62144" stopIfTrue="1" operator="notEqual">
      <formula>"MGD"</formula>
    </cfRule>
  </conditionalFormatting>
  <conditionalFormatting sqref="F183">
    <cfRule type="cellIs" dxfId="4896" priority="62145" stopIfTrue="1" operator="notEqual">
      <formula>11.066</formula>
    </cfRule>
  </conditionalFormatting>
  <conditionalFormatting sqref="G183">
    <cfRule type="cellIs" dxfId="4895" priority="62146" stopIfTrue="1" operator="notEqual">
      <formula>"MGD"</formula>
    </cfRule>
  </conditionalFormatting>
  <conditionalFormatting sqref="H183">
    <cfRule type="cellIs" dxfId="4894" priority="62147" stopIfTrue="1" operator="notEqual">
      <formula>"regeneration off-site (non-hazardous)"</formula>
    </cfRule>
  </conditionalFormatting>
  <conditionalFormatting sqref="I183">
    <cfRule type="cellIs" dxfId="4893" priority="62148" stopIfTrue="1" operator="notEqual">
      <formula>"carbon life value- bed volumes"</formula>
    </cfRule>
  </conditionalFormatting>
  <conditionalFormatting sqref="J183">
    <cfRule type="cellIs" dxfId="4892" priority="62149" stopIfTrue="1" operator="notEqual">
      <formula>7940</formula>
    </cfRule>
  </conditionalFormatting>
  <conditionalFormatting sqref="K183">
    <cfRule type="expression" dxfId="4891" priority="62150" stopIfTrue="1">
      <formula>NOT(ISBLANK($K$183))</formula>
    </cfRule>
  </conditionalFormatting>
  <conditionalFormatting sqref="L183">
    <cfRule type="expression" dxfId="4890" priority="62151" stopIfTrue="1">
      <formula>NOT(ISBLANK($L$183))</formula>
    </cfRule>
  </conditionalFormatting>
  <conditionalFormatting sqref="M183">
    <cfRule type="expression" dxfId="4889" priority="62152" stopIfTrue="1">
      <formula>NOT(ISBLANK($M$183))</formula>
    </cfRule>
  </conditionalFormatting>
  <conditionalFormatting sqref="N183">
    <cfRule type="cellIs" dxfId="4888" priority="62153" stopIfTrue="1" operator="notEqual">
      <formula>"EBCT"</formula>
    </cfRule>
  </conditionalFormatting>
  <conditionalFormatting sqref="O183">
    <cfRule type="cellIs" dxfId="4887" priority="62154" stopIfTrue="1" operator="notEqual">
      <formula>7.5</formula>
    </cfRule>
  </conditionalFormatting>
  <conditionalFormatting sqref="P183">
    <cfRule type="expression" dxfId="4886" priority="62155" stopIfTrue="1">
      <formula>NOT(ISBLANK($P$183))</formula>
    </cfRule>
  </conditionalFormatting>
  <conditionalFormatting sqref="Q183">
    <cfRule type="expression" dxfId="4885" priority="62156" stopIfTrue="1">
      <formula>NOT(ISBLANK($Q$183))</formula>
    </cfRule>
  </conditionalFormatting>
  <conditionalFormatting sqref="R183">
    <cfRule type="expression" dxfId="4884" priority="62157" stopIfTrue="1">
      <formula>NOT(ISBLANK($R$183))</formula>
    </cfRule>
  </conditionalFormatting>
  <conditionalFormatting sqref="S183">
    <cfRule type="expression" dxfId="4883" priority="62158" stopIfTrue="1">
      <formula>NOT(ISBLANK($S$183))</formula>
    </cfRule>
  </conditionalFormatting>
  <conditionalFormatting sqref="T183">
    <cfRule type="expression" dxfId="4882" priority="62159" stopIfTrue="1">
      <formula>NOT(ISBLANK($T$183))</formula>
    </cfRule>
  </conditionalFormatting>
  <conditionalFormatting sqref="U183">
    <cfRule type="expression" dxfId="4881" priority="62160" stopIfTrue="1">
      <formula>NOT(ISBLANK($U$183))</formula>
    </cfRule>
  </conditionalFormatting>
  <conditionalFormatting sqref="V183">
    <cfRule type="expression" dxfId="4880" priority="62161" stopIfTrue="1">
      <formula>NOT(ISBLANK($V$183))</formula>
    </cfRule>
  </conditionalFormatting>
  <conditionalFormatting sqref="W183">
    <cfRule type="cellIs" dxfId="4879" priority="62162" stopIfTrue="1" operator="notEqual">
      <formula>15</formula>
    </cfRule>
  </conditionalFormatting>
  <conditionalFormatting sqref="X183">
    <cfRule type="cellIs" dxfId="4878" priority="62163" stopIfTrue="1" operator="notEqual">
      <formula>15</formula>
    </cfRule>
  </conditionalFormatting>
  <conditionalFormatting sqref="Y183">
    <cfRule type="cellIs" dxfId="4877" priority="62164" stopIfTrue="1" operator="notEqual">
      <formula>7.8</formula>
    </cfRule>
  </conditionalFormatting>
  <conditionalFormatting sqref="Z183">
    <cfRule type="cellIs" dxfId="4876" priority="62165" stopIfTrue="1" operator="notEqual">
      <formula>168</formula>
    </cfRule>
  </conditionalFormatting>
  <conditionalFormatting sqref="AA183">
    <cfRule type="cellIs" dxfId="4875" priority="62166" stopIfTrue="1" operator="notEqual">
      <formula>"POTW"</formula>
    </cfRule>
  </conditionalFormatting>
  <conditionalFormatting sqref="AB183">
    <cfRule type="cellIs" dxfId="4874" priority="62167" stopIfTrue="1" operator="notEqual">
      <formula>"holding tank"</formula>
    </cfRule>
  </conditionalFormatting>
  <conditionalFormatting sqref="AC183">
    <cfRule type="cellIs" dxfId="4873" priority="62168" stopIfTrue="1" operator="notEqual">
      <formula>"eductors"</formula>
    </cfRule>
  </conditionalFormatting>
  <conditionalFormatting sqref="AD183">
    <cfRule type="cellIs" dxfId="4872" priority="62169" stopIfTrue="1" operator="notEqual">
      <formula>"non-hazardous"</formula>
    </cfRule>
  </conditionalFormatting>
  <conditionalFormatting sqref="AE183">
    <cfRule type="expression" dxfId="4871" priority="62170" stopIfTrue="1">
      <formula>NOT(ISBLANK($AE$183))</formula>
    </cfRule>
  </conditionalFormatting>
  <conditionalFormatting sqref="AF183">
    <cfRule type="cellIs" dxfId="4870" priority="62171" stopIfTrue="1" operator="notEqual">
      <formula>0</formula>
    </cfRule>
  </conditionalFormatting>
  <conditionalFormatting sqref="AG183">
    <cfRule type="expression" dxfId="4869" priority="62172" stopIfTrue="1">
      <formula>NOT(ISBLANK($AG$183))</formula>
    </cfRule>
  </conditionalFormatting>
  <conditionalFormatting sqref="AH183">
    <cfRule type="expression" dxfId="4868" priority="62173" stopIfTrue="1">
      <formula>NOT(ISBLANK($AH$183))</formula>
    </cfRule>
  </conditionalFormatting>
  <conditionalFormatting sqref="AI183">
    <cfRule type="cellIs" dxfId="4867" priority="62174" stopIfTrue="1" operator="notEqual">
      <formula>"fully automated"</formula>
    </cfRule>
  </conditionalFormatting>
  <conditionalFormatting sqref="AJ183">
    <cfRule type="expression" dxfId="4866" priority="62175" stopIfTrue="1">
      <formula>NOT(ISBLANK($AJ$183))</formula>
    </cfRule>
  </conditionalFormatting>
  <conditionalFormatting sqref="AK183">
    <cfRule type="expression" dxfId="4865" priority="62176" stopIfTrue="1">
      <formula>NOT(ISBLANK($AK$183))</formula>
    </cfRule>
  </conditionalFormatting>
  <conditionalFormatting sqref="AL183">
    <cfRule type="expression" dxfId="4864" priority="62177" stopIfTrue="1">
      <formula>NOT(ISBLANK($AL$183))</formula>
    </cfRule>
  </conditionalFormatting>
  <conditionalFormatting sqref="AM183">
    <cfRule type="expression" dxfId="4863" priority="62178" stopIfTrue="1">
      <formula>NOT(ISBLANK($AM$183))</formula>
    </cfRule>
  </conditionalFormatting>
  <conditionalFormatting sqref="AN183">
    <cfRule type="expression" dxfId="4862" priority="62179" stopIfTrue="1">
      <formula>NOT(ISBLANK($AN$183))</formula>
    </cfRule>
  </conditionalFormatting>
  <conditionalFormatting sqref="AO183">
    <cfRule type="expression" dxfId="4861" priority="62180" stopIfTrue="1">
      <formula>NOT(ISBLANK($AO$183))</formula>
    </cfRule>
  </conditionalFormatting>
  <conditionalFormatting sqref="AP183">
    <cfRule type="expression" dxfId="4860" priority="62181" stopIfTrue="1">
      <formula>NOT(ISBLANK($AP$183))</formula>
    </cfRule>
  </conditionalFormatting>
  <conditionalFormatting sqref="AQ183">
    <cfRule type="expression" dxfId="4859" priority="62182" stopIfTrue="1">
      <formula>NOT(ISBLANK($AQ$183))</formula>
    </cfRule>
  </conditionalFormatting>
  <conditionalFormatting sqref="A184">
    <cfRule type="cellIs" dxfId="4858" priority="62183" stopIfTrue="1" operator="notEqual">
      <formula>11</formula>
    </cfRule>
  </conditionalFormatting>
  <conditionalFormatting sqref="B184">
    <cfRule type="cellIs" dxfId="4857" priority="62184" stopIfTrue="1" operator="notEqual">
      <formula>2</formula>
    </cfRule>
  </conditionalFormatting>
  <conditionalFormatting sqref="C184">
    <cfRule type="cellIs" dxfId="4856" priority="62185" stopIfTrue="1" operator="notEqual">
      <formula>8</formula>
    </cfRule>
  </conditionalFormatting>
  <conditionalFormatting sqref="D184">
    <cfRule type="cellIs" dxfId="4855" priority="62186" stopIfTrue="1" operator="notEqual">
      <formula>75.072</formula>
    </cfRule>
  </conditionalFormatting>
  <conditionalFormatting sqref="E184">
    <cfRule type="cellIs" dxfId="4854" priority="62187" stopIfTrue="1" operator="notEqual">
      <formula>"MGD"</formula>
    </cfRule>
  </conditionalFormatting>
  <conditionalFormatting sqref="F184">
    <cfRule type="cellIs" dxfId="4853" priority="62188" stopIfTrue="1" operator="notEqual">
      <formula>37.536</formula>
    </cfRule>
  </conditionalFormatting>
  <conditionalFormatting sqref="G184">
    <cfRule type="cellIs" dxfId="4852" priority="62189" stopIfTrue="1" operator="notEqual">
      <formula>"MGD"</formula>
    </cfRule>
  </conditionalFormatting>
  <conditionalFormatting sqref="H184">
    <cfRule type="cellIs" dxfId="4851" priority="62190" stopIfTrue="1" operator="notEqual">
      <formula>"regeneration off-site (non-hazardous)"</formula>
    </cfRule>
  </conditionalFormatting>
  <conditionalFormatting sqref="I184">
    <cfRule type="cellIs" dxfId="4850" priority="62191" stopIfTrue="1" operator="notEqual">
      <formula>"carbon life value- bed volumes"</formula>
    </cfRule>
  </conditionalFormatting>
  <conditionalFormatting sqref="J184">
    <cfRule type="cellIs" dxfId="4849" priority="62192" stopIfTrue="1" operator="notEqual">
      <formula>7940</formula>
    </cfRule>
  </conditionalFormatting>
  <conditionalFormatting sqref="K184">
    <cfRule type="expression" dxfId="4848" priority="62193" stopIfTrue="1">
      <formula>NOT(ISBLANK($K$184))</formula>
    </cfRule>
  </conditionalFormatting>
  <conditionalFormatting sqref="L184">
    <cfRule type="expression" dxfId="4847" priority="62194" stopIfTrue="1">
      <formula>NOT(ISBLANK($L$184))</formula>
    </cfRule>
  </conditionalFormatting>
  <conditionalFormatting sqref="M184">
    <cfRule type="expression" dxfId="4846" priority="62195" stopIfTrue="1">
      <formula>NOT(ISBLANK($M$184))</formula>
    </cfRule>
  </conditionalFormatting>
  <conditionalFormatting sqref="N184">
    <cfRule type="cellIs" dxfId="4845" priority="62196" stopIfTrue="1" operator="notEqual">
      <formula>"EBCT"</formula>
    </cfRule>
  </conditionalFormatting>
  <conditionalFormatting sqref="O184">
    <cfRule type="cellIs" dxfId="4844" priority="62197" stopIfTrue="1" operator="notEqual">
      <formula>7.5</formula>
    </cfRule>
  </conditionalFormatting>
  <conditionalFormatting sqref="P184">
    <cfRule type="expression" dxfId="4843" priority="62198" stopIfTrue="1">
      <formula>NOT(ISBLANK($P$184))</formula>
    </cfRule>
  </conditionalFormatting>
  <conditionalFormatting sqref="Q184">
    <cfRule type="expression" dxfId="4842" priority="62199" stopIfTrue="1">
      <formula>NOT(ISBLANK($Q$184))</formula>
    </cfRule>
  </conditionalFormatting>
  <conditionalFormatting sqref="R184">
    <cfRule type="expression" dxfId="4841" priority="62200" stopIfTrue="1">
      <formula>NOT(ISBLANK($R$184))</formula>
    </cfRule>
  </conditionalFormatting>
  <conditionalFormatting sqref="S184">
    <cfRule type="expression" dxfId="4840" priority="62201" stopIfTrue="1">
      <formula>NOT(ISBLANK($S$184))</formula>
    </cfRule>
  </conditionalFormatting>
  <conditionalFormatting sqref="T184">
    <cfRule type="expression" dxfId="4839" priority="62202" stopIfTrue="1">
      <formula>NOT(ISBLANK($T$184))</formula>
    </cfRule>
  </conditionalFormatting>
  <conditionalFormatting sqref="U184">
    <cfRule type="expression" dxfId="4838" priority="62203" stopIfTrue="1">
      <formula>NOT(ISBLANK($U$184))</formula>
    </cfRule>
  </conditionalFormatting>
  <conditionalFormatting sqref="V184">
    <cfRule type="expression" dxfId="4837" priority="62204" stopIfTrue="1">
      <formula>NOT(ISBLANK($V$184))</formula>
    </cfRule>
  </conditionalFormatting>
  <conditionalFormatting sqref="W184">
    <cfRule type="cellIs" dxfId="4836" priority="62205" stopIfTrue="1" operator="notEqual">
      <formula>30</formula>
    </cfRule>
  </conditionalFormatting>
  <conditionalFormatting sqref="X184">
    <cfRule type="cellIs" dxfId="4835" priority="62206" stopIfTrue="1" operator="notEqual">
      <formula>30</formula>
    </cfRule>
  </conditionalFormatting>
  <conditionalFormatting sqref="Y184">
    <cfRule type="cellIs" dxfId="4834" priority="62207" stopIfTrue="1" operator="notEqual">
      <formula>9.7</formula>
    </cfRule>
  </conditionalFormatting>
  <conditionalFormatting sqref="Z184">
    <cfRule type="cellIs" dxfId="4833" priority="62208" stopIfTrue="1" operator="notEqual">
      <formula>168</formula>
    </cfRule>
  </conditionalFormatting>
  <conditionalFormatting sqref="AA184">
    <cfRule type="cellIs" dxfId="4832" priority="62209" stopIfTrue="1" operator="notEqual">
      <formula>"POTW"</formula>
    </cfRule>
  </conditionalFormatting>
  <conditionalFormatting sqref="AB184">
    <cfRule type="cellIs" dxfId="4831" priority="62210" stopIfTrue="1" operator="notEqual">
      <formula>"holding tank"</formula>
    </cfRule>
  </conditionalFormatting>
  <conditionalFormatting sqref="AC184">
    <cfRule type="cellIs" dxfId="4830" priority="62211" stopIfTrue="1" operator="notEqual">
      <formula>"eductors"</formula>
    </cfRule>
  </conditionalFormatting>
  <conditionalFormatting sqref="AD184">
    <cfRule type="cellIs" dxfId="4829" priority="62212" stopIfTrue="1" operator="notEqual">
      <formula>"non-hazardous"</formula>
    </cfRule>
  </conditionalFormatting>
  <conditionalFormatting sqref="AE184">
    <cfRule type="expression" dxfId="4828" priority="62213" stopIfTrue="1">
      <formula>NOT(ISBLANK($AE$184))</formula>
    </cfRule>
  </conditionalFormatting>
  <conditionalFormatting sqref="AF184">
    <cfRule type="cellIs" dxfId="4827" priority="62214" stopIfTrue="1" operator="notEqual">
      <formula>0</formula>
    </cfRule>
  </conditionalFormatting>
  <conditionalFormatting sqref="AG184">
    <cfRule type="expression" dxfId="4826" priority="62215" stopIfTrue="1">
      <formula>NOT(ISBLANK($AG$184))</formula>
    </cfRule>
  </conditionalFormatting>
  <conditionalFormatting sqref="AH184">
    <cfRule type="expression" dxfId="4825" priority="62216" stopIfTrue="1">
      <formula>NOT(ISBLANK($AH$184))</formula>
    </cfRule>
  </conditionalFormatting>
  <conditionalFormatting sqref="AI184">
    <cfRule type="cellIs" dxfId="4824" priority="62217" stopIfTrue="1" operator="notEqual">
      <formula>"fully automated"</formula>
    </cfRule>
  </conditionalFormatting>
  <conditionalFormatting sqref="AJ184">
    <cfRule type="expression" dxfId="4823" priority="62218" stopIfTrue="1">
      <formula>NOT(ISBLANK($AJ$184))</formula>
    </cfRule>
  </conditionalFormatting>
  <conditionalFormatting sqref="AK184">
    <cfRule type="expression" dxfId="4822" priority="62219" stopIfTrue="1">
      <formula>NOT(ISBLANK($AK$184))</formula>
    </cfRule>
  </conditionalFormatting>
  <conditionalFormatting sqref="AL184">
    <cfRule type="expression" dxfId="4821" priority="62220" stopIfTrue="1">
      <formula>NOT(ISBLANK($AL$184))</formula>
    </cfRule>
  </conditionalFormatting>
  <conditionalFormatting sqref="AM184">
    <cfRule type="expression" dxfId="4820" priority="62221" stopIfTrue="1">
      <formula>NOT(ISBLANK($AM$184))</formula>
    </cfRule>
  </conditionalFormatting>
  <conditionalFormatting sqref="AN184">
    <cfRule type="expression" dxfId="4819" priority="62222" stopIfTrue="1">
      <formula>NOT(ISBLANK($AN$184))</formula>
    </cfRule>
  </conditionalFormatting>
  <conditionalFormatting sqref="AO184">
    <cfRule type="expression" dxfId="4818" priority="62223" stopIfTrue="1">
      <formula>NOT(ISBLANK($AO$184))</formula>
    </cfRule>
  </conditionalFormatting>
  <conditionalFormatting sqref="AP184">
    <cfRule type="expression" dxfId="4817" priority="62224" stopIfTrue="1">
      <formula>NOT(ISBLANK($AP$184))</formula>
    </cfRule>
  </conditionalFormatting>
  <conditionalFormatting sqref="AQ184">
    <cfRule type="expression" dxfId="4816" priority="62225" stopIfTrue="1">
      <formula>NOT(ISBLANK($AQ$184))</formula>
    </cfRule>
  </conditionalFormatting>
  <conditionalFormatting sqref="A185">
    <cfRule type="cellIs" dxfId="4815" priority="62226" stopIfTrue="1" operator="notEqual">
      <formula>12</formula>
    </cfRule>
  </conditionalFormatting>
  <conditionalFormatting sqref="B185">
    <cfRule type="cellIs" dxfId="4814" priority="62227" stopIfTrue="1" operator="notEqual">
      <formula>1</formula>
    </cfRule>
  </conditionalFormatting>
  <conditionalFormatting sqref="C185">
    <cfRule type="cellIs" dxfId="4813" priority="62228" stopIfTrue="1" operator="notEqual">
      <formula>1</formula>
    </cfRule>
  </conditionalFormatting>
  <conditionalFormatting sqref="D185">
    <cfRule type="cellIs" dxfId="4812" priority="62229" stopIfTrue="1" operator="notEqual">
      <formula>0.03</formula>
    </cfRule>
  </conditionalFormatting>
  <conditionalFormatting sqref="E185">
    <cfRule type="cellIs" dxfId="4811" priority="62230" stopIfTrue="1" operator="notEqual">
      <formula>"MGD"</formula>
    </cfRule>
  </conditionalFormatting>
  <conditionalFormatting sqref="F185">
    <cfRule type="cellIs" dxfId="4810" priority="62231" stopIfTrue="1" operator="notEqual">
      <formula>0.007</formula>
    </cfRule>
  </conditionalFormatting>
  <conditionalFormatting sqref="G185">
    <cfRule type="cellIs" dxfId="4809" priority="62232" stopIfTrue="1" operator="notEqual">
      <formula>"MGD"</formula>
    </cfRule>
  </conditionalFormatting>
  <conditionalFormatting sqref="H185">
    <cfRule type="cellIs" dxfId="4808" priority="62233" stopIfTrue="1" operator="notEqual">
      <formula>"regeneration off-site (non-hazardous)"</formula>
    </cfRule>
  </conditionalFormatting>
  <conditionalFormatting sqref="I185">
    <cfRule type="cellIs" dxfId="4807" priority="62234" stopIfTrue="1" operator="notEqual">
      <formula>"carbon life value- bed volumes"</formula>
    </cfRule>
  </conditionalFormatting>
  <conditionalFormatting sqref="J185">
    <cfRule type="cellIs" dxfId="4806" priority="62235" stopIfTrue="1" operator="notEqual">
      <formula>16900</formula>
    </cfRule>
  </conditionalFormatting>
  <conditionalFormatting sqref="K185">
    <cfRule type="expression" dxfId="4805" priority="62236" stopIfTrue="1">
      <formula>NOT(ISBLANK($K$185))</formula>
    </cfRule>
  </conditionalFormatting>
  <conditionalFormatting sqref="L185">
    <cfRule type="expression" dxfId="4804" priority="62237" stopIfTrue="1">
      <formula>NOT(ISBLANK($L$185))</formula>
    </cfRule>
  </conditionalFormatting>
  <conditionalFormatting sqref="M185">
    <cfRule type="expression" dxfId="4803" priority="62238" stopIfTrue="1">
      <formula>NOT(ISBLANK($M$185))</formula>
    </cfRule>
  </conditionalFormatting>
  <conditionalFormatting sqref="N185">
    <cfRule type="cellIs" dxfId="4802" priority="62239" stopIfTrue="1" operator="notEqual">
      <formula>"EBCT"</formula>
    </cfRule>
  </conditionalFormatting>
  <conditionalFormatting sqref="O185">
    <cfRule type="cellIs" dxfId="4801" priority="62240" stopIfTrue="1" operator="notEqual">
      <formula>7.5</formula>
    </cfRule>
  </conditionalFormatting>
  <conditionalFormatting sqref="P185">
    <cfRule type="expression" dxfId="4800" priority="62241" stopIfTrue="1">
      <formula>NOT(ISBLANK($P$185))</formula>
    </cfRule>
  </conditionalFormatting>
  <conditionalFormatting sqref="Q185">
    <cfRule type="expression" dxfId="4799" priority="62242" stopIfTrue="1">
      <formula>NOT(ISBLANK($Q$185))</formula>
    </cfRule>
  </conditionalFormatting>
  <conditionalFormatting sqref="R185">
    <cfRule type="cellIs" dxfId="4798" priority="62243" stopIfTrue="1" operator="notEqual">
      <formula>1</formula>
    </cfRule>
  </conditionalFormatting>
  <conditionalFormatting sqref="S185">
    <cfRule type="cellIs" dxfId="4797" priority="62244" stopIfTrue="1" operator="notEqual">
      <formula>3.4</formula>
    </cfRule>
  </conditionalFormatting>
  <conditionalFormatting sqref="T185">
    <cfRule type="cellIs" dxfId="4796" priority="62245" stopIfTrue="1" operator="notEqual">
      <formula>"upright"</formula>
    </cfRule>
  </conditionalFormatting>
  <conditionalFormatting sqref="U185">
    <cfRule type="cellIs" dxfId="4795" priority="62246" stopIfTrue="1" operator="notEqual">
      <formula>6</formula>
    </cfRule>
  </conditionalFormatting>
  <conditionalFormatting sqref="V185">
    <cfRule type="cellIs" dxfId="4794" priority="62247" stopIfTrue="1" operator="notEqual">
      <formula>2</formula>
    </cfRule>
  </conditionalFormatting>
  <conditionalFormatting sqref="W185">
    <cfRule type="expression" dxfId="4793" priority="62248" stopIfTrue="1">
      <formula>NOT(ISBLANK($W$185))</formula>
    </cfRule>
  </conditionalFormatting>
  <conditionalFormatting sqref="X185">
    <cfRule type="expression" dxfId="4792" priority="62249" stopIfTrue="1">
      <formula>NOT(ISBLANK($X$185))</formula>
    </cfRule>
  </conditionalFormatting>
  <conditionalFormatting sqref="Y185">
    <cfRule type="expression" dxfId="4791" priority="62250" stopIfTrue="1">
      <formula>NOT(ISBLANK($Y$185))</formula>
    </cfRule>
  </conditionalFormatting>
  <conditionalFormatting sqref="Z185">
    <cfRule type="cellIs" dxfId="4790" priority="62251" stopIfTrue="1" operator="notEqual">
      <formula>168</formula>
    </cfRule>
  </conditionalFormatting>
  <conditionalFormatting sqref="AA185">
    <cfRule type="cellIs" dxfId="4789" priority="62252" stopIfTrue="1" operator="notEqual">
      <formula>"POTW"</formula>
    </cfRule>
  </conditionalFormatting>
  <conditionalFormatting sqref="AB185">
    <cfRule type="cellIs" dxfId="4788" priority="62253" stopIfTrue="1" operator="notEqual">
      <formula>"no holding tank"</formula>
    </cfRule>
  </conditionalFormatting>
  <conditionalFormatting sqref="AC185">
    <cfRule type="cellIs" dxfId="4787" priority="62254" stopIfTrue="1" operator="notEqual">
      <formula>"manual transfer"</formula>
    </cfRule>
  </conditionalFormatting>
  <conditionalFormatting sqref="AD185">
    <cfRule type="expression" dxfId="4786" priority="62255" stopIfTrue="1">
      <formula>NOT(ISBLANK($AD$185))</formula>
    </cfRule>
  </conditionalFormatting>
  <conditionalFormatting sqref="AE185">
    <cfRule type="expression" dxfId="4785" priority="62256" stopIfTrue="1">
      <formula>NOT(ISBLANK($AE$185))</formula>
    </cfRule>
  </conditionalFormatting>
  <conditionalFormatting sqref="AF185">
    <cfRule type="cellIs" dxfId="4784" priority="62257" stopIfTrue="1" operator="notEqual">
      <formula>0</formula>
    </cfRule>
  </conditionalFormatting>
  <conditionalFormatting sqref="AG185">
    <cfRule type="expression" dxfId="4783" priority="62258" stopIfTrue="1">
      <formula>NOT(ISBLANK($AG$185))</formula>
    </cfRule>
  </conditionalFormatting>
  <conditionalFormatting sqref="AH185">
    <cfRule type="expression" dxfId="4782" priority="62259" stopIfTrue="1">
      <formula>NOT(ISBLANK($AH$185))</formula>
    </cfRule>
  </conditionalFormatting>
  <conditionalFormatting sqref="AI185">
    <cfRule type="cellIs" dxfId="4781" priority="62260" stopIfTrue="1" operator="notEqual">
      <formula>"fully automated"</formula>
    </cfRule>
  </conditionalFormatting>
  <conditionalFormatting sqref="AJ185">
    <cfRule type="expression" dxfId="4780" priority="62261" stopIfTrue="1">
      <formula>NOT(ISBLANK($AJ$185))</formula>
    </cfRule>
  </conditionalFormatting>
  <conditionalFormatting sqref="AK185">
    <cfRule type="expression" dxfId="4779" priority="62262" stopIfTrue="1">
      <formula>NOT(ISBLANK($AK$185))</formula>
    </cfRule>
  </conditionalFormatting>
  <conditionalFormatting sqref="AL185">
    <cfRule type="expression" dxfId="4778" priority="62263" stopIfTrue="1">
      <formula>NOT(ISBLANK($AL$185))</formula>
    </cfRule>
  </conditionalFormatting>
  <conditionalFormatting sqref="AM185">
    <cfRule type="expression" dxfId="4777" priority="62264" stopIfTrue="1">
      <formula>NOT(ISBLANK($AM$185))</formula>
    </cfRule>
  </conditionalFormatting>
  <conditionalFormatting sqref="AN185">
    <cfRule type="expression" dxfId="4776" priority="62265" stopIfTrue="1">
      <formula>NOT(ISBLANK($AN$185))</formula>
    </cfRule>
  </conditionalFormatting>
  <conditionalFormatting sqref="AO185">
    <cfRule type="expression" dxfId="4775" priority="62266" stopIfTrue="1">
      <formula>NOT(ISBLANK($AO$185))</formula>
    </cfRule>
  </conditionalFormatting>
  <conditionalFormatting sqref="AP185">
    <cfRule type="expression" dxfId="4774" priority="62267" stopIfTrue="1">
      <formula>NOT(ISBLANK($AP$185))</formula>
    </cfRule>
  </conditionalFormatting>
  <conditionalFormatting sqref="AQ185">
    <cfRule type="expression" dxfId="4773" priority="62268" stopIfTrue="1">
      <formula>NOT(ISBLANK($AQ$185))</formula>
    </cfRule>
  </conditionalFormatting>
  <conditionalFormatting sqref="A186">
    <cfRule type="cellIs" dxfId="4772" priority="62269" stopIfTrue="1" operator="notEqual">
      <formula>12</formula>
    </cfRule>
  </conditionalFormatting>
  <conditionalFormatting sqref="B186">
    <cfRule type="cellIs" dxfId="4771" priority="62270" stopIfTrue="1" operator="notEqual">
      <formula>1</formula>
    </cfRule>
  </conditionalFormatting>
  <conditionalFormatting sqref="C186">
    <cfRule type="cellIs" dxfId="4770" priority="62271" stopIfTrue="1" operator="notEqual">
      <formula>2</formula>
    </cfRule>
  </conditionalFormatting>
  <conditionalFormatting sqref="D186">
    <cfRule type="cellIs" dxfId="4769" priority="62272" stopIfTrue="1" operator="notEqual">
      <formula>0.124</formula>
    </cfRule>
  </conditionalFormatting>
  <conditionalFormatting sqref="E186">
    <cfRule type="cellIs" dxfId="4768" priority="62273" stopIfTrue="1" operator="notEqual">
      <formula>"MGD"</formula>
    </cfRule>
  </conditionalFormatting>
  <conditionalFormatting sqref="F186">
    <cfRule type="cellIs" dxfId="4767" priority="62274" stopIfTrue="1" operator="notEqual">
      <formula>0.035</formula>
    </cfRule>
  </conditionalFormatting>
  <conditionalFormatting sqref="G186">
    <cfRule type="cellIs" dxfId="4766" priority="62275" stopIfTrue="1" operator="notEqual">
      <formula>"MGD"</formula>
    </cfRule>
  </conditionalFormatting>
  <conditionalFormatting sqref="H186">
    <cfRule type="cellIs" dxfId="4765" priority="62276" stopIfTrue="1" operator="notEqual">
      <formula>"regeneration off-site (non-hazardous)"</formula>
    </cfRule>
  </conditionalFormatting>
  <conditionalFormatting sqref="I186">
    <cfRule type="cellIs" dxfId="4764" priority="62277" stopIfTrue="1" operator="notEqual">
      <formula>"carbon life value- bed volumes"</formula>
    </cfRule>
  </conditionalFormatting>
  <conditionalFormatting sqref="J186">
    <cfRule type="cellIs" dxfId="4763" priority="62278" stopIfTrue="1" operator="notEqual">
      <formula>16900</formula>
    </cfRule>
  </conditionalFormatting>
  <conditionalFormatting sqref="K186">
    <cfRule type="expression" dxfId="4762" priority="62279" stopIfTrue="1">
      <formula>NOT(ISBLANK($K$186))</formula>
    </cfRule>
  </conditionalFormatting>
  <conditionalFormatting sqref="L186">
    <cfRule type="expression" dxfId="4761" priority="62280" stopIfTrue="1">
      <formula>NOT(ISBLANK($L$186))</formula>
    </cfRule>
  </conditionalFormatting>
  <conditionalFormatting sqref="M186">
    <cfRule type="expression" dxfId="4760" priority="62281" stopIfTrue="1">
      <formula>NOT(ISBLANK($M$186))</formula>
    </cfRule>
  </conditionalFormatting>
  <conditionalFormatting sqref="N186">
    <cfRule type="cellIs" dxfId="4759" priority="62282" stopIfTrue="1" operator="notEqual">
      <formula>"EBCT"</formula>
    </cfRule>
  </conditionalFormatting>
  <conditionalFormatting sqref="O186">
    <cfRule type="cellIs" dxfId="4758" priority="62283" stopIfTrue="1" operator="notEqual">
      <formula>7.5</formula>
    </cfRule>
  </conditionalFormatting>
  <conditionalFormatting sqref="P186">
    <cfRule type="expression" dxfId="4757" priority="62284" stopIfTrue="1">
      <formula>NOT(ISBLANK($P$186))</formula>
    </cfRule>
  </conditionalFormatting>
  <conditionalFormatting sqref="Q186">
    <cfRule type="expression" dxfId="4756" priority="62285" stopIfTrue="1">
      <formula>NOT(ISBLANK($Q$186))</formula>
    </cfRule>
  </conditionalFormatting>
  <conditionalFormatting sqref="R186">
    <cfRule type="cellIs" dxfId="4755" priority="62286" stopIfTrue="1" operator="notEqual">
      <formula>1</formula>
    </cfRule>
  </conditionalFormatting>
  <conditionalFormatting sqref="S186">
    <cfRule type="cellIs" dxfId="4754" priority="62287" stopIfTrue="1" operator="notEqual">
      <formula>6.9</formula>
    </cfRule>
  </conditionalFormatting>
  <conditionalFormatting sqref="T186">
    <cfRule type="cellIs" dxfId="4753" priority="62288" stopIfTrue="1" operator="notEqual">
      <formula>"upright"</formula>
    </cfRule>
  </conditionalFormatting>
  <conditionalFormatting sqref="U186">
    <cfRule type="cellIs" dxfId="4752" priority="62289" stopIfTrue="1" operator="notEqual">
      <formula>11</formula>
    </cfRule>
  </conditionalFormatting>
  <conditionalFormatting sqref="V186">
    <cfRule type="cellIs" dxfId="4751" priority="62290" stopIfTrue="1" operator="notEqual">
      <formula>4</formula>
    </cfRule>
  </conditionalFormatting>
  <conditionalFormatting sqref="W186">
    <cfRule type="expression" dxfId="4750" priority="62291" stopIfTrue="1">
      <formula>NOT(ISBLANK($W$186))</formula>
    </cfRule>
  </conditionalFormatting>
  <conditionalFormatting sqref="X186">
    <cfRule type="expression" dxfId="4749" priority="62292" stopIfTrue="1">
      <formula>NOT(ISBLANK($X$186))</formula>
    </cfRule>
  </conditionalFormatting>
  <conditionalFormatting sqref="Y186">
    <cfRule type="expression" dxfId="4748" priority="62293" stopIfTrue="1">
      <formula>NOT(ISBLANK($Y$186))</formula>
    </cfRule>
  </conditionalFormatting>
  <conditionalFormatting sqref="Z186">
    <cfRule type="cellIs" dxfId="4747" priority="62294" stopIfTrue="1" operator="notEqual">
      <formula>168</formula>
    </cfRule>
  </conditionalFormatting>
  <conditionalFormatting sqref="AA186">
    <cfRule type="cellIs" dxfId="4746" priority="62295" stopIfTrue="1" operator="notEqual">
      <formula>"POTW"</formula>
    </cfRule>
  </conditionalFormatting>
  <conditionalFormatting sqref="AB186">
    <cfRule type="cellIs" dxfId="4745" priority="62296" stopIfTrue="1" operator="notEqual">
      <formula>"Holding tank"</formula>
    </cfRule>
  </conditionalFormatting>
  <conditionalFormatting sqref="AC186">
    <cfRule type="cellIs" dxfId="4744" priority="62297" stopIfTrue="1" operator="notEqual">
      <formula>"manual transfer"</formula>
    </cfRule>
  </conditionalFormatting>
  <conditionalFormatting sqref="AD186">
    <cfRule type="cellIs" dxfId="4743" priority="62298" stopIfTrue="1" operator="notEqual">
      <formula>"non-hazardous"</formula>
    </cfRule>
  </conditionalFormatting>
  <conditionalFormatting sqref="AE186">
    <cfRule type="expression" dxfId="4742" priority="62299" stopIfTrue="1">
      <formula>NOT(ISBLANK($AE$186))</formula>
    </cfRule>
  </conditionalFormatting>
  <conditionalFormatting sqref="AF186">
    <cfRule type="cellIs" dxfId="4741" priority="62300" stopIfTrue="1" operator="notEqual">
      <formula>0</formula>
    </cfRule>
  </conditionalFormatting>
  <conditionalFormatting sqref="AG186">
    <cfRule type="expression" dxfId="4740" priority="62301" stopIfTrue="1">
      <formula>NOT(ISBLANK($AG$186))</formula>
    </cfRule>
  </conditionalFormatting>
  <conditionalFormatting sqref="AH186">
    <cfRule type="expression" dxfId="4739" priority="62302" stopIfTrue="1">
      <formula>NOT(ISBLANK($AH$186))</formula>
    </cfRule>
  </conditionalFormatting>
  <conditionalFormatting sqref="AI186">
    <cfRule type="cellIs" dxfId="4738" priority="62303" stopIfTrue="1" operator="notEqual">
      <formula>"fully automated"</formula>
    </cfRule>
  </conditionalFormatting>
  <conditionalFormatting sqref="AJ186">
    <cfRule type="expression" dxfId="4737" priority="62304" stopIfTrue="1">
      <formula>NOT(ISBLANK($AJ$186))</formula>
    </cfRule>
  </conditionalFormatting>
  <conditionalFormatting sqref="AK186">
    <cfRule type="expression" dxfId="4736" priority="62305" stopIfTrue="1">
      <formula>NOT(ISBLANK($AK$186))</formula>
    </cfRule>
  </conditionalFormatting>
  <conditionalFormatting sqref="AL186">
    <cfRule type="expression" dxfId="4735" priority="62306" stopIfTrue="1">
      <formula>NOT(ISBLANK($AL$186))</formula>
    </cfRule>
  </conditionalFormatting>
  <conditionalFormatting sqref="AM186">
    <cfRule type="expression" dxfId="4734" priority="62307" stopIfTrue="1">
      <formula>NOT(ISBLANK($AM$186))</formula>
    </cfRule>
  </conditionalFormatting>
  <conditionalFormatting sqref="AN186">
    <cfRule type="expression" dxfId="4733" priority="62308" stopIfTrue="1">
      <formula>NOT(ISBLANK($AN$186))</formula>
    </cfRule>
  </conditionalFormatting>
  <conditionalFormatting sqref="AO186">
    <cfRule type="expression" dxfId="4732" priority="62309" stopIfTrue="1">
      <formula>NOT(ISBLANK($AO$186))</formula>
    </cfRule>
  </conditionalFormatting>
  <conditionalFormatting sqref="AP186">
    <cfRule type="expression" dxfId="4731" priority="62310" stopIfTrue="1">
      <formula>NOT(ISBLANK($AP$186))</formula>
    </cfRule>
  </conditionalFormatting>
  <conditionalFormatting sqref="AQ186">
    <cfRule type="expression" dxfId="4730" priority="62311" stopIfTrue="1">
      <formula>NOT(ISBLANK($AQ$186))</formula>
    </cfRule>
  </conditionalFormatting>
  <conditionalFormatting sqref="A187">
    <cfRule type="cellIs" dxfId="4729" priority="62312" stopIfTrue="1" operator="notEqual">
      <formula>12</formula>
    </cfRule>
  </conditionalFormatting>
  <conditionalFormatting sqref="B187">
    <cfRule type="cellIs" dxfId="4728" priority="62313" stopIfTrue="1" operator="notEqual">
      <formula>1</formula>
    </cfRule>
  </conditionalFormatting>
  <conditionalFormatting sqref="C187">
    <cfRule type="cellIs" dxfId="4727" priority="62314" stopIfTrue="1" operator="notEqual">
      <formula>3</formula>
    </cfRule>
  </conditionalFormatting>
  <conditionalFormatting sqref="D187">
    <cfRule type="cellIs" dxfId="4726" priority="62315" stopIfTrue="1" operator="notEqual">
      <formula>0.305</formula>
    </cfRule>
  </conditionalFormatting>
  <conditionalFormatting sqref="E187">
    <cfRule type="cellIs" dxfId="4725" priority="62316" stopIfTrue="1" operator="notEqual">
      <formula>"MGD"</formula>
    </cfRule>
  </conditionalFormatting>
  <conditionalFormatting sqref="F187">
    <cfRule type="cellIs" dxfId="4724" priority="62317" stopIfTrue="1" operator="notEqual">
      <formula>0.094</formula>
    </cfRule>
  </conditionalFormatting>
  <conditionalFormatting sqref="G187">
    <cfRule type="cellIs" dxfId="4723" priority="62318" stopIfTrue="1" operator="notEqual">
      <formula>"MGD"</formula>
    </cfRule>
  </conditionalFormatting>
  <conditionalFormatting sqref="H187">
    <cfRule type="cellIs" dxfId="4722" priority="62319" stopIfTrue="1" operator="notEqual">
      <formula>"regeneration off-site (non-hazardous)"</formula>
    </cfRule>
  </conditionalFormatting>
  <conditionalFormatting sqref="I187">
    <cfRule type="cellIs" dxfId="4721" priority="62320" stopIfTrue="1" operator="notEqual">
      <formula>"carbon life value- bed volumes"</formula>
    </cfRule>
  </conditionalFormatting>
  <conditionalFormatting sqref="J187">
    <cfRule type="cellIs" dxfId="4720" priority="62321" stopIfTrue="1" operator="notEqual">
      <formula>16900</formula>
    </cfRule>
  </conditionalFormatting>
  <conditionalFormatting sqref="K187">
    <cfRule type="expression" dxfId="4719" priority="62322" stopIfTrue="1">
      <formula>NOT(ISBLANK($K$187))</formula>
    </cfRule>
  </conditionalFormatting>
  <conditionalFormatting sqref="L187">
    <cfRule type="expression" dxfId="4718" priority="62323" stopIfTrue="1">
      <formula>NOT(ISBLANK($L$187))</formula>
    </cfRule>
  </conditionalFormatting>
  <conditionalFormatting sqref="M187">
    <cfRule type="expression" dxfId="4717" priority="62324" stopIfTrue="1">
      <formula>NOT(ISBLANK($M$187))</formula>
    </cfRule>
  </conditionalFormatting>
  <conditionalFormatting sqref="N187">
    <cfRule type="cellIs" dxfId="4716" priority="62325" stopIfTrue="1" operator="notEqual">
      <formula>"EBCT"</formula>
    </cfRule>
  </conditionalFormatting>
  <conditionalFormatting sqref="O187">
    <cfRule type="cellIs" dxfId="4715" priority="62326" stopIfTrue="1" operator="notEqual">
      <formula>7.5</formula>
    </cfRule>
  </conditionalFormatting>
  <conditionalFormatting sqref="P187">
    <cfRule type="expression" dxfId="4714" priority="62327" stopIfTrue="1">
      <formula>NOT(ISBLANK($P$187))</formula>
    </cfRule>
  </conditionalFormatting>
  <conditionalFormatting sqref="Q187">
    <cfRule type="expression" dxfId="4713" priority="62328" stopIfTrue="1">
      <formula>NOT(ISBLANK($Q$187))</formula>
    </cfRule>
  </conditionalFormatting>
  <conditionalFormatting sqref="R187">
    <cfRule type="cellIs" dxfId="4712" priority="62329" stopIfTrue="1" operator="notEqual">
      <formula>1</formula>
    </cfRule>
  </conditionalFormatting>
  <conditionalFormatting sqref="S187">
    <cfRule type="cellIs" dxfId="4711" priority="62330" stopIfTrue="1" operator="notEqual">
      <formula>6.7</formula>
    </cfRule>
  </conditionalFormatting>
  <conditionalFormatting sqref="T187">
    <cfRule type="cellIs" dxfId="4710" priority="62331" stopIfTrue="1" operator="notEqual">
      <formula>"upright"</formula>
    </cfRule>
  </conditionalFormatting>
  <conditionalFormatting sqref="U187">
    <cfRule type="cellIs" dxfId="4709" priority="62332" stopIfTrue="1" operator="notEqual">
      <formula>11</formula>
    </cfRule>
  </conditionalFormatting>
  <conditionalFormatting sqref="V187">
    <cfRule type="cellIs" dxfId="4708" priority="62333" stopIfTrue="1" operator="notEqual">
      <formula>4.5</formula>
    </cfRule>
  </conditionalFormatting>
  <conditionalFormatting sqref="W187">
    <cfRule type="expression" dxfId="4707" priority="62334" stopIfTrue="1">
      <formula>NOT(ISBLANK($W$187))</formula>
    </cfRule>
  </conditionalFormatting>
  <conditionalFormatting sqref="X187">
    <cfRule type="expression" dxfId="4706" priority="62335" stopIfTrue="1">
      <formula>NOT(ISBLANK($X$187))</formula>
    </cfRule>
  </conditionalFormatting>
  <conditionalFormatting sqref="Y187">
    <cfRule type="expression" dxfId="4705" priority="62336" stopIfTrue="1">
      <formula>NOT(ISBLANK($Y$187))</formula>
    </cfRule>
  </conditionalFormatting>
  <conditionalFormatting sqref="Z187">
    <cfRule type="cellIs" dxfId="4704" priority="62337" stopIfTrue="1" operator="notEqual">
      <formula>168</formula>
    </cfRule>
  </conditionalFormatting>
  <conditionalFormatting sqref="AA187">
    <cfRule type="cellIs" dxfId="4703" priority="62338" stopIfTrue="1" operator="notEqual">
      <formula>"POTW"</formula>
    </cfRule>
  </conditionalFormatting>
  <conditionalFormatting sqref="AB187">
    <cfRule type="cellIs" dxfId="4702" priority="62339" stopIfTrue="1" operator="notEqual">
      <formula>"Holding tank"</formula>
    </cfRule>
  </conditionalFormatting>
  <conditionalFormatting sqref="AC187">
    <cfRule type="cellIs" dxfId="4701" priority="62340" stopIfTrue="1" operator="notEqual">
      <formula>"manual transfer"</formula>
    </cfRule>
  </conditionalFormatting>
  <conditionalFormatting sqref="AD187">
    <cfRule type="cellIs" dxfId="4700" priority="62341" stopIfTrue="1" operator="notEqual">
      <formula>"non-hazardous"</formula>
    </cfRule>
  </conditionalFormatting>
  <conditionalFormatting sqref="AE187">
    <cfRule type="expression" dxfId="4699" priority="62342" stopIfTrue="1">
      <formula>NOT(ISBLANK($AE$187))</formula>
    </cfRule>
  </conditionalFormatting>
  <conditionalFormatting sqref="AF187">
    <cfRule type="cellIs" dxfId="4698" priority="62343" stopIfTrue="1" operator="notEqual">
      <formula>0</formula>
    </cfRule>
  </conditionalFormatting>
  <conditionalFormatting sqref="AG187">
    <cfRule type="expression" dxfId="4697" priority="62344" stopIfTrue="1">
      <formula>NOT(ISBLANK($AG$187))</formula>
    </cfRule>
  </conditionalFormatting>
  <conditionalFormatting sqref="AH187">
    <cfRule type="expression" dxfId="4696" priority="62345" stopIfTrue="1">
      <formula>NOT(ISBLANK($AH$187))</formula>
    </cfRule>
  </conditionalFormatting>
  <conditionalFormatting sqref="AI187">
    <cfRule type="cellIs" dxfId="4695" priority="62346" stopIfTrue="1" operator="notEqual">
      <formula>"fully automated"</formula>
    </cfRule>
  </conditionalFormatting>
  <conditionalFormatting sqref="AJ187">
    <cfRule type="expression" dxfId="4694" priority="62347" stopIfTrue="1">
      <formula>NOT(ISBLANK($AJ$187))</formula>
    </cfRule>
  </conditionalFormatting>
  <conditionalFormatting sqref="AK187">
    <cfRule type="expression" dxfId="4693" priority="62348" stopIfTrue="1">
      <formula>NOT(ISBLANK($AK$187))</formula>
    </cfRule>
  </conditionalFormatting>
  <conditionalFormatting sqref="AL187">
    <cfRule type="expression" dxfId="4692" priority="62349" stopIfTrue="1">
      <formula>NOT(ISBLANK($AL$187))</formula>
    </cfRule>
  </conditionalFormatting>
  <conditionalFormatting sqref="AM187">
    <cfRule type="expression" dxfId="4691" priority="62350" stopIfTrue="1">
      <formula>NOT(ISBLANK($AM$187))</formula>
    </cfRule>
  </conditionalFormatting>
  <conditionalFormatting sqref="AN187">
    <cfRule type="expression" dxfId="4690" priority="62351" stopIfTrue="1">
      <formula>NOT(ISBLANK($AN$187))</formula>
    </cfRule>
  </conditionalFormatting>
  <conditionalFormatting sqref="AO187">
    <cfRule type="expression" dxfId="4689" priority="62352" stopIfTrue="1">
      <formula>NOT(ISBLANK($AO$187))</formula>
    </cfRule>
  </conditionalFormatting>
  <conditionalFormatting sqref="AP187">
    <cfRule type="expression" dxfId="4688" priority="62353" stopIfTrue="1">
      <formula>NOT(ISBLANK($AP$187))</formula>
    </cfRule>
  </conditionalFormatting>
  <conditionalFormatting sqref="AQ187">
    <cfRule type="expression" dxfId="4687" priority="62354" stopIfTrue="1">
      <formula>NOT(ISBLANK($AQ$187))</formula>
    </cfRule>
  </conditionalFormatting>
  <conditionalFormatting sqref="A188">
    <cfRule type="cellIs" dxfId="4686" priority="62355" stopIfTrue="1" operator="notEqual">
      <formula>12</formula>
    </cfRule>
  </conditionalFormatting>
  <conditionalFormatting sqref="B188">
    <cfRule type="cellIs" dxfId="4685" priority="62356" stopIfTrue="1" operator="notEqual">
      <formula>1</formula>
    </cfRule>
  </conditionalFormatting>
  <conditionalFormatting sqref="C188">
    <cfRule type="cellIs" dxfId="4684" priority="62357" stopIfTrue="1" operator="notEqual">
      <formula>4</formula>
    </cfRule>
  </conditionalFormatting>
  <conditionalFormatting sqref="D188">
    <cfRule type="cellIs" dxfId="4683" priority="62358" stopIfTrue="1" operator="notEqual">
      <formula>0.74</formula>
    </cfRule>
  </conditionalFormatting>
  <conditionalFormatting sqref="E188">
    <cfRule type="cellIs" dxfId="4682" priority="62359" stopIfTrue="1" operator="notEqual">
      <formula>"MGD"</formula>
    </cfRule>
  </conditionalFormatting>
  <conditionalFormatting sqref="F188">
    <cfRule type="cellIs" dxfId="4681" priority="62360" stopIfTrue="1" operator="notEqual">
      <formula>0.251</formula>
    </cfRule>
  </conditionalFormatting>
  <conditionalFormatting sqref="G188">
    <cfRule type="cellIs" dxfId="4680" priority="62361" stopIfTrue="1" operator="notEqual">
      <formula>"MGD"</formula>
    </cfRule>
  </conditionalFormatting>
  <conditionalFormatting sqref="H188">
    <cfRule type="cellIs" dxfId="4679" priority="62362" stopIfTrue="1" operator="notEqual">
      <formula>"regeneration off-site (non-hazardous)"</formula>
    </cfRule>
  </conditionalFormatting>
  <conditionalFormatting sqref="I188">
    <cfRule type="cellIs" dxfId="4678" priority="62363" stopIfTrue="1" operator="notEqual">
      <formula>"carbon life value- bed volumes"</formula>
    </cfRule>
  </conditionalFormatting>
  <conditionalFormatting sqref="J188">
    <cfRule type="cellIs" dxfId="4677" priority="62364" stopIfTrue="1" operator="notEqual">
      <formula>16900</formula>
    </cfRule>
  </conditionalFormatting>
  <conditionalFormatting sqref="K188">
    <cfRule type="expression" dxfId="4676" priority="62365" stopIfTrue="1">
      <formula>NOT(ISBLANK($K$188))</formula>
    </cfRule>
  </conditionalFormatting>
  <conditionalFormatting sqref="L188">
    <cfRule type="expression" dxfId="4675" priority="62366" stopIfTrue="1">
      <formula>NOT(ISBLANK($L$188))</formula>
    </cfRule>
  </conditionalFormatting>
  <conditionalFormatting sqref="M188">
    <cfRule type="expression" dxfId="4674" priority="62367" stopIfTrue="1">
      <formula>NOT(ISBLANK($M$188))</formula>
    </cfRule>
  </conditionalFormatting>
  <conditionalFormatting sqref="N188">
    <cfRule type="cellIs" dxfId="4673" priority="62368" stopIfTrue="1" operator="notEqual">
      <formula>"EBCT"</formula>
    </cfRule>
  </conditionalFormatting>
  <conditionalFormatting sqref="O188">
    <cfRule type="cellIs" dxfId="4672" priority="62369" stopIfTrue="1" operator="notEqual">
      <formula>7.5</formula>
    </cfRule>
  </conditionalFormatting>
  <conditionalFormatting sqref="P188">
    <cfRule type="expression" dxfId="4671" priority="62370" stopIfTrue="1">
      <formula>NOT(ISBLANK($P$188))</formula>
    </cfRule>
  </conditionalFormatting>
  <conditionalFormatting sqref="Q188">
    <cfRule type="expression" dxfId="4670" priority="62371" stopIfTrue="1">
      <formula>NOT(ISBLANK($Q$188))</formula>
    </cfRule>
  </conditionalFormatting>
  <conditionalFormatting sqref="R188">
    <cfRule type="cellIs" dxfId="4669" priority="62372" stopIfTrue="1" operator="notEqual">
      <formula>1</formula>
    </cfRule>
  </conditionalFormatting>
  <conditionalFormatting sqref="S188">
    <cfRule type="cellIs" dxfId="4668" priority="62373" stopIfTrue="1" operator="notEqual">
      <formula>6.7</formula>
    </cfRule>
  </conditionalFormatting>
  <conditionalFormatting sqref="T188">
    <cfRule type="cellIs" dxfId="4667" priority="62374" stopIfTrue="1" operator="notEqual">
      <formula>"upright"</formula>
    </cfRule>
  </conditionalFormatting>
  <conditionalFormatting sqref="U188">
    <cfRule type="cellIs" dxfId="4666" priority="62375" stopIfTrue="1" operator="notEqual">
      <formula>11</formula>
    </cfRule>
  </conditionalFormatting>
  <conditionalFormatting sqref="V188">
    <cfRule type="cellIs" dxfId="4665" priority="62376" stopIfTrue="1" operator="notEqual">
      <formula>7</formula>
    </cfRule>
  </conditionalFormatting>
  <conditionalFormatting sqref="W188">
    <cfRule type="expression" dxfId="4664" priority="62377" stopIfTrue="1">
      <formula>NOT(ISBLANK($W$188))</formula>
    </cfRule>
  </conditionalFormatting>
  <conditionalFormatting sqref="X188">
    <cfRule type="expression" dxfId="4663" priority="62378" stopIfTrue="1">
      <formula>NOT(ISBLANK($X$188))</formula>
    </cfRule>
  </conditionalFormatting>
  <conditionalFormatting sqref="Y188">
    <cfRule type="expression" dxfId="4662" priority="62379" stopIfTrue="1">
      <formula>NOT(ISBLANK($Y$188))</formula>
    </cfRule>
  </conditionalFormatting>
  <conditionalFormatting sqref="Z188">
    <cfRule type="cellIs" dxfId="4661" priority="62380" stopIfTrue="1" operator="notEqual">
      <formula>168</formula>
    </cfRule>
  </conditionalFormatting>
  <conditionalFormatting sqref="AA188">
    <cfRule type="cellIs" dxfId="4660" priority="62381" stopIfTrue="1" operator="notEqual">
      <formula>"POTW"</formula>
    </cfRule>
  </conditionalFormatting>
  <conditionalFormatting sqref="AB188">
    <cfRule type="cellIs" dxfId="4659" priority="62382" stopIfTrue="1" operator="notEqual">
      <formula>"Holding tank"</formula>
    </cfRule>
  </conditionalFormatting>
  <conditionalFormatting sqref="AC188">
    <cfRule type="cellIs" dxfId="4658" priority="62383" stopIfTrue="1" operator="notEqual">
      <formula>"manual transfer"</formula>
    </cfRule>
  </conditionalFormatting>
  <conditionalFormatting sqref="AD188">
    <cfRule type="cellIs" dxfId="4657" priority="62384" stopIfTrue="1" operator="notEqual">
      <formula>"non-hazardous"</formula>
    </cfRule>
  </conditionalFormatting>
  <conditionalFormatting sqref="AE188">
    <cfRule type="expression" dxfId="4656" priority="62385" stopIfTrue="1">
      <formula>NOT(ISBLANK($AE$188))</formula>
    </cfRule>
  </conditionalFormatting>
  <conditionalFormatting sqref="AF188">
    <cfRule type="cellIs" dxfId="4655" priority="62386" stopIfTrue="1" operator="notEqual">
      <formula>0</formula>
    </cfRule>
  </conditionalFormatting>
  <conditionalFormatting sqref="AG188">
    <cfRule type="expression" dxfId="4654" priority="62387" stopIfTrue="1">
      <formula>NOT(ISBLANK($AG$188))</formula>
    </cfRule>
  </conditionalFormatting>
  <conditionalFormatting sqref="AH188">
    <cfRule type="expression" dxfId="4653" priority="62388" stopIfTrue="1">
      <formula>NOT(ISBLANK($AH$188))</formula>
    </cfRule>
  </conditionalFormatting>
  <conditionalFormatting sqref="AI188">
    <cfRule type="cellIs" dxfId="4652" priority="62389" stopIfTrue="1" operator="notEqual">
      <formula>"fully automated"</formula>
    </cfRule>
  </conditionalFormatting>
  <conditionalFormatting sqref="AJ188">
    <cfRule type="expression" dxfId="4651" priority="62390" stopIfTrue="1">
      <formula>NOT(ISBLANK($AJ$188))</formula>
    </cfRule>
  </conditionalFormatting>
  <conditionalFormatting sqref="AK188">
    <cfRule type="expression" dxfId="4650" priority="62391" stopIfTrue="1">
      <formula>NOT(ISBLANK($AK$188))</formula>
    </cfRule>
  </conditionalFormatting>
  <conditionalFormatting sqref="AL188">
    <cfRule type="expression" dxfId="4649" priority="62392" stopIfTrue="1">
      <formula>NOT(ISBLANK($AL$188))</formula>
    </cfRule>
  </conditionalFormatting>
  <conditionalFormatting sqref="AM188">
    <cfRule type="expression" dxfId="4648" priority="62393" stopIfTrue="1">
      <formula>NOT(ISBLANK($AM$188))</formula>
    </cfRule>
  </conditionalFormatting>
  <conditionalFormatting sqref="AN188">
    <cfRule type="expression" dxfId="4647" priority="62394" stopIfTrue="1">
      <formula>NOT(ISBLANK($AN$188))</formula>
    </cfRule>
  </conditionalFormatting>
  <conditionalFormatting sqref="AO188">
    <cfRule type="expression" dxfId="4646" priority="62395" stopIfTrue="1">
      <formula>NOT(ISBLANK($AO$188))</formula>
    </cfRule>
  </conditionalFormatting>
  <conditionalFormatting sqref="AP188">
    <cfRule type="expression" dxfId="4645" priority="62396" stopIfTrue="1">
      <formula>NOT(ISBLANK($AP$188))</formula>
    </cfRule>
  </conditionalFormatting>
  <conditionalFormatting sqref="AQ188">
    <cfRule type="expression" dxfId="4644" priority="62397" stopIfTrue="1">
      <formula>NOT(ISBLANK($AQ$188))</formula>
    </cfRule>
  </conditionalFormatting>
  <conditionalFormatting sqref="A189">
    <cfRule type="cellIs" dxfId="4643" priority="62398" stopIfTrue="1" operator="notEqual">
      <formula>12</formula>
    </cfRule>
  </conditionalFormatting>
  <conditionalFormatting sqref="B189">
    <cfRule type="cellIs" dxfId="4642" priority="62399" stopIfTrue="1" operator="notEqual">
      <formula>1</formula>
    </cfRule>
  </conditionalFormatting>
  <conditionalFormatting sqref="C189">
    <cfRule type="cellIs" dxfId="4641" priority="62400" stopIfTrue="1" operator="notEqual">
      <formula>5</formula>
    </cfRule>
  </conditionalFormatting>
  <conditionalFormatting sqref="D189">
    <cfRule type="cellIs" dxfId="4640" priority="62401" stopIfTrue="1" operator="notEqual">
      <formula>2.152</formula>
    </cfRule>
  </conditionalFormatting>
  <conditionalFormatting sqref="E189">
    <cfRule type="cellIs" dxfId="4639" priority="62402" stopIfTrue="1" operator="notEqual">
      <formula>"MGD"</formula>
    </cfRule>
  </conditionalFormatting>
  <conditionalFormatting sqref="F189">
    <cfRule type="cellIs" dxfId="4638" priority="62403" stopIfTrue="1" operator="notEqual">
      <formula>0.819</formula>
    </cfRule>
  </conditionalFormatting>
  <conditionalFormatting sqref="G189">
    <cfRule type="cellIs" dxfId="4637" priority="62404" stopIfTrue="1" operator="notEqual">
      <formula>"MGD"</formula>
    </cfRule>
  </conditionalFormatting>
  <conditionalFormatting sqref="H189">
    <cfRule type="cellIs" dxfId="4636" priority="62405" stopIfTrue="1" operator="notEqual">
      <formula>"regeneration off-site (non-hazardous)"</formula>
    </cfRule>
  </conditionalFormatting>
  <conditionalFormatting sqref="I189">
    <cfRule type="cellIs" dxfId="4635" priority="62406" stopIfTrue="1" operator="notEqual">
      <formula>"carbon life value- bed volumes"</formula>
    </cfRule>
  </conditionalFormatting>
  <conditionalFormatting sqref="J189">
    <cfRule type="cellIs" dxfId="4634" priority="62407" stopIfTrue="1" operator="notEqual">
      <formula>16900</formula>
    </cfRule>
  </conditionalFormatting>
  <conditionalFormatting sqref="K189">
    <cfRule type="expression" dxfId="4633" priority="62408" stopIfTrue="1">
      <formula>NOT(ISBLANK($K$189))</formula>
    </cfRule>
  </conditionalFormatting>
  <conditionalFormatting sqref="L189">
    <cfRule type="expression" dxfId="4632" priority="62409" stopIfTrue="1">
      <formula>NOT(ISBLANK($L$189))</formula>
    </cfRule>
  </conditionalFormatting>
  <conditionalFormatting sqref="M189">
    <cfRule type="expression" dxfId="4631" priority="62410" stopIfTrue="1">
      <formula>NOT(ISBLANK($M$189))</formula>
    </cfRule>
  </conditionalFormatting>
  <conditionalFormatting sqref="N189">
    <cfRule type="cellIs" dxfId="4630" priority="62411" stopIfTrue="1" operator="notEqual">
      <formula>"EBCT"</formula>
    </cfRule>
  </conditionalFormatting>
  <conditionalFormatting sqref="O189">
    <cfRule type="cellIs" dxfId="4629" priority="62412" stopIfTrue="1" operator="notEqual">
      <formula>7.5</formula>
    </cfRule>
  </conditionalFormatting>
  <conditionalFormatting sqref="P189">
    <cfRule type="expression" dxfId="4628" priority="62413" stopIfTrue="1">
      <formula>NOT(ISBLANK($P$189))</formula>
    </cfRule>
  </conditionalFormatting>
  <conditionalFormatting sqref="Q189">
    <cfRule type="expression" dxfId="4627" priority="62414" stopIfTrue="1">
      <formula>NOT(ISBLANK($Q$189))</formula>
    </cfRule>
  </conditionalFormatting>
  <conditionalFormatting sqref="R189">
    <cfRule type="cellIs" dxfId="4626" priority="62415" stopIfTrue="1" operator="notEqual">
      <formula>1</formula>
    </cfRule>
  </conditionalFormatting>
  <conditionalFormatting sqref="S189">
    <cfRule type="cellIs" dxfId="4625" priority="62416" stopIfTrue="1" operator="notEqual">
      <formula>6.7</formula>
    </cfRule>
  </conditionalFormatting>
  <conditionalFormatting sqref="T189">
    <cfRule type="cellIs" dxfId="4624" priority="62417" stopIfTrue="1" operator="notEqual">
      <formula>"upright"</formula>
    </cfRule>
  </conditionalFormatting>
  <conditionalFormatting sqref="U189">
    <cfRule type="cellIs" dxfId="4623" priority="62418" stopIfTrue="1" operator="notEqual">
      <formula>11</formula>
    </cfRule>
  </conditionalFormatting>
  <conditionalFormatting sqref="V189">
    <cfRule type="cellIs" dxfId="4622" priority="62419" stopIfTrue="1" operator="notEqual">
      <formula>8.5</formula>
    </cfRule>
  </conditionalFormatting>
  <conditionalFormatting sqref="W189">
    <cfRule type="expression" dxfId="4621" priority="62420" stopIfTrue="1">
      <formula>NOT(ISBLANK($W$189))</formula>
    </cfRule>
  </conditionalFormatting>
  <conditionalFormatting sqref="X189">
    <cfRule type="expression" dxfId="4620" priority="62421" stopIfTrue="1">
      <formula>NOT(ISBLANK($X$189))</formula>
    </cfRule>
  </conditionalFormatting>
  <conditionalFormatting sqref="Y189">
    <cfRule type="expression" dxfId="4619" priority="62422" stopIfTrue="1">
      <formula>NOT(ISBLANK($Y$189))</formula>
    </cfRule>
  </conditionalFormatting>
  <conditionalFormatting sqref="Z189">
    <cfRule type="cellIs" dxfId="4618" priority="62423" stopIfTrue="1" operator="notEqual">
      <formula>168</formula>
    </cfRule>
  </conditionalFormatting>
  <conditionalFormatting sqref="AA189">
    <cfRule type="cellIs" dxfId="4617" priority="62424" stopIfTrue="1" operator="notEqual">
      <formula>"POTW"</formula>
    </cfRule>
  </conditionalFormatting>
  <conditionalFormatting sqref="AB189">
    <cfRule type="cellIs" dxfId="4616" priority="62425" stopIfTrue="1" operator="notEqual">
      <formula>"Holding tank"</formula>
    </cfRule>
  </conditionalFormatting>
  <conditionalFormatting sqref="AC189">
    <cfRule type="cellIs" dxfId="4615" priority="62426" stopIfTrue="1" operator="notEqual">
      <formula>"eductors"</formula>
    </cfRule>
  </conditionalFormatting>
  <conditionalFormatting sqref="AD189">
    <cfRule type="cellIs" dxfId="4614" priority="62427" stopIfTrue="1" operator="notEqual">
      <formula>"non-hazardous"</formula>
    </cfRule>
  </conditionalFormatting>
  <conditionalFormatting sqref="AE189">
    <cfRule type="expression" dxfId="4613" priority="62428" stopIfTrue="1">
      <formula>NOT(ISBLANK($AE$189))</formula>
    </cfRule>
  </conditionalFormatting>
  <conditionalFormatting sqref="AF189">
    <cfRule type="cellIs" dxfId="4612" priority="62429" stopIfTrue="1" operator="notEqual">
      <formula>0</formula>
    </cfRule>
  </conditionalFormatting>
  <conditionalFormatting sqref="AG189">
    <cfRule type="expression" dxfId="4611" priority="62430" stopIfTrue="1">
      <formula>NOT(ISBLANK($AG$189))</formula>
    </cfRule>
  </conditionalFormatting>
  <conditionalFormatting sqref="AH189">
    <cfRule type="expression" dxfId="4610" priority="62431" stopIfTrue="1">
      <formula>NOT(ISBLANK($AH$189))</formula>
    </cfRule>
  </conditionalFormatting>
  <conditionalFormatting sqref="AI189">
    <cfRule type="cellIs" dxfId="4609" priority="62432" stopIfTrue="1" operator="notEqual">
      <formula>"fully automated"</formula>
    </cfRule>
  </conditionalFormatting>
  <conditionalFormatting sqref="AJ189">
    <cfRule type="expression" dxfId="4608" priority="62433" stopIfTrue="1">
      <formula>NOT(ISBLANK($AJ$189))</formula>
    </cfRule>
  </conditionalFormatting>
  <conditionalFormatting sqref="AK189">
    <cfRule type="expression" dxfId="4607" priority="62434" stopIfTrue="1">
      <formula>NOT(ISBLANK($AK$189))</formula>
    </cfRule>
  </conditionalFormatting>
  <conditionalFormatting sqref="AL189">
    <cfRule type="expression" dxfId="4606" priority="62435" stopIfTrue="1">
      <formula>NOT(ISBLANK($AL$189))</formula>
    </cfRule>
  </conditionalFormatting>
  <conditionalFormatting sqref="AM189">
    <cfRule type="expression" dxfId="4605" priority="62436" stopIfTrue="1">
      <formula>NOT(ISBLANK($AM$189))</formula>
    </cfRule>
  </conditionalFormatting>
  <conditionalFormatting sqref="AN189">
    <cfRule type="expression" dxfId="4604" priority="62437" stopIfTrue="1">
      <formula>NOT(ISBLANK($AN$189))</formula>
    </cfRule>
  </conditionalFormatting>
  <conditionalFormatting sqref="AO189">
    <cfRule type="expression" dxfId="4603" priority="62438" stopIfTrue="1">
      <formula>NOT(ISBLANK($AO$189))</formula>
    </cfRule>
  </conditionalFormatting>
  <conditionalFormatting sqref="AP189">
    <cfRule type="expression" dxfId="4602" priority="62439" stopIfTrue="1">
      <formula>NOT(ISBLANK($AP$189))</formula>
    </cfRule>
  </conditionalFormatting>
  <conditionalFormatting sqref="AQ189">
    <cfRule type="expression" dxfId="4601" priority="62440" stopIfTrue="1">
      <formula>NOT(ISBLANK($AQ$189))</formula>
    </cfRule>
  </conditionalFormatting>
  <conditionalFormatting sqref="A190">
    <cfRule type="cellIs" dxfId="4600" priority="62441" stopIfTrue="1" operator="notEqual">
      <formula>12</formula>
    </cfRule>
  </conditionalFormatting>
  <conditionalFormatting sqref="B190">
    <cfRule type="cellIs" dxfId="4599" priority="62442" stopIfTrue="1" operator="notEqual">
      <formula>1</formula>
    </cfRule>
  </conditionalFormatting>
  <conditionalFormatting sqref="C190">
    <cfRule type="cellIs" dxfId="4598" priority="62443" stopIfTrue="1" operator="notEqual">
      <formula>6</formula>
    </cfRule>
  </conditionalFormatting>
  <conditionalFormatting sqref="D190">
    <cfRule type="cellIs" dxfId="4597" priority="62444" stopIfTrue="1" operator="notEqual">
      <formula>7.365</formula>
    </cfRule>
  </conditionalFormatting>
  <conditionalFormatting sqref="E190">
    <cfRule type="cellIs" dxfId="4596" priority="62445" stopIfTrue="1" operator="notEqual">
      <formula>"MGD"</formula>
    </cfRule>
  </conditionalFormatting>
  <conditionalFormatting sqref="F190">
    <cfRule type="cellIs" dxfId="4595" priority="62446" stopIfTrue="1" operator="notEqual">
      <formula>3.2</formula>
    </cfRule>
  </conditionalFormatting>
  <conditionalFormatting sqref="G190">
    <cfRule type="cellIs" dxfId="4594" priority="62447" stopIfTrue="1" operator="notEqual">
      <formula>"MGD"</formula>
    </cfRule>
  </conditionalFormatting>
  <conditionalFormatting sqref="H190">
    <cfRule type="cellIs" dxfId="4593" priority="62448" stopIfTrue="1" operator="notEqual">
      <formula>"regeneration off-site (non-hazardous)"</formula>
    </cfRule>
  </conditionalFormatting>
  <conditionalFormatting sqref="I190">
    <cfRule type="cellIs" dxfId="4592" priority="62449" stopIfTrue="1" operator="notEqual">
      <formula>"carbon life value- bed volumes"</formula>
    </cfRule>
  </conditionalFormatting>
  <conditionalFormatting sqref="J190">
    <cfRule type="cellIs" dxfId="4591" priority="62450" stopIfTrue="1" operator="notEqual">
      <formula>16900</formula>
    </cfRule>
  </conditionalFormatting>
  <conditionalFormatting sqref="K190">
    <cfRule type="expression" dxfId="4590" priority="62451" stopIfTrue="1">
      <formula>NOT(ISBLANK($K$190))</formula>
    </cfRule>
  </conditionalFormatting>
  <conditionalFormatting sqref="L190">
    <cfRule type="expression" dxfId="4589" priority="62452" stopIfTrue="1">
      <formula>NOT(ISBLANK($L$190))</formula>
    </cfRule>
  </conditionalFormatting>
  <conditionalFormatting sqref="M190">
    <cfRule type="expression" dxfId="4588" priority="62453" stopIfTrue="1">
      <formula>NOT(ISBLANK($M$190))</formula>
    </cfRule>
  </conditionalFormatting>
  <conditionalFormatting sqref="N190">
    <cfRule type="cellIs" dxfId="4587" priority="62454" stopIfTrue="1" operator="notEqual">
      <formula>"EBCT"</formula>
    </cfRule>
  </conditionalFormatting>
  <conditionalFormatting sqref="O190">
    <cfRule type="cellIs" dxfId="4586" priority="62455" stopIfTrue="1" operator="notEqual">
      <formula>7.5</formula>
    </cfRule>
  </conditionalFormatting>
  <conditionalFormatting sqref="P190">
    <cfRule type="expression" dxfId="4585" priority="62456" stopIfTrue="1">
      <formula>NOT(ISBLANK($P$190))</formula>
    </cfRule>
  </conditionalFormatting>
  <conditionalFormatting sqref="Q190">
    <cfRule type="expression" dxfId="4584" priority="62457" stopIfTrue="1">
      <formula>NOT(ISBLANK($Q$190))</formula>
    </cfRule>
  </conditionalFormatting>
  <conditionalFormatting sqref="R190">
    <cfRule type="cellIs" dxfId="4583" priority="62458" stopIfTrue="1" operator="notEqual">
      <formula>1</formula>
    </cfRule>
  </conditionalFormatting>
  <conditionalFormatting sqref="S190">
    <cfRule type="cellIs" dxfId="4582" priority="62459" stopIfTrue="1" operator="notEqual">
      <formula>6.2</formula>
    </cfRule>
  </conditionalFormatting>
  <conditionalFormatting sqref="T190">
    <cfRule type="cellIs" dxfId="4581" priority="62460" stopIfTrue="1" operator="notEqual">
      <formula>"horizontal"</formula>
    </cfRule>
  </conditionalFormatting>
  <conditionalFormatting sqref="U190">
    <cfRule type="cellIs" dxfId="4580" priority="62461" stopIfTrue="1" operator="notEqual">
      <formula>20</formula>
    </cfRule>
  </conditionalFormatting>
  <conditionalFormatting sqref="V190">
    <cfRule type="cellIs" dxfId="4579" priority="62462" stopIfTrue="1" operator="notEqual">
      <formula>14</formula>
    </cfRule>
  </conditionalFormatting>
  <conditionalFormatting sqref="W190">
    <cfRule type="expression" dxfId="4578" priority="62463" stopIfTrue="1">
      <formula>NOT(ISBLANK($W$190))</formula>
    </cfRule>
  </conditionalFormatting>
  <conditionalFormatting sqref="X190">
    <cfRule type="expression" dxfId="4577" priority="62464" stopIfTrue="1">
      <formula>NOT(ISBLANK($X$190))</formula>
    </cfRule>
  </conditionalFormatting>
  <conditionalFormatting sqref="Y190">
    <cfRule type="expression" dxfId="4576" priority="62465" stopIfTrue="1">
      <formula>NOT(ISBLANK($Y$190))</formula>
    </cfRule>
  </conditionalFormatting>
  <conditionalFormatting sqref="Z190">
    <cfRule type="cellIs" dxfId="4575" priority="62466" stopIfTrue="1" operator="notEqual">
      <formula>168</formula>
    </cfRule>
  </conditionalFormatting>
  <conditionalFormatting sqref="AA190">
    <cfRule type="cellIs" dxfId="4574" priority="62467" stopIfTrue="1" operator="notEqual">
      <formula>"POTW"</formula>
    </cfRule>
  </conditionalFormatting>
  <conditionalFormatting sqref="AB190">
    <cfRule type="cellIs" dxfId="4573" priority="62468" stopIfTrue="1" operator="notEqual">
      <formula>"Holding tank"</formula>
    </cfRule>
  </conditionalFormatting>
  <conditionalFormatting sqref="AC190">
    <cfRule type="cellIs" dxfId="4572" priority="62469" stopIfTrue="1" operator="notEqual">
      <formula>"eductors"</formula>
    </cfRule>
  </conditionalFormatting>
  <conditionalFormatting sqref="AD190">
    <cfRule type="cellIs" dxfId="4571" priority="62470" stopIfTrue="1" operator="notEqual">
      <formula>"non-hazardous"</formula>
    </cfRule>
  </conditionalFormatting>
  <conditionalFormatting sqref="AE190">
    <cfRule type="expression" dxfId="4570" priority="62471" stopIfTrue="1">
      <formula>NOT(ISBLANK($AE$190))</formula>
    </cfRule>
  </conditionalFormatting>
  <conditionalFormatting sqref="AF190">
    <cfRule type="cellIs" dxfId="4569" priority="62472" stopIfTrue="1" operator="notEqual">
      <formula>0</formula>
    </cfRule>
  </conditionalFormatting>
  <conditionalFormatting sqref="AG190">
    <cfRule type="expression" dxfId="4568" priority="62473" stopIfTrue="1">
      <formula>NOT(ISBLANK($AG$190))</formula>
    </cfRule>
  </conditionalFormatting>
  <conditionalFormatting sqref="AH190">
    <cfRule type="expression" dxfId="4567" priority="62474" stopIfTrue="1">
      <formula>NOT(ISBLANK($AH$190))</formula>
    </cfRule>
  </conditionalFormatting>
  <conditionalFormatting sqref="AI190">
    <cfRule type="cellIs" dxfId="4566" priority="62475" stopIfTrue="1" operator="notEqual">
      <formula>"fully automated"</formula>
    </cfRule>
  </conditionalFormatting>
  <conditionalFormatting sqref="AJ190">
    <cfRule type="expression" dxfId="4565" priority="62476" stopIfTrue="1">
      <formula>NOT(ISBLANK($AJ$190))</formula>
    </cfRule>
  </conditionalFormatting>
  <conditionalFormatting sqref="AK190">
    <cfRule type="expression" dxfId="4564" priority="62477" stopIfTrue="1">
      <formula>NOT(ISBLANK($AK$190))</formula>
    </cfRule>
  </conditionalFormatting>
  <conditionalFormatting sqref="AL190">
    <cfRule type="expression" dxfId="4563" priority="62478" stopIfTrue="1">
      <formula>NOT(ISBLANK($AL$190))</formula>
    </cfRule>
  </conditionalFormatting>
  <conditionalFormatting sqref="AM190">
    <cfRule type="expression" dxfId="4562" priority="62479" stopIfTrue="1">
      <formula>NOT(ISBLANK($AM$190))</formula>
    </cfRule>
  </conditionalFormatting>
  <conditionalFormatting sqref="AN190">
    <cfRule type="expression" dxfId="4561" priority="62480" stopIfTrue="1">
      <formula>NOT(ISBLANK($AN$190))</formula>
    </cfRule>
  </conditionalFormatting>
  <conditionalFormatting sqref="AO190">
    <cfRule type="expression" dxfId="4560" priority="62481" stopIfTrue="1">
      <formula>NOT(ISBLANK($AO$190))</formula>
    </cfRule>
  </conditionalFormatting>
  <conditionalFormatting sqref="AP190">
    <cfRule type="expression" dxfId="4559" priority="62482" stopIfTrue="1">
      <formula>NOT(ISBLANK($AP$190))</formula>
    </cfRule>
  </conditionalFormatting>
  <conditionalFormatting sqref="AQ190">
    <cfRule type="expression" dxfId="4558" priority="62483" stopIfTrue="1">
      <formula>NOT(ISBLANK($AQ$190))</formula>
    </cfRule>
  </conditionalFormatting>
  <conditionalFormatting sqref="A191">
    <cfRule type="cellIs" dxfId="4557" priority="62484" stopIfTrue="1" operator="notEqual">
      <formula>12</formula>
    </cfRule>
  </conditionalFormatting>
  <conditionalFormatting sqref="B191">
    <cfRule type="cellIs" dxfId="4556" priority="62485" stopIfTrue="1" operator="notEqual">
      <formula>1</formula>
    </cfRule>
  </conditionalFormatting>
  <conditionalFormatting sqref="C191">
    <cfRule type="cellIs" dxfId="4555" priority="62486" stopIfTrue="1" operator="notEqual">
      <formula>7</formula>
    </cfRule>
  </conditionalFormatting>
  <conditionalFormatting sqref="D191">
    <cfRule type="cellIs" dxfId="4554" priority="62487" stopIfTrue="1" operator="notEqual">
      <formula>22.614</formula>
    </cfRule>
  </conditionalFormatting>
  <conditionalFormatting sqref="E191">
    <cfRule type="cellIs" dxfId="4553" priority="62488" stopIfTrue="1" operator="notEqual">
      <formula>"MGD"</formula>
    </cfRule>
  </conditionalFormatting>
  <conditionalFormatting sqref="F191">
    <cfRule type="cellIs" dxfId="4552" priority="62489" stopIfTrue="1" operator="notEqual">
      <formula>11.066</formula>
    </cfRule>
  </conditionalFormatting>
  <conditionalFormatting sqref="G191">
    <cfRule type="cellIs" dxfId="4551" priority="62490" stopIfTrue="1" operator="notEqual">
      <formula>"MGD"</formula>
    </cfRule>
  </conditionalFormatting>
  <conditionalFormatting sqref="H191">
    <cfRule type="cellIs" dxfId="4550" priority="62491" stopIfTrue="1" operator="notEqual">
      <formula>"regeneration off-site (non-hazardous)"</formula>
    </cfRule>
  </conditionalFormatting>
  <conditionalFormatting sqref="I191">
    <cfRule type="cellIs" dxfId="4549" priority="62492" stopIfTrue="1" operator="notEqual">
      <formula>"carbon life value- bed volumes"</formula>
    </cfRule>
  </conditionalFormatting>
  <conditionalFormatting sqref="J191">
    <cfRule type="cellIs" dxfId="4548" priority="62493" stopIfTrue="1" operator="notEqual">
      <formula>16900</formula>
    </cfRule>
  </conditionalFormatting>
  <conditionalFormatting sqref="K191">
    <cfRule type="expression" dxfId="4547" priority="62494" stopIfTrue="1">
      <formula>NOT(ISBLANK($K$191))</formula>
    </cfRule>
  </conditionalFormatting>
  <conditionalFormatting sqref="L191">
    <cfRule type="expression" dxfId="4546" priority="62495" stopIfTrue="1">
      <formula>NOT(ISBLANK($L$191))</formula>
    </cfRule>
  </conditionalFormatting>
  <conditionalFormatting sqref="M191">
    <cfRule type="expression" dxfId="4545" priority="62496" stopIfTrue="1">
      <formula>NOT(ISBLANK($M$191))</formula>
    </cfRule>
  </conditionalFormatting>
  <conditionalFormatting sqref="N191">
    <cfRule type="cellIs" dxfId="4544" priority="62497" stopIfTrue="1" operator="notEqual">
      <formula>"EBCT"</formula>
    </cfRule>
  </conditionalFormatting>
  <conditionalFormatting sqref="O191">
    <cfRule type="cellIs" dxfId="4543" priority="62498" stopIfTrue="1" operator="notEqual">
      <formula>7.5</formula>
    </cfRule>
  </conditionalFormatting>
  <conditionalFormatting sqref="P191">
    <cfRule type="expression" dxfId="4542" priority="62499" stopIfTrue="1">
      <formula>NOT(ISBLANK($P$191))</formula>
    </cfRule>
  </conditionalFormatting>
  <conditionalFormatting sqref="Q191">
    <cfRule type="expression" dxfId="4541" priority="62500" stopIfTrue="1">
      <formula>NOT(ISBLANK($Q$191))</formula>
    </cfRule>
  </conditionalFormatting>
  <conditionalFormatting sqref="R191">
    <cfRule type="cellIs" dxfId="4540" priority="62501" stopIfTrue="1" operator="notEqual">
      <formula>1</formula>
    </cfRule>
  </conditionalFormatting>
  <conditionalFormatting sqref="S191">
    <cfRule type="cellIs" dxfId="4539" priority="62502" stopIfTrue="1" operator="notEqual">
      <formula>7.1</formula>
    </cfRule>
  </conditionalFormatting>
  <conditionalFormatting sqref="T191">
    <cfRule type="cellIs" dxfId="4538" priority="62503" stopIfTrue="1" operator="notEqual">
      <formula>"horizontal"</formula>
    </cfRule>
  </conditionalFormatting>
  <conditionalFormatting sqref="U191">
    <cfRule type="cellIs" dxfId="4537" priority="62504" stopIfTrue="1" operator="notEqual">
      <formula>20</formula>
    </cfRule>
  </conditionalFormatting>
  <conditionalFormatting sqref="V191">
    <cfRule type="cellIs" dxfId="4536" priority="62505" stopIfTrue="1" operator="notEqual">
      <formula>14</formula>
    </cfRule>
  </conditionalFormatting>
  <conditionalFormatting sqref="W191">
    <cfRule type="expression" dxfId="4535" priority="62506" stopIfTrue="1">
      <formula>NOT(ISBLANK($W$191))</formula>
    </cfRule>
  </conditionalFormatting>
  <conditionalFormatting sqref="X191">
    <cfRule type="expression" dxfId="4534" priority="62507" stopIfTrue="1">
      <formula>NOT(ISBLANK($X$191))</formula>
    </cfRule>
  </conditionalFormatting>
  <conditionalFormatting sqref="Y191">
    <cfRule type="expression" dxfId="4533" priority="62508" stopIfTrue="1">
      <formula>NOT(ISBLANK($Y$191))</formula>
    </cfRule>
  </conditionalFormatting>
  <conditionalFormatting sqref="Z191">
    <cfRule type="cellIs" dxfId="4532" priority="62509" stopIfTrue="1" operator="notEqual">
      <formula>168</formula>
    </cfRule>
  </conditionalFormatting>
  <conditionalFormatting sqref="AA191">
    <cfRule type="cellIs" dxfId="4531" priority="62510" stopIfTrue="1" operator="notEqual">
      <formula>"POTW"</formula>
    </cfRule>
  </conditionalFormatting>
  <conditionalFormatting sqref="AB191">
    <cfRule type="cellIs" dxfId="4530" priority="62511" stopIfTrue="1" operator="notEqual">
      <formula>"Holding tank"</formula>
    </cfRule>
  </conditionalFormatting>
  <conditionalFormatting sqref="AC191">
    <cfRule type="cellIs" dxfId="4529" priority="62512" stopIfTrue="1" operator="notEqual">
      <formula>"eductors"</formula>
    </cfRule>
  </conditionalFormatting>
  <conditionalFormatting sqref="AD191">
    <cfRule type="cellIs" dxfId="4528" priority="62513" stopIfTrue="1" operator="notEqual">
      <formula>"non-hazardous"</formula>
    </cfRule>
  </conditionalFormatting>
  <conditionalFormatting sqref="AE191">
    <cfRule type="expression" dxfId="4527" priority="62514" stopIfTrue="1">
      <formula>NOT(ISBLANK($AE$191))</formula>
    </cfRule>
  </conditionalFormatting>
  <conditionalFormatting sqref="AF191">
    <cfRule type="cellIs" dxfId="4526" priority="62515" stopIfTrue="1" operator="notEqual">
      <formula>0</formula>
    </cfRule>
  </conditionalFormatting>
  <conditionalFormatting sqref="AG191">
    <cfRule type="expression" dxfId="4525" priority="62516" stopIfTrue="1">
      <formula>NOT(ISBLANK($AG$191))</formula>
    </cfRule>
  </conditionalFormatting>
  <conditionalFormatting sqref="AH191">
    <cfRule type="expression" dxfId="4524" priority="62517" stopIfTrue="1">
      <formula>NOT(ISBLANK($AH$191))</formula>
    </cfRule>
  </conditionalFormatting>
  <conditionalFormatting sqref="AI191">
    <cfRule type="cellIs" dxfId="4523" priority="62518" stopIfTrue="1" operator="notEqual">
      <formula>"fully automated"</formula>
    </cfRule>
  </conditionalFormatting>
  <conditionalFormatting sqref="AJ191">
    <cfRule type="expression" dxfId="4522" priority="62519" stopIfTrue="1">
      <formula>NOT(ISBLANK($AJ$191))</formula>
    </cfRule>
  </conditionalFormatting>
  <conditionalFormatting sqref="AK191">
    <cfRule type="expression" dxfId="4521" priority="62520" stopIfTrue="1">
      <formula>NOT(ISBLANK($AK$191))</formula>
    </cfRule>
  </conditionalFormatting>
  <conditionalFormatting sqref="AL191">
    <cfRule type="expression" dxfId="4520" priority="62521" stopIfTrue="1">
      <formula>NOT(ISBLANK($AL$191))</formula>
    </cfRule>
  </conditionalFormatting>
  <conditionalFormatting sqref="AM191">
    <cfRule type="expression" dxfId="4519" priority="62522" stopIfTrue="1">
      <formula>NOT(ISBLANK($AM$191))</formula>
    </cfRule>
  </conditionalFormatting>
  <conditionalFormatting sqref="AN191">
    <cfRule type="expression" dxfId="4518" priority="62523" stopIfTrue="1">
      <formula>NOT(ISBLANK($AN$191))</formula>
    </cfRule>
  </conditionalFormatting>
  <conditionalFormatting sqref="AO191">
    <cfRule type="expression" dxfId="4517" priority="62524" stopIfTrue="1">
      <formula>NOT(ISBLANK($AO$191))</formula>
    </cfRule>
  </conditionalFormatting>
  <conditionalFormatting sqref="AP191">
    <cfRule type="expression" dxfId="4516" priority="62525" stopIfTrue="1">
      <formula>NOT(ISBLANK($AP$191))</formula>
    </cfRule>
  </conditionalFormatting>
  <conditionalFormatting sqref="AQ191">
    <cfRule type="expression" dxfId="4515" priority="62526" stopIfTrue="1">
      <formula>NOT(ISBLANK($AQ$191))</formula>
    </cfRule>
  </conditionalFormatting>
  <conditionalFormatting sqref="A192">
    <cfRule type="cellIs" dxfId="4514" priority="62527" stopIfTrue="1" operator="notEqual">
      <formula>12</formula>
    </cfRule>
  </conditionalFormatting>
  <conditionalFormatting sqref="B192">
    <cfRule type="cellIs" dxfId="4513" priority="62528" stopIfTrue="1" operator="notEqual">
      <formula>1</formula>
    </cfRule>
  </conditionalFormatting>
  <conditionalFormatting sqref="C192">
    <cfRule type="cellIs" dxfId="4512" priority="62529" stopIfTrue="1" operator="notEqual">
      <formula>8</formula>
    </cfRule>
  </conditionalFormatting>
  <conditionalFormatting sqref="D192">
    <cfRule type="cellIs" dxfId="4511" priority="62530" stopIfTrue="1" operator="notEqual">
      <formula>75.072</formula>
    </cfRule>
  </conditionalFormatting>
  <conditionalFormatting sqref="E192">
    <cfRule type="cellIs" dxfId="4510" priority="62531" stopIfTrue="1" operator="notEqual">
      <formula>"MGD"</formula>
    </cfRule>
  </conditionalFormatting>
  <conditionalFormatting sqref="F192">
    <cfRule type="cellIs" dxfId="4509" priority="62532" stopIfTrue="1" operator="notEqual">
      <formula>37.536</formula>
    </cfRule>
  </conditionalFormatting>
  <conditionalFormatting sqref="G192">
    <cfRule type="cellIs" dxfId="4508" priority="62533" stopIfTrue="1" operator="notEqual">
      <formula>"MGD"</formula>
    </cfRule>
  </conditionalFormatting>
  <conditionalFormatting sqref="H192">
    <cfRule type="cellIs" dxfId="4507" priority="62534" stopIfTrue="1" operator="notEqual">
      <formula>"regeneration off-site (non-hazardous)"</formula>
    </cfRule>
  </conditionalFormatting>
  <conditionalFormatting sqref="I192">
    <cfRule type="cellIs" dxfId="4506" priority="62535" stopIfTrue="1" operator="notEqual">
      <formula>"carbon life value- bed volumes"</formula>
    </cfRule>
  </conditionalFormatting>
  <conditionalFormatting sqref="J192">
    <cfRule type="cellIs" dxfId="4505" priority="62536" stopIfTrue="1" operator="notEqual">
      <formula>16900</formula>
    </cfRule>
  </conditionalFormatting>
  <conditionalFormatting sqref="K192">
    <cfRule type="expression" dxfId="4504" priority="62537" stopIfTrue="1">
      <formula>NOT(ISBLANK($K$192))</formula>
    </cfRule>
  </conditionalFormatting>
  <conditionalFormatting sqref="L192">
    <cfRule type="expression" dxfId="4503" priority="62538" stopIfTrue="1">
      <formula>NOT(ISBLANK($L$192))</formula>
    </cfRule>
  </conditionalFormatting>
  <conditionalFormatting sqref="M192">
    <cfRule type="expression" dxfId="4502" priority="62539" stopIfTrue="1">
      <formula>NOT(ISBLANK($M$192))</formula>
    </cfRule>
  </conditionalFormatting>
  <conditionalFormatting sqref="N192">
    <cfRule type="cellIs" dxfId="4501" priority="62540" stopIfTrue="1" operator="notEqual">
      <formula>"EBCT"</formula>
    </cfRule>
  </conditionalFormatting>
  <conditionalFormatting sqref="O192">
    <cfRule type="cellIs" dxfId="4500" priority="62541" stopIfTrue="1" operator="notEqual">
      <formula>7.5</formula>
    </cfRule>
  </conditionalFormatting>
  <conditionalFormatting sqref="P192">
    <cfRule type="expression" dxfId="4499" priority="62542" stopIfTrue="1">
      <formula>NOT(ISBLANK($P$192))</formula>
    </cfRule>
  </conditionalFormatting>
  <conditionalFormatting sqref="Q192">
    <cfRule type="expression" dxfId="4498" priority="62543" stopIfTrue="1">
      <formula>NOT(ISBLANK($Q$192))</formula>
    </cfRule>
  </conditionalFormatting>
  <conditionalFormatting sqref="R192">
    <cfRule type="cellIs" dxfId="4497" priority="62544" stopIfTrue="1" operator="notEqual">
      <formula>1</formula>
    </cfRule>
  </conditionalFormatting>
  <conditionalFormatting sqref="S192">
    <cfRule type="cellIs" dxfId="4496" priority="62545" stopIfTrue="1" operator="notEqual">
      <formula>7.2</formula>
    </cfRule>
  </conditionalFormatting>
  <conditionalFormatting sqref="T192">
    <cfRule type="cellIs" dxfId="4495" priority="62546" stopIfTrue="1" operator="notEqual">
      <formula>"horizontal"</formula>
    </cfRule>
  </conditionalFormatting>
  <conditionalFormatting sqref="U192">
    <cfRule type="cellIs" dxfId="4494" priority="62547" stopIfTrue="1" operator="notEqual">
      <formula>20</formula>
    </cfRule>
  </conditionalFormatting>
  <conditionalFormatting sqref="V192">
    <cfRule type="cellIs" dxfId="4493" priority="62548" stopIfTrue="1" operator="notEqual">
      <formula>14</formula>
    </cfRule>
  </conditionalFormatting>
  <conditionalFormatting sqref="W192">
    <cfRule type="expression" dxfId="4492" priority="62549" stopIfTrue="1">
      <formula>NOT(ISBLANK($W$192))</formula>
    </cfRule>
  </conditionalFormatting>
  <conditionalFormatting sqref="X192">
    <cfRule type="expression" dxfId="4491" priority="62550" stopIfTrue="1">
      <formula>NOT(ISBLANK($X$192))</formula>
    </cfRule>
  </conditionalFormatting>
  <conditionalFormatting sqref="Y192">
    <cfRule type="expression" dxfId="4490" priority="62551" stopIfTrue="1">
      <formula>NOT(ISBLANK($Y$192))</formula>
    </cfRule>
  </conditionalFormatting>
  <conditionalFormatting sqref="Z192">
    <cfRule type="cellIs" dxfId="4489" priority="62552" stopIfTrue="1" operator="notEqual">
      <formula>168</formula>
    </cfRule>
  </conditionalFormatting>
  <conditionalFormatting sqref="AA192">
    <cfRule type="cellIs" dxfId="4488" priority="62553" stopIfTrue="1" operator="notEqual">
      <formula>"POTW"</formula>
    </cfRule>
  </conditionalFormatting>
  <conditionalFormatting sqref="AB192">
    <cfRule type="cellIs" dxfId="4487" priority="62554" stopIfTrue="1" operator="notEqual">
      <formula>"Holding tank"</formula>
    </cfRule>
  </conditionalFormatting>
  <conditionalFormatting sqref="AC192">
    <cfRule type="cellIs" dxfId="4486" priority="62555" stopIfTrue="1" operator="notEqual">
      <formula>"eductors"</formula>
    </cfRule>
  </conditionalFormatting>
  <conditionalFormatting sqref="AD192">
    <cfRule type="cellIs" dxfId="4485" priority="62556" stopIfTrue="1" operator="notEqual">
      <formula>"non-hazardous"</formula>
    </cfRule>
  </conditionalFormatting>
  <conditionalFormatting sqref="AE192">
    <cfRule type="expression" dxfId="4484" priority="62557" stopIfTrue="1">
      <formula>NOT(ISBLANK($AE$192))</formula>
    </cfRule>
  </conditionalFormatting>
  <conditionalFormatting sqref="AF192">
    <cfRule type="cellIs" dxfId="4483" priority="62558" stopIfTrue="1" operator="notEqual">
      <formula>0</formula>
    </cfRule>
  </conditionalFormatting>
  <conditionalFormatting sqref="AG192">
    <cfRule type="expression" dxfId="4482" priority="62559" stopIfTrue="1">
      <formula>NOT(ISBLANK($AG$192))</formula>
    </cfRule>
  </conditionalFormatting>
  <conditionalFormatting sqref="AH192">
    <cfRule type="expression" dxfId="4481" priority="62560" stopIfTrue="1">
      <formula>NOT(ISBLANK($AH$192))</formula>
    </cfRule>
  </conditionalFormatting>
  <conditionalFormatting sqref="AI192">
    <cfRule type="cellIs" dxfId="4480" priority="62561" stopIfTrue="1" operator="notEqual">
      <formula>"fully automated"</formula>
    </cfRule>
  </conditionalFormatting>
  <conditionalFormatting sqref="AJ192">
    <cfRule type="expression" dxfId="4479" priority="62562" stopIfTrue="1">
      <formula>NOT(ISBLANK($AJ$192))</formula>
    </cfRule>
  </conditionalFormatting>
  <conditionalFormatting sqref="AK192">
    <cfRule type="expression" dxfId="4478" priority="62563" stopIfTrue="1">
      <formula>NOT(ISBLANK($AK$192))</formula>
    </cfRule>
  </conditionalFormatting>
  <conditionalFormatting sqref="AL192">
    <cfRule type="expression" dxfId="4477" priority="62564" stopIfTrue="1">
      <formula>NOT(ISBLANK($AL$192))</formula>
    </cfRule>
  </conditionalFormatting>
  <conditionalFormatting sqref="AM192">
    <cfRule type="expression" dxfId="4476" priority="62565" stopIfTrue="1">
      <formula>NOT(ISBLANK($AM$192))</formula>
    </cfRule>
  </conditionalFormatting>
  <conditionalFormatting sqref="AN192">
    <cfRule type="expression" dxfId="4475" priority="62566" stopIfTrue="1">
      <formula>NOT(ISBLANK($AN$192))</formula>
    </cfRule>
  </conditionalFormatting>
  <conditionalFormatting sqref="AO192">
    <cfRule type="expression" dxfId="4474" priority="62567" stopIfTrue="1">
      <formula>NOT(ISBLANK($AO$192))</formula>
    </cfRule>
  </conditionalFormatting>
  <conditionalFormatting sqref="AP192">
    <cfRule type="expression" dxfId="4473" priority="62568" stopIfTrue="1">
      <formula>NOT(ISBLANK($AP$192))</formula>
    </cfRule>
  </conditionalFormatting>
  <conditionalFormatting sqref="AQ192">
    <cfRule type="expression" dxfId="4472" priority="62569" stopIfTrue="1">
      <formula>NOT(ISBLANK($AQ$192))</formula>
    </cfRule>
  </conditionalFormatting>
  <conditionalFormatting sqref="A193">
    <cfRule type="cellIs" dxfId="4471" priority="62570" stopIfTrue="1" operator="notEqual">
      <formula>12</formula>
    </cfRule>
  </conditionalFormatting>
  <conditionalFormatting sqref="B193">
    <cfRule type="cellIs" dxfId="4470" priority="62571" stopIfTrue="1" operator="notEqual">
      <formula>2</formula>
    </cfRule>
  </conditionalFormatting>
  <conditionalFormatting sqref="C193">
    <cfRule type="cellIs" dxfId="4469" priority="62572" stopIfTrue="1" operator="notEqual">
      <formula>1</formula>
    </cfRule>
  </conditionalFormatting>
  <conditionalFormatting sqref="D193">
    <cfRule type="cellIs" dxfId="4468" priority="62573" stopIfTrue="1" operator="notEqual">
      <formula>0.03</formula>
    </cfRule>
  </conditionalFormatting>
  <conditionalFormatting sqref="E193">
    <cfRule type="cellIs" dxfId="4467" priority="62574" stopIfTrue="1" operator="notEqual">
      <formula>"MGD"</formula>
    </cfRule>
  </conditionalFormatting>
  <conditionalFormatting sqref="F193">
    <cfRule type="cellIs" dxfId="4466" priority="62575" stopIfTrue="1" operator="notEqual">
      <formula>0.007</formula>
    </cfRule>
  </conditionalFormatting>
  <conditionalFormatting sqref="G193">
    <cfRule type="cellIs" dxfId="4465" priority="62576" stopIfTrue="1" operator="notEqual">
      <formula>"MGD"</formula>
    </cfRule>
  </conditionalFormatting>
  <conditionalFormatting sqref="H193">
    <cfRule type="cellIs" dxfId="4464" priority="62577" stopIfTrue="1" operator="notEqual">
      <formula>"regeneration off-site (non-hazardous)"</formula>
    </cfRule>
  </conditionalFormatting>
  <conditionalFormatting sqref="I193">
    <cfRule type="cellIs" dxfId="4463" priority="62578" stopIfTrue="1" operator="notEqual">
      <formula>"carbon life value- bed volumes"</formula>
    </cfRule>
  </conditionalFormatting>
  <conditionalFormatting sqref="J193">
    <cfRule type="cellIs" dxfId="4462" priority="62579" stopIfTrue="1" operator="notEqual">
      <formula>16900</formula>
    </cfRule>
  </conditionalFormatting>
  <conditionalFormatting sqref="K193">
    <cfRule type="expression" dxfId="4461" priority="62580" stopIfTrue="1">
      <formula>NOT(ISBLANK($K$193))</formula>
    </cfRule>
  </conditionalFormatting>
  <conditionalFormatting sqref="L193">
    <cfRule type="expression" dxfId="4460" priority="62581" stopIfTrue="1">
      <formula>NOT(ISBLANK($L$193))</formula>
    </cfRule>
  </conditionalFormatting>
  <conditionalFormatting sqref="M193">
    <cfRule type="expression" dxfId="4459" priority="62582" stopIfTrue="1">
      <formula>NOT(ISBLANK($M$193))</formula>
    </cfRule>
  </conditionalFormatting>
  <conditionalFormatting sqref="N193">
    <cfRule type="cellIs" dxfId="4458" priority="62583" stopIfTrue="1" operator="notEqual">
      <formula>"EBCT"</formula>
    </cfRule>
  </conditionalFormatting>
  <conditionalFormatting sqref="O193">
    <cfRule type="cellIs" dxfId="4457" priority="62584" stopIfTrue="1" operator="notEqual">
      <formula>7.5</formula>
    </cfRule>
  </conditionalFormatting>
  <conditionalFormatting sqref="P193">
    <cfRule type="expression" dxfId="4456" priority="62585" stopIfTrue="1">
      <formula>NOT(ISBLANK($P$193))</formula>
    </cfRule>
  </conditionalFormatting>
  <conditionalFormatting sqref="Q193">
    <cfRule type="expression" dxfId="4455" priority="62586" stopIfTrue="1">
      <formula>NOT(ISBLANK($Q$193))</formula>
    </cfRule>
  </conditionalFormatting>
  <conditionalFormatting sqref="R193">
    <cfRule type="expression" dxfId="4454" priority="62587" stopIfTrue="1">
      <formula>NOT(ISBLANK($R$193))</formula>
    </cfRule>
  </conditionalFormatting>
  <conditionalFormatting sqref="S193">
    <cfRule type="expression" dxfId="4453" priority="62588" stopIfTrue="1">
      <formula>NOT(ISBLANK($S$193))</formula>
    </cfRule>
  </conditionalFormatting>
  <conditionalFormatting sqref="T193">
    <cfRule type="expression" dxfId="4452" priority="62589" stopIfTrue="1">
      <formula>NOT(ISBLANK($T$193))</formula>
    </cfRule>
  </conditionalFormatting>
  <conditionalFormatting sqref="U193">
    <cfRule type="expression" dxfId="4451" priority="62590" stopIfTrue="1">
      <formula>NOT(ISBLANK($U$193))</formula>
    </cfRule>
  </conditionalFormatting>
  <conditionalFormatting sqref="V193">
    <cfRule type="expression" dxfId="4450" priority="62591" stopIfTrue="1">
      <formula>NOT(ISBLANK($V$193))</formula>
    </cfRule>
  </conditionalFormatting>
  <conditionalFormatting sqref="W193">
    <cfRule type="cellIs" dxfId="4449" priority="62592" stopIfTrue="1" operator="notEqual">
      <formula>6</formula>
    </cfRule>
  </conditionalFormatting>
  <conditionalFormatting sqref="X193">
    <cfRule type="cellIs" dxfId="4448" priority="62593" stopIfTrue="1" operator="notEqual">
      <formula>6</formula>
    </cfRule>
  </conditionalFormatting>
  <conditionalFormatting sqref="Y193">
    <cfRule type="cellIs" dxfId="4447" priority="62594" stopIfTrue="1" operator="notEqual">
      <formula>3</formula>
    </cfRule>
  </conditionalFormatting>
  <conditionalFormatting sqref="Z193">
    <cfRule type="cellIs" dxfId="4446" priority="62595" stopIfTrue="1" operator="notEqual">
      <formula>168</formula>
    </cfRule>
  </conditionalFormatting>
  <conditionalFormatting sqref="AA193">
    <cfRule type="cellIs" dxfId="4445" priority="62596" stopIfTrue="1" operator="notEqual">
      <formula>"POTW"</formula>
    </cfRule>
  </conditionalFormatting>
  <conditionalFormatting sqref="AB193">
    <cfRule type="cellIs" dxfId="4444" priority="62597" stopIfTrue="1" operator="notEqual">
      <formula>"holding tank"</formula>
    </cfRule>
  </conditionalFormatting>
  <conditionalFormatting sqref="AC193">
    <cfRule type="cellIs" dxfId="4443" priority="62598" stopIfTrue="1" operator="notEqual">
      <formula>"manual transfer"</formula>
    </cfRule>
  </conditionalFormatting>
  <conditionalFormatting sqref="AD193">
    <cfRule type="cellIs" dxfId="4442" priority="62599" stopIfTrue="1" operator="notEqual">
      <formula>"non-hazardous"</formula>
    </cfRule>
  </conditionalFormatting>
  <conditionalFormatting sqref="AE193">
    <cfRule type="expression" dxfId="4441" priority="62600" stopIfTrue="1">
      <formula>NOT(ISBLANK($AE$193))</formula>
    </cfRule>
  </conditionalFormatting>
  <conditionalFormatting sqref="AF193">
    <cfRule type="cellIs" dxfId="4440" priority="62601" stopIfTrue="1" operator="notEqual">
      <formula>0</formula>
    </cfRule>
  </conditionalFormatting>
  <conditionalFormatting sqref="AG193">
    <cfRule type="expression" dxfId="4439" priority="62602" stopIfTrue="1">
      <formula>NOT(ISBLANK($AG$193))</formula>
    </cfRule>
  </conditionalFormatting>
  <conditionalFormatting sqref="AH193">
    <cfRule type="expression" dxfId="4438" priority="62603" stopIfTrue="1">
      <formula>NOT(ISBLANK($AH$193))</formula>
    </cfRule>
  </conditionalFormatting>
  <conditionalFormatting sqref="AI193">
    <cfRule type="cellIs" dxfId="4437" priority="62604" stopIfTrue="1" operator="notEqual">
      <formula>"fully automated"</formula>
    </cfRule>
  </conditionalFormatting>
  <conditionalFormatting sqref="AJ193">
    <cfRule type="expression" dxfId="4436" priority="62605" stopIfTrue="1">
      <formula>NOT(ISBLANK($AJ$193))</formula>
    </cfRule>
  </conditionalFormatting>
  <conditionalFormatting sqref="AK193">
    <cfRule type="expression" dxfId="4435" priority="62606" stopIfTrue="1">
      <formula>NOT(ISBLANK($AK$193))</formula>
    </cfRule>
  </conditionalFormatting>
  <conditionalFormatting sqref="AL193">
    <cfRule type="expression" dxfId="4434" priority="62607" stopIfTrue="1">
      <formula>NOT(ISBLANK($AL$193))</formula>
    </cfRule>
  </conditionalFormatting>
  <conditionalFormatting sqref="AM193">
    <cfRule type="expression" dxfId="4433" priority="62608" stopIfTrue="1">
      <formula>NOT(ISBLANK($AM$193))</formula>
    </cfRule>
  </conditionalFormatting>
  <conditionalFormatting sqref="AN193">
    <cfRule type="expression" dxfId="4432" priority="62609" stopIfTrue="1">
      <formula>NOT(ISBLANK($AN$193))</formula>
    </cfRule>
  </conditionalFormatting>
  <conditionalFormatting sqref="AO193">
    <cfRule type="expression" dxfId="4431" priority="62610" stopIfTrue="1">
      <formula>NOT(ISBLANK($AO$193))</formula>
    </cfRule>
  </conditionalFormatting>
  <conditionalFormatting sqref="AP193">
    <cfRule type="expression" dxfId="4430" priority="62611" stopIfTrue="1">
      <formula>NOT(ISBLANK($AP$193))</formula>
    </cfRule>
  </conditionalFormatting>
  <conditionalFormatting sqref="AQ193">
    <cfRule type="expression" dxfId="4429" priority="62612" stopIfTrue="1">
      <formula>NOT(ISBLANK($AQ$193))</formula>
    </cfRule>
  </conditionalFormatting>
  <conditionalFormatting sqref="A194">
    <cfRule type="cellIs" dxfId="4428" priority="62613" stopIfTrue="1" operator="notEqual">
      <formula>12</formula>
    </cfRule>
  </conditionalFormatting>
  <conditionalFormatting sqref="B194">
    <cfRule type="cellIs" dxfId="4427" priority="62614" stopIfTrue="1" operator="notEqual">
      <formula>2</formula>
    </cfRule>
  </conditionalFormatting>
  <conditionalFormatting sqref="C194">
    <cfRule type="cellIs" dxfId="4426" priority="62615" stopIfTrue="1" operator="notEqual">
      <formula>2</formula>
    </cfRule>
  </conditionalFormatting>
  <conditionalFormatting sqref="D194">
    <cfRule type="cellIs" dxfId="4425" priority="62616" stopIfTrue="1" operator="notEqual">
      <formula>0.124</formula>
    </cfRule>
  </conditionalFormatting>
  <conditionalFormatting sqref="E194">
    <cfRule type="cellIs" dxfId="4424" priority="62617" stopIfTrue="1" operator="notEqual">
      <formula>"MGD"</formula>
    </cfRule>
  </conditionalFormatting>
  <conditionalFormatting sqref="F194">
    <cfRule type="cellIs" dxfId="4423" priority="62618" stopIfTrue="1" operator="notEqual">
      <formula>0.035</formula>
    </cfRule>
  </conditionalFormatting>
  <conditionalFormatting sqref="G194">
    <cfRule type="cellIs" dxfId="4422" priority="62619" stopIfTrue="1" operator="notEqual">
      <formula>"MGD"</formula>
    </cfRule>
  </conditionalFormatting>
  <conditionalFormatting sqref="H194">
    <cfRule type="cellIs" dxfId="4421" priority="62620" stopIfTrue="1" operator="notEqual">
      <formula>"regeneration off-site (non-hazardous)"</formula>
    </cfRule>
  </conditionalFormatting>
  <conditionalFormatting sqref="I194">
    <cfRule type="cellIs" dxfId="4420" priority="62621" stopIfTrue="1" operator="notEqual">
      <formula>"carbon life value- bed volumes"</formula>
    </cfRule>
  </conditionalFormatting>
  <conditionalFormatting sqref="J194">
    <cfRule type="cellIs" dxfId="4419" priority="62622" stopIfTrue="1" operator="notEqual">
      <formula>16900</formula>
    </cfRule>
  </conditionalFormatting>
  <conditionalFormatting sqref="K194">
    <cfRule type="expression" dxfId="4418" priority="62623" stopIfTrue="1">
      <formula>NOT(ISBLANK($K$194))</formula>
    </cfRule>
  </conditionalFormatting>
  <conditionalFormatting sqref="L194">
    <cfRule type="expression" dxfId="4417" priority="62624" stopIfTrue="1">
      <formula>NOT(ISBLANK($L$194))</formula>
    </cfRule>
  </conditionalFormatting>
  <conditionalFormatting sqref="M194">
    <cfRule type="expression" dxfId="4416" priority="62625" stopIfTrue="1">
      <formula>NOT(ISBLANK($M$194))</formula>
    </cfRule>
  </conditionalFormatting>
  <conditionalFormatting sqref="N194">
    <cfRule type="cellIs" dxfId="4415" priority="62626" stopIfTrue="1" operator="notEqual">
      <formula>"EBCT"</formula>
    </cfRule>
  </conditionalFormatting>
  <conditionalFormatting sqref="O194">
    <cfRule type="cellIs" dxfId="4414" priority="62627" stopIfTrue="1" operator="notEqual">
      <formula>7.5</formula>
    </cfRule>
  </conditionalFormatting>
  <conditionalFormatting sqref="P194">
    <cfRule type="expression" dxfId="4413" priority="62628" stopIfTrue="1">
      <formula>NOT(ISBLANK($P$194))</formula>
    </cfRule>
  </conditionalFormatting>
  <conditionalFormatting sqref="Q194">
    <cfRule type="expression" dxfId="4412" priority="62629" stopIfTrue="1">
      <formula>NOT(ISBLANK($Q$194))</formula>
    </cfRule>
  </conditionalFormatting>
  <conditionalFormatting sqref="R194">
    <cfRule type="expression" dxfId="4411" priority="62630" stopIfTrue="1">
      <formula>NOT(ISBLANK($R$194))</formula>
    </cfRule>
  </conditionalFormatting>
  <conditionalFormatting sqref="S194">
    <cfRule type="expression" dxfId="4410" priority="62631" stopIfTrue="1">
      <formula>NOT(ISBLANK($S$194))</formula>
    </cfRule>
  </conditionalFormatting>
  <conditionalFormatting sqref="T194">
    <cfRule type="expression" dxfId="4409" priority="62632" stopIfTrue="1">
      <formula>NOT(ISBLANK($T$194))</formula>
    </cfRule>
  </conditionalFormatting>
  <conditionalFormatting sqref="U194">
    <cfRule type="expression" dxfId="4408" priority="62633" stopIfTrue="1">
      <formula>NOT(ISBLANK($U$194))</formula>
    </cfRule>
  </conditionalFormatting>
  <conditionalFormatting sqref="V194">
    <cfRule type="expression" dxfId="4407" priority="62634" stopIfTrue="1">
      <formula>NOT(ISBLANK($V$194))</formula>
    </cfRule>
  </conditionalFormatting>
  <conditionalFormatting sqref="W194">
    <cfRule type="cellIs" dxfId="4406" priority="62635" stopIfTrue="1" operator="notEqual">
      <formula>6</formula>
    </cfRule>
  </conditionalFormatting>
  <conditionalFormatting sqref="X194">
    <cfRule type="cellIs" dxfId="4405" priority="62636" stopIfTrue="1" operator="notEqual">
      <formula>6</formula>
    </cfRule>
  </conditionalFormatting>
  <conditionalFormatting sqref="Y194">
    <cfRule type="cellIs" dxfId="4404" priority="62637" stopIfTrue="1" operator="notEqual">
      <formula>3</formula>
    </cfRule>
  </conditionalFormatting>
  <conditionalFormatting sqref="Z194">
    <cfRule type="cellIs" dxfId="4403" priority="62638" stopIfTrue="1" operator="notEqual">
      <formula>168</formula>
    </cfRule>
  </conditionalFormatting>
  <conditionalFormatting sqref="AA194">
    <cfRule type="cellIs" dxfId="4402" priority="62639" stopIfTrue="1" operator="notEqual">
      <formula>"POTW"</formula>
    </cfRule>
  </conditionalFormatting>
  <conditionalFormatting sqref="AB194">
    <cfRule type="cellIs" dxfId="4401" priority="62640" stopIfTrue="1" operator="notEqual">
      <formula>"holding tank"</formula>
    </cfRule>
  </conditionalFormatting>
  <conditionalFormatting sqref="AC194">
    <cfRule type="cellIs" dxfId="4400" priority="62641" stopIfTrue="1" operator="notEqual">
      <formula>"manual transfer"</formula>
    </cfRule>
  </conditionalFormatting>
  <conditionalFormatting sqref="AD194">
    <cfRule type="cellIs" dxfId="4399" priority="62642" stopIfTrue="1" operator="notEqual">
      <formula>"non-hazardous"</formula>
    </cfRule>
  </conditionalFormatting>
  <conditionalFormatting sqref="AE194">
    <cfRule type="expression" dxfId="4398" priority="62643" stopIfTrue="1">
      <formula>NOT(ISBLANK($AE$194))</formula>
    </cfRule>
  </conditionalFormatting>
  <conditionalFormatting sqref="AF194">
    <cfRule type="cellIs" dxfId="4397" priority="62644" stopIfTrue="1" operator="notEqual">
      <formula>0</formula>
    </cfRule>
  </conditionalFormatting>
  <conditionalFormatting sqref="AG194">
    <cfRule type="expression" dxfId="4396" priority="62645" stopIfTrue="1">
      <formula>NOT(ISBLANK($AG$194))</formula>
    </cfRule>
  </conditionalFormatting>
  <conditionalFormatting sqref="AH194">
    <cfRule type="expression" dxfId="4395" priority="62646" stopIfTrue="1">
      <formula>NOT(ISBLANK($AH$194))</formula>
    </cfRule>
  </conditionalFormatting>
  <conditionalFormatting sqref="AI194">
    <cfRule type="cellIs" dxfId="4394" priority="62647" stopIfTrue="1" operator="notEqual">
      <formula>"fully automated"</formula>
    </cfRule>
  </conditionalFormatting>
  <conditionalFormatting sqref="AJ194">
    <cfRule type="expression" dxfId="4393" priority="62648" stopIfTrue="1">
      <formula>NOT(ISBLANK($AJ$194))</formula>
    </cfRule>
  </conditionalFormatting>
  <conditionalFormatting sqref="AK194">
    <cfRule type="expression" dxfId="4392" priority="62649" stopIfTrue="1">
      <formula>NOT(ISBLANK($AK$194))</formula>
    </cfRule>
  </conditionalFormatting>
  <conditionalFormatting sqref="AL194">
    <cfRule type="expression" dxfId="4391" priority="62650" stopIfTrue="1">
      <formula>NOT(ISBLANK($AL$194))</formula>
    </cfRule>
  </conditionalFormatting>
  <conditionalFormatting sqref="AM194">
    <cfRule type="expression" dxfId="4390" priority="62651" stopIfTrue="1">
      <formula>NOT(ISBLANK($AM$194))</formula>
    </cfRule>
  </conditionalFormatting>
  <conditionalFormatting sqref="AN194">
    <cfRule type="expression" dxfId="4389" priority="62652" stopIfTrue="1">
      <formula>NOT(ISBLANK($AN$194))</formula>
    </cfRule>
  </conditionalFormatting>
  <conditionalFormatting sqref="AO194">
    <cfRule type="expression" dxfId="4388" priority="62653" stopIfTrue="1">
      <formula>NOT(ISBLANK($AO$194))</formula>
    </cfRule>
  </conditionalFormatting>
  <conditionalFormatting sqref="AP194">
    <cfRule type="expression" dxfId="4387" priority="62654" stopIfTrue="1">
      <formula>NOT(ISBLANK($AP$194))</formula>
    </cfRule>
  </conditionalFormatting>
  <conditionalFormatting sqref="AQ194">
    <cfRule type="expression" dxfId="4386" priority="62655" stopIfTrue="1">
      <formula>NOT(ISBLANK($AQ$194))</formula>
    </cfRule>
  </conditionalFormatting>
  <conditionalFormatting sqref="A195">
    <cfRule type="cellIs" dxfId="4385" priority="62656" stopIfTrue="1" operator="notEqual">
      <formula>12</formula>
    </cfRule>
  </conditionalFormatting>
  <conditionalFormatting sqref="B195">
    <cfRule type="cellIs" dxfId="4384" priority="62657" stopIfTrue="1" operator="notEqual">
      <formula>2</formula>
    </cfRule>
  </conditionalFormatting>
  <conditionalFormatting sqref="C195">
    <cfRule type="cellIs" dxfId="4383" priority="62658" stopIfTrue="1" operator="notEqual">
      <formula>3</formula>
    </cfRule>
  </conditionalFormatting>
  <conditionalFormatting sqref="D195">
    <cfRule type="cellIs" dxfId="4382" priority="62659" stopIfTrue="1" operator="notEqual">
      <formula>0.305</formula>
    </cfRule>
  </conditionalFormatting>
  <conditionalFormatting sqref="E195">
    <cfRule type="cellIs" dxfId="4381" priority="62660" stopIfTrue="1" operator="notEqual">
      <formula>"MGD"</formula>
    </cfRule>
  </conditionalFormatting>
  <conditionalFormatting sqref="F195">
    <cfRule type="cellIs" dxfId="4380" priority="62661" stopIfTrue="1" operator="notEqual">
      <formula>0.094</formula>
    </cfRule>
  </conditionalFormatting>
  <conditionalFormatting sqref="G195">
    <cfRule type="cellIs" dxfId="4379" priority="62662" stopIfTrue="1" operator="notEqual">
      <formula>"MGD"</formula>
    </cfRule>
  </conditionalFormatting>
  <conditionalFormatting sqref="H195">
    <cfRule type="cellIs" dxfId="4378" priority="62663" stopIfTrue="1" operator="notEqual">
      <formula>"regeneration off-site (non-hazardous)"</formula>
    </cfRule>
  </conditionalFormatting>
  <conditionalFormatting sqref="I195">
    <cfRule type="cellIs" dxfId="4377" priority="62664" stopIfTrue="1" operator="notEqual">
      <formula>"carbon life value- bed volumes"</formula>
    </cfRule>
  </conditionalFormatting>
  <conditionalFormatting sqref="J195">
    <cfRule type="cellIs" dxfId="4376" priority="62665" stopIfTrue="1" operator="notEqual">
      <formula>16900</formula>
    </cfRule>
  </conditionalFormatting>
  <conditionalFormatting sqref="K195">
    <cfRule type="expression" dxfId="4375" priority="62666" stopIfTrue="1">
      <formula>NOT(ISBLANK($K$195))</formula>
    </cfRule>
  </conditionalFormatting>
  <conditionalFormatting sqref="L195">
    <cfRule type="expression" dxfId="4374" priority="62667" stopIfTrue="1">
      <formula>NOT(ISBLANK($L$195))</formula>
    </cfRule>
  </conditionalFormatting>
  <conditionalFormatting sqref="M195">
    <cfRule type="expression" dxfId="4373" priority="62668" stopIfTrue="1">
      <formula>NOT(ISBLANK($M$195))</formula>
    </cfRule>
  </conditionalFormatting>
  <conditionalFormatting sqref="N195">
    <cfRule type="cellIs" dxfId="4372" priority="62669" stopIfTrue="1" operator="notEqual">
      <formula>"EBCT"</formula>
    </cfRule>
  </conditionalFormatting>
  <conditionalFormatting sqref="O195">
    <cfRule type="cellIs" dxfId="4371" priority="62670" stopIfTrue="1" operator="notEqual">
      <formula>7.5</formula>
    </cfRule>
  </conditionalFormatting>
  <conditionalFormatting sqref="P195">
    <cfRule type="expression" dxfId="4370" priority="62671" stopIfTrue="1">
      <formula>NOT(ISBLANK($P$195))</formula>
    </cfRule>
  </conditionalFormatting>
  <conditionalFormatting sqref="Q195">
    <cfRule type="expression" dxfId="4369" priority="62672" stopIfTrue="1">
      <formula>NOT(ISBLANK($Q$195))</formula>
    </cfRule>
  </conditionalFormatting>
  <conditionalFormatting sqref="R195">
    <cfRule type="expression" dxfId="4368" priority="62673" stopIfTrue="1">
      <formula>NOT(ISBLANK($R$195))</formula>
    </cfRule>
  </conditionalFormatting>
  <conditionalFormatting sqref="S195">
    <cfRule type="expression" dxfId="4367" priority="62674" stopIfTrue="1">
      <formula>NOT(ISBLANK($S$195))</formula>
    </cfRule>
  </conditionalFormatting>
  <conditionalFormatting sqref="T195">
    <cfRule type="expression" dxfId="4366" priority="62675" stopIfTrue="1">
      <formula>NOT(ISBLANK($T$195))</formula>
    </cfRule>
  </conditionalFormatting>
  <conditionalFormatting sqref="U195">
    <cfRule type="expression" dxfId="4365" priority="62676" stopIfTrue="1">
      <formula>NOT(ISBLANK($U$195))</formula>
    </cfRule>
  </conditionalFormatting>
  <conditionalFormatting sqref="V195">
    <cfRule type="expression" dxfId="4364" priority="62677" stopIfTrue="1">
      <formula>NOT(ISBLANK($V$195))</formula>
    </cfRule>
  </conditionalFormatting>
  <conditionalFormatting sqref="W195">
    <cfRule type="cellIs" dxfId="4363" priority="62678" stopIfTrue="1" operator="notEqual">
      <formula>6</formula>
    </cfRule>
  </conditionalFormatting>
  <conditionalFormatting sqref="X195">
    <cfRule type="cellIs" dxfId="4362" priority="62679" stopIfTrue="1" operator="notEqual">
      <formula>6</formula>
    </cfRule>
  </conditionalFormatting>
  <conditionalFormatting sqref="Y195">
    <cfRule type="cellIs" dxfId="4361" priority="62680" stopIfTrue="1" operator="notEqual">
      <formula>3</formula>
    </cfRule>
  </conditionalFormatting>
  <conditionalFormatting sqref="Z195">
    <cfRule type="cellIs" dxfId="4360" priority="62681" stopIfTrue="1" operator="notEqual">
      <formula>168</formula>
    </cfRule>
  </conditionalFormatting>
  <conditionalFormatting sqref="AA195">
    <cfRule type="cellIs" dxfId="4359" priority="62682" stopIfTrue="1" operator="notEqual">
      <formula>"POTW"</formula>
    </cfRule>
  </conditionalFormatting>
  <conditionalFormatting sqref="AB195">
    <cfRule type="cellIs" dxfId="4358" priority="62683" stopIfTrue="1" operator="notEqual">
      <formula>"holding tank"</formula>
    </cfRule>
  </conditionalFormatting>
  <conditionalFormatting sqref="AC195">
    <cfRule type="cellIs" dxfId="4357" priority="62684" stopIfTrue="1" operator="notEqual">
      <formula>"manual transfer"</formula>
    </cfRule>
  </conditionalFormatting>
  <conditionalFormatting sqref="AD195">
    <cfRule type="cellIs" dxfId="4356" priority="62685" stopIfTrue="1" operator="notEqual">
      <formula>"non-hazardous"</formula>
    </cfRule>
  </conditionalFormatting>
  <conditionalFormatting sqref="AE195">
    <cfRule type="expression" dxfId="4355" priority="62686" stopIfTrue="1">
      <formula>NOT(ISBLANK($AE$195))</formula>
    </cfRule>
  </conditionalFormatting>
  <conditionalFormatting sqref="AF195">
    <cfRule type="cellIs" dxfId="4354" priority="62687" stopIfTrue="1" operator="notEqual">
      <formula>0</formula>
    </cfRule>
  </conditionalFormatting>
  <conditionalFormatting sqref="AG195">
    <cfRule type="expression" dxfId="4353" priority="62688" stopIfTrue="1">
      <formula>NOT(ISBLANK($AG$195))</formula>
    </cfRule>
  </conditionalFormatting>
  <conditionalFormatting sqref="AH195">
    <cfRule type="expression" dxfId="4352" priority="62689" stopIfTrue="1">
      <formula>NOT(ISBLANK($AH$195))</formula>
    </cfRule>
  </conditionalFormatting>
  <conditionalFormatting sqref="AI195">
    <cfRule type="cellIs" dxfId="4351" priority="62690" stopIfTrue="1" operator="notEqual">
      <formula>"fully automated"</formula>
    </cfRule>
  </conditionalFormatting>
  <conditionalFormatting sqref="AJ195">
    <cfRule type="expression" dxfId="4350" priority="62691" stopIfTrue="1">
      <formula>NOT(ISBLANK($AJ$195))</formula>
    </cfRule>
  </conditionalFormatting>
  <conditionalFormatting sqref="AK195">
    <cfRule type="expression" dxfId="4349" priority="62692" stopIfTrue="1">
      <formula>NOT(ISBLANK($AK$195))</formula>
    </cfRule>
  </conditionalFormatting>
  <conditionalFormatting sqref="AL195">
    <cfRule type="expression" dxfId="4348" priority="62693" stopIfTrue="1">
      <formula>NOT(ISBLANK($AL$195))</formula>
    </cfRule>
  </conditionalFormatting>
  <conditionalFormatting sqref="AM195">
    <cfRule type="expression" dxfId="4347" priority="62694" stopIfTrue="1">
      <formula>NOT(ISBLANK($AM$195))</formula>
    </cfRule>
  </conditionalFormatting>
  <conditionalFormatting sqref="AN195">
    <cfRule type="expression" dxfId="4346" priority="62695" stopIfTrue="1">
      <formula>NOT(ISBLANK($AN$195))</formula>
    </cfRule>
  </conditionalFormatting>
  <conditionalFormatting sqref="AO195">
    <cfRule type="expression" dxfId="4345" priority="62696" stopIfTrue="1">
      <formula>NOT(ISBLANK($AO$195))</formula>
    </cfRule>
  </conditionalFormatting>
  <conditionalFormatting sqref="AP195">
    <cfRule type="expression" dxfId="4344" priority="62697" stopIfTrue="1">
      <formula>NOT(ISBLANK($AP$195))</formula>
    </cfRule>
  </conditionalFormatting>
  <conditionalFormatting sqref="AQ195">
    <cfRule type="expression" dxfId="4343" priority="62698" stopIfTrue="1">
      <formula>NOT(ISBLANK($AQ$195))</formula>
    </cfRule>
  </conditionalFormatting>
  <conditionalFormatting sqref="A196">
    <cfRule type="cellIs" dxfId="4342" priority="62699" stopIfTrue="1" operator="notEqual">
      <formula>12</formula>
    </cfRule>
  </conditionalFormatting>
  <conditionalFormatting sqref="B196">
    <cfRule type="cellIs" dxfId="4341" priority="62700" stopIfTrue="1" operator="notEqual">
      <formula>2</formula>
    </cfRule>
  </conditionalFormatting>
  <conditionalFormatting sqref="C196">
    <cfRule type="cellIs" dxfId="4340" priority="62701" stopIfTrue="1" operator="notEqual">
      <formula>4</formula>
    </cfRule>
  </conditionalFormatting>
  <conditionalFormatting sqref="D196">
    <cfRule type="cellIs" dxfId="4339" priority="62702" stopIfTrue="1" operator="notEqual">
      <formula>0.74</formula>
    </cfRule>
  </conditionalFormatting>
  <conditionalFormatting sqref="E196">
    <cfRule type="cellIs" dxfId="4338" priority="62703" stopIfTrue="1" operator="notEqual">
      <formula>"MGD"</formula>
    </cfRule>
  </conditionalFormatting>
  <conditionalFormatting sqref="F196">
    <cfRule type="cellIs" dxfId="4337" priority="62704" stopIfTrue="1" operator="notEqual">
      <formula>0.251</formula>
    </cfRule>
  </conditionalFormatting>
  <conditionalFormatting sqref="G196">
    <cfRule type="cellIs" dxfId="4336" priority="62705" stopIfTrue="1" operator="notEqual">
      <formula>"MGD"</formula>
    </cfRule>
  </conditionalFormatting>
  <conditionalFormatting sqref="H196">
    <cfRule type="cellIs" dxfId="4335" priority="62706" stopIfTrue="1" operator="notEqual">
      <formula>"regeneration off-site (non-hazardous)"</formula>
    </cfRule>
  </conditionalFormatting>
  <conditionalFormatting sqref="I196">
    <cfRule type="cellIs" dxfId="4334" priority="62707" stopIfTrue="1" operator="notEqual">
      <formula>"carbon life value- bed volumes"</formula>
    </cfRule>
  </conditionalFormatting>
  <conditionalFormatting sqref="J196">
    <cfRule type="cellIs" dxfId="4333" priority="62708" stopIfTrue="1" operator="notEqual">
      <formula>16900</formula>
    </cfRule>
  </conditionalFormatting>
  <conditionalFormatting sqref="K196">
    <cfRule type="expression" dxfId="4332" priority="62709" stopIfTrue="1">
      <formula>NOT(ISBLANK($K$196))</formula>
    </cfRule>
  </conditionalFormatting>
  <conditionalFormatting sqref="L196">
    <cfRule type="expression" dxfId="4331" priority="62710" stopIfTrue="1">
      <formula>NOT(ISBLANK($L$196))</formula>
    </cfRule>
  </conditionalFormatting>
  <conditionalFormatting sqref="M196">
    <cfRule type="expression" dxfId="4330" priority="62711" stopIfTrue="1">
      <formula>NOT(ISBLANK($M$196))</formula>
    </cfRule>
  </conditionalFormatting>
  <conditionalFormatting sqref="N196">
    <cfRule type="cellIs" dxfId="4329" priority="62712" stopIfTrue="1" operator="notEqual">
      <formula>"EBCT"</formula>
    </cfRule>
  </conditionalFormatting>
  <conditionalFormatting sqref="O196">
    <cfRule type="cellIs" dxfId="4328" priority="62713" stopIfTrue="1" operator="notEqual">
      <formula>7.5</formula>
    </cfRule>
  </conditionalFormatting>
  <conditionalFormatting sqref="P196">
    <cfRule type="expression" dxfId="4327" priority="62714" stopIfTrue="1">
      <formula>NOT(ISBLANK($P$196))</formula>
    </cfRule>
  </conditionalFormatting>
  <conditionalFormatting sqref="Q196">
    <cfRule type="expression" dxfId="4326" priority="62715" stopIfTrue="1">
      <formula>NOT(ISBLANK($Q$196))</formula>
    </cfRule>
  </conditionalFormatting>
  <conditionalFormatting sqref="R196">
    <cfRule type="expression" dxfId="4325" priority="62716" stopIfTrue="1">
      <formula>NOT(ISBLANK($R$196))</formula>
    </cfRule>
  </conditionalFormatting>
  <conditionalFormatting sqref="S196">
    <cfRule type="expression" dxfId="4324" priority="62717" stopIfTrue="1">
      <formula>NOT(ISBLANK($S$196))</formula>
    </cfRule>
  </conditionalFormatting>
  <conditionalFormatting sqref="T196">
    <cfRule type="expression" dxfId="4323" priority="62718" stopIfTrue="1">
      <formula>NOT(ISBLANK($T$196))</formula>
    </cfRule>
  </conditionalFormatting>
  <conditionalFormatting sqref="U196">
    <cfRule type="expression" dxfId="4322" priority="62719" stopIfTrue="1">
      <formula>NOT(ISBLANK($U$196))</formula>
    </cfRule>
  </conditionalFormatting>
  <conditionalFormatting sqref="V196">
    <cfRule type="expression" dxfId="4321" priority="62720" stopIfTrue="1">
      <formula>NOT(ISBLANK($V$196))</formula>
    </cfRule>
  </conditionalFormatting>
  <conditionalFormatting sqref="W196">
    <cfRule type="cellIs" dxfId="4320" priority="62721" stopIfTrue="1" operator="notEqual">
      <formula>7</formula>
    </cfRule>
  </conditionalFormatting>
  <conditionalFormatting sqref="X196">
    <cfRule type="cellIs" dxfId="4319" priority="62722" stopIfTrue="1" operator="notEqual">
      <formula>7</formula>
    </cfRule>
  </conditionalFormatting>
  <conditionalFormatting sqref="Y196">
    <cfRule type="cellIs" dxfId="4318" priority="62723" stopIfTrue="1" operator="notEqual">
      <formula>5.3</formula>
    </cfRule>
  </conditionalFormatting>
  <conditionalFormatting sqref="Z196">
    <cfRule type="cellIs" dxfId="4317" priority="62724" stopIfTrue="1" operator="notEqual">
      <formula>168</formula>
    </cfRule>
  </conditionalFormatting>
  <conditionalFormatting sqref="AA196">
    <cfRule type="cellIs" dxfId="4316" priority="62725" stopIfTrue="1" operator="notEqual">
      <formula>"POTW"</formula>
    </cfRule>
  </conditionalFormatting>
  <conditionalFormatting sqref="AB196">
    <cfRule type="cellIs" dxfId="4315" priority="62726" stopIfTrue="1" operator="notEqual">
      <formula>"holding tank"</formula>
    </cfRule>
  </conditionalFormatting>
  <conditionalFormatting sqref="AC196">
    <cfRule type="cellIs" dxfId="4314" priority="62727" stopIfTrue="1" operator="notEqual">
      <formula>"manual transfer"</formula>
    </cfRule>
  </conditionalFormatting>
  <conditionalFormatting sqref="AD196">
    <cfRule type="cellIs" dxfId="4313" priority="62728" stopIfTrue="1" operator="notEqual">
      <formula>"non-hazardous"</formula>
    </cfRule>
  </conditionalFormatting>
  <conditionalFormatting sqref="AE196">
    <cfRule type="expression" dxfId="4312" priority="62729" stopIfTrue="1">
      <formula>NOT(ISBLANK($AE$196))</formula>
    </cfRule>
  </conditionalFormatting>
  <conditionalFormatting sqref="AF196">
    <cfRule type="cellIs" dxfId="4311" priority="62730" stopIfTrue="1" operator="notEqual">
      <formula>0</formula>
    </cfRule>
  </conditionalFormatting>
  <conditionalFormatting sqref="AG196">
    <cfRule type="expression" dxfId="4310" priority="62731" stopIfTrue="1">
      <formula>NOT(ISBLANK($AG$196))</formula>
    </cfRule>
  </conditionalFormatting>
  <conditionalFormatting sqref="AH196">
    <cfRule type="expression" dxfId="4309" priority="62732" stopIfTrue="1">
      <formula>NOT(ISBLANK($AH$196))</formula>
    </cfRule>
  </conditionalFormatting>
  <conditionalFormatting sqref="AI196">
    <cfRule type="cellIs" dxfId="4308" priority="62733" stopIfTrue="1" operator="notEqual">
      <formula>"fully automated"</formula>
    </cfRule>
  </conditionalFormatting>
  <conditionalFormatting sqref="AJ196">
    <cfRule type="expression" dxfId="4307" priority="62734" stopIfTrue="1">
      <formula>NOT(ISBLANK($AJ$196))</formula>
    </cfRule>
  </conditionalFormatting>
  <conditionalFormatting sqref="AK196">
    <cfRule type="expression" dxfId="4306" priority="62735" stopIfTrue="1">
      <formula>NOT(ISBLANK($AK$196))</formula>
    </cfRule>
  </conditionalFormatting>
  <conditionalFormatting sqref="AL196">
    <cfRule type="expression" dxfId="4305" priority="62736" stopIfTrue="1">
      <formula>NOT(ISBLANK($AL$196))</formula>
    </cfRule>
  </conditionalFormatting>
  <conditionalFormatting sqref="AM196">
    <cfRule type="expression" dxfId="4304" priority="62737" stopIfTrue="1">
      <formula>NOT(ISBLANK($AM$196))</formula>
    </cfRule>
  </conditionalFormatting>
  <conditionalFormatting sqref="AN196">
    <cfRule type="expression" dxfId="4303" priority="62738" stopIfTrue="1">
      <formula>NOT(ISBLANK($AN$196))</formula>
    </cfRule>
  </conditionalFormatting>
  <conditionalFormatting sqref="AO196">
    <cfRule type="expression" dxfId="4302" priority="62739" stopIfTrue="1">
      <formula>NOT(ISBLANK($AO$196))</formula>
    </cfRule>
  </conditionalFormatting>
  <conditionalFormatting sqref="AP196">
    <cfRule type="expression" dxfId="4301" priority="62740" stopIfTrue="1">
      <formula>NOT(ISBLANK($AP$196))</formula>
    </cfRule>
  </conditionalFormatting>
  <conditionalFormatting sqref="AQ196">
    <cfRule type="expression" dxfId="4300" priority="62741" stopIfTrue="1">
      <formula>NOT(ISBLANK($AQ$196))</formula>
    </cfRule>
  </conditionalFormatting>
  <conditionalFormatting sqref="A197">
    <cfRule type="cellIs" dxfId="4299" priority="62742" stopIfTrue="1" operator="notEqual">
      <formula>12</formula>
    </cfRule>
  </conditionalFormatting>
  <conditionalFormatting sqref="B197">
    <cfRule type="cellIs" dxfId="4298" priority="62743" stopIfTrue="1" operator="notEqual">
      <formula>2</formula>
    </cfRule>
  </conditionalFormatting>
  <conditionalFormatting sqref="C197">
    <cfRule type="cellIs" dxfId="4297" priority="62744" stopIfTrue="1" operator="notEqual">
      <formula>5</formula>
    </cfRule>
  </conditionalFormatting>
  <conditionalFormatting sqref="D197">
    <cfRule type="cellIs" dxfId="4296" priority="62745" stopIfTrue="1" operator="notEqual">
      <formula>2.152</formula>
    </cfRule>
  </conditionalFormatting>
  <conditionalFormatting sqref="E197">
    <cfRule type="cellIs" dxfId="4295" priority="62746" stopIfTrue="1" operator="notEqual">
      <formula>"MGD"</formula>
    </cfRule>
  </conditionalFormatting>
  <conditionalFormatting sqref="F197">
    <cfRule type="cellIs" dxfId="4294" priority="62747" stopIfTrue="1" operator="notEqual">
      <formula>0.819</formula>
    </cfRule>
  </conditionalFormatting>
  <conditionalFormatting sqref="G197">
    <cfRule type="cellIs" dxfId="4293" priority="62748" stopIfTrue="1" operator="notEqual">
      <formula>"MGD"</formula>
    </cfRule>
  </conditionalFormatting>
  <conditionalFormatting sqref="H197">
    <cfRule type="cellIs" dxfId="4292" priority="62749" stopIfTrue="1" operator="notEqual">
      <formula>"regeneration off-site (non-hazardous)"</formula>
    </cfRule>
  </conditionalFormatting>
  <conditionalFormatting sqref="I197">
    <cfRule type="cellIs" dxfId="4291" priority="62750" stopIfTrue="1" operator="notEqual">
      <formula>"carbon life value- bed volumes"</formula>
    </cfRule>
  </conditionalFormatting>
  <conditionalFormatting sqref="J197">
    <cfRule type="cellIs" dxfId="4290" priority="62751" stopIfTrue="1" operator="notEqual">
      <formula>16900</formula>
    </cfRule>
  </conditionalFormatting>
  <conditionalFormatting sqref="K197">
    <cfRule type="expression" dxfId="4289" priority="62752" stopIfTrue="1">
      <formula>NOT(ISBLANK($K$197))</formula>
    </cfRule>
  </conditionalFormatting>
  <conditionalFormatting sqref="L197">
    <cfRule type="expression" dxfId="4288" priority="62753" stopIfTrue="1">
      <formula>NOT(ISBLANK($L$197))</formula>
    </cfRule>
  </conditionalFormatting>
  <conditionalFormatting sqref="M197">
    <cfRule type="expression" dxfId="4287" priority="62754" stopIfTrue="1">
      <formula>NOT(ISBLANK($M$197))</formula>
    </cfRule>
  </conditionalFormatting>
  <conditionalFormatting sqref="N197">
    <cfRule type="cellIs" dxfId="4286" priority="62755" stopIfTrue="1" operator="notEqual">
      <formula>"EBCT"</formula>
    </cfRule>
  </conditionalFormatting>
  <conditionalFormatting sqref="O197">
    <cfRule type="cellIs" dxfId="4285" priority="62756" stopIfTrue="1" operator="notEqual">
      <formula>7.5</formula>
    </cfRule>
  </conditionalFormatting>
  <conditionalFormatting sqref="P197">
    <cfRule type="expression" dxfId="4284" priority="62757" stopIfTrue="1">
      <formula>NOT(ISBLANK($P$197))</formula>
    </cfRule>
  </conditionalFormatting>
  <conditionalFormatting sqref="Q197">
    <cfRule type="expression" dxfId="4283" priority="62758" stopIfTrue="1">
      <formula>NOT(ISBLANK($Q$197))</formula>
    </cfRule>
  </conditionalFormatting>
  <conditionalFormatting sqref="R197">
    <cfRule type="expression" dxfId="4282" priority="62759" stopIfTrue="1">
      <formula>NOT(ISBLANK($R$197))</formula>
    </cfRule>
  </conditionalFormatting>
  <conditionalFormatting sqref="S197">
    <cfRule type="expression" dxfId="4281" priority="62760" stopIfTrue="1">
      <formula>NOT(ISBLANK($S$197))</formula>
    </cfRule>
  </conditionalFormatting>
  <conditionalFormatting sqref="T197">
    <cfRule type="expression" dxfId="4280" priority="62761" stopIfTrue="1">
      <formula>NOT(ISBLANK($T$197))</formula>
    </cfRule>
  </conditionalFormatting>
  <conditionalFormatting sqref="U197">
    <cfRule type="expression" dxfId="4279" priority="62762" stopIfTrue="1">
      <formula>NOT(ISBLANK($U$197))</formula>
    </cfRule>
  </conditionalFormatting>
  <conditionalFormatting sqref="V197">
    <cfRule type="expression" dxfId="4278" priority="62763" stopIfTrue="1">
      <formula>NOT(ISBLANK($V$197))</formula>
    </cfRule>
  </conditionalFormatting>
  <conditionalFormatting sqref="W197">
    <cfRule type="cellIs" dxfId="4277" priority="62764" stopIfTrue="1" operator="notEqual">
      <formula>8</formula>
    </cfRule>
  </conditionalFormatting>
  <conditionalFormatting sqref="X197">
    <cfRule type="cellIs" dxfId="4276" priority="62765" stopIfTrue="1" operator="notEqual">
      <formula>8</formula>
    </cfRule>
  </conditionalFormatting>
  <conditionalFormatting sqref="Y197">
    <cfRule type="cellIs" dxfId="4275" priority="62766" stopIfTrue="1" operator="notEqual">
      <formula>7.9</formula>
    </cfRule>
  </conditionalFormatting>
  <conditionalFormatting sqref="Z197">
    <cfRule type="cellIs" dxfId="4274" priority="62767" stopIfTrue="1" operator="notEqual">
      <formula>168</formula>
    </cfRule>
  </conditionalFormatting>
  <conditionalFormatting sqref="AA197">
    <cfRule type="cellIs" dxfId="4273" priority="62768" stopIfTrue="1" operator="notEqual">
      <formula>"POTW"</formula>
    </cfRule>
  </conditionalFormatting>
  <conditionalFormatting sqref="AB197">
    <cfRule type="cellIs" dxfId="4272" priority="62769" stopIfTrue="1" operator="notEqual">
      <formula>"holding tank"</formula>
    </cfRule>
  </conditionalFormatting>
  <conditionalFormatting sqref="AC197">
    <cfRule type="cellIs" dxfId="4271" priority="62770" stopIfTrue="1" operator="notEqual">
      <formula>"eductors"</formula>
    </cfRule>
  </conditionalFormatting>
  <conditionalFormatting sqref="AD197">
    <cfRule type="cellIs" dxfId="4270" priority="62771" stopIfTrue="1" operator="notEqual">
      <formula>"non-hazardous"</formula>
    </cfRule>
  </conditionalFormatting>
  <conditionalFormatting sqref="AE197">
    <cfRule type="expression" dxfId="4269" priority="62772" stopIfTrue="1">
      <formula>NOT(ISBLANK($AE$197))</formula>
    </cfRule>
  </conditionalFormatting>
  <conditionalFormatting sqref="AF197">
    <cfRule type="cellIs" dxfId="4268" priority="62773" stopIfTrue="1" operator="notEqual">
      <formula>0</formula>
    </cfRule>
  </conditionalFormatting>
  <conditionalFormatting sqref="AG197">
    <cfRule type="expression" dxfId="4267" priority="62774" stopIfTrue="1">
      <formula>NOT(ISBLANK($AG$197))</formula>
    </cfRule>
  </conditionalFormatting>
  <conditionalFormatting sqref="AH197">
    <cfRule type="expression" dxfId="4266" priority="62775" stopIfTrue="1">
      <formula>NOT(ISBLANK($AH$197))</formula>
    </cfRule>
  </conditionalFormatting>
  <conditionalFormatting sqref="AI197">
    <cfRule type="cellIs" dxfId="4265" priority="62776" stopIfTrue="1" operator="notEqual">
      <formula>"fully automated"</formula>
    </cfRule>
  </conditionalFormatting>
  <conditionalFormatting sqref="AJ197">
    <cfRule type="expression" dxfId="4264" priority="62777" stopIfTrue="1">
      <formula>NOT(ISBLANK($AJ$197))</formula>
    </cfRule>
  </conditionalFormatting>
  <conditionalFormatting sqref="AK197">
    <cfRule type="expression" dxfId="4263" priority="62778" stopIfTrue="1">
      <formula>NOT(ISBLANK($AK$197))</formula>
    </cfRule>
  </conditionalFormatting>
  <conditionalFormatting sqref="AL197">
    <cfRule type="expression" dxfId="4262" priority="62779" stopIfTrue="1">
      <formula>NOT(ISBLANK($AL$197))</formula>
    </cfRule>
  </conditionalFormatting>
  <conditionalFormatting sqref="AM197">
    <cfRule type="expression" dxfId="4261" priority="62780" stopIfTrue="1">
      <formula>NOT(ISBLANK($AM$197))</formula>
    </cfRule>
  </conditionalFormatting>
  <conditionalFormatting sqref="AN197">
    <cfRule type="expression" dxfId="4260" priority="62781" stopIfTrue="1">
      <formula>NOT(ISBLANK($AN$197))</formula>
    </cfRule>
  </conditionalFormatting>
  <conditionalFormatting sqref="AO197">
    <cfRule type="expression" dxfId="4259" priority="62782" stopIfTrue="1">
      <formula>NOT(ISBLANK($AO$197))</formula>
    </cfRule>
  </conditionalFormatting>
  <conditionalFormatting sqref="AP197">
    <cfRule type="expression" dxfId="4258" priority="62783" stopIfTrue="1">
      <formula>NOT(ISBLANK($AP$197))</formula>
    </cfRule>
  </conditionalFormatting>
  <conditionalFormatting sqref="AQ197">
    <cfRule type="expression" dxfId="4257" priority="62784" stopIfTrue="1">
      <formula>NOT(ISBLANK($AQ$197))</formula>
    </cfRule>
  </conditionalFormatting>
  <conditionalFormatting sqref="A198">
    <cfRule type="cellIs" dxfId="4256" priority="62785" stopIfTrue="1" operator="notEqual">
      <formula>12</formula>
    </cfRule>
  </conditionalFormatting>
  <conditionalFormatting sqref="B198">
    <cfRule type="cellIs" dxfId="4255" priority="62786" stopIfTrue="1" operator="notEqual">
      <formula>2</formula>
    </cfRule>
  </conditionalFormatting>
  <conditionalFormatting sqref="C198">
    <cfRule type="cellIs" dxfId="4254" priority="62787" stopIfTrue="1" operator="notEqual">
      <formula>6</formula>
    </cfRule>
  </conditionalFormatting>
  <conditionalFormatting sqref="D198">
    <cfRule type="cellIs" dxfId="4253" priority="62788" stopIfTrue="1" operator="notEqual">
      <formula>7.365</formula>
    </cfRule>
  </conditionalFormatting>
  <conditionalFormatting sqref="E198">
    <cfRule type="cellIs" dxfId="4252" priority="62789" stopIfTrue="1" operator="notEqual">
      <formula>"MGD"</formula>
    </cfRule>
  </conditionalFormatting>
  <conditionalFormatting sqref="F198">
    <cfRule type="cellIs" dxfId="4251" priority="62790" stopIfTrue="1" operator="notEqual">
      <formula>3.2</formula>
    </cfRule>
  </conditionalFormatting>
  <conditionalFormatting sqref="G198">
    <cfRule type="cellIs" dxfId="4250" priority="62791" stopIfTrue="1" operator="notEqual">
      <formula>"MGD"</formula>
    </cfRule>
  </conditionalFormatting>
  <conditionalFormatting sqref="H198">
    <cfRule type="cellIs" dxfId="4249" priority="62792" stopIfTrue="1" operator="notEqual">
      <formula>"regeneration off-site (non-hazardous)"</formula>
    </cfRule>
  </conditionalFormatting>
  <conditionalFormatting sqref="I198">
    <cfRule type="cellIs" dxfId="4248" priority="62793" stopIfTrue="1" operator="notEqual">
      <formula>"carbon life value- bed volumes"</formula>
    </cfRule>
  </conditionalFormatting>
  <conditionalFormatting sqref="J198">
    <cfRule type="cellIs" dxfId="4247" priority="62794" stopIfTrue="1" operator="notEqual">
      <formula>16900</formula>
    </cfRule>
  </conditionalFormatting>
  <conditionalFormatting sqref="K198">
    <cfRule type="expression" dxfId="4246" priority="62795" stopIfTrue="1">
      <formula>NOT(ISBLANK($K$198))</formula>
    </cfRule>
  </conditionalFormatting>
  <conditionalFormatting sqref="L198">
    <cfRule type="expression" dxfId="4245" priority="62796" stopIfTrue="1">
      <formula>NOT(ISBLANK($L$198))</formula>
    </cfRule>
  </conditionalFormatting>
  <conditionalFormatting sqref="M198">
    <cfRule type="expression" dxfId="4244" priority="62797" stopIfTrue="1">
      <formula>NOT(ISBLANK($M$198))</formula>
    </cfRule>
  </conditionalFormatting>
  <conditionalFormatting sqref="N198">
    <cfRule type="cellIs" dxfId="4243" priority="62798" stopIfTrue="1" operator="notEqual">
      <formula>"EBCT"</formula>
    </cfRule>
  </conditionalFormatting>
  <conditionalFormatting sqref="O198">
    <cfRule type="cellIs" dxfId="4242" priority="62799" stopIfTrue="1" operator="notEqual">
      <formula>7.5</formula>
    </cfRule>
  </conditionalFormatting>
  <conditionalFormatting sqref="P198">
    <cfRule type="expression" dxfId="4241" priority="62800" stopIfTrue="1">
      <formula>NOT(ISBLANK($P$198))</formula>
    </cfRule>
  </conditionalFormatting>
  <conditionalFormatting sqref="Q198">
    <cfRule type="expression" dxfId="4240" priority="62801" stopIfTrue="1">
      <formula>NOT(ISBLANK($Q$198))</formula>
    </cfRule>
  </conditionalFormatting>
  <conditionalFormatting sqref="R198">
    <cfRule type="expression" dxfId="4239" priority="62802" stopIfTrue="1">
      <formula>NOT(ISBLANK($R$198))</formula>
    </cfRule>
  </conditionalFormatting>
  <conditionalFormatting sqref="S198">
    <cfRule type="expression" dxfId="4238" priority="62803" stopIfTrue="1">
      <formula>NOT(ISBLANK($S$198))</formula>
    </cfRule>
  </conditionalFormatting>
  <conditionalFormatting sqref="T198">
    <cfRule type="expression" dxfId="4237" priority="62804" stopIfTrue="1">
      <formula>NOT(ISBLANK($T$198))</formula>
    </cfRule>
  </conditionalFormatting>
  <conditionalFormatting sqref="U198">
    <cfRule type="expression" dxfId="4236" priority="62805" stopIfTrue="1">
      <formula>NOT(ISBLANK($U$198))</formula>
    </cfRule>
  </conditionalFormatting>
  <conditionalFormatting sqref="V198">
    <cfRule type="expression" dxfId="4235" priority="62806" stopIfTrue="1">
      <formula>NOT(ISBLANK($V$198))</formula>
    </cfRule>
  </conditionalFormatting>
  <conditionalFormatting sqref="W198">
    <cfRule type="cellIs" dxfId="4234" priority="62807" stopIfTrue="1" operator="notEqual">
      <formula>11.5</formula>
    </cfRule>
  </conditionalFormatting>
  <conditionalFormatting sqref="X198">
    <cfRule type="cellIs" dxfId="4233" priority="62808" stopIfTrue="1" operator="notEqual">
      <formula>11.5</formula>
    </cfRule>
  </conditionalFormatting>
  <conditionalFormatting sqref="Y198">
    <cfRule type="cellIs" dxfId="4232" priority="62809" stopIfTrue="1" operator="notEqual">
      <formula>7.8</formula>
    </cfRule>
  </conditionalFormatting>
  <conditionalFormatting sqref="Z198">
    <cfRule type="cellIs" dxfId="4231" priority="62810" stopIfTrue="1" operator="notEqual">
      <formula>168</formula>
    </cfRule>
  </conditionalFormatting>
  <conditionalFormatting sqref="AA198">
    <cfRule type="cellIs" dxfId="4230" priority="62811" stopIfTrue="1" operator="notEqual">
      <formula>"POTW"</formula>
    </cfRule>
  </conditionalFormatting>
  <conditionalFormatting sqref="AB198">
    <cfRule type="cellIs" dxfId="4229" priority="62812" stopIfTrue="1" operator="notEqual">
      <formula>"holding tank"</formula>
    </cfRule>
  </conditionalFormatting>
  <conditionalFormatting sqref="AC198">
    <cfRule type="cellIs" dxfId="4228" priority="62813" stopIfTrue="1" operator="notEqual">
      <formula>"eductors"</formula>
    </cfRule>
  </conditionalFormatting>
  <conditionalFormatting sqref="AD198">
    <cfRule type="cellIs" dxfId="4227" priority="62814" stopIfTrue="1" operator="notEqual">
      <formula>"non-hazardous"</formula>
    </cfRule>
  </conditionalFormatting>
  <conditionalFormatting sqref="AE198">
    <cfRule type="expression" dxfId="4226" priority="62815" stopIfTrue="1">
      <formula>NOT(ISBLANK($AE$198))</formula>
    </cfRule>
  </conditionalFormatting>
  <conditionalFormatting sqref="AF198">
    <cfRule type="cellIs" dxfId="4225" priority="62816" stopIfTrue="1" operator="notEqual">
      <formula>0</formula>
    </cfRule>
  </conditionalFormatting>
  <conditionalFormatting sqref="AG198">
    <cfRule type="expression" dxfId="4224" priority="62817" stopIfTrue="1">
      <formula>NOT(ISBLANK($AG$198))</formula>
    </cfRule>
  </conditionalFormatting>
  <conditionalFormatting sqref="AH198">
    <cfRule type="expression" dxfId="4223" priority="62818" stopIfTrue="1">
      <formula>NOT(ISBLANK($AH$198))</formula>
    </cfRule>
  </conditionalFormatting>
  <conditionalFormatting sqref="AI198">
    <cfRule type="cellIs" dxfId="4222" priority="62819" stopIfTrue="1" operator="notEqual">
      <formula>"fully automated"</formula>
    </cfRule>
  </conditionalFormatting>
  <conditionalFormatting sqref="AJ198">
    <cfRule type="expression" dxfId="4221" priority="62820" stopIfTrue="1">
      <formula>NOT(ISBLANK($AJ$198))</formula>
    </cfRule>
  </conditionalFormatting>
  <conditionalFormatting sqref="AK198">
    <cfRule type="expression" dxfId="4220" priority="62821" stopIfTrue="1">
      <formula>NOT(ISBLANK($AK$198))</formula>
    </cfRule>
  </conditionalFormatting>
  <conditionalFormatting sqref="AL198">
    <cfRule type="expression" dxfId="4219" priority="62822" stopIfTrue="1">
      <formula>NOT(ISBLANK($AL$198))</formula>
    </cfRule>
  </conditionalFormatting>
  <conditionalFormatting sqref="AM198">
    <cfRule type="expression" dxfId="4218" priority="62823" stopIfTrue="1">
      <formula>NOT(ISBLANK($AM$198))</formula>
    </cfRule>
  </conditionalFormatting>
  <conditionalFormatting sqref="AN198">
    <cfRule type="expression" dxfId="4217" priority="62824" stopIfTrue="1">
      <formula>NOT(ISBLANK($AN$198))</formula>
    </cfRule>
  </conditionalFormatting>
  <conditionalFormatting sqref="AO198">
    <cfRule type="expression" dxfId="4216" priority="62825" stopIfTrue="1">
      <formula>NOT(ISBLANK($AO$198))</formula>
    </cfRule>
  </conditionalFormatting>
  <conditionalFormatting sqref="AP198">
    <cfRule type="expression" dxfId="4215" priority="62826" stopIfTrue="1">
      <formula>NOT(ISBLANK($AP$198))</formula>
    </cfRule>
  </conditionalFormatting>
  <conditionalFormatting sqref="AQ198">
    <cfRule type="expression" dxfId="4214" priority="62827" stopIfTrue="1">
      <formula>NOT(ISBLANK($AQ$198))</formula>
    </cfRule>
  </conditionalFormatting>
  <conditionalFormatting sqref="A199">
    <cfRule type="cellIs" dxfId="4213" priority="62828" stopIfTrue="1" operator="notEqual">
      <formula>12</formula>
    </cfRule>
  </conditionalFormatting>
  <conditionalFormatting sqref="B199">
    <cfRule type="cellIs" dxfId="4212" priority="62829" stopIfTrue="1" operator="notEqual">
      <formula>2</formula>
    </cfRule>
  </conditionalFormatting>
  <conditionalFormatting sqref="C199">
    <cfRule type="cellIs" dxfId="4211" priority="62830" stopIfTrue="1" operator="notEqual">
      <formula>7</formula>
    </cfRule>
  </conditionalFormatting>
  <conditionalFormatting sqref="D199">
    <cfRule type="cellIs" dxfId="4210" priority="62831" stopIfTrue="1" operator="notEqual">
      <formula>22.614</formula>
    </cfRule>
  </conditionalFormatting>
  <conditionalFormatting sqref="E199">
    <cfRule type="cellIs" dxfId="4209" priority="62832" stopIfTrue="1" operator="notEqual">
      <formula>"MGD"</formula>
    </cfRule>
  </conditionalFormatting>
  <conditionalFormatting sqref="F199">
    <cfRule type="cellIs" dxfId="4208" priority="62833" stopIfTrue="1" operator="notEqual">
      <formula>11.066</formula>
    </cfRule>
  </conditionalFormatting>
  <conditionalFormatting sqref="G199">
    <cfRule type="cellIs" dxfId="4207" priority="62834" stopIfTrue="1" operator="notEqual">
      <formula>"MGD"</formula>
    </cfRule>
  </conditionalFormatting>
  <conditionalFormatting sqref="H199">
    <cfRule type="cellIs" dxfId="4206" priority="62835" stopIfTrue="1" operator="notEqual">
      <formula>"regeneration off-site (non-hazardous)"</formula>
    </cfRule>
  </conditionalFormatting>
  <conditionalFormatting sqref="I199">
    <cfRule type="cellIs" dxfId="4205" priority="62836" stopIfTrue="1" operator="notEqual">
      <formula>"carbon life value- bed volumes"</formula>
    </cfRule>
  </conditionalFormatting>
  <conditionalFormatting sqref="J199">
    <cfRule type="cellIs" dxfId="4204" priority="62837" stopIfTrue="1" operator="notEqual">
      <formula>16900</formula>
    </cfRule>
  </conditionalFormatting>
  <conditionalFormatting sqref="K199">
    <cfRule type="expression" dxfId="4203" priority="62838" stopIfTrue="1">
      <formula>NOT(ISBLANK($K$199))</formula>
    </cfRule>
  </conditionalFormatting>
  <conditionalFormatting sqref="L199">
    <cfRule type="expression" dxfId="4202" priority="62839" stopIfTrue="1">
      <formula>NOT(ISBLANK($L$199))</formula>
    </cfRule>
  </conditionalFormatting>
  <conditionalFormatting sqref="M199">
    <cfRule type="expression" dxfId="4201" priority="62840" stopIfTrue="1">
      <formula>NOT(ISBLANK($M$199))</formula>
    </cfRule>
  </conditionalFormatting>
  <conditionalFormatting sqref="N199">
    <cfRule type="cellIs" dxfId="4200" priority="62841" stopIfTrue="1" operator="notEqual">
      <formula>"EBCT"</formula>
    </cfRule>
  </conditionalFormatting>
  <conditionalFormatting sqref="O199">
    <cfRule type="cellIs" dxfId="4199" priority="62842" stopIfTrue="1" operator="notEqual">
      <formula>7.5</formula>
    </cfRule>
  </conditionalFormatting>
  <conditionalFormatting sqref="P199">
    <cfRule type="expression" dxfId="4198" priority="62843" stopIfTrue="1">
      <formula>NOT(ISBLANK($P$199))</formula>
    </cfRule>
  </conditionalFormatting>
  <conditionalFormatting sqref="Q199">
    <cfRule type="expression" dxfId="4197" priority="62844" stopIfTrue="1">
      <formula>NOT(ISBLANK($Q$199))</formula>
    </cfRule>
  </conditionalFormatting>
  <conditionalFormatting sqref="R199">
    <cfRule type="expression" dxfId="4196" priority="62845" stopIfTrue="1">
      <formula>NOT(ISBLANK($R$199))</formula>
    </cfRule>
  </conditionalFormatting>
  <conditionalFormatting sqref="S199">
    <cfRule type="expression" dxfId="4195" priority="62846" stopIfTrue="1">
      <formula>NOT(ISBLANK($S$199))</formula>
    </cfRule>
  </conditionalFormatting>
  <conditionalFormatting sqref="T199">
    <cfRule type="expression" dxfId="4194" priority="62847" stopIfTrue="1">
      <formula>NOT(ISBLANK($T$199))</formula>
    </cfRule>
  </conditionalFormatting>
  <conditionalFormatting sqref="U199">
    <cfRule type="expression" dxfId="4193" priority="62848" stopIfTrue="1">
      <formula>NOT(ISBLANK($U$199))</formula>
    </cfRule>
  </conditionalFormatting>
  <conditionalFormatting sqref="V199">
    <cfRule type="expression" dxfId="4192" priority="62849" stopIfTrue="1">
      <formula>NOT(ISBLANK($V$199))</formula>
    </cfRule>
  </conditionalFormatting>
  <conditionalFormatting sqref="W199">
    <cfRule type="cellIs" dxfId="4191" priority="62850" stopIfTrue="1" operator="notEqual">
      <formula>15</formula>
    </cfRule>
  </conditionalFormatting>
  <conditionalFormatting sqref="X199">
    <cfRule type="cellIs" dxfId="4190" priority="62851" stopIfTrue="1" operator="notEqual">
      <formula>15</formula>
    </cfRule>
  </conditionalFormatting>
  <conditionalFormatting sqref="Y199">
    <cfRule type="cellIs" dxfId="4189" priority="62852" stopIfTrue="1" operator="notEqual">
      <formula>7.8</formula>
    </cfRule>
  </conditionalFormatting>
  <conditionalFormatting sqref="Z199">
    <cfRule type="cellIs" dxfId="4188" priority="62853" stopIfTrue="1" operator="notEqual">
      <formula>168</formula>
    </cfRule>
  </conditionalFormatting>
  <conditionalFormatting sqref="AA199">
    <cfRule type="cellIs" dxfId="4187" priority="62854" stopIfTrue="1" operator="notEqual">
      <formula>"POTW"</formula>
    </cfRule>
  </conditionalFormatting>
  <conditionalFormatting sqref="AB199">
    <cfRule type="cellIs" dxfId="4186" priority="62855" stopIfTrue="1" operator="notEqual">
      <formula>"holding tank"</formula>
    </cfRule>
  </conditionalFormatting>
  <conditionalFormatting sqref="AC199">
    <cfRule type="cellIs" dxfId="4185" priority="62856" stopIfTrue="1" operator="notEqual">
      <formula>"eductors"</formula>
    </cfRule>
  </conditionalFormatting>
  <conditionalFormatting sqref="AD199">
    <cfRule type="cellIs" dxfId="4184" priority="62857" stopIfTrue="1" operator="notEqual">
      <formula>"non-hazardous"</formula>
    </cfRule>
  </conditionalFormatting>
  <conditionalFormatting sqref="AE199">
    <cfRule type="expression" dxfId="4183" priority="62858" stopIfTrue="1">
      <formula>NOT(ISBLANK($AE$199))</formula>
    </cfRule>
  </conditionalFormatting>
  <conditionalFormatting sqref="AF199">
    <cfRule type="cellIs" dxfId="4182" priority="62859" stopIfTrue="1" operator="notEqual">
      <formula>0</formula>
    </cfRule>
  </conditionalFormatting>
  <conditionalFormatting sqref="AG199">
    <cfRule type="expression" dxfId="4181" priority="62860" stopIfTrue="1">
      <formula>NOT(ISBLANK($AG$199))</formula>
    </cfRule>
  </conditionalFormatting>
  <conditionalFormatting sqref="AH199">
    <cfRule type="expression" dxfId="4180" priority="62861" stopIfTrue="1">
      <formula>NOT(ISBLANK($AH$199))</formula>
    </cfRule>
  </conditionalFormatting>
  <conditionalFormatting sqref="AI199">
    <cfRule type="cellIs" dxfId="4179" priority="62862" stopIfTrue="1" operator="notEqual">
      <formula>"fully automated"</formula>
    </cfRule>
  </conditionalFormatting>
  <conditionalFormatting sqref="AJ199">
    <cfRule type="expression" dxfId="4178" priority="62863" stopIfTrue="1">
      <formula>NOT(ISBLANK($AJ$199))</formula>
    </cfRule>
  </conditionalFormatting>
  <conditionalFormatting sqref="AK199">
    <cfRule type="expression" dxfId="4177" priority="62864" stopIfTrue="1">
      <formula>NOT(ISBLANK($AK$199))</formula>
    </cfRule>
  </conditionalFormatting>
  <conditionalFormatting sqref="AL199">
    <cfRule type="expression" dxfId="4176" priority="62865" stopIfTrue="1">
      <formula>NOT(ISBLANK($AL$199))</formula>
    </cfRule>
  </conditionalFormatting>
  <conditionalFormatting sqref="AM199">
    <cfRule type="expression" dxfId="4175" priority="62866" stopIfTrue="1">
      <formula>NOT(ISBLANK($AM$199))</formula>
    </cfRule>
  </conditionalFormatting>
  <conditionalFormatting sqref="AN199">
    <cfRule type="expression" dxfId="4174" priority="62867" stopIfTrue="1">
      <formula>NOT(ISBLANK($AN$199))</formula>
    </cfRule>
  </conditionalFormatting>
  <conditionalFormatting sqref="AO199">
    <cfRule type="expression" dxfId="4173" priority="62868" stopIfTrue="1">
      <formula>NOT(ISBLANK($AO$199))</formula>
    </cfRule>
  </conditionalFormatting>
  <conditionalFormatting sqref="AP199">
    <cfRule type="expression" dxfId="4172" priority="62869" stopIfTrue="1">
      <formula>NOT(ISBLANK($AP$199))</formula>
    </cfRule>
  </conditionalFormatting>
  <conditionalFormatting sqref="AQ199">
    <cfRule type="expression" dxfId="4171" priority="62870" stopIfTrue="1">
      <formula>NOT(ISBLANK($AQ$199))</formula>
    </cfRule>
  </conditionalFormatting>
  <conditionalFormatting sqref="A200">
    <cfRule type="cellIs" dxfId="4170" priority="62871" stopIfTrue="1" operator="notEqual">
      <formula>12</formula>
    </cfRule>
  </conditionalFormatting>
  <conditionalFormatting sqref="B200">
    <cfRule type="cellIs" dxfId="4169" priority="62872" stopIfTrue="1" operator="notEqual">
      <formula>2</formula>
    </cfRule>
  </conditionalFormatting>
  <conditionalFormatting sqref="C200">
    <cfRule type="cellIs" dxfId="4168" priority="62873" stopIfTrue="1" operator="notEqual">
      <formula>8</formula>
    </cfRule>
  </conditionalFormatting>
  <conditionalFormatting sqref="D200">
    <cfRule type="cellIs" dxfId="4167" priority="62874" stopIfTrue="1" operator="notEqual">
      <formula>75.072</formula>
    </cfRule>
  </conditionalFormatting>
  <conditionalFormatting sqref="E200">
    <cfRule type="cellIs" dxfId="4166" priority="62875" stopIfTrue="1" operator="notEqual">
      <formula>"MGD"</formula>
    </cfRule>
  </conditionalFormatting>
  <conditionalFormatting sqref="F200">
    <cfRule type="cellIs" dxfId="4165" priority="62876" stopIfTrue="1" operator="notEqual">
      <formula>37.536</formula>
    </cfRule>
  </conditionalFormatting>
  <conditionalFormatting sqref="G200">
    <cfRule type="cellIs" dxfId="4164" priority="62877" stopIfTrue="1" operator="notEqual">
      <formula>"MGD"</formula>
    </cfRule>
  </conditionalFormatting>
  <conditionalFormatting sqref="H200">
    <cfRule type="cellIs" dxfId="4163" priority="62878" stopIfTrue="1" operator="notEqual">
      <formula>"regeneration off-site (non-hazardous)"</formula>
    </cfRule>
  </conditionalFormatting>
  <conditionalFormatting sqref="I200">
    <cfRule type="cellIs" dxfId="4162" priority="62879" stopIfTrue="1" operator="notEqual">
      <formula>"carbon life value- bed volumes"</formula>
    </cfRule>
  </conditionalFormatting>
  <conditionalFormatting sqref="J200">
    <cfRule type="cellIs" dxfId="4161" priority="62880" stopIfTrue="1" operator="notEqual">
      <formula>16900</formula>
    </cfRule>
  </conditionalFormatting>
  <conditionalFormatting sqref="K200">
    <cfRule type="expression" dxfId="4160" priority="62881" stopIfTrue="1">
      <formula>NOT(ISBLANK($K$200))</formula>
    </cfRule>
  </conditionalFormatting>
  <conditionalFormatting sqref="L200">
    <cfRule type="expression" dxfId="4159" priority="62882" stopIfTrue="1">
      <formula>NOT(ISBLANK($L$200))</formula>
    </cfRule>
  </conditionalFormatting>
  <conditionalFormatting sqref="M200">
    <cfRule type="expression" dxfId="4158" priority="62883" stopIfTrue="1">
      <formula>NOT(ISBLANK($M$200))</formula>
    </cfRule>
  </conditionalFormatting>
  <conditionalFormatting sqref="N200">
    <cfRule type="cellIs" dxfId="4157" priority="62884" stopIfTrue="1" operator="notEqual">
      <formula>"EBCT"</formula>
    </cfRule>
  </conditionalFormatting>
  <conditionalFormatting sqref="O200">
    <cfRule type="cellIs" dxfId="4156" priority="62885" stopIfTrue="1" operator="notEqual">
      <formula>7.5</formula>
    </cfRule>
  </conditionalFormatting>
  <conditionalFormatting sqref="P200">
    <cfRule type="expression" dxfId="4155" priority="62886" stopIfTrue="1">
      <formula>NOT(ISBLANK($P$200))</formula>
    </cfRule>
  </conditionalFormatting>
  <conditionalFormatting sqref="Q200">
    <cfRule type="expression" dxfId="4154" priority="62887" stopIfTrue="1">
      <formula>NOT(ISBLANK($Q$200))</formula>
    </cfRule>
  </conditionalFormatting>
  <conditionalFormatting sqref="R200">
    <cfRule type="expression" dxfId="4153" priority="62888" stopIfTrue="1">
      <formula>NOT(ISBLANK($R$200))</formula>
    </cfRule>
  </conditionalFormatting>
  <conditionalFormatting sqref="S200">
    <cfRule type="expression" dxfId="4152" priority="62889" stopIfTrue="1">
      <formula>NOT(ISBLANK($S$200))</formula>
    </cfRule>
  </conditionalFormatting>
  <conditionalFormatting sqref="T200">
    <cfRule type="expression" dxfId="4151" priority="62890" stopIfTrue="1">
      <formula>NOT(ISBLANK($T$200))</formula>
    </cfRule>
  </conditionalFormatting>
  <conditionalFormatting sqref="U200">
    <cfRule type="expression" dxfId="4150" priority="62891" stopIfTrue="1">
      <formula>NOT(ISBLANK($U$200))</formula>
    </cfRule>
  </conditionalFormatting>
  <conditionalFormatting sqref="V200">
    <cfRule type="expression" dxfId="4149" priority="62892" stopIfTrue="1">
      <formula>NOT(ISBLANK($V$200))</formula>
    </cfRule>
  </conditionalFormatting>
  <conditionalFormatting sqref="W200">
    <cfRule type="cellIs" dxfId="4148" priority="62893" stopIfTrue="1" operator="notEqual">
      <formula>30</formula>
    </cfRule>
  </conditionalFormatting>
  <conditionalFormatting sqref="X200">
    <cfRule type="cellIs" dxfId="4147" priority="62894" stopIfTrue="1" operator="notEqual">
      <formula>30</formula>
    </cfRule>
  </conditionalFormatting>
  <conditionalFormatting sqref="Y200">
    <cfRule type="cellIs" dxfId="4146" priority="62895" stopIfTrue="1" operator="notEqual">
      <formula>9.7</formula>
    </cfRule>
  </conditionalFormatting>
  <conditionalFormatting sqref="Z200">
    <cfRule type="cellIs" dxfId="4145" priority="62896" stopIfTrue="1" operator="notEqual">
      <formula>168</formula>
    </cfRule>
  </conditionalFormatting>
  <conditionalFormatting sqref="AA200">
    <cfRule type="cellIs" dxfId="4144" priority="62897" stopIfTrue="1" operator="notEqual">
      <formula>"POTW"</formula>
    </cfRule>
  </conditionalFormatting>
  <conditionalFormatting sqref="AB200">
    <cfRule type="cellIs" dxfId="4143" priority="62898" stopIfTrue="1" operator="notEqual">
      <formula>"holding tank"</formula>
    </cfRule>
  </conditionalFormatting>
  <conditionalFormatting sqref="AC200">
    <cfRule type="cellIs" dxfId="4142" priority="62899" stopIfTrue="1" operator="notEqual">
      <formula>"eductors"</formula>
    </cfRule>
  </conditionalFormatting>
  <conditionalFormatting sqref="AD200">
    <cfRule type="cellIs" dxfId="4141" priority="62900" stopIfTrue="1" operator="notEqual">
      <formula>"non-hazardous"</formula>
    </cfRule>
  </conditionalFormatting>
  <conditionalFormatting sqref="AE200">
    <cfRule type="expression" dxfId="4140" priority="62901" stopIfTrue="1">
      <formula>NOT(ISBLANK($AE$200))</formula>
    </cfRule>
  </conditionalFormatting>
  <conditionalFormatting sqref="AF200">
    <cfRule type="cellIs" dxfId="4139" priority="62902" stopIfTrue="1" operator="notEqual">
      <formula>0</formula>
    </cfRule>
  </conditionalFormatting>
  <conditionalFormatting sqref="AG200">
    <cfRule type="expression" dxfId="4138" priority="62903" stopIfTrue="1">
      <formula>NOT(ISBLANK($AG$200))</formula>
    </cfRule>
  </conditionalFormatting>
  <conditionalFormatting sqref="AH200">
    <cfRule type="expression" dxfId="4137" priority="62904" stopIfTrue="1">
      <formula>NOT(ISBLANK($AH$200))</formula>
    </cfRule>
  </conditionalFormatting>
  <conditionalFormatting sqref="AI200">
    <cfRule type="cellIs" dxfId="4136" priority="62905" stopIfTrue="1" operator="notEqual">
      <formula>"fully automated"</formula>
    </cfRule>
  </conditionalFormatting>
  <conditionalFormatting sqref="AJ200">
    <cfRule type="expression" dxfId="4135" priority="62906" stopIfTrue="1">
      <formula>NOT(ISBLANK($AJ$200))</formula>
    </cfRule>
  </conditionalFormatting>
  <conditionalFormatting sqref="AK200">
    <cfRule type="expression" dxfId="4134" priority="62907" stopIfTrue="1">
      <formula>NOT(ISBLANK($AK$200))</formula>
    </cfRule>
  </conditionalFormatting>
  <conditionalFormatting sqref="AL200">
    <cfRule type="expression" dxfId="4133" priority="62908" stopIfTrue="1">
      <formula>NOT(ISBLANK($AL$200))</formula>
    </cfRule>
  </conditionalFormatting>
  <conditionalFormatting sqref="AM200">
    <cfRule type="expression" dxfId="4132" priority="62909" stopIfTrue="1">
      <formula>NOT(ISBLANK($AM$200))</formula>
    </cfRule>
  </conditionalFormatting>
  <conditionalFormatting sqref="AN200">
    <cfRule type="expression" dxfId="4131" priority="62910" stopIfTrue="1">
      <formula>NOT(ISBLANK($AN$200))</formula>
    </cfRule>
  </conditionalFormatting>
  <conditionalFormatting sqref="AO200">
    <cfRule type="expression" dxfId="4130" priority="62911" stopIfTrue="1">
      <formula>NOT(ISBLANK($AO$200))</formula>
    </cfRule>
  </conditionalFormatting>
  <conditionalFormatting sqref="AP200">
    <cfRule type="expression" dxfId="4129" priority="62912" stopIfTrue="1">
      <formula>NOT(ISBLANK($AP$200))</formula>
    </cfRule>
  </conditionalFormatting>
  <conditionalFormatting sqref="AQ200">
    <cfRule type="expression" dxfId="4128" priority="62913" stopIfTrue="1">
      <formula>NOT(ISBLANK($AQ$200))</formula>
    </cfRule>
  </conditionalFormatting>
  <conditionalFormatting sqref="A201">
    <cfRule type="cellIs" dxfId="4127" priority="62914" stopIfTrue="1" operator="notEqual">
      <formula>13</formula>
    </cfRule>
  </conditionalFormatting>
  <conditionalFormatting sqref="B201">
    <cfRule type="cellIs" dxfId="4126" priority="62915" stopIfTrue="1" operator="notEqual">
      <formula>1</formula>
    </cfRule>
  </conditionalFormatting>
  <conditionalFormatting sqref="C201">
    <cfRule type="cellIs" dxfId="4125" priority="62916" stopIfTrue="1" operator="notEqual">
      <formula>1</formula>
    </cfRule>
  </conditionalFormatting>
  <conditionalFormatting sqref="D201">
    <cfRule type="cellIs" dxfId="4124" priority="62917" stopIfTrue="1" operator="notEqual">
      <formula>0.03</formula>
    </cfRule>
  </conditionalFormatting>
  <conditionalFormatting sqref="E201">
    <cfRule type="cellIs" dxfId="4123" priority="62918" stopIfTrue="1" operator="notEqual">
      <formula>"MGD"</formula>
    </cfRule>
  </conditionalFormatting>
  <conditionalFormatting sqref="F201">
    <cfRule type="cellIs" dxfId="4122" priority="62919" stopIfTrue="1" operator="notEqual">
      <formula>0.007</formula>
    </cfRule>
  </conditionalFormatting>
  <conditionalFormatting sqref="G201">
    <cfRule type="cellIs" dxfId="4121" priority="62920" stopIfTrue="1" operator="notEqual">
      <formula>"MGD"</formula>
    </cfRule>
  </conditionalFormatting>
  <conditionalFormatting sqref="H201">
    <cfRule type="cellIs" dxfId="4120" priority="62921" stopIfTrue="1" operator="notEqual">
      <formula>"regeneration off-site (non-hazardous)"</formula>
    </cfRule>
  </conditionalFormatting>
  <conditionalFormatting sqref="I201">
    <cfRule type="cellIs" dxfId="4119" priority="62922" stopIfTrue="1" operator="notEqual">
      <formula>"carbon life value- bed volumes"</formula>
    </cfRule>
  </conditionalFormatting>
  <conditionalFormatting sqref="J201">
    <cfRule type="cellIs" dxfId="4118" priority="62923" stopIfTrue="1" operator="notEqual">
      <formula>5560</formula>
    </cfRule>
  </conditionalFormatting>
  <conditionalFormatting sqref="K201">
    <cfRule type="expression" dxfId="4117" priority="62924" stopIfTrue="1">
      <formula>NOT(ISBLANK($K$201))</formula>
    </cfRule>
  </conditionalFormatting>
  <conditionalFormatting sqref="L201">
    <cfRule type="expression" dxfId="4116" priority="62925" stopIfTrue="1">
      <formula>NOT(ISBLANK($L$201))</formula>
    </cfRule>
  </conditionalFormatting>
  <conditionalFormatting sqref="M201">
    <cfRule type="expression" dxfId="4115" priority="62926" stopIfTrue="1">
      <formula>NOT(ISBLANK($M$201))</formula>
    </cfRule>
  </conditionalFormatting>
  <conditionalFormatting sqref="N201">
    <cfRule type="cellIs" dxfId="4114" priority="62927" stopIfTrue="1" operator="notEqual">
      <formula>"EBCT"</formula>
    </cfRule>
  </conditionalFormatting>
  <conditionalFormatting sqref="O201">
    <cfRule type="cellIs" dxfId="4113" priority="62928" stopIfTrue="1" operator="notEqual">
      <formula>7.5</formula>
    </cfRule>
  </conditionalFormatting>
  <conditionalFormatting sqref="P201">
    <cfRule type="expression" dxfId="4112" priority="62929" stopIfTrue="1">
      <formula>NOT(ISBLANK($P$201))</formula>
    </cfRule>
  </conditionalFormatting>
  <conditionalFormatting sqref="Q201">
    <cfRule type="expression" dxfId="4111" priority="62930" stopIfTrue="1">
      <formula>NOT(ISBLANK($Q$201))</formula>
    </cfRule>
  </conditionalFormatting>
  <conditionalFormatting sqref="R201">
    <cfRule type="cellIs" dxfId="4110" priority="62931" stopIfTrue="1" operator="notEqual">
      <formula>1</formula>
    </cfRule>
  </conditionalFormatting>
  <conditionalFormatting sqref="S201">
    <cfRule type="cellIs" dxfId="4109" priority="62932" stopIfTrue="1" operator="notEqual">
      <formula>3.4</formula>
    </cfRule>
  </conditionalFormatting>
  <conditionalFormatting sqref="T201">
    <cfRule type="cellIs" dxfId="4108" priority="62933" stopIfTrue="1" operator="notEqual">
      <formula>"upright"</formula>
    </cfRule>
  </conditionalFormatting>
  <conditionalFormatting sqref="U201">
    <cfRule type="cellIs" dxfId="4107" priority="62934" stopIfTrue="1" operator="notEqual">
      <formula>6</formula>
    </cfRule>
  </conditionalFormatting>
  <conditionalFormatting sqref="V201">
    <cfRule type="cellIs" dxfId="4106" priority="62935" stopIfTrue="1" operator="notEqual">
      <formula>2</formula>
    </cfRule>
  </conditionalFormatting>
  <conditionalFormatting sqref="W201">
    <cfRule type="expression" dxfId="4105" priority="62936" stopIfTrue="1">
      <formula>NOT(ISBLANK($W$201))</formula>
    </cfRule>
  </conditionalFormatting>
  <conditionalFormatting sqref="X201">
    <cfRule type="expression" dxfId="4104" priority="62937" stopIfTrue="1">
      <formula>NOT(ISBLANK($X$201))</formula>
    </cfRule>
  </conditionalFormatting>
  <conditionalFormatting sqref="Y201">
    <cfRule type="expression" dxfId="4103" priority="62938" stopIfTrue="1">
      <formula>NOT(ISBLANK($Y$201))</formula>
    </cfRule>
  </conditionalFormatting>
  <conditionalFormatting sqref="Z201">
    <cfRule type="cellIs" dxfId="4102" priority="62939" stopIfTrue="1" operator="notEqual">
      <formula>168</formula>
    </cfRule>
  </conditionalFormatting>
  <conditionalFormatting sqref="AA201">
    <cfRule type="cellIs" dxfId="4101" priority="62940" stopIfTrue="1" operator="notEqual">
      <formula>"POTW"</formula>
    </cfRule>
  </conditionalFormatting>
  <conditionalFormatting sqref="AB201">
    <cfRule type="cellIs" dxfId="4100" priority="62941" stopIfTrue="1" operator="notEqual">
      <formula>"no holding tank"</formula>
    </cfRule>
  </conditionalFormatting>
  <conditionalFormatting sqref="AC201">
    <cfRule type="cellIs" dxfId="4099" priority="62942" stopIfTrue="1" operator="notEqual">
      <formula>"manual transfer"</formula>
    </cfRule>
  </conditionalFormatting>
  <conditionalFormatting sqref="AD201">
    <cfRule type="expression" dxfId="4098" priority="62943" stopIfTrue="1">
      <formula>NOT(ISBLANK($AD$201))</formula>
    </cfRule>
  </conditionalFormatting>
  <conditionalFormatting sqref="AE201">
    <cfRule type="expression" dxfId="4097" priority="62944" stopIfTrue="1">
      <formula>NOT(ISBLANK($AE$201))</formula>
    </cfRule>
  </conditionalFormatting>
  <conditionalFormatting sqref="AF201">
    <cfRule type="cellIs" dxfId="4096" priority="62945" stopIfTrue="1" operator="notEqual">
      <formula>0</formula>
    </cfRule>
  </conditionalFormatting>
  <conditionalFormatting sqref="AG201">
    <cfRule type="expression" dxfId="4095" priority="62946" stopIfTrue="1">
      <formula>NOT(ISBLANK($AG$201))</formula>
    </cfRule>
  </conditionalFormatting>
  <conditionalFormatting sqref="AH201">
    <cfRule type="expression" dxfId="4094" priority="62947" stopIfTrue="1">
      <formula>NOT(ISBLANK($AH$201))</formula>
    </cfRule>
  </conditionalFormatting>
  <conditionalFormatting sqref="AI201">
    <cfRule type="cellIs" dxfId="4093" priority="62948" stopIfTrue="1" operator="notEqual">
      <formula>"fully automated"</formula>
    </cfRule>
  </conditionalFormatting>
  <conditionalFormatting sqref="AJ201">
    <cfRule type="expression" dxfId="4092" priority="62949" stopIfTrue="1">
      <formula>NOT(ISBLANK($AJ$201))</formula>
    </cfRule>
  </conditionalFormatting>
  <conditionalFormatting sqref="AK201">
    <cfRule type="expression" dxfId="4091" priority="62950" stopIfTrue="1">
      <formula>NOT(ISBLANK($AK$201))</formula>
    </cfRule>
  </conditionalFormatting>
  <conditionalFormatting sqref="AL201">
    <cfRule type="expression" dxfId="4090" priority="62951" stopIfTrue="1">
      <formula>NOT(ISBLANK($AL$201))</formula>
    </cfRule>
  </conditionalFormatting>
  <conditionalFormatting sqref="AM201">
    <cfRule type="expression" dxfId="4089" priority="62952" stopIfTrue="1">
      <formula>NOT(ISBLANK($AM$201))</formula>
    </cfRule>
  </conditionalFormatting>
  <conditionalFormatting sqref="AN201">
    <cfRule type="expression" dxfId="4088" priority="62953" stopIfTrue="1">
      <formula>NOT(ISBLANK($AN$201))</formula>
    </cfRule>
  </conditionalFormatting>
  <conditionalFormatting sqref="AO201">
    <cfRule type="expression" dxfId="4087" priority="62954" stopIfTrue="1">
      <formula>NOT(ISBLANK($AO$201))</formula>
    </cfRule>
  </conditionalFormatting>
  <conditionalFormatting sqref="AP201">
    <cfRule type="expression" dxfId="4086" priority="62955" stopIfTrue="1">
      <formula>NOT(ISBLANK($AP$201))</formula>
    </cfRule>
  </conditionalFormatting>
  <conditionalFormatting sqref="AQ201">
    <cfRule type="expression" dxfId="4085" priority="62956" stopIfTrue="1">
      <formula>NOT(ISBLANK($AQ$201))</formula>
    </cfRule>
  </conditionalFormatting>
  <conditionalFormatting sqref="A202">
    <cfRule type="cellIs" dxfId="4084" priority="62957" stopIfTrue="1" operator="notEqual">
      <formula>13</formula>
    </cfRule>
  </conditionalFormatting>
  <conditionalFormatting sqref="B202">
    <cfRule type="cellIs" dxfId="4083" priority="62958" stopIfTrue="1" operator="notEqual">
      <formula>1</formula>
    </cfRule>
  </conditionalFormatting>
  <conditionalFormatting sqref="C202">
    <cfRule type="cellIs" dxfId="4082" priority="62959" stopIfTrue="1" operator="notEqual">
      <formula>2</formula>
    </cfRule>
  </conditionalFormatting>
  <conditionalFormatting sqref="D202">
    <cfRule type="cellIs" dxfId="4081" priority="62960" stopIfTrue="1" operator="notEqual">
      <formula>0.124</formula>
    </cfRule>
  </conditionalFormatting>
  <conditionalFormatting sqref="E202">
    <cfRule type="cellIs" dxfId="4080" priority="62961" stopIfTrue="1" operator="notEqual">
      <formula>"MGD"</formula>
    </cfRule>
  </conditionalFormatting>
  <conditionalFormatting sqref="F202">
    <cfRule type="cellIs" dxfId="4079" priority="62962" stopIfTrue="1" operator="notEqual">
      <formula>0.035</formula>
    </cfRule>
  </conditionalFormatting>
  <conditionalFormatting sqref="G202">
    <cfRule type="cellIs" dxfId="4078" priority="62963" stopIfTrue="1" operator="notEqual">
      <formula>"MGD"</formula>
    </cfRule>
  </conditionalFormatting>
  <conditionalFormatting sqref="H202">
    <cfRule type="cellIs" dxfId="4077" priority="62964" stopIfTrue="1" operator="notEqual">
      <formula>"regeneration off-site (non-hazardous)"</formula>
    </cfRule>
  </conditionalFormatting>
  <conditionalFormatting sqref="I202">
    <cfRule type="cellIs" dxfId="4076" priority="62965" stopIfTrue="1" operator="notEqual">
      <formula>"carbon life value- bed volumes"</formula>
    </cfRule>
  </conditionalFormatting>
  <conditionalFormatting sqref="J202">
    <cfRule type="cellIs" dxfId="4075" priority="62966" stopIfTrue="1" operator="notEqual">
      <formula>5560</formula>
    </cfRule>
  </conditionalFormatting>
  <conditionalFormatting sqref="K202">
    <cfRule type="expression" dxfId="4074" priority="62967" stopIfTrue="1">
      <formula>NOT(ISBLANK($K$202))</formula>
    </cfRule>
  </conditionalFormatting>
  <conditionalFormatting sqref="L202">
    <cfRule type="expression" dxfId="4073" priority="62968" stopIfTrue="1">
      <formula>NOT(ISBLANK($L$202))</formula>
    </cfRule>
  </conditionalFormatting>
  <conditionalFormatting sqref="M202">
    <cfRule type="expression" dxfId="4072" priority="62969" stopIfTrue="1">
      <formula>NOT(ISBLANK($M$202))</formula>
    </cfRule>
  </conditionalFormatting>
  <conditionalFormatting sqref="N202">
    <cfRule type="cellIs" dxfId="4071" priority="62970" stopIfTrue="1" operator="notEqual">
      <formula>"EBCT"</formula>
    </cfRule>
  </conditionalFormatting>
  <conditionalFormatting sqref="O202">
    <cfRule type="cellIs" dxfId="4070" priority="62971" stopIfTrue="1" operator="notEqual">
      <formula>7.5</formula>
    </cfRule>
  </conditionalFormatting>
  <conditionalFormatting sqref="P202">
    <cfRule type="expression" dxfId="4069" priority="62972" stopIfTrue="1">
      <formula>NOT(ISBLANK($P$202))</formula>
    </cfRule>
  </conditionalFormatting>
  <conditionalFormatting sqref="Q202">
    <cfRule type="expression" dxfId="4068" priority="62973" stopIfTrue="1">
      <formula>NOT(ISBLANK($Q$202))</formula>
    </cfRule>
  </conditionalFormatting>
  <conditionalFormatting sqref="R202">
    <cfRule type="cellIs" dxfId="4067" priority="62974" stopIfTrue="1" operator="notEqual">
      <formula>1</formula>
    </cfRule>
  </conditionalFormatting>
  <conditionalFormatting sqref="S202">
    <cfRule type="cellIs" dxfId="4066" priority="62975" stopIfTrue="1" operator="notEqual">
      <formula>6.9</formula>
    </cfRule>
  </conditionalFormatting>
  <conditionalFormatting sqref="T202">
    <cfRule type="cellIs" dxfId="4065" priority="62976" stopIfTrue="1" operator="notEqual">
      <formula>"upright"</formula>
    </cfRule>
  </conditionalFormatting>
  <conditionalFormatting sqref="U202">
    <cfRule type="cellIs" dxfId="4064" priority="62977" stopIfTrue="1" operator="notEqual">
      <formula>11</formula>
    </cfRule>
  </conditionalFormatting>
  <conditionalFormatting sqref="V202">
    <cfRule type="cellIs" dxfId="4063" priority="62978" stopIfTrue="1" operator="notEqual">
      <formula>4</formula>
    </cfRule>
  </conditionalFormatting>
  <conditionalFormatting sqref="W202">
    <cfRule type="expression" dxfId="4062" priority="62979" stopIfTrue="1">
      <formula>NOT(ISBLANK($W$202))</formula>
    </cfRule>
  </conditionalFormatting>
  <conditionalFormatting sqref="X202">
    <cfRule type="expression" dxfId="4061" priority="62980" stopIfTrue="1">
      <formula>NOT(ISBLANK($X$202))</formula>
    </cfRule>
  </conditionalFormatting>
  <conditionalFormatting sqref="Y202">
    <cfRule type="expression" dxfId="4060" priority="62981" stopIfTrue="1">
      <formula>NOT(ISBLANK($Y$202))</formula>
    </cfRule>
  </conditionalFormatting>
  <conditionalFormatting sqref="Z202">
    <cfRule type="cellIs" dxfId="4059" priority="62982" stopIfTrue="1" operator="notEqual">
      <formula>168</formula>
    </cfRule>
  </conditionalFormatting>
  <conditionalFormatting sqref="AA202">
    <cfRule type="cellIs" dxfId="4058" priority="62983" stopIfTrue="1" operator="notEqual">
      <formula>"POTW"</formula>
    </cfRule>
  </conditionalFormatting>
  <conditionalFormatting sqref="AB202">
    <cfRule type="cellIs" dxfId="4057" priority="62984" stopIfTrue="1" operator="notEqual">
      <formula>"Holding tank"</formula>
    </cfRule>
  </conditionalFormatting>
  <conditionalFormatting sqref="AC202">
    <cfRule type="cellIs" dxfId="4056" priority="62985" stopIfTrue="1" operator="notEqual">
      <formula>"manual transfer"</formula>
    </cfRule>
  </conditionalFormatting>
  <conditionalFormatting sqref="AD202">
    <cfRule type="cellIs" dxfId="4055" priority="62986" stopIfTrue="1" operator="notEqual">
      <formula>"non-hazardous"</formula>
    </cfRule>
  </conditionalFormatting>
  <conditionalFormatting sqref="AE202">
    <cfRule type="expression" dxfId="4054" priority="62987" stopIfTrue="1">
      <formula>NOT(ISBLANK($AE$202))</formula>
    </cfRule>
  </conditionalFormatting>
  <conditionalFormatting sqref="AF202">
    <cfRule type="cellIs" dxfId="4053" priority="62988" stopIfTrue="1" operator="notEqual">
      <formula>0</formula>
    </cfRule>
  </conditionalFormatting>
  <conditionalFormatting sqref="AG202">
    <cfRule type="expression" dxfId="4052" priority="62989" stopIfTrue="1">
      <formula>NOT(ISBLANK($AG$202))</formula>
    </cfRule>
  </conditionalFormatting>
  <conditionalFormatting sqref="AH202">
    <cfRule type="expression" dxfId="4051" priority="62990" stopIfTrue="1">
      <formula>NOT(ISBLANK($AH$202))</formula>
    </cfRule>
  </conditionalFormatting>
  <conditionalFormatting sqref="AI202">
    <cfRule type="cellIs" dxfId="4050" priority="62991" stopIfTrue="1" operator="notEqual">
      <formula>"fully automated"</formula>
    </cfRule>
  </conditionalFormatting>
  <conditionalFormatting sqref="AJ202">
    <cfRule type="expression" dxfId="4049" priority="62992" stopIfTrue="1">
      <formula>NOT(ISBLANK($AJ$202))</formula>
    </cfRule>
  </conditionalFormatting>
  <conditionalFormatting sqref="AK202">
    <cfRule type="expression" dxfId="4048" priority="62993" stopIfTrue="1">
      <formula>NOT(ISBLANK($AK$202))</formula>
    </cfRule>
  </conditionalFormatting>
  <conditionalFormatting sqref="AL202">
    <cfRule type="expression" dxfId="4047" priority="62994" stopIfTrue="1">
      <formula>NOT(ISBLANK($AL$202))</formula>
    </cfRule>
  </conditionalFormatting>
  <conditionalFormatting sqref="AM202">
    <cfRule type="expression" dxfId="4046" priority="62995" stopIfTrue="1">
      <formula>NOT(ISBLANK($AM$202))</formula>
    </cfRule>
  </conditionalFormatting>
  <conditionalFormatting sqref="AN202">
    <cfRule type="expression" dxfId="4045" priority="62996" stopIfTrue="1">
      <formula>NOT(ISBLANK($AN$202))</formula>
    </cfRule>
  </conditionalFormatting>
  <conditionalFormatting sqref="AO202">
    <cfRule type="expression" dxfId="4044" priority="62997" stopIfTrue="1">
      <formula>NOT(ISBLANK($AO$202))</formula>
    </cfRule>
  </conditionalFormatting>
  <conditionalFormatting sqref="AP202">
    <cfRule type="expression" dxfId="4043" priority="62998" stopIfTrue="1">
      <formula>NOT(ISBLANK($AP$202))</formula>
    </cfRule>
  </conditionalFormatting>
  <conditionalFormatting sqref="AQ202">
    <cfRule type="expression" dxfId="4042" priority="62999" stopIfTrue="1">
      <formula>NOT(ISBLANK($AQ$202))</formula>
    </cfRule>
  </conditionalFormatting>
  <conditionalFormatting sqref="A203">
    <cfRule type="cellIs" dxfId="4041" priority="63000" stopIfTrue="1" operator="notEqual">
      <formula>13</formula>
    </cfRule>
  </conditionalFormatting>
  <conditionalFormatting sqref="B203">
    <cfRule type="cellIs" dxfId="4040" priority="63001" stopIfTrue="1" operator="notEqual">
      <formula>1</formula>
    </cfRule>
  </conditionalFormatting>
  <conditionalFormatting sqref="C203">
    <cfRule type="cellIs" dxfId="4039" priority="63002" stopIfTrue="1" operator="notEqual">
      <formula>3</formula>
    </cfRule>
  </conditionalFormatting>
  <conditionalFormatting sqref="D203">
    <cfRule type="cellIs" dxfId="4038" priority="63003" stopIfTrue="1" operator="notEqual">
      <formula>0.305</formula>
    </cfRule>
  </conditionalFormatting>
  <conditionalFormatting sqref="E203">
    <cfRule type="cellIs" dxfId="4037" priority="63004" stopIfTrue="1" operator="notEqual">
      <formula>"MGD"</formula>
    </cfRule>
  </conditionalFormatting>
  <conditionalFormatting sqref="F203">
    <cfRule type="cellIs" dxfId="4036" priority="63005" stopIfTrue="1" operator="notEqual">
      <formula>0.094</formula>
    </cfRule>
  </conditionalFormatting>
  <conditionalFormatting sqref="G203">
    <cfRule type="cellIs" dxfId="4035" priority="63006" stopIfTrue="1" operator="notEqual">
      <formula>"MGD"</formula>
    </cfRule>
  </conditionalFormatting>
  <conditionalFormatting sqref="H203">
    <cfRule type="cellIs" dxfId="4034" priority="63007" stopIfTrue="1" operator="notEqual">
      <formula>"regeneration off-site (non-hazardous)"</formula>
    </cfRule>
  </conditionalFormatting>
  <conditionalFormatting sqref="I203">
    <cfRule type="cellIs" dxfId="4033" priority="63008" stopIfTrue="1" operator="notEqual">
      <formula>"carbon life value- bed volumes"</formula>
    </cfRule>
  </conditionalFormatting>
  <conditionalFormatting sqref="J203">
    <cfRule type="cellIs" dxfId="4032" priority="63009" stopIfTrue="1" operator="notEqual">
      <formula>5560</formula>
    </cfRule>
  </conditionalFormatting>
  <conditionalFormatting sqref="K203">
    <cfRule type="expression" dxfId="4031" priority="63010" stopIfTrue="1">
      <formula>NOT(ISBLANK($K$203))</formula>
    </cfRule>
  </conditionalFormatting>
  <conditionalFormatting sqref="L203">
    <cfRule type="expression" dxfId="4030" priority="63011" stopIfTrue="1">
      <formula>NOT(ISBLANK($L$203))</formula>
    </cfRule>
  </conditionalFormatting>
  <conditionalFormatting sqref="M203">
    <cfRule type="expression" dxfId="4029" priority="63012" stopIfTrue="1">
      <formula>NOT(ISBLANK($M$203))</formula>
    </cfRule>
  </conditionalFormatting>
  <conditionalFormatting sqref="N203">
    <cfRule type="cellIs" dxfId="4028" priority="63013" stopIfTrue="1" operator="notEqual">
      <formula>"EBCT"</formula>
    </cfRule>
  </conditionalFormatting>
  <conditionalFormatting sqref="O203">
    <cfRule type="cellIs" dxfId="4027" priority="63014" stopIfTrue="1" operator="notEqual">
      <formula>7.5</formula>
    </cfRule>
  </conditionalFormatting>
  <conditionalFormatting sqref="P203">
    <cfRule type="expression" dxfId="4026" priority="63015" stopIfTrue="1">
      <formula>NOT(ISBLANK($P$203))</formula>
    </cfRule>
  </conditionalFormatting>
  <conditionalFormatting sqref="Q203">
    <cfRule type="expression" dxfId="4025" priority="63016" stopIfTrue="1">
      <formula>NOT(ISBLANK($Q$203))</formula>
    </cfRule>
  </conditionalFormatting>
  <conditionalFormatting sqref="R203">
    <cfRule type="cellIs" dxfId="4024" priority="63017" stopIfTrue="1" operator="notEqual">
      <formula>1</formula>
    </cfRule>
  </conditionalFormatting>
  <conditionalFormatting sqref="S203">
    <cfRule type="cellIs" dxfId="4023" priority="63018" stopIfTrue="1" operator="notEqual">
      <formula>6.7</formula>
    </cfRule>
  </conditionalFormatting>
  <conditionalFormatting sqref="T203">
    <cfRule type="cellIs" dxfId="4022" priority="63019" stopIfTrue="1" operator="notEqual">
      <formula>"upright"</formula>
    </cfRule>
  </conditionalFormatting>
  <conditionalFormatting sqref="U203">
    <cfRule type="cellIs" dxfId="4021" priority="63020" stopIfTrue="1" operator="notEqual">
      <formula>11</formula>
    </cfRule>
  </conditionalFormatting>
  <conditionalFormatting sqref="V203">
    <cfRule type="cellIs" dxfId="4020" priority="63021" stopIfTrue="1" operator="notEqual">
      <formula>4.5</formula>
    </cfRule>
  </conditionalFormatting>
  <conditionalFormatting sqref="W203">
    <cfRule type="expression" dxfId="4019" priority="63022" stopIfTrue="1">
      <formula>NOT(ISBLANK($W$203))</formula>
    </cfRule>
  </conditionalFormatting>
  <conditionalFormatting sqref="X203">
    <cfRule type="expression" dxfId="4018" priority="63023" stopIfTrue="1">
      <formula>NOT(ISBLANK($X$203))</formula>
    </cfRule>
  </conditionalFormatting>
  <conditionalFormatting sqref="Y203">
    <cfRule type="expression" dxfId="4017" priority="63024" stopIfTrue="1">
      <formula>NOT(ISBLANK($Y$203))</formula>
    </cfRule>
  </conditionalFormatting>
  <conditionalFormatting sqref="Z203">
    <cfRule type="cellIs" dxfId="4016" priority="63025" stopIfTrue="1" operator="notEqual">
      <formula>168</formula>
    </cfRule>
  </conditionalFormatting>
  <conditionalFormatting sqref="AA203">
    <cfRule type="cellIs" dxfId="4015" priority="63026" stopIfTrue="1" operator="notEqual">
      <formula>"POTW"</formula>
    </cfRule>
  </conditionalFormatting>
  <conditionalFormatting sqref="AB203">
    <cfRule type="cellIs" dxfId="4014" priority="63027" stopIfTrue="1" operator="notEqual">
      <formula>"Holding tank"</formula>
    </cfRule>
  </conditionalFormatting>
  <conditionalFormatting sqref="AC203">
    <cfRule type="cellIs" dxfId="4013" priority="63028" stopIfTrue="1" operator="notEqual">
      <formula>"manual transfer"</formula>
    </cfRule>
  </conditionalFormatting>
  <conditionalFormatting sqref="AD203">
    <cfRule type="cellIs" dxfId="4012" priority="63029" stopIfTrue="1" operator="notEqual">
      <formula>"non-hazardous"</formula>
    </cfRule>
  </conditionalFormatting>
  <conditionalFormatting sqref="AE203">
    <cfRule type="expression" dxfId="4011" priority="63030" stopIfTrue="1">
      <formula>NOT(ISBLANK($AE$203))</formula>
    </cfRule>
  </conditionalFormatting>
  <conditionalFormatting sqref="AF203">
    <cfRule type="cellIs" dxfId="4010" priority="63031" stopIfTrue="1" operator="notEqual">
      <formula>0</formula>
    </cfRule>
  </conditionalFormatting>
  <conditionalFormatting sqref="AG203">
    <cfRule type="expression" dxfId="4009" priority="63032" stopIfTrue="1">
      <formula>NOT(ISBLANK($AG$203))</formula>
    </cfRule>
  </conditionalFormatting>
  <conditionalFormatting sqref="AH203">
    <cfRule type="expression" dxfId="4008" priority="63033" stopIfTrue="1">
      <formula>NOT(ISBLANK($AH$203))</formula>
    </cfRule>
  </conditionalFormatting>
  <conditionalFormatting sqref="AI203">
    <cfRule type="cellIs" dxfId="4007" priority="63034" stopIfTrue="1" operator="notEqual">
      <formula>"fully automated"</formula>
    </cfRule>
  </conditionalFormatting>
  <conditionalFormatting sqref="AJ203">
    <cfRule type="expression" dxfId="4006" priority="63035" stopIfTrue="1">
      <formula>NOT(ISBLANK($AJ$203))</formula>
    </cfRule>
  </conditionalFormatting>
  <conditionalFormatting sqref="AK203">
    <cfRule type="expression" dxfId="4005" priority="63036" stopIfTrue="1">
      <formula>NOT(ISBLANK($AK$203))</formula>
    </cfRule>
  </conditionalFormatting>
  <conditionalFormatting sqref="AL203">
    <cfRule type="expression" dxfId="4004" priority="63037" stopIfTrue="1">
      <formula>NOT(ISBLANK($AL$203))</formula>
    </cfRule>
  </conditionalFormatting>
  <conditionalFormatting sqref="AM203">
    <cfRule type="expression" dxfId="4003" priority="63038" stopIfTrue="1">
      <formula>NOT(ISBLANK($AM$203))</formula>
    </cfRule>
  </conditionalFormatting>
  <conditionalFormatting sqref="AN203">
    <cfRule type="expression" dxfId="4002" priority="63039" stopIfTrue="1">
      <formula>NOT(ISBLANK($AN$203))</formula>
    </cfRule>
  </conditionalFormatting>
  <conditionalFormatting sqref="AO203">
    <cfRule type="expression" dxfId="4001" priority="63040" stopIfTrue="1">
      <formula>NOT(ISBLANK($AO$203))</formula>
    </cfRule>
  </conditionalFormatting>
  <conditionalFormatting sqref="AP203">
    <cfRule type="expression" dxfId="4000" priority="63041" stopIfTrue="1">
      <formula>NOT(ISBLANK($AP$203))</formula>
    </cfRule>
  </conditionalFormatting>
  <conditionalFormatting sqref="AQ203">
    <cfRule type="expression" dxfId="3999" priority="63042" stopIfTrue="1">
      <formula>NOT(ISBLANK($AQ$203))</formula>
    </cfRule>
  </conditionalFormatting>
  <conditionalFormatting sqref="A204">
    <cfRule type="cellIs" dxfId="3998" priority="63043" stopIfTrue="1" operator="notEqual">
      <formula>13</formula>
    </cfRule>
  </conditionalFormatting>
  <conditionalFormatting sqref="B204">
    <cfRule type="cellIs" dxfId="3997" priority="63044" stopIfTrue="1" operator="notEqual">
      <formula>1</formula>
    </cfRule>
  </conditionalFormatting>
  <conditionalFormatting sqref="C204">
    <cfRule type="cellIs" dxfId="3996" priority="63045" stopIfTrue="1" operator="notEqual">
      <formula>4</formula>
    </cfRule>
  </conditionalFormatting>
  <conditionalFormatting sqref="D204">
    <cfRule type="cellIs" dxfId="3995" priority="63046" stopIfTrue="1" operator="notEqual">
      <formula>0.74</formula>
    </cfRule>
  </conditionalFormatting>
  <conditionalFormatting sqref="E204">
    <cfRule type="cellIs" dxfId="3994" priority="63047" stopIfTrue="1" operator="notEqual">
      <formula>"MGD"</formula>
    </cfRule>
  </conditionalFormatting>
  <conditionalFormatting sqref="F204">
    <cfRule type="cellIs" dxfId="3993" priority="63048" stopIfTrue="1" operator="notEqual">
      <formula>0.251</formula>
    </cfRule>
  </conditionalFormatting>
  <conditionalFormatting sqref="G204">
    <cfRule type="cellIs" dxfId="3992" priority="63049" stopIfTrue="1" operator="notEqual">
      <formula>"MGD"</formula>
    </cfRule>
  </conditionalFormatting>
  <conditionalFormatting sqref="H204">
    <cfRule type="cellIs" dxfId="3991" priority="63050" stopIfTrue="1" operator="notEqual">
      <formula>"regeneration off-site (non-hazardous)"</formula>
    </cfRule>
  </conditionalFormatting>
  <conditionalFormatting sqref="I204">
    <cfRule type="cellIs" dxfId="3990" priority="63051" stopIfTrue="1" operator="notEqual">
      <formula>"carbon life value- bed volumes"</formula>
    </cfRule>
  </conditionalFormatting>
  <conditionalFormatting sqref="J204">
    <cfRule type="cellIs" dxfId="3989" priority="63052" stopIfTrue="1" operator="notEqual">
      <formula>5560</formula>
    </cfRule>
  </conditionalFormatting>
  <conditionalFormatting sqref="K204">
    <cfRule type="expression" dxfId="3988" priority="63053" stopIfTrue="1">
      <formula>NOT(ISBLANK($K$204))</formula>
    </cfRule>
  </conditionalFormatting>
  <conditionalFormatting sqref="L204">
    <cfRule type="expression" dxfId="3987" priority="63054" stopIfTrue="1">
      <formula>NOT(ISBLANK($L$204))</formula>
    </cfRule>
  </conditionalFormatting>
  <conditionalFormatting sqref="M204">
    <cfRule type="expression" dxfId="3986" priority="63055" stopIfTrue="1">
      <formula>NOT(ISBLANK($M$204))</formula>
    </cfRule>
  </conditionalFormatting>
  <conditionalFormatting sqref="N204">
    <cfRule type="cellIs" dxfId="3985" priority="63056" stopIfTrue="1" operator="notEqual">
      <formula>"EBCT"</formula>
    </cfRule>
  </conditionalFormatting>
  <conditionalFormatting sqref="O204">
    <cfRule type="cellIs" dxfId="3984" priority="63057" stopIfTrue="1" operator="notEqual">
      <formula>7.5</formula>
    </cfRule>
  </conditionalFormatting>
  <conditionalFormatting sqref="P204">
    <cfRule type="expression" dxfId="3983" priority="63058" stopIfTrue="1">
      <formula>NOT(ISBLANK($P$204))</formula>
    </cfRule>
  </conditionalFormatting>
  <conditionalFormatting sqref="Q204">
    <cfRule type="expression" dxfId="3982" priority="63059" stopIfTrue="1">
      <formula>NOT(ISBLANK($Q$204))</formula>
    </cfRule>
  </conditionalFormatting>
  <conditionalFormatting sqref="R204">
    <cfRule type="cellIs" dxfId="3981" priority="63060" stopIfTrue="1" operator="notEqual">
      <formula>1</formula>
    </cfRule>
  </conditionalFormatting>
  <conditionalFormatting sqref="S204">
    <cfRule type="cellIs" dxfId="3980" priority="63061" stopIfTrue="1" operator="notEqual">
      <formula>6.7</formula>
    </cfRule>
  </conditionalFormatting>
  <conditionalFormatting sqref="T204">
    <cfRule type="cellIs" dxfId="3979" priority="63062" stopIfTrue="1" operator="notEqual">
      <formula>"upright"</formula>
    </cfRule>
  </conditionalFormatting>
  <conditionalFormatting sqref="U204">
    <cfRule type="cellIs" dxfId="3978" priority="63063" stopIfTrue="1" operator="notEqual">
      <formula>11</formula>
    </cfRule>
  </conditionalFormatting>
  <conditionalFormatting sqref="V204">
    <cfRule type="cellIs" dxfId="3977" priority="63064" stopIfTrue="1" operator="notEqual">
      <formula>7</formula>
    </cfRule>
  </conditionalFormatting>
  <conditionalFormatting sqref="W204">
    <cfRule type="expression" dxfId="3976" priority="63065" stopIfTrue="1">
      <formula>NOT(ISBLANK($W$204))</formula>
    </cfRule>
  </conditionalFormatting>
  <conditionalFormatting sqref="X204">
    <cfRule type="expression" dxfId="3975" priority="63066" stopIfTrue="1">
      <formula>NOT(ISBLANK($X$204))</formula>
    </cfRule>
  </conditionalFormatting>
  <conditionalFormatting sqref="Y204">
    <cfRule type="expression" dxfId="3974" priority="63067" stopIfTrue="1">
      <formula>NOT(ISBLANK($Y$204))</formula>
    </cfRule>
  </conditionalFormatting>
  <conditionalFormatting sqref="Z204">
    <cfRule type="cellIs" dxfId="3973" priority="63068" stopIfTrue="1" operator="notEqual">
      <formula>168</formula>
    </cfRule>
  </conditionalFormatting>
  <conditionalFormatting sqref="AA204">
    <cfRule type="cellIs" dxfId="3972" priority="63069" stopIfTrue="1" operator="notEqual">
      <formula>"POTW"</formula>
    </cfRule>
  </conditionalFormatting>
  <conditionalFormatting sqref="AB204">
    <cfRule type="cellIs" dxfId="3971" priority="63070" stopIfTrue="1" operator="notEqual">
      <formula>"Holding tank"</formula>
    </cfRule>
  </conditionalFormatting>
  <conditionalFormatting sqref="AC204">
    <cfRule type="cellIs" dxfId="3970" priority="63071" stopIfTrue="1" operator="notEqual">
      <formula>"manual transfer"</formula>
    </cfRule>
  </conditionalFormatting>
  <conditionalFormatting sqref="AD204">
    <cfRule type="cellIs" dxfId="3969" priority="63072" stopIfTrue="1" operator="notEqual">
      <formula>"non-hazardous"</formula>
    </cfRule>
  </conditionalFormatting>
  <conditionalFormatting sqref="AE204">
    <cfRule type="expression" dxfId="3968" priority="63073" stopIfTrue="1">
      <formula>NOT(ISBLANK($AE$204))</formula>
    </cfRule>
  </conditionalFormatting>
  <conditionalFormatting sqref="AF204">
    <cfRule type="cellIs" dxfId="3967" priority="63074" stopIfTrue="1" operator="notEqual">
      <formula>0</formula>
    </cfRule>
  </conditionalFormatting>
  <conditionalFormatting sqref="AG204">
    <cfRule type="expression" dxfId="3966" priority="63075" stopIfTrue="1">
      <formula>NOT(ISBLANK($AG$204))</formula>
    </cfRule>
  </conditionalFormatting>
  <conditionalFormatting sqref="AH204">
    <cfRule type="expression" dxfId="3965" priority="63076" stopIfTrue="1">
      <formula>NOT(ISBLANK($AH$204))</formula>
    </cfRule>
  </conditionalFormatting>
  <conditionalFormatting sqref="AI204">
    <cfRule type="cellIs" dxfId="3964" priority="63077" stopIfTrue="1" operator="notEqual">
      <formula>"fully automated"</formula>
    </cfRule>
  </conditionalFormatting>
  <conditionalFormatting sqref="AJ204">
    <cfRule type="expression" dxfId="3963" priority="63078" stopIfTrue="1">
      <formula>NOT(ISBLANK($AJ$204))</formula>
    </cfRule>
  </conditionalFormatting>
  <conditionalFormatting sqref="AK204">
    <cfRule type="expression" dxfId="3962" priority="63079" stopIfTrue="1">
      <formula>NOT(ISBLANK($AK$204))</formula>
    </cfRule>
  </conditionalFormatting>
  <conditionalFormatting sqref="AL204">
    <cfRule type="expression" dxfId="3961" priority="63080" stopIfTrue="1">
      <formula>NOT(ISBLANK($AL$204))</formula>
    </cfRule>
  </conditionalFormatting>
  <conditionalFormatting sqref="AM204">
    <cfRule type="expression" dxfId="3960" priority="63081" stopIfTrue="1">
      <formula>NOT(ISBLANK($AM$204))</formula>
    </cfRule>
  </conditionalFormatting>
  <conditionalFormatting sqref="AN204">
    <cfRule type="expression" dxfId="3959" priority="63082" stopIfTrue="1">
      <formula>NOT(ISBLANK($AN$204))</formula>
    </cfRule>
  </conditionalFormatting>
  <conditionalFormatting sqref="AO204">
    <cfRule type="expression" dxfId="3958" priority="63083" stopIfTrue="1">
      <formula>NOT(ISBLANK($AO$204))</formula>
    </cfRule>
  </conditionalFormatting>
  <conditionalFormatting sqref="AP204">
    <cfRule type="expression" dxfId="3957" priority="63084" stopIfTrue="1">
      <formula>NOT(ISBLANK($AP$204))</formula>
    </cfRule>
  </conditionalFormatting>
  <conditionalFormatting sqref="AQ204">
    <cfRule type="expression" dxfId="3956" priority="63085" stopIfTrue="1">
      <formula>NOT(ISBLANK($AQ$204))</formula>
    </cfRule>
  </conditionalFormatting>
  <conditionalFormatting sqref="A205">
    <cfRule type="cellIs" dxfId="3955" priority="63086" stopIfTrue="1" operator="notEqual">
      <formula>13</formula>
    </cfRule>
  </conditionalFormatting>
  <conditionalFormatting sqref="B205">
    <cfRule type="cellIs" dxfId="3954" priority="63087" stopIfTrue="1" operator="notEqual">
      <formula>1</formula>
    </cfRule>
  </conditionalFormatting>
  <conditionalFormatting sqref="C205">
    <cfRule type="cellIs" dxfId="3953" priority="63088" stopIfTrue="1" operator="notEqual">
      <formula>5</formula>
    </cfRule>
  </conditionalFormatting>
  <conditionalFormatting sqref="D205">
    <cfRule type="cellIs" dxfId="3952" priority="63089" stopIfTrue="1" operator="notEqual">
      <formula>2.152</formula>
    </cfRule>
  </conditionalFormatting>
  <conditionalFormatting sqref="E205">
    <cfRule type="cellIs" dxfId="3951" priority="63090" stopIfTrue="1" operator="notEqual">
      <formula>"MGD"</formula>
    </cfRule>
  </conditionalFormatting>
  <conditionalFormatting sqref="F205">
    <cfRule type="cellIs" dxfId="3950" priority="63091" stopIfTrue="1" operator="notEqual">
      <formula>0.819</formula>
    </cfRule>
  </conditionalFormatting>
  <conditionalFormatting sqref="G205">
    <cfRule type="cellIs" dxfId="3949" priority="63092" stopIfTrue="1" operator="notEqual">
      <formula>"MGD"</formula>
    </cfRule>
  </conditionalFormatting>
  <conditionalFormatting sqref="H205">
    <cfRule type="cellIs" dxfId="3948" priority="63093" stopIfTrue="1" operator="notEqual">
      <formula>"regeneration off-site (non-hazardous)"</formula>
    </cfRule>
  </conditionalFormatting>
  <conditionalFormatting sqref="I205">
    <cfRule type="cellIs" dxfId="3947" priority="63094" stopIfTrue="1" operator="notEqual">
      <formula>"carbon life value- bed volumes"</formula>
    </cfRule>
  </conditionalFormatting>
  <conditionalFormatting sqref="J205">
    <cfRule type="cellIs" dxfId="3946" priority="63095" stopIfTrue="1" operator="notEqual">
      <formula>5560</formula>
    </cfRule>
  </conditionalFormatting>
  <conditionalFormatting sqref="K205">
    <cfRule type="expression" dxfId="3945" priority="63096" stopIfTrue="1">
      <formula>NOT(ISBLANK($K$205))</formula>
    </cfRule>
  </conditionalFormatting>
  <conditionalFormatting sqref="L205">
    <cfRule type="expression" dxfId="3944" priority="63097" stopIfTrue="1">
      <formula>NOT(ISBLANK($L$205))</formula>
    </cfRule>
  </conditionalFormatting>
  <conditionalFormatting sqref="M205">
    <cfRule type="expression" dxfId="3943" priority="63098" stopIfTrue="1">
      <formula>NOT(ISBLANK($M$205))</formula>
    </cfRule>
  </conditionalFormatting>
  <conditionalFormatting sqref="N205">
    <cfRule type="cellIs" dxfId="3942" priority="63099" stopIfTrue="1" operator="notEqual">
      <formula>"EBCT"</formula>
    </cfRule>
  </conditionalFormatting>
  <conditionalFormatting sqref="O205">
    <cfRule type="cellIs" dxfId="3941" priority="63100" stopIfTrue="1" operator="notEqual">
      <formula>7.5</formula>
    </cfRule>
  </conditionalFormatting>
  <conditionalFormatting sqref="P205">
    <cfRule type="expression" dxfId="3940" priority="63101" stopIfTrue="1">
      <formula>NOT(ISBLANK($P$205))</formula>
    </cfRule>
  </conditionalFormatting>
  <conditionalFormatting sqref="Q205">
    <cfRule type="expression" dxfId="3939" priority="63102" stopIfTrue="1">
      <formula>NOT(ISBLANK($Q$205))</formula>
    </cfRule>
  </conditionalFormatting>
  <conditionalFormatting sqref="R205">
    <cfRule type="cellIs" dxfId="3938" priority="63103" stopIfTrue="1" operator="notEqual">
      <formula>1</formula>
    </cfRule>
  </conditionalFormatting>
  <conditionalFormatting sqref="S205">
    <cfRule type="cellIs" dxfId="3937" priority="63104" stopIfTrue="1" operator="notEqual">
      <formula>6.7</formula>
    </cfRule>
  </conditionalFormatting>
  <conditionalFormatting sqref="T205">
    <cfRule type="cellIs" dxfId="3936" priority="63105" stopIfTrue="1" operator="notEqual">
      <formula>"upright"</formula>
    </cfRule>
  </conditionalFormatting>
  <conditionalFormatting sqref="U205">
    <cfRule type="cellIs" dxfId="3935" priority="63106" stopIfTrue="1" operator="notEqual">
      <formula>11</formula>
    </cfRule>
  </conditionalFormatting>
  <conditionalFormatting sqref="V205">
    <cfRule type="cellIs" dxfId="3934" priority="63107" stopIfTrue="1" operator="notEqual">
      <formula>8.5</formula>
    </cfRule>
  </conditionalFormatting>
  <conditionalFormatting sqref="W205">
    <cfRule type="expression" dxfId="3933" priority="63108" stopIfTrue="1">
      <formula>NOT(ISBLANK($W$205))</formula>
    </cfRule>
  </conditionalFormatting>
  <conditionalFormatting sqref="X205">
    <cfRule type="expression" dxfId="3932" priority="63109" stopIfTrue="1">
      <formula>NOT(ISBLANK($X$205))</formula>
    </cfRule>
  </conditionalFormatting>
  <conditionalFormatting sqref="Y205">
    <cfRule type="expression" dxfId="3931" priority="63110" stopIfTrue="1">
      <formula>NOT(ISBLANK($Y$205))</formula>
    </cfRule>
  </conditionalFormatting>
  <conditionalFormatting sqref="Z205">
    <cfRule type="cellIs" dxfId="3930" priority="63111" stopIfTrue="1" operator="notEqual">
      <formula>168</formula>
    </cfRule>
  </conditionalFormatting>
  <conditionalFormatting sqref="AA205">
    <cfRule type="cellIs" dxfId="3929" priority="63112" stopIfTrue="1" operator="notEqual">
      <formula>"POTW"</formula>
    </cfRule>
  </conditionalFormatting>
  <conditionalFormatting sqref="AB205">
    <cfRule type="cellIs" dxfId="3928" priority="63113" stopIfTrue="1" operator="notEqual">
      <formula>"Holding tank"</formula>
    </cfRule>
  </conditionalFormatting>
  <conditionalFormatting sqref="AC205">
    <cfRule type="cellIs" dxfId="3927" priority="63114" stopIfTrue="1" operator="notEqual">
      <formula>"eductors"</formula>
    </cfRule>
  </conditionalFormatting>
  <conditionalFormatting sqref="AD205">
    <cfRule type="cellIs" dxfId="3926" priority="63115" stopIfTrue="1" operator="notEqual">
      <formula>"non-hazardous"</formula>
    </cfRule>
  </conditionalFormatting>
  <conditionalFormatting sqref="AE205">
    <cfRule type="expression" dxfId="3925" priority="63116" stopIfTrue="1">
      <formula>NOT(ISBLANK($AE$205))</formula>
    </cfRule>
  </conditionalFormatting>
  <conditionalFormatting sqref="AF205">
    <cfRule type="cellIs" dxfId="3924" priority="63117" stopIfTrue="1" operator="notEqual">
      <formula>0</formula>
    </cfRule>
  </conditionalFormatting>
  <conditionalFormatting sqref="AG205">
    <cfRule type="expression" dxfId="3923" priority="63118" stopIfTrue="1">
      <formula>NOT(ISBLANK($AG$205))</formula>
    </cfRule>
  </conditionalFormatting>
  <conditionalFormatting sqref="AH205">
    <cfRule type="expression" dxfId="3922" priority="63119" stopIfTrue="1">
      <formula>NOT(ISBLANK($AH$205))</formula>
    </cfRule>
  </conditionalFormatting>
  <conditionalFormatting sqref="AI205">
    <cfRule type="cellIs" dxfId="3921" priority="63120" stopIfTrue="1" operator="notEqual">
      <formula>"fully automated"</formula>
    </cfRule>
  </conditionalFormatting>
  <conditionalFormatting sqref="AJ205">
    <cfRule type="expression" dxfId="3920" priority="63121" stopIfTrue="1">
      <formula>NOT(ISBLANK($AJ$205))</formula>
    </cfRule>
  </conditionalFormatting>
  <conditionalFormatting sqref="AK205">
    <cfRule type="expression" dxfId="3919" priority="63122" stopIfTrue="1">
      <formula>NOT(ISBLANK($AK$205))</formula>
    </cfRule>
  </conditionalFormatting>
  <conditionalFormatting sqref="AL205">
    <cfRule type="expression" dxfId="3918" priority="63123" stopIfTrue="1">
      <formula>NOT(ISBLANK($AL$205))</formula>
    </cfRule>
  </conditionalFormatting>
  <conditionalFormatting sqref="AM205">
    <cfRule type="expression" dxfId="3917" priority="63124" stopIfTrue="1">
      <formula>NOT(ISBLANK($AM$205))</formula>
    </cfRule>
  </conditionalFormatting>
  <conditionalFormatting sqref="AN205">
    <cfRule type="expression" dxfId="3916" priority="63125" stopIfTrue="1">
      <formula>NOT(ISBLANK($AN$205))</formula>
    </cfRule>
  </conditionalFormatting>
  <conditionalFormatting sqref="AO205">
    <cfRule type="expression" dxfId="3915" priority="63126" stopIfTrue="1">
      <formula>NOT(ISBLANK($AO$205))</formula>
    </cfRule>
  </conditionalFormatting>
  <conditionalFormatting sqref="AP205">
    <cfRule type="expression" dxfId="3914" priority="63127" stopIfTrue="1">
      <formula>NOT(ISBLANK($AP$205))</formula>
    </cfRule>
  </conditionalFormatting>
  <conditionalFormatting sqref="AQ205">
    <cfRule type="expression" dxfId="3913" priority="63128" stopIfTrue="1">
      <formula>NOT(ISBLANK($AQ$205))</formula>
    </cfRule>
  </conditionalFormatting>
  <conditionalFormatting sqref="A206">
    <cfRule type="cellIs" dxfId="3912" priority="63129" stopIfTrue="1" operator="notEqual">
      <formula>13</formula>
    </cfRule>
  </conditionalFormatting>
  <conditionalFormatting sqref="B206">
    <cfRule type="cellIs" dxfId="3911" priority="63130" stopIfTrue="1" operator="notEqual">
      <formula>1</formula>
    </cfRule>
  </conditionalFormatting>
  <conditionalFormatting sqref="C206">
    <cfRule type="cellIs" dxfId="3910" priority="63131" stopIfTrue="1" operator="notEqual">
      <formula>6</formula>
    </cfRule>
  </conditionalFormatting>
  <conditionalFormatting sqref="D206">
    <cfRule type="cellIs" dxfId="3909" priority="63132" stopIfTrue="1" operator="notEqual">
      <formula>7.365</formula>
    </cfRule>
  </conditionalFormatting>
  <conditionalFormatting sqref="E206">
    <cfRule type="cellIs" dxfId="3908" priority="63133" stopIfTrue="1" operator="notEqual">
      <formula>"MGD"</formula>
    </cfRule>
  </conditionalFormatting>
  <conditionalFormatting sqref="F206">
    <cfRule type="cellIs" dxfId="3907" priority="63134" stopIfTrue="1" operator="notEqual">
      <formula>3.2</formula>
    </cfRule>
  </conditionalFormatting>
  <conditionalFormatting sqref="G206">
    <cfRule type="cellIs" dxfId="3906" priority="63135" stopIfTrue="1" operator="notEqual">
      <formula>"MGD"</formula>
    </cfRule>
  </conditionalFormatting>
  <conditionalFormatting sqref="H206">
    <cfRule type="cellIs" dxfId="3905" priority="63136" stopIfTrue="1" operator="notEqual">
      <formula>"regeneration off-site (non-hazardous)"</formula>
    </cfRule>
  </conditionalFormatting>
  <conditionalFormatting sqref="I206">
    <cfRule type="cellIs" dxfId="3904" priority="63137" stopIfTrue="1" operator="notEqual">
      <formula>"carbon life value- bed volumes"</formula>
    </cfRule>
  </conditionalFormatting>
  <conditionalFormatting sqref="J206">
    <cfRule type="cellIs" dxfId="3903" priority="63138" stopIfTrue="1" operator="notEqual">
      <formula>5560</formula>
    </cfRule>
  </conditionalFormatting>
  <conditionalFormatting sqref="K206">
    <cfRule type="expression" dxfId="3902" priority="63139" stopIfTrue="1">
      <formula>NOT(ISBLANK($K$206))</formula>
    </cfRule>
  </conditionalFormatting>
  <conditionalFormatting sqref="L206">
    <cfRule type="expression" dxfId="3901" priority="63140" stopIfTrue="1">
      <formula>NOT(ISBLANK($L$206))</formula>
    </cfRule>
  </conditionalFormatting>
  <conditionalFormatting sqref="M206">
    <cfRule type="expression" dxfId="3900" priority="63141" stopIfTrue="1">
      <formula>NOT(ISBLANK($M$206))</formula>
    </cfRule>
  </conditionalFormatting>
  <conditionalFormatting sqref="N206">
    <cfRule type="cellIs" dxfId="3899" priority="63142" stopIfTrue="1" operator="notEqual">
      <formula>"EBCT"</formula>
    </cfRule>
  </conditionalFormatting>
  <conditionalFormatting sqref="O206">
    <cfRule type="cellIs" dxfId="3898" priority="63143" stopIfTrue="1" operator="notEqual">
      <formula>7.5</formula>
    </cfRule>
  </conditionalFormatting>
  <conditionalFormatting sqref="P206">
    <cfRule type="expression" dxfId="3897" priority="63144" stopIfTrue="1">
      <formula>NOT(ISBLANK($P$206))</formula>
    </cfRule>
  </conditionalFormatting>
  <conditionalFormatting sqref="Q206">
    <cfRule type="expression" dxfId="3896" priority="63145" stopIfTrue="1">
      <formula>NOT(ISBLANK($Q$206))</formula>
    </cfRule>
  </conditionalFormatting>
  <conditionalFormatting sqref="R206">
    <cfRule type="cellIs" dxfId="3895" priority="63146" stopIfTrue="1" operator="notEqual">
      <formula>1</formula>
    </cfRule>
  </conditionalFormatting>
  <conditionalFormatting sqref="S206">
    <cfRule type="cellIs" dxfId="3894" priority="63147" stopIfTrue="1" operator="notEqual">
      <formula>6.2</formula>
    </cfRule>
  </conditionalFormatting>
  <conditionalFormatting sqref="T206">
    <cfRule type="cellIs" dxfId="3893" priority="63148" stopIfTrue="1" operator="notEqual">
      <formula>"horizontal"</formula>
    </cfRule>
  </conditionalFormatting>
  <conditionalFormatting sqref="U206">
    <cfRule type="cellIs" dxfId="3892" priority="63149" stopIfTrue="1" operator="notEqual">
      <formula>20</formula>
    </cfRule>
  </conditionalFormatting>
  <conditionalFormatting sqref="V206">
    <cfRule type="cellIs" dxfId="3891" priority="63150" stopIfTrue="1" operator="notEqual">
      <formula>14</formula>
    </cfRule>
  </conditionalFormatting>
  <conditionalFormatting sqref="W206">
    <cfRule type="expression" dxfId="3890" priority="63151" stopIfTrue="1">
      <formula>NOT(ISBLANK($W$206))</formula>
    </cfRule>
  </conditionalFormatting>
  <conditionalFormatting sqref="X206">
    <cfRule type="expression" dxfId="3889" priority="63152" stopIfTrue="1">
      <formula>NOT(ISBLANK($X$206))</formula>
    </cfRule>
  </conditionalFormatting>
  <conditionalFormatting sqref="Y206">
    <cfRule type="expression" dxfId="3888" priority="63153" stopIfTrue="1">
      <formula>NOT(ISBLANK($Y$206))</formula>
    </cfRule>
  </conditionalFormatting>
  <conditionalFormatting sqref="Z206">
    <cfRule type="cellIs" dxfId="3887" priority="63154" stopIfTrue="1" operator="notEqual">
      <formula>168</formula>
    </cfRule>
  </conditionalFormatting>
  <conditionalFormatting sqref="AA206">
    <cfRule type="cellIs" dxfId="3886" priority="63155" stopIfTrue="1" operator="notEqual">
      <formula>"POTW"</formula>
    </cfRule>
  </conditionalFormatting>
  <conditionalFormatting sqref="AB206">
    <cfRule type="cellIs" dxfId="3885" priority="63156" stopIfTrue="1" operator="notEqual">
      <formula>"Holding tank"</formula>
    </cfRule>
  </conditionalFormatting>
  <conditionalFormatting sqref="AC206">
    <cfRule type="cellIs" dxfId="3884" priority="63157" stopIfTrue="1" operator="notEqual">
      <formula>"eductors"</formula>
    </cfRule>
  </conditionalFormatting>
  <conditionalFormatting sqref="AD206">
    <cfRule type="cellIs" dxfId="3883" priority="63158" stopIfTrue="1" operator="notEqual">
      <formula>"non-hazardous"</formula>
    </cfRule>
  </conditionalFormatting>
  <conditionalFormatting sqref="AE206">
    <cfRule type="expression" dxfId="3882" priority="63159" stopIfTrue="1">
      <formula>NOT(ISBLANK($AE$206))</formula>
    </cfRule>
  </conditionalFormatting>
  <conditionalFormatting sqref="AF206">
    <cfRule type="cellIs" dxfId="3881" priority="63160" stopIfTrue="1" operator="notEqual">
      <formula>0</formula>
    </cfRule>
  </conditionalFormatting>
  <conditionalFormatting sqref="AG206">
    <cfRule type="expression" dxfId="3880" priority="63161" stopIfTrue="1">
      <formula>NOT(ISBLANK($AG$206))</formula>
    </cfRule>
  </conditionalFormatting>
  <conditionalFormatting sqref="AH206">
    <cfRule type="expression" dxfId="3879" priority="63162" stopIfTrue="1">
      <formula>NOT(ISBLANK($AH$206))</formula>
    </cfRule>
  </conditionalFormatting>
  <conditionalFormatting sqref="AI206">
    <cfRule type="cellIs" dxfId="3878" priority="63163" stopIfTrue="1" operator="notEqual">
      <formula>"fully automated"</formula>
    </cfRule>
  </conditionalFormatting>
  <conditionalFormatting sqref="AJ206">
    <cfRule type="expression" dxfId="3877" priority="63164" stopIfTrue="1">
      <formula>NOT(ISBLANK($AJ$206))</formula>
    </cfRule>
  </conditionalFormatting>
  <conditionalFormatting sqref="AK206">
    <cfRule type="expression" dxfId="3876" priority="63165" stopIfTrue="1">
      <formula>NOT(ISBLANK($AK$206))</formula>
    </cfRule>
  </conditionalFormatting>
  <conditionalFormatting sqref="AL206">
    <cfRule type="expression" dxfId="3875" priority="63166" stopIfTrue="1">
      <formula>NOT(ISBLANK($AL$206))</formula>
    </cfRule>
  </conditionalFormatting>
  <conditionalFormatting sqref="AM206">
    <cfRule type="expression" dxfId="3874" priority="63167" stopIfTrue="1">
      <formula>NOT(ISBLANK($AM$206))</formula>
    </cfRule>
  </conditionalFormatting>
  <conditionalFormatting sqref="AN206">
    <cfRule type="expression" dxfId="3873" priority="63168" stopIfTrue="1">
      <formula>NOT(ISBLANK($AN$206))</formula>
    </cfRule>
  </conditionalFormatting>
  <conditionalFormatting sqref="AO206">
    <cfRule type="expression" dxfId="3872" priority="63169" stopIfTrue="1">
      <formula>NOT(ISBLANK($AO$206))</formula>
    </cfRule>
  </conditionalFormatting>
  <conditionalFormatting sqref="AP206">
    <cfRule type="expression" dxfId="3871" priority="63170" stopIfTrue="1">
      <formula>NOT(ISBLANK($AP$206))</formula>
    </cfRule>
  </conditionalFormatting>
  <conditionalFormatting sqref="AQ206">
    <cfRule type="expression" dxfId="3870" priority="63171" stopIfTrue="1">
      <formula>NOT(ISBLANK($AQ$206))</formula>
    </cfRule>
  </conditionalFormatting>
  <conditionalFormatting sqref="A207">
    <cfRule type="cellIs" dxfId="3869" priority="63172" stopIfTrue="1" operator="notEqual">
      <formula>13</formula>
    </cfRule>
  </conditionalFormatting>
  <conditionalFormatting sqref="B207">
    <cfRule type="cellIs" dxfId="3868" priority="63173" stopIfTrue="1" operator="notEqual">
      <formula>1</formula>
    </cfRule>
  </conditionalFormatting>
  <conditionalFormatting sqref="C207">
    <cfRule type="cellIs" dxfId="3867" priority="63174" stopIfTrue="1" operator="notEqual">
      <formula>7</formula>
    </cfRule>
  </conditionalFormatting>
  <conditionalFormatting sqref="D207">
    <cfRule type="cellIs" dxfId="3866" priority="63175" stopIfTrue="1" operator="notEqual">
      <formula>22.614</formula>
    </cfRule>
  </conditionalFormatting>
  <conditionalFormatting sqref="E207">
    <cfRule type="cellIs" dxfId="3865" priority="63176" stopIfTrue="1" operator="notEqual">
      <formula>"MGD"</formula>
    </cfRule>
  </conditionalFormatting>
  <conditionalFormatting sqref="F207">
    <cfRule type="cellIs" dxfId="3864" priority="63177" stopIfTrue="1" operator="notEqual">
      <formula>11.066</formula>
    </cfRule>
  </conditionalFormatting>
  <conditionalFormatting sqref="G207">
    <cfRule type="cellIs" dxfId="3863" priority="63178" stopIfTrue="1" operator="notEqual">
      <formula>"MGD"</formula>
    </cfRule>
  </conditionalFormatting>
  <conditionalFormatting sqref="H207">
    <cfRule type="cellIs" dxfId="3862" priority="63179" stopIfTrue="1" operator="notEqual">
      <formula>"regeneration off-site (non-hazardous)"</formula>
    </cfRule>
  </conditionalFormatting>
  <conditionalFormatting sqref="I207">
    <cfRule type="cellIs" dxfId="3861" priority="63180" stopIfTrue="1" operator="notEqual">
      <formula>"carbon life value- bed volumes"</formula>
    </cfRule>
  </conditionalFormatting>
  <conditionalFormatting sqref="J207">
    <cfRule type="cellIs" dxfId="3860" priority="63181" stopIfTrue="1" operator="notEqual">
      <formula>5560</formula>
    </cfRule>
  </conditionalFormatting>
  <conditionalFormatting sqref="K207">
    <cfRule type="expression" dxfId="3859" priority="63182" stopIfTrue="1">
      <formula>NOT(ISBLANK($K$207))</formula>
    </cfRule>
  </conditionalFormatting>
  <conditionalFormatting sqref="L207">
    <cfRule type="expression" dxfId="3858" priority="63183" stopIfTrue="1">
      <formula>NOT(ISBLANK($L$207))</formula>
    </cfRule>
  </conditionalFormatting>
  <conditionalFormatting sqref="M207">
    <cfRule type="expression" dxfId="3857" priority="63184" stopIfTrue="1">
      <formula>NOT(ISBLANK($M$207))</formula>
    </cfRule>
  </conditionalFormatting>
  <conditionalFormatting sqref="N207">
    <cfRule type="cellIs" dxfId="3856" priority="63185" stopIfTrue="1" operator="notEqual">
      <formula>"EBCT"</formula>
    </cfRule>
  </conditionalFormatting>
  <conditionalFormatting sqref="O207">
    <cfRule type="cellIs" dxfId="3855" priority="63186" stopIfTrue="1" operator="notEqual">
      <formula>7.5</formula>
    </cfRule>
  </conditionalFormatting>
  <conditionalFormatting sqref="P207">
    <cfRule type="expression" dxfId="3854" priority="63187" stopIfTrue="1">
      <formula>NOT(ISBLANK($P$207))</formula>
    </cfRule>
  </conditionalFormatting>
  <conditionalFormatting sqref="Q207">
    <cfRule type="expression" dxfId="3853" priority="63188" stopIfTrue="1">
      <formula>NOT(ISBLANK($Q$207))</formula>
    </cfRule>
  </conditionalFormatting>
  <conditionalFormatting sqref="R207">
    <cfRule type="cellIs" dxfId="3852" priority="63189" stopIfTrue="1" operator="notEqual">
      <formula>1</formula>
    </cfRule>
  </conditionalFormatting>
  <conditionalFormatting sqref="S207">
    <cfRule type="cellIs" dxfId="3851" priority="63190" stopIfTrue="1" operator="notEqual">
      <formula>4.4</formula>
    </cfRule>
  </conditionalFormatting>
  <conditionalFormatting sqref="T207">
    <cfRule type="cellIs" dxfId="3850" priority="63191" stopIfTrue="1" operator="notEqual">
      <formula>"horizontal"</formula>
    </cfRule>
  </conditionalFormatting>
  <conditionalFormatting sqref="U207">
    <cfRule type="cellIs" dxfId="3849" priority="63192" stopIfTrue="1" operator="notEqual">
      <formula>20</formula>
    </cfRule>
  </conditionalFormatting>
  <conditionalFormatting sqref="V207">
    <cfRule type="cellIs" dxfId="3848" priority="63193" stopIfTrue="1" operator="notEqual">
      <formula>14</formula>
    </cfRule>
  </conditionalFormatting>
  <conditionalFormatting sqref="W207">
    <cfRule type="expression" dxfId="3847" priority="63194" stopIfTrue="1">
      <formula>NOT(ISBLANK($W$207))</formula>
    </cfRule>
  </conditionalFormatting>
  <conditionalFormatting sqref="X207">
    <cfRule type="expression" dxfId="3846" priority="63195" stopIfTrue="1">
      <formula>NOT(ISBLANK($X$207))</formula>
    </cfRule>
  </conditionalFormatting>
  <conditionalFormatting sqref="Y207">
    <cfRule type="expression" dxfId="3845" priority="63196" stopIfTrue="1">
      <formula>NOT(ISBLANK($Y$207))</formula>
    </cfRule>
  </conditionalFormatting>
  <conditionalFormatting sqref="Z207">
    <cfRule type="cellIs" dxfId="3844" priority="63197" stopIfTrue="1" operator="notEqual">
      <formula>168</formula>
    </cfRule>
  </conditionalFormatting>
  <conditionalFormatting sqref="AA207">
    <cfRule type="cellIs" dxfId="3843" priority="63198" stopIfTrue="1" operator="notEqual">
      <formula>"POTW"</formula>
    </cfRule>
  </conditionalFormatting>
  <conditionalFormatting sqref="AB207">
    <cfRule type="cellIs" dxfId="3842" priority="63199" stopIfTrue="1" operator="notEqual">
      <formula>"Holding tank"</formula>
    </cfRule>
  </conditionalFormatting>
  <conditionalFormatting sqref="AC207">
    <cfRule type="cellIs" dxfId="3841" priority="63200" stopIfTrue="1" operator="notEqual">
      <formula>"eductors"</formula>
    </cfRule>
  </conditionalFormatting>
  <conditionalFormatting sqref="AD207">
    <cfRule type="cellIs" dxfId="3840" priority="63201" stopIfTrue="1" operator="notEqual">
      <formula>"non-hazardous"</formula>
    </cfRule>
  </conditionalFormatting>
  <conditionalFormatting sqref="AE207">
    <cfRule type="expression" dxfId="3839" priority="63202" stopIfTrue="1">
      <formula>NOT(ISBLANK($AE$207))</formula>
    </cfRule>
  </conditionalFormatting>
  <conditionalFormatting sqref="AF207">
    <cfRule type="cellIs" dxfId="3838" priority="63203" stopIfTrue="1" operator="notEqual">
      <formula>0</formula>
    </cfRule>
  </conditionalFormatting>
  <conditionalFormatting sqref="AG207">
    <cfRule type="expression" dxfId="3837" priority="63204" stopIfTrue="1">
      <formula>NOT(ISBLANK($AG$207))</formula>
    </cfRule>
  </conditionalFormatting>
  <conditionalFormatting sqref="AH207">
    <cfRule type="expression" dxfId="3836" priority="63205" stopIfTrue="1">
      <formula>NOT(ISBLANK($AH$207))</formula>
    </cfRule>
  </conditionalFormatting>
  <conditionalFormatting sqref="AI207">
    <cfRule type="cellIs" dxfId="3835" priority="63206" stopIfTrue="1" operator="notEqual">
      <formula>"fully automated"</formula>
    </cfRule>
  </conditionalFormatting>
  <conditionalFormatting sqref="AJ207">
    <cfRule type="expression" dxfId="3834" priority="63207" stopIfTrue="1">
      <formula>NOT(ISBLANK($AJ$207))</formula>
    </cfRule>
  </conditionalFormatting>
  <conditionalFormatting sqref="AK207">
    <cfRule type="expression" dxfId="3833" priority="63208" stopIfTrue="1">
      <formula>NOT(ISBLANK($AK$207))</formula>
    </cfRule>
  </conditionalFormatting>
  <conditionalFormatting sqref="AL207">
    <cfRule type="expression" dxfId="3832" priority="63209" stopIfTrue="1">
      <formula>NOT(ISBLANK($AL$207))</formula>
    </cfRule>
  </conditionalFormatting>
  <conditionalFormatting sqref="AM207">
    <cfRule type="expression" dxfId="3831" priority="63210" stopIfTrue="1">
      <formula>NOT(ISBLANK($AM$207))</formula>
    </cfRule>
  </conditionalFormatting>
  <conditionalFormatting sqref="AN207">
    <cfRule type="expression" dxfId="3830" priority="63211" stopIfTrue="1">
      <formula>NOT(ISBLANK($AN$207))</formula>
    </cfRule>
  </conditionalFormatting>
  <conditionalFormatting sqref="AO207">
    <cfRule type="expression" dxfId="3829" priority="63212" stopIfTrue="1">
      <formula>NOT(ISBLANK($AO$207))</formula>
    </cfRule>
  </conditionalFormatting>
  <conditionalFormatting sqref="AP207">
    <cfRule type="expression" dxfId="3828" priority="63213" stopIfTrue="1">
      <formula>NOT(ISBLANK($AP$207))</formula>
    </cfRule>
  </conditionalFormatting>
  <conditionalFormatting sqref="AQ207">
    <cfRule type="expression" dxfId="3827" priority="63214" stopIfTrue="1">
      <formula>NOT(ISBLANK($AQ$207))</formula>
    </cfRule>
  </conditionalFormatting>
  <conditionalFormatting sqref="A208">
    <cfRule type="cellIs" dxfId="3826" priority="63215" stopIfTrue="1" operator="notEqual">
      <formula>13</formula>
    </cfRule>
  </conditionalFormatting>
  <conditionalFormatting sqref="B208">
    <cfRule type="cellIs" dxfId="3825" priority="63216" stopIfTrue="1" operator="notEqual">
      <formula>1</formula>
    </cfRule>
  </conditionalFormatting>
  <conditionalFormatting sqref="C208">
    <cfRule type="cellIs" dxfId="3824" priority="63217" stopIfTrue="1" operator="notEqual">
      <formula>8</formula>
    </cfRule>
  </conditionalFormatting>
  <conditionalFormatting sqref="D208">
    <cfRule type="cellIs" dxfId="3823" priority="63218" stopIfTrue="1" operator="notEqual">
      <formula>75.072</formula>
    </cfRule>
  </conditionalFormatting>
  <conditionalFormatting sqref="E208">
    <cfRule type="cellIs" dxfId="3822" priority="63219" stopIfTrue="1" operator="notEqual">
      <formula>"MGD"</formula>
    </cfRule>
  </conditionalFormatting>
  <conditionalFormatting sqref="F208">
    <cfRule type="cellIs" dxfId="3821" priority="63220" stopIfTrue="1" operator="notEqual">
      <formula>37.536</formula>
    </cfRule>
  </conditionalFormatting>
  <conditionalFormatting sqref="G208">
    <cfRule type="cellIs" dxfId="3820" priority="63221" stopIfTrue="1" operator="notEqual">
      <formula>"MGD"</formula>
    </cfRule>
  </conditionalFormatting>
  <conditionalFormatting sqref="H208">
    <cfRule type="cellIs" dxfId="3819" priority="63222" stopIfTrue="1" operator="notEqual">
      <formula>"regeneration off-site (non-hazardous)"</formula>
    </cfRule>
  </conditionalFormatting>
  <conditionalFormatting sqref="I208">
    <cfRule type="cellIs" dxfId="3818" priority="63223" stopIfTrue="1" operator="notEqual">
      <formula>"carbon life value- bed volumes"</formula>
    </cfRule>
  </conditionalFormatting>
  <conditionalFormatting sqref="J208">
    <cfRule type="cellIs" dxfId="3817" priority="63224" stopIfTrue="1" operator="notEqual">
      <formula>5560</formula>
    </cfRule>
  </conditionalFormatting>
  <conditionalFormatting sqref="K208">
    <cfRule type="expression" dxfId="3816" priority="63225" stopIfTrue="1">
      <formula>NOT(ISBLANK($K$208))</formula>
    </cfRule>
  </conditionalFormatting>
  <conditionalFormatting sqref="L208">
    <cfRule type="expression" dxfId="3815" priority="63226" stopIfTrue="1">
      <formula>NOT(ISBLANK($L$208))</formula>
    </cfRule>
  </conditionalFormatting>
  <conditionalFormatting sqref="M208">
    <cfRule type="expression" dxfId="3814" priority="63227" stopIfTrue="1">
      <formula>NOT(ISBLANK($M$208))</formula>
    </cfRule>
  </conditionalFormatting>
  <conditionalFormatting sqref="N208">
    <cfRule type="cellIs" dxfId="3813" priority="63228" stopIfTrue="1" operator="notEqual">
      <formula>"EBCT"</formula>
    </cfRule>
  </conditionalFormatting>
  <conditionalFormatting sqref="O208">
    <cfRule type="cellIs" dxfId="3812" priority="63229" stopIfTrue="1" operator="notEqual">
      <formula>7.5</formula>
    </cfRule>
  </conditionalFormatting>
  <conditionalFormatting sqref="P208">
    <cfRule type="expression" dxfId="3811" priority="63230" stopIfTrue="1">
      <formula>NOT(ISBLANK($P$208))</formula>
    </cfRule>
  </conditionalFormatting>
  <conditionalFormatting sqref="Q208">
    <cfRule type="expression" dxfId="3810" priority="63231" stopIfTrue="1">
      <formula>NOT(ISBLANK($Q$208))</formula>
    </cfRule>
  </conditionalFormatting>
  <conditionalFormatting sqref="R208">
    <cfRule type="cellIs" dxfId="3809" priority="63232" stopIfTrue="1" operator="notEqual">
      <formula>1</formula>
    </cfRule>
  </conditionalFormatting>
  <conditionalFormatting sqref="S208">
    <cfRule type="cellIs" dxfId="3808" priority="63233" stopIfTrue="1" operator="notEqual">
      <formula>6.5</formula>
    </cfRule>
  </conditionalFormatting>
  <conditionalFormatting sqref="T208">
    <cfRule type="cellIs" dxfId="3807" priority="63234" stopIfTrue="1" operator="notEqual">
      <formula>"horizontal"</formula>
    </cfRule>
  </conditionalFormatting>
  <conditionalFormatting sqref="U208">
    <cfRule type="cellIs" dxfId="3806" priority="63235" stopIfTrue="1" operator="notEqual">
      <formula>20</formula>
    </cfRule>
  </conditionalFormatting>
  <conditionalFormatting sqref="V208">
    <cfRule type="cellIs" dxfId="3805" priority="63236" stopIfTrue="1" operator="notEqual">
      <formula>14</formula>
    </cfRule>
  </conditionalFormatting>
  <conditionalFormatting sqref="W208">
    <cfRule type="expression" dxfId="3804" priority="63237" stopIfTrue="1">
      <formula>NOT(ISBLANK($W$208))</formula>
    </cfRule>
  </conditionalFormatting>
  <conditionalFormatting sqref="X208">
    <cfRule type="expression" dxfId="3803" priority="63238" stopIfTrue="1">
      <formula>NOT(ISBLANK($X$208))</formula>
    </cfRule>
  </conditionalFormatting>
  <conditionalFormatting sqref="Y208">
    <cfRule type="expression" dxfId="3802" priority="63239" stopIfTrue="1">
      <formula>NOT(ISBLANK($Y$208))</formula>
    </cfRule>
  </conditionalFormatting>
  <conditionalFormatting sqref="Z208">
    <cfRule type="cellIs" dxfId="3801" priority="63240" stopIfTrue="1" operator="notEqual">
      <formula>168</formula>
    </cfRule>
  </conditionalFormatting>
  <conditionalFormatting sqref="AA208">
    <cfRule type="cellIs" dxfId="3800" priority="63241" stopIfTrue="1" operator="notEqual">
      <formula>"POTW"</formula>
    </cfRule>
  </conditionalFormatting>
  <conditionalFormatting sqref="AB208">
    <cfRule type="cellIs" dxfId="3799" priority="63242" stopIfTrue="1" operator="notEqual">
      <formula>"Holding tank"</formula>
    </cfRule>
  </conditionalFormatting>
  <conditionalFormatting sqref="AC208">
    <cfRule type="cellIs" dxfId="3798" priority="63243" stopIfTrue="1" operator="notEqual">
      <formula>"eductors"</formula>
    </cfRule>
  </conditionalFormatting>
  <conditionalFormatting sqref="AD208">
    <cfRule type="cellIs" dxfId="3797" priority="63244" stopIfTrue="1" operator="notEqual">
      <formula>"non-hazardous"</formula>
    </cfRule>
  </conditionalFormatting>
  <conditionalFormatting sqref="AE208">
    <cfRule type="expression" dxfId="3796" priority="63245" stopIfTrue="1">
      <formula>NOT(ISBLANK($AE$208))</formula>
    </cfRule>
  </conditionalFormatting>
  <conditionalFormatting sqref="AF208">
    <cfRule type="cellIs" dxfId="3795" priority="63246" stopIfTrue="1" operator="notEqual">
      <formula>0</formula>
    </cfRule>
  </conditionalFormatting>
  <conditionalFormatting sqref="AG208">
    <cfRule type="expression" dxfId="3794" priority="63247" stopIfTrue="1">
      <formula>NOT(ISBLANK($AG$208))</formula>
    </cfRule>
  </conditionalFormatting>
  <conditionalFormatting sqref="AH208">
    <cfRule type="expression" dxfId="3793" priority="63248" stopIfTrue="1">
      <formula>NOT(ISBLANK($AH$208))</formula>
    </cfRule>
  </conditionalFormatting>
  <conditionalFormatting sqref="AI208">
    <cfRule type="cellIs" dxfId="3792" priority="63249" stopIfTrue="1" operator="notEqual">
      <formula>"fully automated"</formula>
    </cfRule>
  </conditionalFormatting>
  <conditionalFormatting sqref="AJ208">
    <cfRule type="expression" dxfId="3791" priority="63250" stopIfTrue="1">
      <formula>NOT(ISBLANK($AJ$208))</formula>
    </cfRule>
  </conditionalFormatting>
  <conditionalFormatting sqref="AK208">
    <cfRule type="expression" dxfId="3790" priority="63251" stopIfTrue="1">
      <formula>NOT(ISBLANK($AK$208))</formula>
    </cfRule>
  </conditionalFormatting>
  <conditionalFormatting sqref="AL208">
    <cfRule type="expression" dxfId="3789" priority="63252" stopIfTrue="1">
      <formula>NOT(ISBLANK($AL$208))</formula>
    </cfRule>
  </conditionalFormatting>
  <conditionalFormatting sqref="AM208">
    <cfRule type="expression" dxfId="3788" priority="63253" stopIfTrue="1">
      <formula>NOT(ISBLANK($AM$208))</formula>
    </cfRule>
  </conditionalFormatting>
  <conditionalFormatting sqref="AN208">
    <cfRule type="expression" dxfId="3787" priority="63254" stopIfTrue="1">
      <formula>NOT(ISBLANK($AN$208))</formula>
    </cfRule>
  </conditionalFormatting>
  <conditionalFormatting sqref="AO208">
    <cfRule type="expression" dxfId="3786" priority="63255" stopIfTrue="1">
      <formula>NOT(ISBLANK($AO$208))</formula>
    </cfRule>
  </conditionalFormatting>
  <conditionalFormatting sqref="AP208">
    <cfRule type="expression" dxfId="3785" priority="63256" stopIfTrue="1">
      <formula>NOT(ISBLANK($AP$208))</formula>
    </cfRule>
  </conditionalFormatting>
  <conditionalFormatting sqref="AQ208">
    <cfRule type="expression" dxfId="3784" priority="63257" stopIfTrue="1">
      <formula>NOT(ISBLANK($AQ$208))</formula>
    </cfRule>
  </conditionalFormatting>
  <conditionalFormatting sqref="A209">
    <cfRule type="cellIs" dxfId="3783" priority="63258" stopIfTrue="1" operator="notEqual">
      <formula>13</formula>
    </cfRule>
  </conditionalFormatting>
  <conditionalFormatting sqref="B209">
    <cfRule type="cellIs" dxfId="3782" priority="63259" stopIfTrue="1" operator="notEqual">
      <formula>2</formula>
    </cfRule>
  </conditionalFormatting>
  <conditionalFormatting sqref="C209">
    <cfRule type="cellIs" dxfId="3781" priority="63260" stopIfTrue="1" operator="notEqual">
      <formula>1</formula>
    </cfRule>
  </conditionalFormatting>
  <conditionalFormatting sqref="D209">
    <cfRule type="cellIs" dxfId="3780" priority="63261" stopIfTrue="1" operator="notEqual">
      <formula>0.03</formula>
    </cfRule>
  </conditionalFormatting>
  <conditionalFormatting sqref="E209">
    <cfRule type="cellIs" dxfId="3779" priority="63262" stopIfTrue="1" operator="notEqual">
      <formula>"MGD"</formula>
    </cfRule>
  </conditionalFormatting>
  <conditionalFormatting sqref="F209">
    <cfRule type="cellIs" dxfId="3778" priority="63263" stopIfTrue="1" operator="notEqual">
      <formula>0.007</formula>
    </cfRule>
  </conditionalFormatting>
  <conditionalFormatting sqref="G209">
    <cfRule type="cellIs" dxfId="3777" priority="63264" stopIfTrue="1" operator="notEqual">
      <formula>"MGD"</formula>
    </cfRule>
  </conditionalFormatting>
  <conditionalFormatting sqref="H209">
    <cfRule type="cellIs" dxfId="3776" priority="63265" stopIfTrue="1" operator="notEqual">
      <formula>"regeneration off-site (non-hazardous)"</formula>
    </cfRule>
  </conditionalFormatting>
  <conditionalFormatting sqref="I209">
    <cfRule type="cellIs" dxfId="3775" priority="63266" stopIfTrue="1" operator="notEqual">
      <formula>"carbon life value- bed volumes"</formula>
    </cfRule>
  </conditionalFormatting>
  <conditionalFormatting sqref="J209">
    <cfRule type="cellIs" dxfId="3774" priority="63267" stopIfTrue="1" operator="notEqual">
      <formula>5560</formula>
    </cfRule>
  </conditionalFormatting>
  <conditionalFormatting sqref="K209">
    <cfRule type="expression" dxfId="3773" priority="63268" stopIfTrue="1">
      <formula>NOT(ISBLANK($K$209))</formula>
    </cfRule>
  </conditionalFormatting>
  <conditionalFormatting sqref="L209">
    <cfRule type="expression" dxfId="3772" priority="63269" stopIfTrue="1">
      <formula>NOT(ISBLANK($L$209))</formula>
    </cfRule>
  </conditionalFormatting>
  <conditionalFormatting sqref="M209">
    <cfRule type="expression" dxfId="3771" priority="63270" stopIfTrue="1">
      <formula>NOT(ISBLANK($M$209))</formula>
    </cfRule>
  </conditionalFormatting>
  <conditionalFormatting sqref="N209">
    <cfRule type="cellIs" dxfId="3770" priority="63271" stopIfTrue="1" operator="notEqual">
      <formula>"EBCT"</formula>
    </cfRule>
  </conditionalFormatting>
  <conditionalFormatting sqref="O209">
    <cfRule type="cellIs" dxfId="3769" priority="63272" stopIfTrue="1" operator="notEqual">
      <formula>7.5</formula>
    </cfRule>
  </conditionalFormatting>
  <conditionalFormatting sqref="P209">
    <cfRule type="expression" dxfId="3768" priority="63273" stopIfTrue="1">
      <formula>NOT(ISBLANK($P$209))</formula>
    </cfRule>
  </conditionalFormatting>
  <conditionalFormatting sqref="Q209">
    <cfRule type="expression" dxfId="3767" priority="63274" stopIfTrue="1">
      <formula>NOT(ISBLANK($Q$209))</formula>
    </cfRule>
  </conditionalFormatting>
  <conditionalFormatting sqref="R209">
    <cfRule type="expression" dxfId="3766" priority="63275" stopIfTrue="1">
      <formula>NOT(ISBLANK($R$209))</formula>
    </cfRule>
  </conditionalFormatting>
  <conditionalFormatting sqref="S209">
    <cfRule type="expression" dxfId="3765" priority="63276" stopIfTrue="1">
      <formula>NOT(ISBLANK($S$209))</formula>
    </cfRule>
  </conditionalFormatting>
  <conditionalFormatting sqref="T209">
    <cfRule type="expression" dxfId="3764" priority="63277" stopIfTrue="1">
      <formula>NOT(ISBLANK($T$209))</formula>
    </cfRule>
  </conditionalFormatting>
  <conditionalFormatting sqref="U209">
    <cfRule type="expression" dxfId="3763" priority="63278" stopIfTrue="1">
      <formula>NOT(ISBLANK($U$209))</formula>
    </cfRule>
  </conditionalFormatting>
  <conditionalFormatting sqref="V209">
    <cfRule type="expression" dxfId="3762" priority="63279" stopIfTrue="1">
      <formula>NOT(ISBLANK($V$209))</formula>
    </cfRule>
  </conditionalFormatting>
  <conditionalFormatting sqref="W209">
    <cfRule type="cellIs" dxfId="3761" priority="63280" stopIfTrue="1" operator="notEqual">
      <formula>6</formula>
    </cfRule>
  </conditionalFormatting>
  <conditionalFormatting sqref="X209">
    <cfRule type="cellIs" dxfId="3760" priority="63281" stopIfTrue="1" operator="notEqual">
      <formula>6</formula>
    </cfRule>
  </conditionalFormatting>
  <conditionalFormatting sqref="Y209">
    <cfRule type="cellIs" dxfId="3759" priority="63282" stopIfTrue="1" operator="notEqual">
      <formula>3</formula>
    </cfRule>
  </conditionalFormatting>
  <conditionalFormatting sqref="Z209">
    <cfRule type="cellIs" dxfId="3758" priority="63283" stopIfTrue="1" operator="notEqual">
      <formula>168</formula>
    </cfRule>
  </conditionalFormatting>
  <conditionalFormatting sqref="AA209">
    <cfRule type="cellIs" dxfId="3757" priority="63284" stopIfTrue="1" operator="notEqual">
      <formula>"POTW"</formula>
    </cfRule>
  </conditionalFormatting>
  <conditionalFormatting sqref="AB209">
    <cfRule type="cellIs" dxfId="3756" priority="63285" stopIfTrue="1" operator="notEqual">
      <formula>"holding tank"</formula>
    </cfRule>
  </conditionalFormatting>
  <conditionalFormatting sqref="AC209">
    <cfRule type="cellIs" dxfId="3755" priority="63286" stopIfTrue="1" operator="notEqual">
      <formula>"manual transfer"</formula>
    </cfRule>
  </conditionalFormatting>
  <conditionalFormatting sqref="AD209">
    <cfRule type="cellIs" dxfId="3754" priority="63287" stopIfTrue="1" operator="notEqual">
      <formula>"non-hazardous"</formula>
    </cfRule>
  </conditionalFormatting>
  <conditionalFormatting sqref="AE209">
    <cfRule type="expression" dxfId="3753" priority="63288" stopIfTrue="1">
      <formula>NOT(ISBLANK($AE$209))</formula>
    </cfRule>
  </conditionalFormatting>
  <conditionalFormatting sqref="AF209">
    <cfRule type="cellIs" dxfId="3752" priority="63289" stopIfTrue="1" operator="notEqual">
      <formula>0</formula>
    </cfRule>
  </conditionalFormatting>
  <conditionalFormatting sqref="AG209">
    <cfRule type="expression" dxfId="3751" priority="63290" stopIfTrue="1">
      <formula>NOT(ISBLANK($AG$209))</formula>
    </cfRule>
  </conditionalFormatting>
  <conditionalFormatting sqref="AH209">
    <cfRule type="expression" dxfId="3750" priority="63291" stopIfTrue="1">
      <formula>NOT(ISBLANK($AH$209))</formula>
    </cfRule>
  </conditionalFormatting>
  <conditionalFormatting sqref="AI209">
    <cfRule type="cellIs" dxfId="3749" priority="63292" stopIfTrue="1" operator="notEqual">
      <formula>"fully automated"</formula>
    </cfRule>
  </conditionalFormatting>
  <conditionalFormatting sqref="AJ209">
    <cfRule type="expression" dxfId="3748" priority="63293" stopIfTrue="1">
      <formula>NOT(ISBLANK($AJ$209))</formula>
    </cfRule>
  </conditionalFormatting>
  <conditionalFormatting sqref="AK209">
    <cfRule type="expression" dxfId="3747" priority="63294" stopIfTrue="1">
      <formula>NOT(ISBLANK($AK$209))</formula>
    </cfRule>
  </conditionalFormatting>
  <conditionalFormatting sqref="AL209">
    <cfRule type="expression" dxfId="3746" priority="63295" stopIfTrue="1">
      <formula>NOT(ISBLANK($AL$209))</formula>
    </cfRule>
  </conditionalFormatting>
  <conditionalFormatting sqref="AM209">
    <cfRule type="expression" dxfId="3745" priority="63296" stopIfTrue="1">
      <formula>NOT(ISBLANK($AM$209))</formula>
    </cfRule>
  </conditionalFormatting>
  <conditionalFormatting sqref="AN209">
    <cfRule type="expression" dxfId="3744" priority="63297" stopIfTrue="1">
      <formula>NOT(ISBLANK($AN$209))</formula>
    </cfRule>
  </conditionalFormatting>
  <conditionalFormatting sqref="AO209">
    <cfRule type="expression" dxfId="3743" priority="63298" stopIfTrue="1">
      <formula>NOT(ISBLANK($AO$209))</formula>
    </cfRule>
  </conditionalFormatting>
  <conditionalFormatting sqref="AP209">
    <cfRule type="expression" dxfId="3742" priority="63299" stopIfTrue="1">
      <formula>NOT(ISBLANK($AP$209))</formula>
    </cfRule>
  </conditionalFormatting>
  <conditionalFormatting sqref="AQ209">
    <cfRule type="expression" dxfId="3741" priority="63300" stopIfTrue="1">
      <formula>NOT(ISBLANK($AQ$209))</formula>
    </cfRule>
  </conditionalFormatting>
  <conditionalFormatting sqref="A210">
    <cfRule type="cellIs" dxfId="3740" priority="63301" stopIfTrue="1" operator="notEqual">
      <formula>13</formula>
    </cfRule>
  </conditionalFormatting>
  <conditionalFormatting sqref="B210">
    <cfRule type="cellIs" dxfId="3739" priority="63302" stopIfTrue="1" operator="notEqual">
      <formula>2</formula>
    </cfRule>
  </conditionalFormatting>
  <conditionalFormatting sqref="C210">
    <cfRule type="cellIs" dxfId="3738" priority="63303" stopIfTrue="1" operator="notEqual">
      <formula>2</formula>
    </cfRule>
  </conditionalFormatting>
  <conditionalFormatting sqref="D210">
    <cfRule type="cellIs" dxfId="3737" priority="63304" stopIfTrue="1" operator="notEqual">
      <formula>0.124</formula>
    </cfRule>
  </conditionalFormatting>
  <conditionalFormatting sqref="E210">
    <cfRule type="cellIs" dxfId="3736" priority="63305" stopIfTrue="1" operator="notEqual">
      <formula>"MGD"</formula>
    </cfRule>
  </conditionalFormatting>
  <conditionalFormatting sqref="F210">
    <cfRule type="cellIs" dxfId="3735" priority="63306" stopIfTrue="1" operator="notEqual">
      <formula>0.035</formula>
    </cfRule>
  </conditionalFormatting>
  <conditionalFormatting sqref="G210">
    <cfRule type="cellIs" dxfId="3734" priority="63307" stopIfTrue="1" operator="notEqual">
      <formula>"MGD"</formula>
    </cfRule>
  </conditionalFormatting>
  <conditionalFormatting sqref="H210">
    <cfRule type="cellIs" dxfId="3733" priority="63308" stopIfTrue="1" operator="notEqual">
      <formula>"regeneration off-site (non-hazardous)"</formula>
    </cfRule>
  </conditionalFormatting>
  <conditionalFormatting sqref="I210">
    <cfRule type="cellIs" dxfId="3732" priority="63309" stopIfTrue="1" operator="notEqual">
      <formula>"carbon life value- bed volumes"</formula>
    </cfRule>
  </conditionalFormatting>
  <conditionalFormatting sqref="J210">
    <cfRule type="cellIs" dxfId="3731" priority="63310" stopIfTrue="1" operator="notEqual">
      <formula>5560</formula>
    </cfRule>
  </conditionalFormatting>
  <conditionalFormatting sqref="K210">
    <cfRule type="expression" dxfId="3730" priority="63311" stopIfTrue="1">
      <formula>NOT(ISBLANK($K$210))</formula>
    </cfRule>
  </conditionalFormatting>
  <conditionalFormatting sqref="L210">
    <cfRule type="expression" dxfId="3729" priority="63312" stopIfTrue="1">
      <formula>NOT(ISBLANK($L$210))</formula>
    </cfRule>
  </conditionalFormatting>
  <conditionalFormatting sqref="M210">
    <cfRule type="expression" dxfId="3728" priority="63313" stopIfTrue="1">
      <formula>NOT(ISBLANK($M$210))</formula>
    </cfRule>
  </conditionalFormatting>
  <conditionalFormatting sqref="N210">
    <cfRule type="cellIs" dxfId="3727" priority="63314" stopIfTrue="1" operator="notEqual">
      <formula>"EBCT"</formula>
    </cfRule>
  </conditionalFormatting>
  <conditionalFormatting sqref="O210">
    <cfRule type="cellIs" dxfId="3726" priority="63315" stopIfTrue="1" operator="notEqual">
      <formula>7.5</formula>
    </cfRule>
  </conditionalFormatting>
  <conditionalFormatting sqref="P210">
    <cfRule type="expression" dxfId="3725" priority="63316" stopIfTrue="1">
      <formula>NOT(ISBLANK($P$210))</formula>
    </cfRule>
  </conditionalFormatting>
  <conditionalFormatting sqref="Q210">
    <cfRule type="expression" dxfId="3724" priority="63317" stopIfTrue="1">
      <formula>NOT(ISBLANK($Q$210))</formula>
    </cfRule>
  </conditionalFormatting>
  <conditionalFormatting sqref="R210">
    <cfRule type="expression" dxfId="3723" priority="63318" stopIfTrue="1">
      <formula>NOT(ISBLANK($R$210))</formula>
    </cfRule>
  </conditionalFormatting>
  <conditionalFormatting sqref="S210">
    <cfRule type="expression" dxfId="3722" priority="63319" stopIfTrue="1">
      <formula>NOT(ISBLANK($S$210))</formula>
    </cfRule>
  </conditionalFormatting>
  <conditionalFormatting sqref="T210">
    <cfRule type="expression" dxfId="3721" priority="63320" stopIfTrue="1">
      <formula>NOT(ISBLANK($T$210))</formula>
    </cfRule>
  </conditionalFormatting>
  <conditionalFormatting sqref="U210">
    <cfRule type="expression" dxfId="3720" priority="63321" stopIfTrue="1">
      <formula>NOT(ISBLANK($U$210))</formula>
    </cfRule>
  </conditionalFormatting>
  <conditionalFormatting sqref="V210">
    <cfRule type="expression" dxfId="3719" priority="63322" stopIfTrue="1">
      <formula>NOT(ISBLANK($V$210))</formula>
    </cfRule>
  </conditionalFormatting>
  <conditionalFormatting sqref="W210">
    <cfRule type="cellIs" dxfId="3718" priority="63323" stopIfTrue="1" operator="notEqual">
      <formula>6</formula>
    </cfRule>
  </conditionalFormatting>
  <conditionalFormatting sqref="X210">
    <cfRule type="cellIs" dxfId="3717" priority="63324" stopIfTrue="1" operator="notEqual">
      <formula>6</formula>
    </cfRule>
  </conditionalFormatting>
  <conditionalFormatting sqref="Y210">
    <cfRule type="cellIs" dxfId="3716" priority="63325" stopIfTrue="1" operator="notEqual">
      <formula>3</formula>
    </cfRule>
  </conditionalFormatting>
  <conditionalFormatting sqref="Z210">
    <cfRule type="cellIs" dxfId="3715" priority="63326" stopIfTrue="1" operator="notEqual">
      <formula>168</formula>
    </cfRule>
  </conditionalFormatting>
  <conditionalFormatting sqref="AA210">
    <cfRule type="cellIs" dxfId="3714" priority="63327" stopIfTrue="1" operator="notEqual">
      <formula>"POTW"</formula>
    </cfRule>
  </conditionalFormatting>
  <conditionalFormatting sqref="AB210">
    <cfRule type="cellIs" dxfId="3713" priority="63328" stopIfTrue="1" operator="notEqual">
      <formula>"holding tank"</formula>
    </cfRule>
  </conditionalFormatting>
  <conditionalFormatting sqref="AC210">
    <cfRule type="cellIs" dxfId="3712" priority="63329" stopIfTrue="1" operator="notEqual">
      <formula>"manual transfer"</formula>
    </cfRule>
  </conditionalFormatting>
  <conditionalFormatting sqref="AD210">
    <cfRule type="cellIs" dxfId="3711" priority="63330" stopIfTrue="1" operator="notEqual">
      <formula>"non-hazardous"</formula>
    </cfRule>
  </conditionalFormatting>
  <conditionalFormatting sqref="AE210">
    <cfRule type="expression" dxfId="3710" priority="63331" stopIfTrue="1">
      <formula>NOT(ISBLANK($AE$210))</formula>
    </cfRule>
  </conditionalFormatting>
  <conditionalFormatting sqref="AF210">
    <cfRule type="cellIs" dxfId="3709" priority="63332" stopIfTrue="1" operator="notEqual">
      <formula>0</formula>
    </cfRule>
  </conditionalFormatting>
  <conditionalFormatting sqref="AG210">
    <cfRule type="expression" dxfId="3708" priority="63333" stopIfTrue="1">
      <formula>NOT(ISBLANK($AG$210))</formula>
    </cfRule>
  </conditionalFormatting>
  <conditionalFormatting sqref="AH210">
    <cfRule type="expression" dxfId="3707" priority="63334" stopIfTrue="1">
      <formula>NOT(ISBLANK($AH$210))</formula>
    </cfRule>
  </conditionalFormatting>
  <conditionalFormatting sqref="AI210">
    <cfRule type="cellIs" dxfId="3706" priority="63335" stopIfTrue="1" operator="notEqual">
      <formula>"fully automated"</formula>
    </cfRule>
  </conditionalFormatting>
  <conditionalFormatting sqref="AJ210">
    <cfRule type="expression" dxfId="3705" priority="63336" stopIfTrue="1">
      <formula>NOT(ISBLANK($AJ$210))</formula>
    </cfRule>
  </conditionalFormatting>
  <conditionalFormatting sqref="AK210">
    <cfRule type="expression" dxfId="3704" priority="63337" stopIfTrue="1">
      <formula>NOT(ISBLANK($AK$210))</formula>
    </cfRule>
  </conditionalFormatting>
  <conditionalFormatting sqref="AL210">
    <cfRule type="expression" dxfId="3703" priority="63338" stopIfTrue="1">
      <formula>NOT(ISBLANK($AL$210))</formula>
    </cfRule>
  </conditionalFormatting>
  <conditionalFormatting sqref="AM210">
    <cfRule type="expression" dxfId="3702" priority="63339" stopIfTrue="1">
      <formula>NOT(ISBLANK($AM$210))</formula>
    </cfRule>
  </conditionalFormatting>
  <conditionalFormatting sqref="AN210">
    <cfRule type="expression" dxfId="3701" priority="63340" stopIfTrue="1">
      <formula>NOT(ISBLANK($AN$210))</formula>
    </cfRule>
  </conditionalFormatting>
  <conditionalFormatting sqref="AO210">
    <cfRule type="expression" dxfId="3700" priority="63341" stopIfTrue="1">
      <formula>NOT(ISBLANK($AO$210))</formula>
    </cfRule>
  </conditionalFormatting>
  <conditionalFormatting sqref="AP210">
    <cfRule type="expression" dxfId="3699" priority="63342" stopIfTrue="1">
      <formula>NOT(ISBLANK($AP$210))</formula>
    </cfRule>
  </conditionalFormatting>
  <conditionalFormatting sqref="AQ210">
    <cfRule type="expression" dxfId="3698" priority="63343" stopIfTrue="1">
      <formula>NOT(ISBLANK($AQ$210))</formula>
    </cfRule>
  </conditionalFormatting>
  <conditionalFormatting sqref="A211">
    <cfRule type="cellIs" dxfId="3697" priority="63344" stopIfTrue="1" operator="notEqual">
      <formula>13</formula>
    </cfRule>
  </conditionalFormatting>
  <conditionalFormatting sqref="B211">
    <cfRule type="cellIs" dxfId="3696" priority="63345" stopIfTrue="1" operator="notEqual">
      <formula>2</formula>
    </cfRule>
  </conditionalFormatting>
  <conditionalFormatting sqref="C211">
    <cfRule type="cellIs" dxfId="3695" priority="63346" stopIfTrue="1" operator="notEqual">
      <formula>3</formula>
    </cfRule>
  </conditionalFormatting>
  <conditionalFormatting sqref="D211">
    <cfRule type="cellIs" dxfId="3694" priority="63347" stopIfTrue="1" operator="notEqual">
      <formula>0.305</formula>
    </cfRule>
  </conditionalFormatting>
  <conditionalFormatting sqref="E211">
    <cfRule type="cellIs" dxfId="3693" priority="63348" stopIfTrue="1" operator="notEqual">
      <formula>"MGD"</formula>
    </cfRule>
  </conditionalFormatting>
  <conditionalFormatting sqref="F211">
    <cfRule type="cellIs" dxfId="3692" priority="63349" stopIfTrue="1" operator="notEqual">
      <formula>0.094</formula>
    </cfRule>
  </conditionalFormatting>
  <conditionalFormatting sqref="G211">
    <cfRule type="cellIs" dxfId="3691" priority="63350" stopIfTrue="1" operator="notEqual">
      <formula>"MGD"</formula>
    </cfRule>
  </conditionalFormatting>
  <conditionalFormatting sqref="H211">
    <cfRule type="cellIs" dxfId="3690" priority="63351" stopIfTrue="1" operator="notEqual">
      <formula>"regeneration off-site (non-hazardous)"</formula>
    </cfRule>
  </conditionalFormatting>
  <conditionalFormatting sqref="I211">
    <cfRule type="cellIs" dxfId="3689" priority="63352" stopIfTrue="1" operator="notEqual">
      <formula>"carbon life value- bed volumes"</formula>
    </cfRule>
  </conditionalFormatting>
  <conditionalFormatting sqref="J211">
    <cfRule type="cellIs" dxfId="3688" priority="63353" stopIfTrue="1" operator="notEqual">
      <formula>5560</formula>
    </cfRule>
  </conditionalFormatting>
  <conditionalFormatting sqref="K211">
    <cfRule type="expression" dxfId="3687" priority="63354" stopIfTrue="1">
      <formula>NOT(ISBLANK($K$211))</formula>
    </cfRule>
  </conditionalFormatting>
  <conditionalFormatting sqref="L211">
    <cfRule type="expression" dxfId="3686" priority="63355" stopIfTrue="1">
      <formula>NOT(ISBLANK($L$211))</formula>
    </cfRule>
  </conditionalFormatting>
  <conditionalFormatting sqref="M211">
    <cfRule type="expression" dxfId="3685" priority="63356" stopIfTrue="1">
      <formula>NOT(ISBLANK($M$211))</formula>
    </cfRule>
  </conditionalFormatting>
  <conditionalFormatting sqref="N211">
    <cfRule type="cellIs" dxfId="3684" priority="63357" stopIfTrue="1" operator="notEqual">
      <formula>"EBCT"</formula>
    </cfRule>
  </conditionalFormatting>
  <conditionalFormatting sqref="O211">
    <cfRule type="cellIs" dxfId="3683" priority="63358" stopIfTrue="1" operator="notEqual">
      <formula>7.5</formula>
    </cfRule>
  </conditionalFormatting>
  <conditionalFormatting sqref="P211">
    <cfRule type="expression" dxfId="3682" priority="63359" stopIfTrue="1">
      <formula>NOT(ISBLANK($P$211))</formula>
    </cfRule>
  </conditionalFormatting>
  <conditionalFormatting sqref="Q211">
    <cfRule type="expression" dxfId="3681" priority="63360" stopIfTrue="1">
      <formula>NOT(ISBLANK($Q$211))</formula>
    </cfRule>
  </conditionalFormatting>
  <conditionalFormatting sqref="R211">
    <cfRule type="expression" dxfId="3680" priority="63361" stopIfTrue="1">
      <formula>NOT(ISBLANK($R$211))</formula>
    </cfRule>
  </conditionalFormatting>
  <conditionalFormatting sqref="S211">
    <cfRule type="expression" dxfId="3679" priority="63362" stopIfTrue="1">
      <formula>NOT(ISBLANK($S$211))</formula>
    </cfRule>
  </conditionalFormatting>
  <conditionalFormatting sqref="T211">
    <cfRule type="expression" dxfId="3678" priority="63363" stopIfTrue="1">
      <formula>NOT(ISBLANK($T$211))</formula>
    </cfRule>
  </conditionalFormatting>
  <conditionalFormatting sqref="U211">
    <cfRule type="expression" dxfId="3677" priority="63364" stopIfTrue="1">
      <formula>NOT(ISBLANK($U$211))</formula>
    </cfRule>
  </conditionalFormatting>
  <conditionalFormatting sqref="V211">
    <cfRule type="expression" dxfId="3676" priority="63365" stopIfTrue="1">
      <formula>NOT(ISBLANK($V$211))</formula>
    </cfRule>
  </conditionalFormatting>
  <conditionalFormatting sqref="W211">
    <cfRule type="cellIs" dxfId="3675" priority="63366" stopIfTrue="1" operator="notEqual">
      <formula>6</formula>
    </cfRule>
  </conditionalFormatting>
  <conditionalFormatting sqref="X211">
    <cfRule type="cellIs" dxfId="3674" priority="63367" stopIfTrue="1" operator="notEqual">
      <formula>6</formula>
    </cfRule>
  </conditionalFormatting>
  <conditionalFormatting sqref="Y211">
    <cfRule type="cellIs" dxfId="3673" priority="63368" stopIfTrue="1" operator="notEqual">
      <formula>3</formula>
    </cfRule>
  </conditionalFormatting>
  <conditionalFormatting sqref="Z211">
    <cfRule type="cellIs" dxfId="3672" priority="63369" stopIfTrue="1" operator="notEqual">
      <formula>168</formula>
    </cfRule>
  </conditionalFormatting>
  <conditionalFormatting sqref="AA211">
    <cfRule type="cellIs" dxfId="3671" priority="63370" stopIfTrue="1" operator="notEqual">
      <formula>"POTW"</formula>
    </cfRule>
  </conditionalFormatting>
  <conditionalFormatting sqref="AB211">
    <cfRule type="cellIs" dxfId="3670" priority="63371" stopIfTrue="1" operator="notEqual">
      <formula>"holding tank"</formula>
    </cfRule>
  </conditionalFormatting>
  <conditionalFormatting sqref="AC211">
    <cfRule type="cellIs" dxfId="3669" priority="63372" stopIfTrue="1" operator="notEqual">
      <formula>"manual transfer"</formula>
    </cfRule>
  </conditionalFormatting>
  <conditionalFormatting sqref="AD211">
    <cfRule type="cellIs" dxfId="3668" priority="63373" stopIfTrue="1" operator="notEqual">
      <formula>"non-hazardous"</formula>
    </cfRule>
  </conditionalFormatting>
  <conditionalFormatting sqref="AE211">
    <cfRule type="expression" dxfId="3667" priority="63374" stopIfTrue="1">
      <formula>NOT(ISBLANK($AE$211))</formula>
    </cfRule>
  </conditionalFormatting>
  <conditionalFormatting sqref="AF211">
    <cfRule type="cellIs" dxfId="3666" priority="63375" stopIfTrue="1" operator="notEqual">
      <formula>0</formula>
    </cfRule>
  </conditionalFormatting>
  <conditionalFormatting sqref="AG211">
    <cfRule type="expression" dxfId="3665" priority="63376" stopIfTrue="1">
      <formula>NOT(ISBLANK($AG$211))</formula>
    </cfRule>
  </conditionalFormatting>
  <conditionalFormatting sqref="AH211">
    <cfRule type="expression" dxfId="3664" priority="63377" stopIfTrue="1">
      <formula>NOT(ISBLANK($AH$211))</formula>
    </cfRule>
  </conditionalFormatting>
  <conditionalFormatting sqref="AI211">
    <cfRule type="cellIs" dxfId="3663" priority="63378" stopIfTrue="1" operator="notEqual">
      <formula>"fully automated"</formula>
    </cfRule>
  </conditionalFormatting>
  <conditionalFormatting sqref="AJ211">
    <cfRule type="expression" dxfId="3662" priority="63379" stopIfTrue="1">
      <formula>NOT(ISBLANK($AJ$211))</formula>
    </cfRule>
  </conditionalFormatting>
  <conditionalFormatting sqref="AK211">
    <cfRule type="expression" dxfId="3661" priority="63380" stopIfTrue="1">
      <formula>NOT(ISBLANK($AK$211))</formula>
    </cfRule>
  </conditionalFormatting>
  <conditionalFormatting sqref="AL211">
    <cfRule type="expression" dxfId="3660" priority="63381" stopIfTrue="1">
      <formula>NOT(ISBLANK($AL$211))</formula>
    </cfRule>
  </conditionalFormatting>
  <conditionalFormatting sqref="AM211">
    <cfRule type="expression" dxfId="3659" priority="63382" stopIfTrue="1">
      <formula>NOT(ISBLANK($AM$211))</formula>
    </cfRule>
  </conditionalFormatting>
  <conditionalFormatting sqref="AN211">
    <cfRule type="expression" dxfId="3658" priority="63383" stopIfTrue="1">
      <formula>NOT(ISBLANK($AN$211))</formula>
    </cfRule>
  </conditionalFormatting>
  <conditionalFormatting sqref="AO211">
    <cfRule type="expression" dxfId="3657" priority="63384" stopIfTrue="1">
      <formula>NOT(ISBLANK($AO$211))</formula>
    </cfRule>
  </conditionalFormatting>
  <conditionalFormatting sqref="AP211">
    <cfRule type="expression" dxfId="3656" priority="63385" stopIfTrue="1">
      <formula>NOT(ISBLANK($AP$211))</formula>
    </cfRule>
  </conditionalFormatting>
  <conditionalFormatting sqref="AQ211">
    <cfRule type="expression" dxfId="3655" priority="63386" stopIfTrue="1">
      <formula>NOT(ISBLANK($AQ$211))</formula>
    </cfRule>
  </conditionalFormatting>
  <conditionalFormatting sqref="A212">
    <cfRule type="cellIs" dxfId="3654" priority="63387" stopIfTrue="1" operator="notEqual">
      <formula>13</formula>
    </cfRule>
  </conditionalFormatting>
  <conditionalFormatting sqref="B212">
    <cfRule type="cellIs" dxfId="3653" priority="63388" stopIfTrue="1" operator="notEqual">
      <formula>2</formula>
    </cfRule>
  </conditionalFormatting>
  <conditionalFormatting sqref="C212">
    <cfRule type="cellIs" dxfId="3652" priority="63389" stopIfTrue="1" operator="notEqual">
      <formula>4</formula>
    </cfRule>
  </conditionalFormatting>
  <conditionalFormatting sqref="D212">
    <cfRule type="cellIs" dxfId="3651" priority="63390" stopIfTrue="1" operator="notEqual">
      <formula>0.74</formula>
    </cfRule>
  </conditionalFormatting>
  <conditionalFormatting sqref="E212">
    <cfRule type="cellIs" dxfId="3650" priority="63391" stopIfTrue="1" operator="notEqual">
      <formula>"MGD"</formula>
    </cfRule>
  </conditionalFormatting>
  <conditionalFormatting sqref="F212">
    <cfRule type="cellIs" dxfId="3649" priority="63392" stopIfTrue="1" operator="notEqual">
      <formula>0.251</formula>
    </cfRule>
  </conditionalFormatting>
  <conditionalFormatting sqref="G212">
    <cfRule type="cellIs" dxfId="3648" priority="63393" stopIfTrue="1" operator="notEqual">
      <formula>"MGD"</formula>
    </cfRule>
  </conditionalFormatting>
  <conditionalFormatting sqref="H212">
    <cfRule type="cellIs" dxfId="3647" priority="63394" stopIfTrue="1" operator="notEqual">
      <formula>"regeneration off-site (non-hazardous)"</formula>
    </cfRule>
  </conditionalFormatting>
  <conditionalFormatting sqref="I212">
    <cfRule type="cellIs" dxfId="3646" priority="63395" stopIfTrue="1" operator="notEqual">
      <formula>"carbon life value- bed volumes"</formula>
    </cfRule>
  </conditionalFormatting>
  <conditionalFormatting sqref="J212">
    <cfRule type="cellIs" dxfId="3645" priority="63396" stopIfTrue="1" operator="notEqual">
      <formula>5560</formula>
    </cfRule>
  </conditionalFormatting>
  <conditionalFormatting sqref="K212">
    <cfRule type="expression" dxfId="3644" priority="63397" stopIfTrue="1">
      <formula>NOT(ISBLANK($K$212))</formula>
    </cfRule>
  </conditionalFormatting>
  <conditionalFormatting sqref="L212">
    <cfRule type="expression" dxfId="3643" priority="63398" stopIfTrue="1">
      <formula>NOT(ISBLANK($L$212))</formula>
    </cfRule>
  </conditionalFormatting>
  <conditionalFormatting sqref="M212">
    <cfRule type="expression" dxfId="3642" priority="63399" stopIfTrue="1">
      <formula>NOT(ISBLANK($M$212))</formula>
    </cfRule>
  </conditionalFormatting>
  <conditionalFormatting sqref="N212">
    <cfRule type="cellIs" dxfId="3641" priority="63400" stopIfTrue="1" operator="notEqual">
      <formula>"EBCT"</formula>
    </cfRule>
  </conditionalFormatting>
  <conditionalFormatting sqref="O212">
    <cfRule type="cellIs" dxfId="3640" priority="63401" stopIfTrue="1" operator="notEqual">
      <formula>7.5</formula>
    </cfRule>
  </conditionalFormatting>
  <conditionalFormatting sqref="P212">
    <cfRule type="expression" dxfId="3639" priority="63402" stopIfTrue="1">
      <formula>NOT(ISBLANK($P$212))</formula>
    </cfRule>
  </conditionalFormatting>
  <conditionalFormatting sqref="Q212">
    <cfRule type="expression" dxfId="3638" priority="63403" stopIfTrue="1">
      <formula>NOT(ISBLANK($Q$212))</formula>
    </cfRule>
  </conditionalFormatting>
  <conditionalFormatting sqref="R212">
    <cfRule type="expression" dxfId="3637" priority="63404" stopIfTrue="1">
      <formula>NOT(ISBLANK($R$212))</formula>
    </cfRule>
  </conditionalFormatting>
  <conditionalFormatting sqref="S212">
    <cfRule type="expression" dxfId="3636" priority="63405" stopIfTrue="1">
      <formula>NOT(ISBLANK($S$212))</formula>
    </cfRule>
  </conditionalFormatting>
  <conditionalFormatting sqref="T212">
    <cfRule type="expression" dxfId="3635" priority="63406" stopIfTrue="1">
      <formula>NOT(ISBLANK($T$212))</formula>
    </cfRule>
  </conditionalFormatting>
  <conditionalFormatting sqref="U212">
    <cfRule type="expression" dxfId="3634" priority="63407" stopIfTrue="1">
      <formula>NOT(ISBLANK($U$212))</formula>
    </cfRule>
  </conditionalFormatting>
  <conditionalFormatting sqref="V212">
    <cfRule type="expression" dxfId="3633" priority="63408" stopIfTrue="1">
      <formula>NOT(ISBLANK($V$212))</formula>
    </cfRule>
  </conditionalFormatting>
  <conditionalFormatting sqref="W212">
    <cfRule type="cellIs" dxfId="3632" priority="63409" stopIfTrue="1" operator="notEqual">
      <formula>7</formula>
    </cfRule>
  </conditionalFormatting>
  <conditionalFormatting sqref="X212">
    <cfRule type="cellIs" dxfId="3631" priority="63410" stopIfTrue="1" operator="notEqual">
      <formula>7</formula>
    </cfRule>
  </conditionalFormatting>
  <conditionalFormatting sqref="Y212">
    <cfRule type="cellIs" dxfId="3630" priority="63411" stopIfTrue="1" operator="notEqual">
      <formula>5.3</formula>
    </cfRule>
  </conditionalFormatting>
  <conditionalFormatting sqref="Z212">
    <cfRule type="cellIs" dxfId="3629" priority="63412" stopIfTrue="1" operator="notEqual">
      <formula>168</formula>
    </cfRule>
  </conditionalFormatting>
  <conditionalFormatting sqref="AA212">
    <cfRule type="cellIs" dxfId="3628" priority="63413" stopIfTrue="1" operator="notEqual">
      <formula>"POTW"</formula>
    </cfRule>
  </conditionalFormatting>
  <conditionalFormatting sqref="AB212">
    <cfRule type="cellIs" dxfId="3627" priority="63414" stopIfTrue="1" operator="notEqual">
      <formula>"holding tank"</formula>
    </cfRule>
  </conditionalFormatting>
  <conditionalFormatting sqref="AC212">
    <cfRule type="cellIs" dxfId="3626" priority="63415" stopIfTrue="1" operator="notEqual">
      <formula>"manual transfer"</formula>
    </cfRule>
  </conditionalFormatting>
  <conditionalFormatting sqref="AD212">
    <cfRule type="cellIs" dxfId="3625" priority="63416" stopIfTrue="1" operator="notEqual">
      <formula>"non-hazardous"</formula>
    </cfRule>
  </conditionalFormatting>
  <conditionalFormatting sqref="AE212">
    <cfRule type="expression" dxfId="3624" priority="63417" stopIfTrue="1">
      <formula>NOT(ISBLANK($AE$212))</formula>
    </cfRule>
  </conditionalFormatting>
  <conditionalFormatting sqref="AF212">
    <cfRule type="cellIs" dxfId="3623" priority="63418" stopIfTrue="1" operator="notEqual">
      <formula>0</formula>
    </cfRule>
  </conditionalFormatting>
  <conditionalFormatting sqref="AG212">
    <cfRule type="expression" dxfId="3622" priority="63419" stopIfTrue="1">
      <formula>NOT(ISBLANK($AG$212))</formula>
    </cfRule>
  </conditionalFormatting>
  <conditionalFormatting sqref="AH212">
    <cfRule type="expression" dxfId="3621" priority="63420" stopIfTrue="1">
      <formula>NOT(ISBLANK($AH$212))</formula>
    </cfRule>
  </conditionalFormatting>
  <conditionalFormatting sqref="AI212">
    <cfRule type="cellIs" dxfId="3620" priority="63421" stopIfTrue="1" operator="notEqual">
      <formula>"fully automated"</formula>
    </cfRule>
  </conditionalFormatting>
  <conditionalFormatting sqref="AJ212">
    <cfRule type="expression" dxfId="3619" priority="63422" stopIfTrue="1">
      <formula>NOT(ISBLANK($AJ$212))</formula>
    </cfRule>
  </conditionalFormatting>
  <conditionalFormatting sqref="AK212">
    <cfRule type="expression" dxfId="3618" priority="63423" stopIfTrue="1">
      <formula>NOT(ISBLANK($AK$212))</formula>
    </cfRule>
  </conditionalFormatting>
  <conditionalFormatting sqref="AL212">
    <cfRule type="expression" dxfId="3617" priority="63424" stopIfTrue="1">
      <formula>NOT(ISBLANK($AL$212))</formula>
    </cfRule>
  </conditionalFormatting>
  <conditionalFormatting sqref="AM212">
    <cfRule type="expression" dxfId="3616" priority="63425" stopIfTrue="1">
      <formula>NOT(ISBLANK($AM$212))</formula>
    </cfRule>
  </conditionalFormatting>
  <conditionalFormatting sqref="AN212">
    <cfRule type="expression" dxfId="3615" priority="63426" stopIfTrue="1">
      <formula>NOT(ISBLANK($AN$212))</formula>
    </cfRule>
  </conditionalFormatting>
  <conditionalFormatting sqref="AO212">
    <cfRule type="expression" dxfId="3614" priority="63427" stopIfTrue="1">
      <formula>NOT(ISBLANK($AO$212))</formula>
    </cfRule>
  </conditionalFormatting>
  <conditionalFormatting sqref="AP212">
    <cfRule type="expression" dxfId="3613" priority="63428" stopIfTrue="1">
      <formula>NOT(ISBLANK($AP$212))</formula>
    </cfRule>
  </conditionalFormatting>
  <conditionalFormatting sqref="AQ212">
    <cfRule type="expression" dxfId="3612" priority="63429" stopIfTrue="1">
      <formula>NOT(ISBLANK($AQ$212))</formula>
    </cfRule>
  </conditionalFormatting>
  <conditionalFormatting sqref="A213">
    <cfRule type="cellIs" dxfId="3611" priority="63430" stopIfTrue="1" operator="notEqual">
      <formula>13</formula>
    </cfRule>
  </conditionalFormatting>
  <conditionalFormatting sqref="B213">
    <cfRule type="cellIs" dxfId="3610" priority="63431" stopIfTrue="1" operator="notEqual">
      <formula>2</formula>
    </cfRule>
  </conditionalFormatting>
  <conditionalFormatting sqref="C213">
    <cfRule type="cellIs" dxfId="3609" priority="63432" stopIfTrue="1" operator="notEqual">
      <formula>5</formula>
    </cfRule>
  </conditionalFormatting>
  <conditionalFormatting sqref="D213">
    <cfRule type="cellIs" dxfId="3608" priority="63433" stopIfTrue="1" operator="notEqual">
      <formula>2.152</formula>
    </cfRule>
  </conditionalFormatting>
  <conditionalFormatting sqref="E213">
    <cfRule type="cellIs" dxfId="3607" priority="63434" stopIfTrue="1" operator="notEqual">
      <formula>"MGD"</formula>
    </cfRule>
  </conditionalFormatting>
  <conditionalFormatting sqref="F213">
    <cfRule type="cellIs" dxfId="3606" priority="63435" stopIfTrue="1" operator="notEqual">
      <formula>0.819</formula>
    </cfRule>
  </conditionalFormatting>
  <conditionalFormatting sqref="G213">
    <cfRule type="cellIs" dxfId="3605" priority="63436" stopIfTrue="1" operator="notEqual">
      <formula>"MGD"</formula>
    </cfRule>
  </conditionalFormatting>
  <conditionalFormatting sqref="H213">
    <cfRule type="cellIs" dxfId="3604" priority="63437" stopIfTrue="1" operator="notEqual">
      <formula>"regeneration off-site (non-hazardous)"</formula>
    </cfRule>
  </conditionalFormatting>
  <conditionalFormatting sqref="I213">
    <cfRule type="cellIs" dxfId="3603" priority="63438" stopIfTrue="1" operator="notEqual">
      <formula>"carbon life value- bed volumes"</formula>
    </cfRule>
  </conditionalFormatting>
  <conditionalFormatting sqref="J213">
    <cfRule type="cellIs" dxfId="3602" priority="63439" stopIfTrue="1" operator="notEqual">
      <formula>5560</formula>
    </cfRule>
  </conditionalFormatting>
  <conditionalFormatting sqref="K213">
    <cfRule type="expression" dxfId="3601" priority="63440" stopIfTrue="1">
      <formula>NOT(ISBLANK($K$213))</formula>
    </cfRule>
  </conditionalFormatting>
  <conditionalFormatting sqref="L213">
    <cfRule type="expression" dxfId="3600" priority="63441" stopIfTrue="1">
      <formula>NOT(ISBLANK($L$213))</formula>
    </cfRule>
  </conditionalFormatting>
  <conditionalFormatting sqref="M213">
    <cfRule type="expression" dxfId="3599" priority="63442" stopIfTrue="1">
      <formula>NOT(ISBLANK($M$213))</formula>
    </cfRule>
  </conditionalFormatting>
  <conditionalFormatting sqref="N213">
    <cfRule type="cellIs" dxfId="3598" priority="63443" stopIfTrue="1" operator="notEqual">
      <formula>"EBCT"</formula>
    </cfRule>
  </conditionalFormatting>
  <conditionalFormatting sqref="O213">
    <cfRule type="cellIs" dxfId="3597" priority="63444" stopIfTrue="1" operator="notEqual">
      <formula>7.5</formula>
    </cfRule>
  </conditionalFormatting>
  <conditionalFormatting sqref="P213">
    <cfRule type="expression" dxfId="3596" priority="63445" stopIfTrue="1">
      <formula>NOT(ISBLANK($P$213))</formula>
    </cfRule>
  </conditionalFormatting>
  <conditionalFormatting sqref="Q213">
    <cfRule type="expression" dxfId="3595" priority="63446" stopIfTrue="1">
      <formula>NOT(ISBLANK($Q$213))</formula>
    </cfRule>
  </conditionalFormatting>
  <conditionalFormatting sqref="R213">
    <cfRule type="expression" dxfId="3594" priority="63447" stopIfTrue="1">
      <formula>NOT(ISBLANK($R$213))</formula>
    </cfRule>
  </conditionalFormatting>
  <conditionalFormatting sqref="S213">
    <cfRule type="expression" dxfId="3593" priority="63448" stopIfTrue="1">
      <formula>NOT(ISBLANK($S$213))</formula>
    </cfRule>
  </conditionalFormatting>
  <conditionalFormatting sqref="T213">
    <cfRule type="expression" dxfId="3592" priority="63449" stopIfTrue="1">
      <formula>NOT(ISBLANK($T$213))</formula>
    </cfRule>
  </conditionalFormatting>
  <conditionalFormatting sqref="U213">
    <cfRule type="expression" dxfId="3591" priority="63450" stopIfTrue="1">
      <formula>NOT(ISBLANK($U$213))</formula>
    </cfRule>
  </conditionalFormatting>
  <conditionalFormatting sqref="V213">
    <cfRule type="expression" dxfId="3590" priority="63451" stopIfTrue="1">
      <formula>NOT(ISBLANK($V$213))</formula>
    </cfRule>
  </conditionalFormatting>
  <conditionalFormatting sqref="W213">
    <cfRule type="cellIs" dxfId="3589" priority="63452" stopIfTrue="1" operator="notEqual">
      <formula>8</formula>
    </cfRule>
  </conditionalFormatting>
  <conditionalFormatting sqref="X213">
    <cfRule type="cellIs" dxfId="3588" priority="63453" stopIfTrue="1" operator="notEqual">
      <formula>8</formula>
    </cfRule>
  </conditionalFormatting>
  <conditionalFormatting sqref="Y213">
    <cfRule type="cellIs" dxfId="3587" priority="63454" stopIfTrue="1" operator="notEqual">
      <formula>7.9</formula>
    </cfRule>
  </conditionalFormatting>
  <conditionalFormatting sqref="Z213">
    <cfRule type="cellIs" dxfId="3586" priority="63455" stopIfTrue="1" operator="notEqual">
      <formula>168</formula>
    </cfRule>
  </conditionalFormatting>
  <conditionalFormatting sqref="AA213">
    <cfRule type="cellIs" dxfId="3585" priority="63456" stopIfTrue="1" operator="notEqual">
      <formula>"POTW"</formula>
    </cfRule>
  </conditionalFormatting>
  <conditionalFormatting sqref="AB213">
    <cfRule type="cellIs" dxfId="3584" priority="63457" stopIfTrue="1" operator="notEqual">
      <formula>"holding tank"</formula>
    </cfRule>
  </conditionalFormatting>
  <conditionalFormatting sqref="AC213">
    <cfRule type="cellIs" dxfId="3583" priority="63458" stopIfTrue="1" operator="notEqual">
      <formula>"eductors"</formula>
    </cfRule>
  </conditionalFormatting>
  <conditionalFormatting sqref="AD213">
    <cfRule type="cellIs" dxfId="3582" priority="63459" stopIfTrue="1" operator="notEqual">
      <formula>"non-hazardous"</formula>
    </cfRule>
  </conditionalFormatting>
  <conditionalFormatting sqref="AE213">
    <cfRule type="expression" dxfId="3581" priority="63460" stopIfTrue="1">
      <formula>NOT(ISBLANK($AE$213))</formula>
    </cfRule>
  </conditionalFormatting>
  <conditionalFormatting sqref="AF213">
    <cfRule type="cellIs" dxfId="3580" priority="63461" stopIfTrue="1" operator="notEqual">
      <formula>0</formula>
    </cfRule>
  </conditionalFormatting>
  <conditionalFormatting sqref="AG213">
    <cfRule type="expression" dxfId="3579" priority="63462" stopIfTrue="1">
      <formula>NOT(ISBLANK($AG$213))</formula>
    </cfRule>
  </conditionalFormatting>
  <conditionalFormatting sqref="AH213">
    <cfRule type="expression" dxfId="3578" priority="63463" stopIfTrue="1">
      <formula>NOT(ISBLANK($AH$213))</formula>
    </cfRule>
  </conditionalFormatting>
  <conditionalFormatting sqref="AI213">
    <cfRule type="cellIs" dxfId="3577" priority="63464" stopIfTrue="1" operator="notEqual">
      <formula>"fully automated"</formula>
    </cfRule>
  </conditionalFormatting>
  <conditionalFormatting sqref="AJ213">
    <cfRule type="expression" dxfId="3576" priority="63465" stopIfTrue="1">
      <formula>NOT(ISBLANK($AJ$213))</formula>
    </cfRule>
  </conditionalFormatting>
  <conditionalFormatting sqref="AK213">
    <cfRule type="expression" dxfId="3575" priority="63466" stopIfTrue="1">
      <formula>NOT(ISBLANK($AK$213))</formula>
    </cfRule>
  </conditionalFormatting>
  <conditionalFormatting sqref="AL213">
    <cfRule type="expression" dxfId="3574" priority="63467" stopIfTrue="1">
      <formula>NOT(ISBLANK($AL$213))</formula>
    </cfRule>
  </conditionalFormatting>
  <conditionalFormatting sqref="AM213">
    <cfRule type="expression" dxfId="3573" priority="63468" stopIfTrue="1">
      <formula>NOT(ISBLANK($AM$213))</formula>
    </cfRule>
  </conditionalFormatting>
  <conditionalFormatting sqref="AN213">
    <cfRule type="expression" dxfId="3572" priority="63469" stopIfTrue="1">
      <formula>NOT(ISBLANK($AN$213))</formula>
    </cfRule>
  </conditionalFormatting>
  <conditionalFormatting sqref="AO213">
    <cfRule type="expression" dxfId="3571" priority="63470" stopIfTrue="1">
      <formula>NOT(ISBLANK($AO$213))</formula>
    </cfRule>
  </conditionalFormatting>
  <conditionalFormatting sqref="AP213">
    <cfRule type="expression" dxfId="3570" priority="63471" stopIfTrue="1">
      <formula>NOT(ISBLANK($AP$213))</formula>
    </cfRule>
  </conditionalFormatting>
  <conditionalFormatting sqref="AQ213">
    <cfRule type="expression" dxfId="3569" priority="63472" stopIfTrue="1">
      <formula>NOT(ISBLANK($AQ$213))</formula>
    </cfRule>
  </conditionalFormatting>
  <conditionalFormatting sqref="A214">
    <cfRule type="cellIs" dxfId="3568" priority="63473" stopIfTrue="1" operator="notEqual">
      <formula>13</formula>
    </cfRule>
  </conditionalFormatting>
  <conditionalFormatting sqref="B214">
    <cfRule type="cellIs" dxfId="3567" priority="63474" stopIfTrue="1" operator="notEqual">
      <formula>2</formula>
    </cfRule>
  </conditionalFormatting>
  <conditionalFormatting sqref="C214">
    <cfRule type="cellIs" dxfId="3566" priority="63475" stopIfTrue="1" operator="notEqual">
      <formula>6</formula>
    </cfRule>
  </conditionalFormatting>
  <conditionalFormatting sqref="D214">
    <cfRule type="cellIs" dxfId="3565" priority="63476" stopIfTrue="1" operator="notEqual">
      <formula>7.365</formula>
    </cfRule>
  </conditionalFormatting>
  <conditionalFormatting sqref="E214">
    <cfRule type="cellIs" dxfId="3564" priority="63477" stopIfTrue="1" operator="notEqual">
      <formula>"MGD"</formula>
    </cfRule>
  </conditionalFormatting>
  <conditionalFormatting sqref="F214">
    <cfRule type="cellIs" dxfId="3563" priority="63478" stopIfTrue="1" operator="notEqual">
      <formula>3.2</formula>
    </cfRule>
  </conditionalFormatting>
  <conditionalFormatting sqref="G214">
    <cfRule type="cellIs" dxfId="3562" priority="63479" stopIfTrue="1" operator="notEqual">
      <formula>"MGD"</formula>
    </cfRule>
  </conditionalFormatting>
  <conditionalFormatting sqref="H214">
    <cfRule type="cellIs" dxfId="3561" priority="63480" stopIfTrue="1" operator="notEqual">
      <formula>"regeneration off-site (non-hazardous)"</formula>
    </cfRule>
  </conditionalFormatting>
  <conditionalFormatting sqref="I214">
    <cfRule type="cellIs" dxfId="3560" priority="63481" stopIfTrue="1" operator="notEqual">
      <formula>"carbon life value- bed volumes"</formula>
    </cfRule>
  </conditionalFormatting>
  <conditionalFormatting sqref="J214">
    <cfRule type="cellIs" dxfId="3559" priority="63482" stopIfTrue="1" operator="notEqual">
      <formula>5560</formula>
    </cfRule>
  </conditionalFormatting>
  <conditionalFormatting sqref="K214">
    <cfRule type="expression" dxfId="3558" priority="63483" stopIfTrue="1">
      <formula>NOT(ISBLANK($K$214))</formula>
    </cfRule>
  </conditionalFormatting>
  <conditionalFormatting sqref="L214">
    <cfRule type="expression" dxfId="3557" priority="63484" stopIfTrue="1">
      <formula>NOT(ISBLANK($L$214))</formula>
    </cfRule>
  </conditionalFormatting>
  <conditionalFormatting sqref="M214">
    <cfRule type="expression" dxfId="3556" priority="63485" stopIfTrue="1">
      <formula>NOT(ISBLANK($M$214))</formula>
    </cfRule>
  </conditionalFormatting>
  <conditionalFormatting sqref="N214">
    <cfRule type="cellIs" dxfId="3555" priority="63486" stopIfTrue="1" operator="notEqual">
      <formula>"EBCT"</formula>
    </cfRule>
  </conditionalFormatting>
  <conditionalFormatting sqref="O214">
    <cfRule type="cellIs" dxfId="3554" priority="63487" stopIfTrue="1" operator="notEqual">
      <formula>7.5</formula>
    </cfRule>
  </conditionalFormatting>
  <conditionalFormatting sqref="P214">
    <cfRule type="expression" dxfId="3553" priority="63488" stopIfTrue="1">
      <formula>NOT(ISBLANK($P$214))</formula>
    </cfRule>
  </conditionalFormatting>
  <conditionalFormatting sqref="Q214">
    <cfRule type="expression" dxfId="3552" priority="63489" stopIfTrue="1">
      <formula>NOT(ISBLANK($Q$214))</formula>
    </cfRule>
  </conditionalFormatting>
  <conditionalFormatting sqref="R214">
    <cfRule type="expression" dxfId="3551" priority="63490" stopIfTrue="1">
      <formula>NOT(ISBLANK($R$214))</formula>
    </cfRule>
  </conditionalFormatting>
  <conditionalFormatting sqref="S214">
    <cfRule type="expression" dxfId="3550" priority="63491" stopIfTrue="1">
      <formula>NOT(ISBLANK($S$214))</formula>
    </cfRule>
  </conditionalFormatting>
  <conditionalFormatting sqref="T214">
    <cfRule type="expression" dxfId="3549" priority="63492" stopIfTrue="1">
      <formula>NOT(ISBLANK($T$214))</formula>
    </cfRule>
  </conditionalFormatting>
  <conditionalFormatting sqref="U214">
    <cfRule type="expression" dxfId="3548" priority="63493" stopIfTrue="1">
      <formula>NOT(ISBLANK($U$214))</formula>
    </cfRule>
  </conditionalFormatting>
  <conditionalFormatting sqref="V214">
    <cfRule type="expression" dxfId="3547" priority="63494" stopIfTrue="1">
      <formula>NOT(ISBLANK($V$214))</formula>
    </cfRule>
  </conditionalFormatting>
  <conditionalFormatting sqref="W214">
    <cfRule type="cellIs" dxfId="3546" priority="63495" stopIfTrue="1" operator="notEqual">
      <formula>11.5</formula>
    </cfRule>
  </conditionalFormatting>
  <conditionalFormatting sqref="X214">
    <cfRule type="cellIs" dxfId="3545" priority="63496" stopIfTrue="1" operator="notEqual">
      <formula>11.5</formula>
    </cfRule>
  </conditionalFormatting>
  <conditionalFormatting sqref="Y214">
    <cfRule type="cellIs" dxfId="3544" priority="63497" stopIfTrue="1" operator="notEqual">
      <formula>7.8</formula>
    </cfRule>
  </conditionalFormatting>
  <conditionalFormatting sqref="Z214">
    <cfRule type="cellIs" dxfId="3543" priority="63498" stopIfTrue="1" operator="notEqual">
      <formula>168</formula>
    </cfRule>
  </conditionalFormatting>
  <conditionalFormatting sqref="AA214">
    <cfRule type="cellIs" dxfId="3542" priority="63499" stopIfTrue="1" operator="notEqual">
      <formula>"POTW"</formula>
    </cfRule>
  </conditionalFormatting>
  <conditionalFormatting sqref="AB214">
    <cfRule type="cellIs" dxfId="3541" priority="63500" stopIfTrue="1" operator="notEqual">
      <formula>"holding tank"</formula>
    </cfRule>
  </conditionalFormatting>
  <conditionalFormatting sqref="AC214">
    <cfRule type="cellIs" dxfId="3540" priority="63501" stopIfTrue="1" operator="notEqual">
      <formula>"eductors"</formula>
    </cfRule>
  </conditionalFormatting>
  <conditionalFormatting sqref="AD214">
    <cfRule type="cellIs" dxfId="3539" priority="63502" stopIfTrue="1" operator="notEqual">
      <formula>"non-hazardous"</formula>
    </cfRule>
  </conditionalFormatting>
  <conditionalFormatting sqref="AE214">
    <cfRule type="expression" dxfId="3538" priority="63503" stopIfTrue="1">
      <formula>NOT(ISBLANK($AE$214))</formula>
    </cfRule>
  </conditionalFormatting>
  <conditionalFormatting sqref="AF214">
    <cfRule type="cellIs" dxfId="3537" priority="63504" stopIfTrue="1" operator="notEqual">
      <formula>0</formula>
    </cfRule>
  </conditionalFormatting>
  <conditionalFormatting sqref="AG214">
    <cfRule type="expression" dxfId="3536" priority="63505" stopIfTrue="1">
      <formula>NOT(ISBLANK($AG$214))</formula>
    </cfRule>
  </conditionalFormatting>
  <conditionalFormatting sqref="AH214">
    <cfRule type="expression" dxfId="3535" priority="63506" stopIfTrue="1">
      <formula>NOT(ISBLANK($AH$214))</formula>
    </cfRule>
  </conditionalFormatting>
  <conditionalFormatting sqref="AI214">
    <cfRule type="cellIs" dxfId="3534" priority="63507" stopIfTrue="1" operator="notEqual">
      <formula>"fully automated"</formula>
    </cfRule>
  </conditionalFormatting>
  <conditionalFormatting sqref="AJ214">
    <cfRule type="expression" dxfId="3533" priority="63508" stopIfTrue="1">
      <formula>NOT(ISBLANK($AJ$214))</formula>
    </cfRule>
  </conditionalFormatting>
  <conditionalFormatting sqref="AK214">
    <cfRule type="expression" dxfId="3532" priority="63509" stopIfTrue="1">
      <formula>NOT(ISBLANK($AK$214))</formula>
    </cfRule>
  </conditionalFormatting>
  <conditionalFormatting sqref="AL214">
    <cfRule type="expression" dxfId="3531" priority="63510" stopIfTrue="1">
      <formula>NOT(ISBLANK($AL$214))</formula>
    </cfRule>
  </conditionalFormatting>
  <conditionalFormatting sqref="AM214">
    <cfRule type="expression" dxfId="3530" priority="63511" stopIfTrue="1">
      <formula>NOT(ISBLANK($AM$214))</formula>
    </cfRule>
  </conditionalFormatting>
  <conditionalFormatting sqref="AN214">
    <cfRule type="expression" dxfId="3529" priority="63512" stopIfTrue="1">
      <formula>NOT(ISBLANK($AN$214))</formula>
    </cfRule>
  </conditionalFormatting>
  <conditionalFormatting sqref="AO214">
    <cfRule type="expression" dxfId="3528" priority="63513" stopIfTrue="1">
      <formula>NOT(ISBLANK($AO$214))</formula>
    </cfRule>
  </conditionalFormatting>
  <conditionalFormatting sqref="AP214">
    <cfRule type="expression" dxfId="3527" priority="63514" stopIfTrue="1">
      <formula>NOT(ISBLANK($AP$214))</formula>
    </cfRule>
  </conditionalFormatting>
  <conditionalFormatting sqref="AQ214">
    <cfRule type="expression" dxfId="3526" priority="63515" stopIfTrue="1">
      <formula>NOT(ISBLANK($AQ$214))</formula>
    </cfRule>
  </conditionalFormatting>
  <conditionalFormatting sqref="A215">
    <cfRule type="cellIs" dxfId="3525" priority="63516" stopIfTrue="1" operator="notEqual">
      <formula>13</formula>
    </cfRule>
  </conditionalFormatting>
  <conditionalFormatting sqref="B215">
    <cfRule type="cellIs" dxfId="3524" priority="63517" stopIfTrue="1" operator="notEqual">
      <formula>2</formula>
    </cfRule>
  </conditionalFormatting>
  <conditionalFormatting sqref="C215">
    <cfRule type="cellIs" dxfId="3523" priority="63518" stopIfTrue="1" operator="notEqual">
      <formula>7</formula>
    </cfRule>
  </conditionalFormatting>
  <conditionalFormatting sqref="D215">
    <cfRule type="cellIs" dxfId="3522" priority="63519" stopIfTrue="1" operator="notEqual">
      <formula>22.614</formula>
    </cfRule>
  </conditionalFormatting>
  <conditionalFormatting sqref="E215">
    <cfRule type="cellIs" dxfId="3521" priority="63520" stopIfTrue="1" operator="notEqual">
      <formula>"MGD"</formula>
    </cfRule>
  </conditionalFormatting>
  <conditionalFormatting sqref="F215">
    <cfRule type="cellIs" dxfId="3520" priority="63521" stopIfTrue="1" operator="notEqual">
      <formula>11.066</formula>
    </cfRule>
  </conditionalFormatting>
  <conditionalFormatting sqref="G215">
    <cfRule type="cellIs" dxfId="3519" priority="63522" stopIfTrue="1" operator="notEqual">
      <formula>"MGD"</formula>
    </cfRule>
  </conditionalFormatting>
  <conditionalFormatting sqref="H215">
    <cfRule type="cellIs" dxfId="3518" priority="63523" stopIfTrue="1" operator="notEqual">
      <formula>"regeneration off-site (non-hazardous)"</formula>
    </cfRule>
  </conditionalFormatting>
  <conditionalFormatting sqref="I215">
    <cfRule type="cellIs" dxfId="3517" priority="63524" stopIfTrue="1" operator="notEqual">
      <formula>"carbon life value- bed volumes"</formula>
    </cfRule>
  </conditionalFormatting>
  <conditionalFormatting sqref="J215">
    <cfRule type="cellIs" dxfId="3516" priority="63525" stopIfTrue="1" operator="notEqual">
      <formula>5560</formula>
    </cfRule>
  </conditionalFormatting>
  <conditionalFormatting sqref="K215">
    <cfRule type="expression" dxfId="3515" priority="63526" stopIfTrue="1">
      <formula>NOT(ISBLANK($K$215))</formula>
    </cfRule>
  </conditionalFormatting>
  <conditionalFormatting sqref="L215">
    <cfRule type="expression" dxfId="3514" priority="63527" stopIfTrue="1">
      <formula>NOT(ISBLANK($L$215))</formula>
    </cfRule>
  </conditionalFormatting>
  <conditionalFormatting sqref="M215">
    <cfRule type="expression" dxfId="3513" priority="63528" stopIfTrue="1">
      <formula>NOT(ISBLANK($M$215))</formula>
    </cfRule>
  </conditionalFormatting>
  <conditionalFormatting sqref="N215">
    <cfRule type="cellIs" dxfId="3512" priority="63529" stopIfTrue="1" operator="notEqual">
      <formula>"EBCT"</formula>
    </cfRule>
  </conditionalFormatting>
  <conditionalFormatting sqref="O215">
    <cfRule type="cellIs" dxfId="3511" priority="63530" stopIfTrue="1" operator="notEqual">
      <formula>7.5</formula>
    </cfRule>
  </conditionalFormatting>
  <conditionalFormatting sqref="P215">
    <cfRule type="expression" dxfId="3510" priority="63531" stopIfTrue="1">
      <formula>NOT(ISBLANK($P$215))</formula>
    </cfRule>
  </conditionalFormatting>
  <conditionalFormatting sqref="Q215">
    <cfRule type="expression" dxfId="3509" priority="63532" stopIfTrue="1">
      <formula>NOT(ISBLANK($Q$215))</formula>
    </cfRule>
  </conditionalFormatting>
  <conditionalFormatting sqref="R215">
    <cfRule type="expression" dxfId="3508" priority="63533" stopIfTrue="1">
      <formula>NOT(ISBLANK($R$215))</formula>
    </cfRule>
  </conditionalFormatting>
  <conditionalFormatting sqref="S215">
    <cfRule type="expression" dxfId="3507" priority="63534" stopIfTrue="1">
      <formula>NOT(ISBLANK($S$215))</formula>
    </cfRule>
  </conditionalFormatting>
  <conditionalFormatting sqref="T215">
    <cfRule type="expression" dxfId="3506" priority="63535" stopIfTrue="1">
      <formula>NOT(ISBLANK($T$215))</formula>
    </cfRule>
  </conditionalFormatting>
  <conditionalFormatting sqref="U215">
    <cfRule type="expression" dxfId="3505" priority="63536" stopIfTrue="1">
      <formula>NOT(ISBLANK($U$215))</formula>
    </cfRule>
  </conditionalFormatting>
  <conditionalFormatting sqref="V215">
    <cfRule type="expression" dxfId="3504" priority="63537" stopIfTrue="1">
      <formula>NOT(ISBLANK($V$215))</formula>
    </cfRule>
  </conditionalFormatting>
  <conditionalFormatting sqref="W215">
    <cfRule type="cellIs" dxfId="3503" priority="63538" stopIfTrue="1" operator="notEqual">
      <formula>15</formula>
    </cfRule>
  </conditionalFormatting>
  <conditionalFormatting sqref="X215">
    <cfRule type="cellIs" dxfId="3502" priority="63539" stopIfTrue="1" operator="notEqual">
      <formula>15</formula>
    </cfRule>
  </conditionalFormatting>
  <conditionalFormatting sqref="Y215">
    <cfRule type="cellIs" dxfId="3501" priority="63540" stopIfTrue="1" operator="notEqual">
      <formula>7.8</formula>
    </cfRule>
  </conditionalFormatting>
  <conditionalFormatting sqref="Z215">
    <cfRule type="cellIs" dxfId="3500" priority="63541" stopIfTrue="1" operator="notEqual">
      <formula>168</formula>
    </cfRule>
  </conditionalFormatting>
  <conditionalFormatting sqref="AA215">
    <cfRule type="cellIs" dxfId="3499" priority="63542" stopIfTrue="1" operator="notEqual">
      <formula>"POTW"</formula>
    </cfRule>
  </conditionalFormatting>
  <conditionalFormatting sqref="AB215">
    <cfRule type="cellIs" dxfId="3498" priority="63543" stopIfTrue="1" operator="notEqual">
      <formula>"holding tank"</formula>
    </cfRule>
  </conditionalFormatting>
  <conditionalFormatting sqref="AC215">
    <cfRule type="cellIs" dxfId="3497" priority="63544" stopIfTrue="1" operator="notEqual">
      <formula>"eductors"</formula>
    </cfRule>
  </conditionalFormatting>
  <conditionalFormatting sqref="AD215">
    <cfRule type="cellIs" dxfId="3496" priority="63545" stopIfTrue="1" operator="notEqual">
      <formula>"non-hazardous"</formula>
    </cfRule>
  </conditionalFormatting>
  <conditionalFormatting sqref="AE215">
    <cfRule type="expression" dxfId="3495" priority="63546" stopIfTrue="1">
      <formula>NOT(ISBLANK($AE$215))</formula>
    </cfRule>
  </conditionalFormatting>
  <conditionalFormatting sqref="AF215">
    <cfRule type="cellIs" dxfId="3494" priority="63547" stopIfTrue="1" operator="notEqual">
      <formula>0</formula>
    </cfRule>
  </conditionalFormatting>
  <conditionalFormatting sqref="AG215">
    <cfRule type="expression" dxfId="3493" priority="63548" stopIfTrue="1">
      <formula>NOT(ISBLANK($AG$215))</formula>
    </cfRule>
  </conditionalFormatting>
  <conditionalFormatting sqref="AH215">
    <cfRule type="expression" dxfId="3492" priority="63549" stopIfTrue="1">
      <formula>NOT(ISBLANK($AH$215))</formula>
    </cfRule>
  </conditionalFormatting>
  <conditionalFormatting sqref="AI215">
    <cfRule type="cellIs" dxfId="3491" priority="63550" stopIfTrue="1" operator="notEqual">
      <formula>"fully automated"</formula>
    </cfRule>
  </conditionalFormatting>
  <conditionalFormatting sqref="AJ215">
    <cfRule type="expression" dxfId="3490" priority="63551" stopIfTrue="1">
      <formula>NOT(ISBLANK($AJ$215))</formula>
    </cfRule>
  </conditionalFormatting>
  <conditionalFormatting sqref="AK215">
    <cfRule type="expression" dxfId="3489" priority="63552" stopIfTrue="1">
      <formula>NOT(ISBLANK($AK$215))</formula>
    </cfRule>
  </conditionalFormatting>
  <conditionalFormatting sqref="AL215">
    <cfRule type="expression" dxfId="3488" priority="63553" stopIfTrue="1">
      <formula>NOT(ISBLANK($AL$215))</formula>
    </cfRule>
  </conditionalFormatting>
  <conditionalFormatting sqref="AM215">
    <cfRule type="expression" dxfId="3487" priority="63554" stopIfTrue="1">
      <formula>NOT(ISBLANK($AM$215))</formula>
    </cfRule>
  </conditionalFormatting>
  <conditionalFormatting sqref="AN215">
    <cfRule type="expression" dxfId="3486" priority="63555" stopIfTrue="1">
      <formula>NOT(ISBLANK($AN$215))</formula>
    </cfRule>
  </conditionalFormatting>
  <conditionalFormatting sqref="AO215">
    <cfRule type="expression" dxfId="3485" priority="63556" stopIfTrue="1">
      <formula>NOT(ISBLANK($AO$215))</formula>
    </cfRule>
  </conditionalFormatting>
  <conditionalFormatting sqref="AP215">
    <cfRule type="expression" dxfId="3484" priority="63557" stopIfTrue="1">
      <formula>NOT(ISBLANK($AP$215))</formula>
    </cfRule>
  </conditionalFormatting>
  <conditionalFormatting sqref="AQ215">
    <cfRule type="expression" dxfId="3483" priority="63558" stopIfTrue="1">
      <formula>NOT(ISBLANK($AQ$215))</formula>
    </cfRule>
  </conditionalFormatting>
  <conditionalFormatting sqref="A216">
    <cfRule type="cellIs" dxfId="3482" priority="63559" stopIfTrue="1" operator="notEqual">
      <formula>13</formula>
    </cfRule>
  </conditionalFormatting>
  <conditionalFormatting sqref="B216">
    <cfRule type="cellIs" dxfId="3481" priority="63560" stopIfTrue="1" operator="notEqual">
      <formula>2</formula>
    </cfRule>
  </conditionalFormatting>
  <conditionalFormatting sqref="C216">
    <cfRule type="cellIs" dxfId="3480" priority="63561" stopIfTrue="1" operator="notEqual">
      <formula>8</formula>
    </cfRule>
  </conditionalFormatting>
  <conditionalFormatting sqref="D216">
    <cfRule type="cellIs" dxfId="3479" priority="63562" stopIfTrue="1" operator="notEqual">
      <formula>75.072</formula>
    </cfRule>
  </conditionalFormatting>
  <conditionalFormatting sqref="E216">
    <cfRule type="cellIs" dxfId="3478" priority="63563" stopIfTrue="1" operator="notEqual">
      <formula>"MGD"</formula>
    </cfRule>
  </conditionalFormatting>
  <conditionalFormatting sqref="F216">
    <cfRule type="cellIs" dxfId="3477" priority="63564" stopIfTrue="1" operator="notEqual">
      <formula>37.536</formula>
    </cfRule>
  </conditionalFormatting>
  <conditionalFormatting sqref="G216">
    <cfRule type="cellIs" dxfId="3476" priority="63565" stopIfTrue="1" operator="notEqual">
      <formula>"MGD"</formula>
    </cfRule>
  </conditionalFormatting>
  <conditionalFormatting sqref="H216">
    <cfRule type="cellIs" dxfId="3475" priority="63566" stopIfTrue="1" operator="notEqual">
      <formula>"regeneration off-site (non-hazardous)"</formula>
    </cfRule>
  </conditionalFormatting>
  <conditionalFormatting sqref="I216">
    <cfRule type="cellIs" dxfId="3474" priority="63567" stopIfTrue="1" operator="notEqual">
      <formula>"carbon life value- bed volumes"</formula>
    </cfRule>
  </conditionalFormatting>
  <conditionalFormatting sqref="J216">
    <cfRule type="cellIs" dxfId="3473" priority="63568" stopIfTrue="1" operator="notEqual">
      <formula>5560</formula>
    </cfRule>
  </conditionalFormatting>
  <conditionalFormatting sqref="K216">
    <cfRule type="expression" dxfId="3472" priority="63569" stopIfTrue="1">
      <formula>NOT(ISBLANK($K$216))</formula>
    </cfRule>
  </conditionalFormatting>
  <conditionalFormatting sqref="L216">
    <cfRule type="expression" dxfId="3471" priority="63570" stopIfTrue="1">
      <formula>NOT(ISBLANK($L$216))</formula>
    </cfRule>
  </conditionalFormatting>
  <conditionalFormatting sqref="M216">
    <cfRule type="expression" dxfId="3470" priority="63571" stopIfTrue="1">
      <formula>NOT(ISBLANK($M$216))</formula>
    </cfRule>
  </conditionalFormatting>
  <conditionalFormatting sqref="N216">
    <cfRule type="cellIs" dxfId="3469" priority="63572" stopIfTrue="1" operator="notEqual">
      <formula>"EBCT"</formula>
    </cfRule>
  </conditionalFormatting>
  <conditionalFormatting sqref="O216">
    <cfRule type="cellIs" dxfId="3468" priority="63573" stopIfTrue="1" operator="notEqual">
      <formula>7.5</formula>
    </cfRule>
  </conditionalFormatting>
  <conditionalFormatting sqref="P216">
    <cfRule type="expression" dxfId="3467" priority="63574" stopIfTrue="1">
      <formula>NOT(ISBLANK($P$216))</formula>
    </cfRule>
  </conditionalFormatting>
  <conditionalFormatting sqref="Q216">
    <cfRule type="expression" dxfId="3466" priority="63575" stopIfTrue="1">
      <formula>NOT(ISBLANK($Q$216))</formula>
    </cfRule>
  </conditionalFormatting>
  <conditionalFormatting sqref="R216">
    <cfRule type="expression" dxfId="3465" priority="63576" stopIfTrue="1">
      <formula>NOT(ISBLANK($R$216))</formula>
    </cfRule>
  </conditionalFormatting>
  <conditionalFormatting sqref="S216">
    <cfRule type="expression" dxfId="3464" priority="63577" stopIfTrue="1">
      <formula>NOT(ISBLANK($S$216))</formula>
    </cfRule>
  </conditionalFormatting>
  <conditionalFormatting sqref="T216">
    <cfRule type="expression" dxfId="3463" priority="63578" stopIfTrue="1">
      <formula>NOT(ISBLANK($T$216))</formula>
    </cfRule>
  </conditionalFormatting>
  <conditionalFormatting sqref="U216">
    <cfRule type="expression" dxfId="3462" priority="63579" stopIfTrue="1">
      <formula>NOT(ISBLANK($U$216))</formula>
    </cfRule>
  </conditionalFormatting>
  <conditionalFormatting sqref="V216">
    <cfRule type="expression" dxfId="3461" priority="63580" stopIfTrue="1">
      <formula>NOT(ISBLANK($V$216))</formula>
    </cfRule>
  </conditionalFormatting>
  <conditionalFormatting sqref="W216">
    <cfRule type="cellIs" dxfId="3460" priority="63581" stopIfTrue="1" operator="notEqual">
      <formula>30</formula>
    </cfRule>
  </conditionalFormatting>
  <conditionalFormatting sqref="X216">
    <cfRule type="cellIs" dxfId="3459" priority="63582" stopIfTrue="1" operator="notEqual">
      <formula>30</formula>
    </cfRule>
  </conditionalFormatting>
  <conditionalFormatting sqref="Y216">
    <cfRule type="cellIs" dxfId="3458" priority="63583" stopIfTrue="1" operator="notEqual">
      <formula>9.7</formula>
    </cfRule>
  </conditionalFormatting>
  <conditionalFormatting sqref="Z216">
    <cfRule type="cellIs" dxfId="3457" priority="63584" stopIfTrue="1" operator="notEqual">
      <formula>168</formula>
    </cfRule>
  </conditionalFormatting>
  <conditionalFormatting sqref="AA216">
    <cfRule type="cellIs" dxfId="3456" priority="63585" stopIfTrue="1" operator="notEqual">
      <formula>"POTW"</formula>
    </cfRule>
  </conditionalFormatting>
  <conditionalFormatting sqref="AB216">
    <cfRule type="cellIs" dxfId="3455" priority="63586" stopIfTrue="1" operator="notEqual">
      <formula>"holding tank"</formula>
    </cfRule>
  </conditionalFormatting>
  <conditionalFormatting sqref="AC216">
    <cfRule type="cellIs" dxfId="3454" priority="63587" stopIfTrue="1" operator="notEqual">
      <formula>"eductors"</formula>
    </cfRule>
  </conditionalFormatting>
  <conditionalFormatting sqref="AD216">
    <cfRule type="cellIs" dxfId="3453" priority="63588" stopIfTrue="1" operator="notEqual">
      <formula>"non-hazardous"</formula>
    </cfRule>
  </conditionalFormatting>
  <conditionalFormatting sqref="AE216">
    <cfRule type="expression" dxfId="3452" priority="63589" stopIfTrue="1">
      <formula>NOT(ISBLANK($AE$216))</formula>
    </cfRule>
  </conditionalFormatting>
  <conditionalFormatting sqref="AF216">
    <cfRule type="cellIs" dxfId="3451" priority="63590" stopIfTrue="1" operator="notEqual">
      <formula>0</formula>
    </cfRule>
  </conditionalFormatting>
  <conditionalFormatting sqref="AG216">
    <cfRule type="expression" dxfId="3450" priority="63591" stopIfTrue="1">
      <formula>NOT(ISBLANK($AG$216))</formula>
    </cfRule>
  </conditionalFormatting>
  <conditionalFormatting sqref="AH216">
    <cfRule type="expression" dxfId="3449" priority="63592" stopIfTrue="1">
      <formula>NOT(ISBLANK($AH$216))</formula>
    </cfRule>
  </conditionalFormatting>
  <conditionalFormatting sqref="AI216">
    <cfRule type="cellIs" dxfId="3448" priority="63593" stopIfTrue="1" operator="notEqual">
      <formula>"fully automated"</formula>
    </cfRule>
  </conditionalFormatting>
  <conditionalFormatting sqref="AJ216">
    <cfRule type="expression" dxfId="3447" priority="63594" stopIfTrue="1">
      <formula>NOT(ISBLANK($AJ$216))</formula>
    </cfRule>
  </conditionalFormatting>
  <conditionalFormatting sqref="AK216">
    <cfRule type="expression" dxfId="3446" priority="63595" stopIfTrue="1">
      <formula>NOT(ISBLANK($AK$216))</formula>
    </cfRule>
  </conditionalFormatting>
  <conditionalFormatting sqref="AL216">
    <cfRule type="expression" dxfId="3445" priority="63596" stopIfTrue="1">
      <formula>NOT(ISBLANK($AL$216))</formula>
    </cfRule>
  </conditionalFormatting>
  <conditionalFormatting sqref="AM216">
    <cfRule type="expression" dxfId="3444" priority="63597" stopIfTrue="1">
      <formula>NOT(ISBLANK($AM$216))</formula>
    </cfRule>
  </conditionalFormatting>
  <conditionalFormatting sqref="AN216">
    <cfRule type="expression" dxfId="3443" priority="63598" stopIfTrue="1">
      <formula>NOT(ISBLANK($AN$216))</formula>
    </cfRule>
  </conditionalFormatting>
  <conditionalFormatting sqref="AO216">
    <cfRule type="expression" dxfId="3442" priority="63599" stopIfTrue="1">
      <formula>NOT(ISBLANK($AO$216))</formula>
    </cfRule>
  </conditionalFormatting>
  <conditionalFormatting sqref="AP216">
    <cfRule type="expression" dxfId="3441" priority="63600" stopIfTrue="1">
      <formula>NOT(ISBLANK($AP$216))</formula>
    </cfRule>
  </conditionalFormatting>
  <conditionalFormatting sqref="AQ216">
    <cfRule type="expression" dxfId="3440" priority="63601" stopIfTrue="1">
      <formula>NOT(ISBLANK($AQ$216))</formula>
    </cfRule>
  </conditionalFormatting>
  <conditionalFormatting sqref="A217">
    <cfRule type="cellIs" dxfId="3439" priority="63602" stopIfTrue="1" operator="notEqual">
      <formula>14</formula>
    </cfRule>
  </conditionalFormatting>
  <conditionalFormatting sqref="B217">
    <cfRule type="cellIs" dxfId="3438" priority="63603" stopIfTrue="1" operator="notEqual">
      <formula>1</formula>
    </cfRule>
  </conditionalFormatting>
  <conditionalFormatting sqref="C217">
    <cfRule type="cellIs" dxfId="3437" priority="63604" stopIfTrue="1" operator="notEqual">
      <formula>1</formula>
    </cfRule>
  </conditionalFormatting>
  <conditionalFormatting sqref="D217">
    <cfRule type="cellIs" dxfId="3436" priority="63605" stopIfTrue="1" operator="notEqual">
      <formula>0.03</formula>
    </cfRule>
  </conditionalFormatting>
  <conditionalFormatting sqref="E217">
    <cfRule type="cellIs" dxfId="3435" priority="63606" stopIfTrue="1" operator="notEqual">
      <formula>"MGD"</formula>
    </cfRule>
  </conditionalFormatting>
  <conditionalFormatting sqref="F217">
    <cfRule type="cellIs" dxfId="3434" priority="63607" stopIfTrue="1" operator="notEqual">
      <formula>0.007</formula>
    </cfRule>
  </conditionalFormatting>
  <conditionalFormatting sqref="G217">
    <cfRule type="cellIs" dxfId="3433" priority="63608" stopIfTrue="1" operator="notEqual">
      <formula>"MGD"</formula>
    </cfRule>
  </conditionalFormatting>
  <conditionalFormatting sqref="H217">
    <cfRule type="cellIs" dxfId="3432" priority="63609" stopIfTrue="1" operator="notEqual">
      <formula>"regeneration off-site (non-hazardous)"</formula>
    </cfRule>
  </conditionalFormatting>
  <conditionalFormatting sqref="I217">
    <cfRule type="cellIs" dxfId="3431" priority="63610" stopIfTrue="1" operator="notEqual">
      <formula>"carbon life value- bed volumes"</formula>
    </cfRule>
  </conditionalFormatting>
  <conditionalFormatting sqref="J217">
    <cfRule type="cellIs" dxfId="3430" priority="63611" stopIfTrue="1" operator="notEqual">
      <formula>20500</formula>
    </cfRule>
  </conditionalFormatting>
  <conditionalFormatting sqref="K217">
    <cfRule type="expression" dxfId="3429" priority="63612" stopIfTrue="1">
      <formula>NOT(ISBLANK($K$217))</formula>
    </cfRule>
  </conditionalFormatting>
  <conditionalFormatting sqref="L217">
    <cfRule type="expression" dxfId="3428" priority="63613" stopIfTrue="1">
      <formula>NOT(ISBLANK($L$217))</formula>
    </cfRule>
  </conditionalFormatting>
  <conditionalFormatting sqref="M217">
    <cfRule type="expression" dxfId="3427" priority="63614" stopIfTrue="1">
      <formula>NOT(ISBLANK($M$217))</formula>
    </cfRule>
  </conditionalFormatting>
  <conditionalFormatting sqref="N217">
    <cfRule type="cellIs" dxfId="3426" priority="63615" stopIfTrue="1" operator="notEqual">
      <formula>"EBCT"</formula>
    </cfRule>
  </conditionalFormatting>
  <conditionalFormatting sqref="O217">
    <cfRule type="cellIs" dxfId="3425" priority="63616" stopIfTrue="1" operator="notEqual">
      <formula>7.5</formula>
    </cfRule>
  </conditionalFormatting>
  <conditionalFormatting sqref="P217">
    <cfRule type="expression" dxfId="3424" priority="63617" stopIfTrue="1">
      <formula>NOT(ISBLANK($P$217))</formula>
    </cfRule>
  </conditionalFormatting>
  <conditionalFormatting sqref="Q217">
    <cfRule type="expression" dxfId="3423" priority="63618" stopIfTrue="1">
      <formula>NOT(ISBLANK($Q$217))</formula>
    </cfRule>
  </conditionalFormatting>
  <conditionalFormatting sqref="R217">
    <cfRule type="cellIs" dxfId="3422" priority="63619" stopIfTrue="1" operator="notEqual">
      <formula>1</formula>
    </cfRule>
  </conditionalFormatting>
  <conditionalFormatting sqref="S217">
    <cfRule type="cellIs" dxfId="3421" priority="63620" stopIfTrue="1" operator="notEqual">
      <formula>3.4</formula>
    </cfRule>
  </conditionalFormatting>
  <conditionalFormatting sqref="T217">
    <cfRule type="cellIs" dxfId="3420" priority="63621" stopIfTrue="1" operator="notEqual">
      <formula>"upright"</formula>
    </cfRule>
  </conditionalFormatting>
  <conditionalFormatting sqref="U217">
    <cfRule type="cellIs" dxfId="3419" priority="63622" stopIfTrue="1" operator="notEqual">
      <formula>6</formula>
    </cfRule>
  </conditionalFormatting>
  <conditionalFormatting sqref="V217">
    <cfRule type="cellIs" dxfId="3418" priority="63623" stopIfTrue="1" operator="notEqual">
      <formula>2</formula>
    </cfRule>
  </conditionalFormatting>
  <conditionalFormatting sqref="W217">
    <cfRule type="expression" dxfId="3417" priority="63624" stopIfTrue="1">
      <formula>NOT(ISBLANK($W$217))</formula>
    </cfRule>
  </conditionalFormatting>
  <conditionalFormatting sqref="X217">
    <cfRule type="expression" dxfId="3416" priority="63625" stopIfTrue="1">
      <formula>NOT(ISBLANK($X$217))</formula>
    </cfRule>
  </conditionalFormatting>
  <conditionalFormatting sqref="Y217">
    <cfRule type="expression" dxfId="3415" priority="63626" stopIfTrue="1">
      <formula>NOT(ISBLANK($Y$217))</formula>
    </cfRule>
  </conditionalFormatting>
  <conditionalFormatting sqref="Z217">
    <cfRule type="cellIs" dxfId="3414" priority="63627" stopIfTrue="1" operator="notEqual">
      <formula>168</formula>
    </cfRule>
  </conditionalFormatting>
  <conditionalFormatting sqref="AA217">
    <cfRule type="cellIs" dxfId="3413" priority="63628" stopIfTrue="1" operator="notEqual">
      <formula>"POTW"</formula>
    </cfRule>
  </conditionalFormatting>
  <conditionalFormatting sqref="AB217">
    <cfRule type="cellIs" dxfId="3412" priority="63629" stopIfTrue="1" operator="notEqual">
      <formula>"no holding tank"</formula>
    </cfRule>
  </conditionalFormatting>
  <conditionalFormatting sqref="AC217">
    <cfRule type="cellIs" dxfId="3411" priority="63630" stopIfTrue="1" operator="notEqual">
      <formula>"manual transfer"</formula>
    </cfRule>
  </conditionalFormatting>
  <conditionalFormatting sqref="AD217">
    <cfRule type="expression" dxfId="3410" priority="63631" stopIfTrue="1">
      <formula>NOT(ISBLANK($AD$217))</formula>
    </cfRule>
  </conditionalFormatting>
  <conditionalFormatting sqref="AE217">
    <cfRule type="expression" dxfId="3409" priority="63632" stopIfTrue="1">
      <formula>NOT(ISBLANK($AE$217))</formula>
    </cfRule>
  </conditionalFormatting>
  <conditionalFormatting sqref="AF217">
    <cfRule type="cellIs" dxfId="3408" priority="63633" stopIfTrue="1" operator="notEqual">
      <formula>0</formula>
    </cfRule>
  </conditionalFormatting>
  <conditionalFormatting sqref="AG217">
    <cfRule type="expression" dxfId="3407" priority="63634" stopIfTrue="1">
      <formula>NOT(ISBLANK($AG$217))</formula>
    </cfRule>
  </conditionalFormatting>
  <conditionalFormatting sqref="AH217">
    <cfRule type="expression" dxfId="3406" priority="63635" stopIfTrue="1">
      <formula>NOT(ISBLANK($AH$217))</formula>
    </cfRule>
  </conditionalFormatting>
  <conditionalFormatting sqref="AI217">
    <cfRule type="cellIs" dxfId="3405" priority="63636" stopIfTrue="1" operator="notEqual">
      <formula>"fully automated"</formula>
    </cfRule>
  </conditionalFormatting>
  <conditionalFormatting sqref="AJ217">
    <cfRule type="expression" dxfId="3404" priority="63637" stopIfTrue="1">
      <formula>NOT(ISBLANK($AJ$217))</formula>
    </cfRule>
  </conditionalFormatting>
  <conditionalFormatting sqref="AK217">
    <cfRule type="expression" dxfId="3403" priority="63638" stopIfTrue="1">
      <formula>NOT(ISBLANK($AK$217))</formula>
    </cfRule>
  </conditionalFormatting>
  <conditionalFormatting sqref="AL217">
    <cfRule type="expression" dxfId="3402" priority="63639" stopIfTrue="1">
      <formula>NOT(ISBLANK($AL$217))</formula>
    </cfRule>
  </conditionalFormatting>
  <conditionalFormatting sqref="AM217">
    <cfRule type="expression" dxfId="3401" priority="63640" stopIfTrue="1">
      <formula>NOT(ISBLANK($AM$217))</formula>
    </cfRule>
  </conditionalFormatting>
  <conditionalFormatting sqref="AN217">
    <cfRule type="expression" dxfId="3400" priority="63641" stopIfTrue="1">
      <formula>NOT(ISBLANK($AN$217))</formula>
    </cfRule>
  </conditionalFormatting>
  <conditionalFormatting sqref="AO217">
    <cfRule type="expression" dxfId="3399" priority="63642" stopIfTrue="1">
      <formula>NOT(ISBLANK($AO$217))</formula>
    </cfRule>
  </conditionalFormatting>
  <conditionalFormatting sqref="AP217">
    <cfRule type="expression" dxfId="3398" priority="63643" stopIfTrue="1">
      <formula>NOT(ISBLANK($AP$217))</formula>
    </cfRule>
  </conditionalFormatting>
  <conditionalFormatting sqref="AQ217">
    <cfRule type="expression" dxfId="3397" priority="63644" stopIfTrue="1">
      <formula>NOT(ISBLANK($AQ$217))</formula>
    </cfRule>
  </conditionalFormatting>
  <conditionalFormatting sqref="A218">
    <cfRule type="cellIs" dxfId="3396" priority="63645" stopIfTrue="1" operator="notEqual">
      <formula>14</formula>
    </cfRule>
  </conditionalFormatting>
  <conditionalFormatting sqref="B218">
    <cfRule type="cellIs" dxfId="3395" priority="63646" stopIfTrue="1" operator="notEqual">
      <formula>1</formula>
    </cfRule>
  </conditionalFormatting>
  <conditionalFormatting sqref="C218">
    <cfRule type="cellIs" dxfId="3394" priority="63647" stopIfTrue="1" operator="notEqual">
      <formula>2</formula>
    </cfRule>
  </conditionalFormatting>
  <conditionalFormatting sqref="D218">
    <cfRule type="cellIs" dxfId="3393" priority="63648" stopIfTrue="1" operator="notEqual">
      <formula>0.124</formula>
    </cfRule>
  </conditionalFormatting>
  <conditionalFormatting sqref="E218">
    <cfRule type="cellIs" dxfId="3392" priority="63649" stopIfTrue="1" operator="notEqual">
      <formula>"MGD"</formula>
    </cfRule>
  </conditionalFormatting>
  <conditionalFormatting sqref="F218">
    <cfRule type="cellIs" dxfId="3391" priority="63650" stopIfTrue="1" operator="notEqual">
      <formula>0.035</formula>
    </cfRule>
  </conditionalFormatting>
  <conditionalFormatting sqref="G218">
    <cfRule type="cellIs" dxfId="3390" priority="63651" stopIfTrue="1" operator="notEqual">
      <formula>"MGD"</formula>
    </cfRule>
  </conditionalFormatting>
  <conditionalFormatting sqref="H218">
    <cfRule type="cellIs" dxfId="3389" priority="63652" stopIfTrue="1" operator="notEqual">
      <formula>"regeneration off-site (non-hazardous)"</formula>
    </cfRule>
  </conditionalFormatting>
  <conditionalFormatting sqref="I218">
    <cfRule type="cellIs" dxfId="3388" priority="63653" stopIfTrue="1" operator="notEqual">
      <formula>"carbon life value- bed volumes"</formula>
    </cfRule>
  </conditionalFormatting>
  <conditionalFormatting sqref="J218">
    <cfRule type="cellIs" dxfId="3387" priority="63654" stopIfTrue="1" operator="notEqual">
      <formula>20500</formula>
    </cfRule>
  </conditionalFormatting>
  <conditionalFormatting sqref="K218">
    <cfRule type="expression" dxfId="3386" priority="63655" stopIfTrue="1">
      <formula>NOT(ISBLANK($K$218))</formula>
    </cfRule>
  </conditionalFormatting>
  <conditionalFormatting sqref="L218">
    <cfRule type="expression" dxfId="3385" priority="63656" stopIfTrue="1">
      <formula>NOT(ISBLANK($L$218))</formula>
    </cfRule>
  </conditionalFormatting>
  <conditionalFormatting sqref="M218">
    <cfRule type="expression" dxfId="3384" priority="63657" stopIfTrue="1">
      <formula>NOT(ISBLANK($M$218))</formula>
    </cfRule>
  </conditionalFormatting>
  <conditionalFormatting sqref="N218">
    <cfRule type="cellIs" dxfId="3383" priority="63658" stopIfTrue="1" operator="notEqual">
      <formula>"EBCT"</formula>
    </cfRule>
  </conditionalFormatting>
  <conditionalFormatting sqref="O218">
    <cfRule type="cellIs" dxfId="3382" priority="63659" stopIfTrue="1" operator="notEqual">
      <formula>7.5</formula>
    </cfRule>
  </conditionalFormatting>
  <conditionalFormatting sqref="P218">
    <cfRule type="expression" dxfId="3381" priority="63660" stopIfTrue="1">
      <formula>NOT(ISBLANK($P$218))</formula>
    </cfRule>
  </conditionalFormatting>
  <conditionalFormatting sqref="Q218">
    <cfRule type="expression" dxfId="3380" priority="63661" stopIfTrue="1">
      <formula>NOT(ISBLANK($Q$218))</formula>
    </cfRule>
  </conditionalFormatting>
  <conditionalFormatting sqref="R218">
    <cfRule type="cellIs" dxfId="3379" priority="63662" stopIfTrue="1" operator="notEqual">
      <formula>1</formula>
    </cfRule>
  </conditionalFormatting>
  <conditionalFormatting sqref="S218">
    <cfRule type="cellIs" dxfId="3378" priority="63663" stopIfTrue="1" operator="notEqual">
      <formula>6.9</formula>
    </cfRule>
  </conditionalFormatting>
  <conditionalFormatting sqref="T218">
    <cfRule type="cellIs" dxfId="3377" priority="63664" stopIfTrue="1" operator="notEqual">
      <formula>"upright"</formula>
    </cfRule>
  </conditionalFormatting>
  <conditionalFormatting sqref="U218">
    <cfRule type="cellIs" dxfId="3376" priority="63665" stopIfTrue="1" operator="notEqual">
      <formula>11</formula>
    </cfRule>
  </conditionalFormatting>
  <conditionalFormatting sqref="V218">
    <cfRule type="cellIs" dxfId="3375" priority="63666" stopIfTrue="1" operator="notEqual">
      <formula>4</formula>
    </cfRule>
  </conditionalFormatting>
  <conditionalFormatting sqref="W218">
    <cfRule type="expression" dxfId="3374" priority="63667" stopIfTrue="1">
      <formula>NOT(ISBLANK($W$218))</formula>
    </cfRule>
  </conditionalFormatting>
  <conditionalFormatting sqref="X218">
    <cfRule type="expression" dxfId="3373" priority="63668" stopIfTrue="1">
      <formula>NOT(ISBLANK($X$218))</formula>
    </cfRule>
  </conditionalFormatting>
  <conditionalFormatting sqref="Y218">
    <cfRule type="expression" dxfId="3372" priority="63669" stopIfTrue="1">
      <formula>NOT(ISBLANK($Y$218))</formula>
    </cfRule>
  </conditionalFormatting>
  <conditionalFormatting sqref="Z218">
    <cfRule type="cellIs" dxfId="3371" priority="63670" stopIfTrue="1" operator="notEqual">
      <formula>168</formula>
    </cfRule>
  </conditionalFormatting>
  <conditionalFormatting sqref="AA218">
    <cfRule type="cellIs" dxfId="3370" priority="63671" stopIfTrue="1" operator="notEqual">
      <formula>"POTW"</formula>
    </cfRule>
  </conditionalFormatting>
  <conditionalFormatting sqref="AB218">
    <cfRule type="cellIs" dxfId="3369" priority="63672" stopIfTrue="1" operator="notEqual">
      <formula>"Holding tank"</formula>
    </cfRule>
  </conditionalFormatting>
  <conditionalFormatting sqref="AC218">
    <cfRule type="cellIs" dxfId="3368" priority="63673" stopIfTrue="1" operator="notEqual">
      <formula>"manual transfer"</formula>
    </cfRule>
  </conditionalFormatting>
  <conditionalFormatting sqref="AD218">
    <cfRule type="cellIs" dxfId="3367" priority="63674" stopIfTrue="1" operator="notEqual">
      <formula>"non-hazardous"</formula>
    </cfRule>
  </conditionalFormatting>
  <conditionalFormatting sqref="AE218">
    <cfRule type="expression" dxfId="3366" priority="63675" stopIfTrue="1">
      <formula>NOT(ISBLANK($AE$218))</formula>
    </cfRule>
  </conditionalFormatting>
  <conditionalFormatting sqref="AF218">
    <cfRule type="cellIs" dxfId="3365" priority="63676" stopIfTrue="1" operator="notEqual">
      <formula>0</formula>
    </cfRule>
  </conditionalFormatting>
  <conditionalFormatting sqref="AG218">
    <cfRule type="expression" dxfId="3364" priority="63677" stopIfTrue="1">
      <formula>NOT(ISBLANK($AG$218))</formula>
    </cfRule>
  </conditionalFormatting>
  <conditionalFormatting sqref="AH218">
    <cfRule type="expression" dxfId="3363" priority="63678" stopIfTrue="1">
      <formula>NOT(ISBLANK($AH$218))</formula>
    </cfRule>
  </conditionalFormatting>
  <conditionalFormatting sqref="AI218">
    <cfRule type="cellIs" dxfId="3362" priority="63679" stopIfTrue="1" operator="notEqual">
      <formula>"fully automated"</formula>
    </cfRule>
  </conditionalFormatting>
  <conditionalFormatting sqref="AJ218">
    <cfRule type="expression" dxfId="3361" priority="63680" stopIfTrue="1">
      <formula>NOT(ISBLANK($AJ$218))</formula>
    </cfRule>
  </conditionalFormatting>
  <conditionalFormatting sqref="AK218">
    <cfRule type="expression" dxfId="3360" priority="63681" stopIfTrue="1">
      <formula>NOT(ISBLANK($AK$218))</formula>
    </cfRule>
  </conditionalFormatting>
  <conditionalFormatting sqref="AL218">
    <cfRule type="expression" dxfId="3359" priority="63682" stopIfTrue="1">
      <formula>NOT(ISBLANK($AL$218))</formula>
    </cfRule>
  </conditionalFormatting>
  <conditionalFormatting sqref="AM218">
    <cfRule type="expression" dxfId="3358" priority="63683" stopIfTrue="1">
      <formula>NOT(ISBLANK($AM$218))</formula>
    </cfRule>
  </conditionalFormatting>
  <conditionalFormatting sqref="AN218">
    <cfRule type="expression" dxfId="3357" priority="63684" stopIfTrue="1">
      <formula>NOT(ISBLANK($AN$218))</formula>
    </cfRule>
  </conditionalFormatting>
  <conditionalFormatting sqref="AO218">
    <cfRule type="expression" dxfId="3356" priority="63685" stopIfTrue="1">
      <formula>NOT(ISBLANK($AO$218))</formula>
    </cfRule>
  </conditionalFormatting>
  <conditionalFormatting sqref="AP218">
    <cfRule type="expression" dxfId="3355" priority="63686" stopIfTrue="1">
      <formula>NOT(ISBLANK($AP$218))</formula>
    </cfRule>
  </conditionalFormatting>
  <conditionalFormatting sqref="AQ218">
    <cfRule type="expression" dxfId="3354" priority="63687" stopIfTrue="1">
      <formula>NOT(ISBLANK($AQ$218))</formula>
    </cfRule>
  </conditionalFormatting>
  <conditionalFormatting sqref="A219">
    <cfRule type="cellIs" dxfId="3353" priority="63688" stopIfTrue="1" operator="notEqual">
      <formula>14</formula>
    </cfRule>
  </conditionalFormatting>
  <conditionalFormatting sqref="B219">
    <cfRule type="cellIs" dxfId="3352" priority="63689" stopIfTrue="1" operator="notEqual">
      <formula>1</formula>
    </cfRule>
  </conditionalFormatting>
  <conditionalFormatting sqref="C219">
    <cfRule type="cellIs" dxfId="3351" priority="63690" stopIfTrue="1" operator="notEqual">
      <formula>3</formula>
    </cfRule>
  </conditionalFormatting>
  <conditionalFormatting sqref="D219">
    <cfRule type="cellIs" dxfId="3350" priority="63691" stopIfTrue="1" operator="notEqual">
      <formula>0.305</formula>
    </cfRule>
  </conditionalFormatting>
  <conditionalFormatting sqref="E219">
    <cfRule type="cellIs" dxfId="3349" priority="63692" stopIfTrue="1" operator="notEqual">
      <formula>"MGD"</formula>
    </cfRule>
  </conditionalFormatting>
  <conditionalFormatting sqref="F219">
    <cfRule type="cellIs" dxfId="3348" priority="63693" stopIfTrue="1" operator="notEqual">
      <formula>0.094</formula>
    </cfRule>
  </conditionalFormatting>
  <conditionalFormatting sqref="G219">
    <cfRule type="cellIs" dxfId="3347" priority="63694" stopIfTrue="1" operator="notEqual">
      <formula>"MGD"</formula>
    </cfRule>
  </conditionalFormatting>
  <conditionalFormatting sqref="H219">
    <cfRule type="cellIs" dxfId="3346" priority="63695" stopIfTrue="1" operator="notEqual">
      <formula>"regeneration off-site (non-hazardous)"</formula>
    </cfRule>
  </conditionalFormatting>
  <conditionalFormatting sqref="I219">
    <cfRule type="cellIs" dxfId="3345" priority="63696" stopIfTrue="1" operator="notEqual">
      <formula>"carbon life value- bed volumes"</formula>
    </cfRule>
  </conditionalFormatting>
  <conditionalFormatting sqref="J219">
    <cfRule type="cellIs" dxfId="3344" priority="63697" stopIfTrue="1" operator="notEqual">
      <formula>20500</formula>
    </cfRule>
  </conditionalFormatting>
  <conditionalFormatting sqref="K219">
    <cfRule type="expression" dxfId="3343" priority="63698" stopIfTrue="1">
      <formula>NOT(ISBLANK($K$219))</formula>
    </cfRule>
  </conditionalFormatting>
  <conditionalFormatting sqref="L219">
    <cfRule type="expression" dxfId="3342" priority="63699" stopIfTrue="1">
      <formula>NOT(ISBLANK($L$219))</formula>
    </cfRule>
  </conditionalFormatting>
  <conditionalFormatting sqref="M219">
    <cfRule type="expression" dxfId="3341" priority="63700" stopIfTrue="1">
      <formula>NOT(ISBLANK($M$219))</formula>
    </cfRule>
  </conditionalFormatting>
  <conditionalFormatting sqref="N219">
    <cfRule type="cellIs" dxfId="3340" priority="63701" stopIfTrue="1" operator="notEqual">
      <formula>"EBCT"</formula>
    </cfRule>
  </conditionalFormatting>
  <conditionalFormatting sqref="O219">
    <cfRule type="cellIs" dxfId="3339" priority="63702" stopIfTrue="1" operator="notEqual">
      <formula>7.5</formula>
    </cfRule>
  </conditionalFormatting>
  <conditionalFormatting sqref="P219">
    <cfRule type="expression" dxfId="3338" priority="63703" stopIfTrue="1">
      <formula>NOT(ISBLANK($P$219))</formula>
    </cfRule>
  </conditionalFormatting>
  <conditionalFormatting sqref="Q219">
    <cfRule type="expression" dxfId="3337" priority="63704" stopIfTrue="1">
      <formula>NOT(ISBLANK($Q$219))</formula>
    </cfRule>
  </conditionalFormatting>
  <conditionalFormatting sqref="R219">
    <cfRule type="cellIs" dxfId="3336" priority="63705" stopIfTrue="1" operator="notEqual">
      <formula>1</formula>
    </cfRule>
  </conditionalFormatting>
  <conditionalFormatting sqref="S219">
    <cfRule type="cellIs" dxfId="3335" priority="63706" stopIfTrue="1" operator="notEqual">
      <formula>6.7</formula>
    </cfRule>
  </conditionalFormatting>
  <conditionalFormatting sqref="T219">
    <cfRule type="cellIs" dxfId="3334" priority="63707" stopIfTrue="1" operator="notEqual">
      <formula>"upright"</formula>
    </cfRule>
  </conditionalFormatting>
  <conditionalFormatting sqref="U219">
    <cfRule type="cellIs" dxfId="3333" priority="63708" stopIfTrue="1" operator="notEqual">
      <formula>11</formula>
    </cfRule>
  </conditionalFormatting>
  <conditionalFormatting sqref="V219">
    <cfRule type="cellIs" dxfId="3332" priority="63709" stopIfTrue="1" operator="notEqual">
      <formula>4.5</formula>
    </cfRule>
  </conditionalFormatting>
  <conditionalFormatting sqref="W219">
    <cfRule type="expression" dxfId="3331" priority="63710" stopIfTrue="1">
      <formula>NOT(ISBLANK($W$219))</formula>
    </cfRule>
  </conditionalFormatting>
  <conditionalFormatting sqref="X219">
    <cfRule type="expression" dxfId="3330" priority="63711" stopIfTrue="1">
      <formula>NOT(ISBLANK($X$219))</formula>
    </cfRule>
  </conditionalFormatting>
  <conditionalFormatting sqref="Y219">
    <cfRule type="expression" dxfId="3329" priority="63712" stopIfTrue="1">
      <formula>NOT(ISBLANK($Y$219))</formula>
    </cfRule>
  </conditionalFormatting>
  <conditionalFormatting sqref="Z219">
    <cfRule type="cellIs" dxfId="3328" priority="63713" stopIfTrue="1" operator="notEqual">
      <formula>168</formula>
    </cfRule>
  </conditionalFormatting>
  <conditionalFormatting sqref="AA219">
    <cfRule type="cellIs" dxfId="3327" priority="63714" stopIfTrue="1" operator="notEqual">
      <formula>"POTW"</formula>
    </cfRule>
  </conditionalFormatting>
  <conditionalFormatting sqref="AB219">
    <cfRule type="cellIs" dxfId="3326" priority="63715" stopIfTrue="1" operator="notEqual">
      <formula>"Holding tank"</formula>
    </cfRule>
  </conditionalFormatting>
  <conditionalFormatting sqref="AC219">
    <cfRule type="cellIs" dxfId="3325" priority="63716" stopIfTrue="1" operator="notEqual">
      <formula>"manual transfer"</formula>
    </cfRule>
  </conditionalFormatting>
  <conditionalFormatting sqref="AD219">
    <cfRule type="cellIs" dxfId="3324" priority="63717" stopIfTrue="1" operator="notEqual">
      <formula>"non-hazardous"</formula>
    </cfRule>
  </conditionalFormatting>
  <conditionalFormatting sqref="AE219">
    <cfRule type="expression" dxfId="3323" priority="63718" stopIfTrue="1">
      <formula>NOT(ISBLANK($AE$219))</formula>
    </cfRule>
  </conditionalFormatting>
  <conditionalFormatting sqref="AF219">
    <cfRule type="cellIs" dxfId="3322" priority="63719" stopIfTrue="1" operator="notEqual">
      <formula>0</formula>
    </cfRule>
  </conditionalFormatting>
  <conditionalFormatting sqref="AG219">
    <cfRule type="expression" dxfId="3321" priority="63720" stopIfTrue="1">
      <formula>NOT(ISBLANK($AG$219))</formula>
    </cfRule>
  </conditionalFormatting>
  <conditionalFormatting sqref="AH219">
    <cfRule type="expression" dxfId="3320" priority="63721" stopIfTrue="1">
      <formula>NOT(ISBLANK($AH$219))</formula>
    </cfRule>
  </conditionalFormatting>
  <conditionalFormatting sqref="AI219">
    <cfRule type="cellIs" dxfId="3319" priority="63722" stopIfTrue="1" operator="notEqual">
      <formula>"fully automated"</formula>
    </cfRule>
  </conditionalFormatting>
  <conditionalFormatting sqref="AJ219">
    <cfRule type="expression" dxfId="3318" priority="63723" stopIfTrue="1">
      <formula>NOT(ISBLANK($AJ$219))</formula>
    </cfRule>
  </conditionalFormatting>
  <conditionalFormatting sqref="AK219">
    <cfRule type="expression" dxfId="3317" priority="63724" stopIfTrue="1">
      <formula>NOT(ISBLANK($AK$219))</formula>
    </cfRule>
  </conditionalFormatting>
  <conditionalFormatting sqref="AL219">
    <cfRule type="expression" dxfId="3316" priority="63725" stopIfTrue="1">
      <formula>NOT(ISBLANK($AL$219))</formula>
    </cfRule>
  </conditionalFormatting>
  <conditionalFormatting sqref="AM219">
    <cfRule type="expression" dxfId="3315" priority="63726" stopIfTrue="1">
      <formula>NOT(ISBLANK($AM$219))</formula>
    </cfRule>
  </conditionalFormatting>
  <conditionalFormatting sqref="AN219">
    <cfRule type="expression" dxfId="3314" priority="63727" stopIfTrue="1">
      <formula>NOT(ISBLANK($AN$219))</formula>
    </cfRule>
  </conditionalFormatting>
  <conditionalFormatting sqref="AO219">
    <cfRule type="expression" dxfId="3313" priority="63728" stopIfTrue="1">
      <formula>NOT(ISBLANK($AO$219))</formula>
    </cfRule>
  </conditionalFormatting>
  <conditionalFormatting sqref="AP219">
    <cfRule type="expression" dxfId="3312" priority="63729" stopIfTrue="1">
      <formula>NOT(ISBLANK($AP$219))</formula>
    </cfRule>
  </conditionalFormatting>
  <conditionalFormatting sqref="AQ219">
    <cfRule type="expression" dxfId="3311" priority="63730" stopIfTrue="1">
      <formula>NOT(ISBLANK($AQ$219))</formula>
    </cfRule>
  </conditionalFormatting>
  <conditionalFormatting sqref="A220">
    <cfRule type="cellIs" dxfId="3310" priority="63731" stopIfTrue="1" operator="notEqual">
      <formula>14</formula>
    </cfRule>
  </conditionalFormatting>
  <conditionalFormatting sqref="B220">
    <cfRule type="cellIs" dxfId="3309" priority="63732" stopIfTrue="1" operator="notEqual">
      <formula>1</formula>
    </cfRule>
  </conditionalFormatting>
  <conditionalFormatting sqref="C220">
    <cfRule type="cellIs" dxfId="3308" priority="63733" stopIfTrue="1" operator="notEqual">
      <formula>4</formula>
    </cfRule>
  </conditionalFormatting>
  <conditionalFormatting sqref="D220">
    <cfRule type="cellIs" dxfId="3307" priority="63734" stopIfTrue="1" operator="notEqual">
      <formula>0.74</formula>
    </cfRule>
  </conditionalFormatting>
  <conditionalFormatting sqref="E220">
    <cfRule type="cellIs" dxfId="3306" priority="63735" stopIfTrue="1" operator="notEqual">
      <formula>"MGD"</formula>
    </cfRule>
  </conditionalFormatting>
  <conditionalFormatting sqref="F220">
    <cfRule type="cellIs" dxfId="3305" priority="63736" stopIfTrue="1" operator="notEqual">
      <formula>0.251</formula>
    </cfRule>
  </conditionalFormatting>
  <conditionalFormatting sqref="G220">
    <cfRule type="cellIs" dxfId="3304" priority="63737" stopIfTrue="1" operator="notEqual">
      <formula>"MGD"</formula>
    </cfRule>
  </conditionalFormatting>
  <conditionalFormatting sqref="H220">
    <cfRule type="cellIs" dxfId="3303" priority="63738" stopIfTrue="1" operator="notEqual">
      <formula>"regeneration off-site (non-hazardous)"</formula>
    </cfRule>
  </conditionalFormatting>
  <conditionalFormatting sqref="I220">
    <cfRule type="cellIs" dxfId="3302" priority="63739" stopIfTrue="1" operator="notEqual">
      <formula>"carbon life value- bed volumes"</formula>
    </cfRule>
  </conditionalFormatting>
  <conditionalFormatting sqref="J220">
    <cfRule type="cellIs" dxfId="3301" priority="63740" stopIfTrue="1" operator="notEqual">
      <formula>20500</formula>
    </cfRule>
  </conditionalFormatting>
  <conditionalFormatting sqref="K220">
    <cfRule type="expression" dxfId="3300" priority="63741" stopIfTrue="1">
      <formula>NOT(ISBLANK($K$220))</formula>
    </cfRule>
  </conditionalFormatting>
  <conditionalFormatting sqref="L220">
    <cfRule type="expression" dxfId="3299" priority="63742" stopIfTrue="1">
      <formula>NOT(ISBLANK($L$220))</formula>
    </cfRule>
  </conditionalFormatting>
  <conditionalFormatting sqref="M220">
    <cfRule type="expression" dxfId="3298" priority="63743" stopIfTrue="1">
      <formula>NOT(ISBLANK($M$220))</formula>
    </cfRule>
  </conditionalFormatting>
  <conditionalFormatting sqref="N220">
    <cfRule type="cellIs" dxfId="3297" priority="63744" stopIfTrue="1" operator="notEqual">
      <formula>"EBCT"</formula>
    </cfRule>
  </conditionalFormatting>
  <conditionalFormatting sqref="O220">
    <cfRule type="cellIs" dxfId="3296" priority="63745" stopIfTrue="1" operator="notEqual">
      <formula>7.5</formula>
    </cfRule>
  </conditionalFormatting>
  <conditionalFormatting sqref="P220">
    <cfRule type="expression" dxfId="3295" priority="63746" stopIfTrue="1">
      <formula>NOT(ISBLANK($P$220))</formula>
    </cfRule>
  </conditionalFormatting>
  <conditionalFormatting sqref="Q220">
    <cfRule type="expression" dxfId="3294" priority="63747" stopIfTrue="1">
      <formula>NOT(ISBLANK($Q$220))</formula>
    </cfRule>
  </conditionalFormatting>
  <conditionalFormatting sqref="R220">
    <cfRule type="cellIs" dxfId="3293" priority="63748" stopIfTrue="1" operator="notEqual">
      <formula>1</formula>
    </cfRule>
  </conditionalFormatting>
  <conditionalFormatting sqref="S220">
    <cfRule type="cellIs" dxfId="3292" priority="63749" stopIfTrue="1" operator="notEqual">
      <formula>6.7</formula>
    </cfRule>
  </conditionalFormatting>
  <conditionalFormatting sqref="T220">
    <cfRule type="cellIs" dxfId="3291" priority="63750" stopIfTrue="1" operator="notEqual">
      <formula>"upright"</formula>
    </cfRule>
  </conditionalFormatting>
  <conditionalFormatting sqref="U220">
    <cfRule type="cellIs" dxfId="3290" priority="63751" stopIfTrue="1" operator="notEqual">
      <formula>11</formula>
    </cfRule>
  </conditionalFormatting>
  <conditionalFormatting sqref="V220">
    <cfRule type="cellIs" dxfId="3289" priority="63752" stopIfTrue="1" operator="notEqual">
      <formula>7</formula>
    </cfRule>
  </conditionalFormatting>
  <conditionalFormatting sqref="W220">
    <cfRule type="expression" dxfId="3288" priority="63753" stopIfTrue="1">
      <formula>NOT(ISBLANK($W$220))</formula>
    </cfRule>
  </conditionalFormatting>
  <conditionalFormatting sqref="X220">
    <cfRule type="expression" dxfId="3287" priority="63754" stopIfTrue="1">
      <formula>NOT(ISBLANK($X$220))</formula>
    </cfRule>
  </conditionalFormatting>
  <conditionalFormatting sqref="Y220">
    <cfRule type="expression" dxfId="3286" priority="63755" stopIfTrue="1">
      <formula>NOT(ISBLANK($Y$220))</formula>
    </cfRule>
  </conditionalFormatting>
  <conditionalFormatting sqref="Z220">
    <cfRule type="cellIs" dxfId="3285" priority="63756" stopIfTrue="1" operator="notEqual">
      <formula>168</formula>
    </cfRule>
  </conditionalFormatting>
  <conditionalFormatting sqref="AA220">
    <cfRule type="cellIs" dxfId="3284" priority="63757" stopIfTrue="1" operator="notEqual">
      <formula>"POTW"</formula>
    </cfRule>
  </conditionalFormatting>
  <conditionalFormatting sqref="AB220">
    <cfRule type="cellIs" dxfId="3283" priority="63758" stopIfTrue="1" operator="notEqual">
      <formula>"Holding tank"</formula>
    </cfRule>
  </conditionalFormatting>
  <conditionalFormatting sqref="AC220">
    <cfRule type="cellIs" dxfId="3282" priority="63759" stopIfTrue="1" operator="notEqual">
      <formula>"manual transfer"</formula>
    </cfRule>
  </conditionalFormatting>
  <conditionalFormatting sqref="AD220">
    <cfRule type="cellIs" dxfId="3281" priority="63760" stopIfTrue="1" operator="notEqual">
      <formula>"non-hazardous"</formula>
    </cfRule>
  </conditionalFormatting>
  <conditionalFormatting sqref="AE220">
    <cfRule type="expression" dxfId="3280" priority="63761" stopIfTrue="1">
      <formula>NOT(ISBLANK($AE$220))</formula>
    </cfRule>
  </conditionalFormatting>
  <conditionalFormatting sqref="AF220">
    <cfRule type="cellIs" dxfId="3279" priority="63762" stopIfTrue="1" operator="notEqual">
      <formula>0</formula>
    </cfRule>
  </conditionalFormatting>
  <conditionalFormatting sqref="AG220">
    <cfRule type="expression" dxfId="3278" priority="63763" stopIfTrue="1">
      <formula>NOT(ISBLANK($AG$220))</formula>
    </cfRule>
  </conditionalFormatting>
  <conditionalFormatting sqref="AH220">
    <cfRule type="expression" dxfId="3277" priority="63764" stopIfTrue="1">
      <formula>NOT(ISBLANK($AH$220))</formula>
    </cfRule>
  </conditionalFormatting>
  <conditionalFormatting sqref="AI220">
    <cfRule type="cellIs" dxfId="3276" priority="63765" stopIfTrue="1" operator="notEqual">
      <formula>"fully automated"</formula>
    </cfRule>
  </conditionalFormatting>
  <conditionalFormatting sqref="AJ220">
    <cfRule type="expression" dxfId="3275" priority="63766" stopIfTrue="1">
      <formula>NOT(ISBLANK($AJ$220))</formula>
    </cfRule>
  </conditionalFormatting>
  <conditionalFormatting sqref="AK220">
    <cfRule type="expression" dxfId="3274" priority="63767" stopIfTrue="1">
      <formula>NOT(ISBLANK($AK$220))</formula>
    </cfRule>
  </conditionalFormatting>
  <conditionalFormatting sqref="AL220">
    <cfRule type="expression" dxfId="3273" priority="63768" stopIfTrue="1">
      <formula>NOT(ISBLANK($AL$220))</formula>
    </cfRule>
  </conditionalFormatting>
  <conditionalFormatting sqref="AM220">
    <cfRule type="expression" dxfId="3272" priority="63769" stopIfTrue="1">
      <formula>NOT(ISBLANK($AM$220))</formula>
    </cfRule>
  </conditionalFormatting>
  <conditionalFormatting sqref="AN220">
    <cfRule type="expression" dxfId="3271" priority="63770" stopIfTrue="1">
      <formula>NOT(ISBLANK($AN$220))</formula>
    </cfRule>
  </conditionalFormatting>
  <conditionalFormatting sqref="AO220">
    <cfRule type="expression" dxfId="3270" priority="63771" stopIfTrue="1">
      <formula>NOT(ISBLANK($AO$220))</formula>
    </cfRule>
  </conditionalFormatting>
  <conditionalFormatting sqref="AP220">
    <cfRule type="expression" dxfId="3269" priority="63772" stopIfTrue="1">
      <formula>NOT(ISBLANK($AP$220))</formula>
    </cfRule>
  </conditionalFormatting>
  <conditionalFormatting sqref="AQ220">
    <cfRule type="expression" dxfId="3268" priority="63773" stopIfTrue="1">
      <formula>NOT(ISBLANK($AQ$220))</formula>
    </cfRule>
  </conditionalFormatting>
  <conditionalFormatting sqref="A221">
    <cfRule type="cellIs" dxfId="3267" priority="63774" stopIfTrue="1" operator="notEqual">
      <formula>14</formula>
    </cfRule>
  </conditionalFormatting>
  <conditionalFormatting sqref="B221">
    <cfRule type="cellIs" dxfId="3266" priority="63775" stopIfTrue="1" operator="notEqual">
      <formula>1</formula>
    </cfRule>
  </conditionalFormatting>
  <conditionalFormatting sqref="C221">
    <cfRule type="cellIs" dxfId="3265" priority="63776" stopIfTrue="1" operator="notEqual">
      <formula>5</formula>
    </cfRule>
  </conditionalFormatting>
  <conditionalFormatting sqref="D221">
    <cfRule type="cellIs" dxfId="3264" priority="63777" stopIfTrue="1" operator="notEqual">
      <formula>2.152</formula>
    </cfRule>
  </conditionalFormatting>
  <conditionalFormatting sqref="E221">
    <cfRule type="cellIs" dxfId="3263" priority="63778" stopIfTrue="1" operator="notEqual">
      <formula>"MGD"</formula>
    </cfRule>
  </conditionalFormatting>
  <conditionalFormatting sqref="F221">
    <cfRule type="cellIs" dxfId="3262" priority="63779" stopIfTrue="1" operator="notEqual">
      <formula>0.819</formula>
    </cfRule>
  </conditionalFormatting>
  <conditionalFormatting sqref="G221">
    <cfRule type="cellIs" dxfId="3261" priority="63780" stopIfTrue="1" operator="notEqual">
      <formula>"MGD"</formula>
    </cfRule>
  </conditionalFormatting>
  <conditionalFormatting sqref="H221">
    <cfRule type="cellIs" dxfId="3260" priority="63781" stopIfTrue="1" operator="notEqual">
      <formula>"regeneration off-site (non-hazardous)"</formula>
    </cfRule>
  </conditionalFormatting>
  <conditionalFormatting sqref="I221">
    <cfRule type="cellIs" dxfId="3259" priority="63782" stopIfTrue="1" operator="notEqual">
      <formula>"carbon life value- bed volumes"</formula>
    </cfRule>
  </conditionalFormatting>
  <conditionalFormatting sqref="J221">
    <cfRule type="cellIs" dxfId="3258" priority="63783" stopIfTrue="1" operator="notEqual">
      <formula>20500</formula>
    </cfRule>
  </conditionalFormatting>
  <conditionalFormatting sqref="K221">
    <cfRule type="expression" dxfId="3257" priority="63784" stopIfTrue="1">
      <formula>NOT(ISBLANK($K$221))</formula>
    </cfRule>
  </conditionalFormatting>
  <conditionalFormatting sqref="L221">
    <cfRule type="expression" dxfId="3256" priority="63785" stopIfTrue="1">
      <formula>NOT(ISBLANK($L$221))</formula>
    </cfRule>
  </conditionalFormatting>
  <conditionalFormatting sqref="M221">
    <cfRule type="expression" dxfId="3255" priority="63786" stopIfTrue="1">
      <formula>NOT(ISBLANK($M$221))</formula>
    </cfRule>
  </conditionalFormatting>
  <conditionalFormatting sqref="N221">
    <cfRule type="cellIs" dxfId="3254" priority="63787" stopIfTrue="1" operator="notEqual">
      <formula>"EBCT"</formula>
    </cfRule>
  </conditionalFormatting>
  <conditionalFormatting sqref="O221">
    <cfRule type="cellIs" dxfId="3253" priority="63788" stopIfTrue="1" operator="notEqual">
      <formula>7.5</formula>
    </cfRule>
  </conditionalFormatting>
  <conditionalFormatting sqref="P221">
    <cfRule type="expression" dxfId="3252" priority="63789" stopIfTrue="1">
      <formula>NOT(ISBLANK($P$221))</formula>
    </cfRule>
  </conditionalFormatting>
  <conditionalFormatting sqref="Q221">
    <cfRule type="expression" dxfId="3251" priority="63790" stopIfTrue="1">
      <formula>NOT(ISBLANK($Q$221))</formula>
    </cfRule>
  </conditionalFormatting>
  <conditionalFormatting sqref="R221">
    <cfRule type="cellIs" dxfId="3250" priority="63791" stopIfTrue="1" operator="notEqual">
      <formula>1</formula>
    </cfRule>
  </conditionalFormatting>
  <conditionalFormatting sqref="S221">
    <cfRule type="cellIs" dxfId="3249" priority="63792" stopIfTrue="1" operator="notEqual">
      <formula>6.7</formula>
    </cfRule>
  </conditionalFormatting>
  <conditionalFormatting sqref="T221">
    <cfRule type="cellIs" dxfId="3248" priority="63793" stopIfTrue="1" operator="notEqual">
      <formula>"upright"</formula>
    </cfRule>
  </conditionalFormatting>
  <conditionalFormatting sqref="U221">
    <cfRule type="cellIs" dxfId="3247" priority="63794" stopIfTrue="1" operator="notEqual">
      <formula>11</formula>
    </cfRule>
  </conditionalFormatting>
  <conditionalFormatting sqref="V221">
    <cfRule type="cellIs" dxfId="3246" priority="63795" stopIfTrue="1" operator="notEqual">
      <formula>8.5</formula>
    </cfRule>
  </conditionalFormatting>
  <conditionalFormatting sqref="W221">
    <cfRule type="expression" dxfId="3245" priority="63796" stopIfTrue="1">
      <formula>NOT(ISBLANK($W$221))</formula>
    </cfRule>
  </conditionalFormatting>
  <conditionalFormatting sqref="X221">
    <cfRule type="expression" dxfId="3244" priority="63797" stopIfTrue="1">
      <formula>NOT(ISBLANK($X$221))</formula>
    </cfRule>
  </conditionalFormatting>
  <conditionalFormatting sqref="Y221">
    <cfRule type="expression" dxfId="3243" priority="63798" stopIfTrue="1">
      <formula>NOT(ISBLANK($Y$221))</formula>
    </cfRule>
  </conditionalFormatting>
  <conditionalFormatting sqref="Z221">
    <cfRule type="cellIs" dxfId="3242" priority="63799" stopIfTrue="1" operator="notEqual">
      <formula>168</formula>
    </cfRule>
  </conditionalFormatting>
  <conditionalFormatting sqref="AA221">
    <cfRule type="cellIs" dxfId="3241" priority="63800" stopIfTrue="1" operator="notEqual">
      <formula>"POTW"</formula>
    </cfRule>
  </conditionalFormatting>
  <conditionalFormatting sqref="AB221">
    <cfRule type="cellIs" dxfId="3240" priority="63801" stopIfTrue="1" operator="notEqual">
      <formula>"Holding tank"</formula>
    </cfRule>
  </conditionalFormatting>
  <conditionalFormatting sqref="AC221">
    <cfRule type="cellIs" dxfId="3239" priority="63802" stopIfTrue="1" operator="notEqual">
      <formula>"manual transfer"</formula>
    </cfRule>
  </conditionalFormatting>
  <conditionalFormatting sqref="AD221">
    <cfRule type="cellIs" dxfId="3238" priority="63803" stopIfTrue="1" operator="notEqual">
      <formula>"non-hazardous"</formula>
    </cfRule>
  </conditionalFormatting>
  <conditionalFormatting sqref="AE221">
    <cfRule type="expression" dxfId="3237" priority="63804" stopIfTrue="1">
      <formula>NOT(ISBLANK($AE$221))</formula>
    </cfRule>
  </conditionalFormatting>
  <conditionalFormatting sqref="AF221">
    <cfRule type="cellIs" dxfId="3236" priority="63805" stopIfTrue="1" operator="notEqual">
      <formula>0</formula>
    </cfRule>
  </conditionalFormatting>
  <conditionalFormatting sqref="AG221">
    <cfRule type="expression" dxfId="3235" priority="63806" stopIfTrue="1">
      <formula>NOT(ISBLANK($AG$221))</formula>
    </cfRule>
  </conditionalFormatting>
  <conditionalFormatting sqref="AH221">
    <cfRule type="expression" dxfId="3234" priority="63807" stopIfTrue="1">
      <formula>NOT(ISBLANK($AH$221))</formula>
    </cfRule>
  </conditionalFormatting>
  <conditionalFormatting sqref="AI221">
    <cfRule type="cellIs" dxfId="3233" priority="63808" stopIfTrue="1" operator="notEqual">
      <formula>"fully automated"</formula>
    </cfRule>
  </conditionalFormatting>
  <conditionalFormatting sqref="AJ221">
    <cfRule type="expression" dxfId="3232" priority="63809" stopIfTrue="1">
      <formula>NOT(ISBLANK($AJ$221))</formula>
    </cfRule>
  </conditionalFormatting>
  <conditionalFormatting sqref="AK221">
    <cfRule type="expression" dxfId="3231" priority="63810" stopIfTrue="1">
      <formula>NOT(ISBLANK($AK$221))</formula>
    </cfRule>
  </conditionalFormatting>
  <conditionalFormatting sqref="AL221">
    <cfRule type="expression" dxfId="3230" priority="63811" stopIfTrue="1">
      <formula>NOT(ISBLANK($AL$221))</formula>
    </cfRule>
  </conditionalFormatting>
  <conditionalFormatting sqref="AM221">
    <cfRule type="expression" dxfId="3229" priority="63812" stopIfTrue="1">
      <formula>NOT(ISBLANK($AM$221))</formula>
    </cfRule>
  </conditionalFormatting>
  <conditionalFormatting sqref="AN221">
    <cfRule type="expression" dxfId="3228" priority="63813" stopIfTrue="1">
      <formula>NOT(ISBLANK($AN$221))</formula>
    </cfRule>
  </conditionalFormatting>
  <conditionalFormatting sqref="AO221">
    <cfRule type="expression" dxfId="3227" priority="63814" stopIfTrue="1">
      <formula>NOT(ISBLANK($AO$221))</formula>
    </cfRule>
  </conditionalFormatting>
  <conditionalFormatting sqref="AP221">
    <cfRule type="expression" dxfId="3226" priority="63815" stopIfTrue="1">
      <formula>NOT(ISBLANK($AP$221))</formula>
    </cfRule>
  </conditionalFormatting>
  <conditionalFormatting sqref="AQ221">
    <cfRule type="expression" dxfId="3225" priority="63816" stopIfTrue="1">
      <formula>NOT(ISBLANK($AQ$221))</formula>
    </cfRule>
  </conditionalFormatting>
  <conditionalFormatting sqref="A222">
    <cfRule type="cellIs" dxfId="3224" priority="63817" stopIfTrue="1" operator="notEqual">
      <formula>14</formula>
    </cfRule>
  </conditionalFormatting>
  <conditionalFormatting sqref="B222">
    <cfRule type="cellIs" dxfId="3223" priority="63818" stopIfTrue="1" operator="notEqual">
      <formula>1</formula>
    </cfRule>
  </conditionalFormatting>
  <conditionalFormatting sqref="C222">
    <cfRule type="cellIs" dxfId="3222" priority="63819" stopIfTrue="1" operator="notEqual">
      <formula>6</formula>
    </cfRule>
  </conditionalFormatting>
  <conditionalFormatting sqref="D222">
    <cfRule type="cellIs" dxfId="3221" priority="63820" stopIfTrue="1" operator="notEqual">
      <formula>7.365</formula>
    </cfRule>
  </conditionalFormatting>
  <conditionalFormatting sqref="E222">
    <cfRule type="cellIs" dxfId="3220" priority="63821" stopIfTrue="1" operator="notEqual">
      <formula>"MGD"</formula>
    </cfRule>
  </conditionalFormatting>
  <conditionalFormatting sqref="F222">
    <cfRule type="cellIs" dxfId="3219" priority="63822" stopIfTrue="1" operator="notEqual">
      <formula>3.2</formula>
    </cfRule>
  </conditionalFormatting>
  <conditionalFormatting sqref="G222">
    <cfRule type="cellIs" dxfId="3218" priority="63823" stopIfTrue="1" operator="notEqual">
      <formula>"MGD"</formula>
    </cfRule>
  </conditionalFormatting>
  <conditionalFormatting sqref="H222">
    <cfRule type="cellIs" dxfId="3217" priority="63824" stopIfTrue="1" operator="notEqual">
      <formula>"regeneration off-site (non-hazardous)"</formula>
    </cfRule>
  </conditionalFormatting>
  <conditionalFormatting sqref="I222">
    <cfRule type="cellIs" dxfId="3216" priority="63825" stopIfTrue="1" operator="notEqual">
      <formula>"carbon life value- bed volumes"</formula>
    </cfRule>
  </conditionalFormatting>
  <conditionalFormatting sqref="J222">
    <cfRule type="cellIs" dxfId="3215" priority="63826" stopIfTrue="1" operator="notEqual">
      <formula>20500</formula>
    </cfRule>
  </conditionalFormatting>
  <conditionalFormatting sqref="K222">
    <cfRule type="expression" dxfId="3214" priority="63827" stopIfTrue="1">
      <formula>NOT(ISBLANK($K$222))</formula>
    </cfRule>
  </conditionalFormatting>
  <conditionalFormatting sqref="L222">
    <cfRule type="expression" dxfId="3213" priority="63828" stopIfTrue="1">
      <formula>NOT(ISBLANK($L$222))</formula>
    </cfRule>
  </conditionalFormatting>
  <conditionalFormatting sqref="M222">
    <cfRule type="expression" dxfId="3212" priority="63829" stopIfTrue="1">
      <formula>NOT(ISBLANK($M$222))</formula>
    </cfRule>
  </conditionalFormatting>
  <conditionalFormatting sqref="N222">
    <cfRule type="cellIs" dxfId="3211" priority="63830" stopIfTrue="1" operator="notEqual">
      <formula>"EBCT"</formula>
    </cfRule>
  </conditionalFormatting>
  <conditionalFormatting sqref="O222">
    <cfRule type="cellIs" dxfId="3210" priority="63831" stopIfTrue="1" operator="notEqual">
      <formula>7.5</formula>
    </cfRule>
  </conditionalFormatting>
  <conditionalFormatting sqref="P222">
    <cfRule type="expression" dxfId="3209" priority="63832" stopIfTrue="1">
      <formula>NOT(ISBLANK($P$222))</formula>
    </cfRule>
  </conditionalFormatting>
  <conditionalFormatting sqref="Q222">
    <cfRule type="expression" dxfId="3208" priority="63833" stopIfTrue="1">
      <formula>NOT(ISBLANK($Q$222))</formula>
    </cfRule>
  </conditionalFormatting>
  <conditionalFormatting sqref="R222">
    <cfRule type="cellIs" dxfId="3207" priority="63834" stopIfTrue="1" operator="notEqual">
      <formula>1</formula>
    </cfRule>
  </conditionalFormatting>
  <conditionalFormatting sqref="S222">
    <cfRule type="cellIs" dxfId="3206" priority="63835" stopIfTrue="1" operator="notEqual">
      <formula>6.2</formula>
    </cfRule>
  </conditionalFormatting>
  <conditionalFormatting sqref="T222">
    <cfRule type="cellIs" dxfId="3205" priority="63836" stopIfTrue="1" operator="notEqual">
      <formula>"horizontal"</formula>
    </cfRule>
  </conditionalFormatting>
  <conditionalFormatting sqref="U222">
    <cfRule type="cellIs" dxfId="3204" priority="63837" stopIfTrue="1" operator="notEqual">
      <formula>20</formula>
    </cfRule>
  </conditionalFormatting>
  <conditionalFormatting sqref="V222">
    <cfRule type="cellIs" dxfId="3203" priority="63838" stopIfTrue="1" operator="notEqual">
      <formula>14</formula>
    </cfRule>
  </conditionalFormatting>
  <conditionalFormatting sqref="W222">
    <cfRule type="expression" dxfId="3202" priority="63839" stopIfTrue="1">
      <formula>NOT(ISBLANK($W$222))</formula>
    </cfRule>
  </conditionalFormatting>
  <conditionalFormatting sqref="X222">
    <cfRule type="expression" dxfId="3201" priority="63840" stopIfTrue="1">
      <formula>NOT(ISBLANK($X$222))</formula>
    </cfRule>
  </conditionalFormatting>
  <conditionalFormatting sqref="Y222">
    <cfRule type="expression" dxfId="3200" priority="63841" stopIfTrue="1">
      <formula>NOT(ISBLANK($Y$222))</formula>
    </cfRule>
  </conditionalFormatting>
  <conditionalFormatting sqref="Z222">
    <cfRule type="cellIs" dxfId="3199" priority="63842" stopIfTrue="1" operator="notEqual">
      <formula>168</formula>
    </cfRule>
  </conditionalFormatting>
  <conditionalFormatting sqref="AA222">
    <cfRule type="cellIs" dxfId="3198" priority="63843" stopIfTrue="1" operator="notEqual">
      <formula>"POTW"</formula>
    </cfRule>
  </conditionalFormatting>
  <conditionalFormatting sqref="AB222">
    <cfRule type="cellIs" dxfId="3197" priority="63844" stopIfTrue="1" operator="notEqual">
      <formula>"Holding tank"</formula>
    </cfRule>
  </conditionalFormatting>
  <conditionalFormatting sqref="AC222">
    <cfRule type="cellIs" dxfId="3196" priority="63845" stopIfTrue="1" operator="notEqual">
      <formula>"eductors"</formula>
    </cfRule>
  </conditionalFormatting>
  <conditionalFormatting sqref="AD222">
    <cfRule type="cellIs" dxfId="3195" priority="63846" stopIfTrue="1" operator="notEqual">
      <formula>"non-hazardous"</formula>
    </cfRule>
  </conditionalFormatting>
  <conditionalFormatting sqref="AE222">
    <cfRule type="expression" dxfId="3194" priority="63847" stopIfTrue="1">
      <formula>NOT(ISBLANK($AE$222))</formula>
    </cfRule>
  </conditionalFormatting>
  <conditionalFormatting sqref="AF222">
    <cfRule type="cellIs" dxfId="3193" priority="63848" stopIfTrue="1" operator="notEqual">
      <formula>0</formula>
    </cfRule>
  </conditionalFormatting>
  <conditionalFormatting sqref="AG222">
    <cfRule type="expression" dxfId="3192" priority="63849" stopIfTrue="1">
      <formula>NOT(ISBLANK($AG$222))</formula>
    </cfRule>
  </conditionalFormatting>
  <conditionalFormatting sqref="AH222">
    <cfRule type="expression" dxfId="3191" priority="63850" stopIfTrue="1">
      <formula>NOT(ISBLANK($AH$222))</formula>
    </cfRule>
  </conditionalFormatting>
  <conditionalFormatting sqref="AI222">
    <cfRule type="cellIs" dxfId="3190" priority="63851" stopIfTrue="1" operator="notEqual">
      <formula>"fully automated"</formula>
    </cfRule>
  </conditionalFormatting>
  <conditionalFormatting sqref="AJ222">
    <cfRule type="expression" dxfId="3189" priority="63852" stopIfTrue="1">
      <formula>NOT(ISBLANK($AJ$222))</formula>
    </cfRule>
  </conditionalFormatting>
  <conditionalFormatting sqref="AK222">
    <cfRule type="expression" dxfId="3188" priority="63853" stopIfTrue="1">
      <formula>NOT(ISBLANK($AK$222))</formula>
    </cfRule>
  </conditionalFormatting>
  <conditionalFormatting sqref="AL222">
    <cfRule type="expression" dxfId="3187" priority="63854" stopIfTrue="1">
      <formula>NOT(ISBLANK($AL$222))</formula>
    </cfRule>
  </conditionalFormatting>
  <conditionalFormatting sqref="AM222">
    <cfRule type="expression" dxfId="3186" priority="63855" stopIfTrue="1">
      <formula>NOT(ISBLANK($AM$222))</formula>
    </cfRule>
  </conditionalFormatting>
  <conditionalFormatting sqref="AN222">
    <cfRule type="expression" dxfId="3185" priority="63856" stopIfTrue="1">
      <formula>NOT(ISBLANK($AN$222))</formula>
    </cfRule>
  </conditionalFormatting>
  <conditionalFormatting sqref="AO222">
    <cfRule type="expression" dxfId="3184" priority="63857" stopIfTrue="1">
      <formula>NOT(ISBLANK($AO$222))</formula>
    </cfRule>
  </conditionalFormatting>
  <conditionalFormatting sqref="AP222">
    <cfRule type="expression" dxfId="3183" priority="63858" stopIfTrue="1">
      <formula>NOT(ISBLANK($AP$222))</formula>
    </cfRule>
  </conditionalFormatting>
  <conditionalFormatting sqref="AQ222">
    <cfRule type="expression" dxfId="3182" priority="63859" stopIfTrue="1">
      <formula>NOT(ISBLANK($AQ$222))</formula>
    </cfRule>
  </conditionalFormatting>
  <conditionalFormatting sqref="A223">
    <cfRule type="cellIs" dxfId="3181" priority="63860" stopIfTrue="1" operator="notEqual">
      <formula>14</formula>
    </cfRule>
  </conditionalFormatting>
  <conditionalFormatting sqref="B223">
    <cfRule type="cellIs" dxfId="3180" priority="63861" stopIfTrue="1" operator="notEqual">
      <formula>1</formula>
    </cfRule>
  </conditionalFormatting>
  <conditionalFormatting sqref="C223">
    <cfRule type="cellIs" dxfId="3179" priority="63862" stopIfTrue="1" operator="notEqual">
      <formula>7</formula>
    </cfRule>
  </conditionalFormatting>
  <conditionalFormatting sqref="D223">
    <cfRule type="cellIs" dxfId="3178" priority="63863" stopIfTrue="1" operator="notEqual">
      <formula>22.614</formula>
    </cfRule>
  </conditionalFormatting>
  <conditionalFormatting sqref="E223">
    <cfRule type="cellIs" dxfId="3177" priority="63864" stopIfTrue="1" operator="notEqual">
      <formula>"MGD"</formula>
    </cfRule>
  </conditionalFormatting>
  <conditionalFormatting sqref="F223">
    <cfRule type="cellIs" dxfId="3176" priority="63865" stopIfTrue="1" operator="notEqual">
      <formula>11.066</formula>
    </cfRule>
  </conditionalFormatting>
  <conditionalFormatting sqref="G223">
    <cfRule type="cellIs" dxfId="3175" priority="63866" stopIfTrue="1" operator="notEqual">
      <formula>"MGD"</formula>
    </cfRule>
  </conditionalFormatting>
  <conditionalFormatting sqref="H223">
    <cfRule type="cellIs" dxfId="3174" priority="63867" stopIfTrue="1" operator="notEqual">
      <formula>"regeneration off-site (non-hazardous)"</formula>
    </cfRule>
  </conditionalFormatting>
  <conditionalFormatting sqref="I223">
    <cfRule type="cellIs" dxfId="3173" priority="63868" stopIfTrue="1" operator="notEqual">
      <formula>"carbon life value- bed volumes"</formula>
    </cfRule>
  </conditionalFormatting>
  <conditionalFormatting sqref="J223">
    <cfRule type="cellIs" dxfId="3172" priority="63869" stopIfTrue="1" operator="notEqual">
      <formula>20500</formula>
    </cfRule>
  </conditionalFormatting>
  <conditionalFormatting sqref="K223">
    <cfRule type="expression" dxfId="3171" priority="63870" stopIfTrue="1">
      <formula>NOT(ISBLANK($K$223))</formula>
    </cfRule>
  </conditionalFormatting>
  <conditionalFormatting sqref="L223">
    <cfRule type="expression" dxfId="3170" priority="63871" stopIfTrue="1">
      <formula>NOT(ISBLANK($L$223))</formula>
    </cfRule>
  </conditionalFormatting>
  <conditionalFormatting sqref="M223">
    <cfRule type="expression" dxfId="3169" priority="63872" stopIfTrue="1">
      <formula>NOT(ISBLANK($M$223))</formula>
    </cfRule>
  </conditionalFormatting>
  <conditionalFormatting sqref="N223">
    <cfRule type="cellIs" dxfId="3168" priority="63873" stopIfTrue="1" operator="notEqual">
      <formula>"EBCT"</formula>
    </cfRule>
  </conditionalFormatting>
  <conditionalFormatting sqref="O223">
    <cfRule type="cellIs" dxfId="3167" priority="63874" stopIfTrue="1" operator="notEqual">
      <formula>7.5</formula>
    </cfRule>
  </conditionalFormatting>
  <conditionalFormatting sqref="P223">
    <cfRule type="expression" dxfId="3166" priority="63875" stopIfTrue="1">
      <formula>NOT(ISBLANK($P$223))</formula>
    </cfRule>
  </conditionalFormatting>
  <conditionalFormatting sqref="Q223">
    <cfRule type="expression" dxfId="3165" priority="63876" stopIfTrue="1">
      <formula>NOT(ISBLANK($Q$223))</formula>
    </cfRule>
  </conditionalFormatting>
  <conditionalFormatting sqref="R223">
    <cfRule type="cellIs" dxfId="3164" priority="63877" stopIfTrue="1" operator="notEqual">
      <formula>1</formula>
    </cfRule>
  </conditionalFormatting>
  <conditionalFormatting sqref="S223">
    <cfRule type="cellIs" dxfId="3163" priority="63878" stopIfTrue="1" operator="notEqual">
      <formula>7.1</formula>
    </cfRule>
  </conditionalFormatting>
  <conditionalFormatting sqref="T223">
    <cfRule type="cellIs" dxfId="3162" priority="63879" stopIfTrue="1" operator="notEqual">
      <formula>"horizontal"</formula>
    </cfRule>
  </conditionalFormatting>
  <conditionalFormatting sqref="U223">
    <cfRule type="cellIs" dxfId="3161" priority="63880" stopIfTrue="1" operator="notEqual">
      <formula>20</formula>
    </cfRule>
  </conditionalFormatting>
  <conditionalFormatting sqref="V223">
    <cfRule type="cellIs" dxfId="3160" priority="63881" stopIfTrue="1" operator="notEqual">
      <formula>14</formula>
    </cfRule>
  </conditionalFormatting>
  <conditionalFormatting sqref="W223">
    <cfRule type="expression" dxfId="3159" priority="63882" stopIfTrue="1">
      <formula>NOT(ISBLANK($W$223))</formula>
    </cfRule>
  </conditionalFormatting>
  <conditionalFormatting sqref="X223">
    <cfRule type="expression" dxfId="3158" priority="63883" stopIfTrue="1">
      <formula>NOT(ISBLANK($X$223))</formula>
    </cfRule>
  </conditionalFormatting>
  <conditionalFormatting sqref="Y223">
    <cfRule type="expression" dxfId="3157" priority="63884" stopIfTrue="1">
      <formula>NOT(ISBLANK($Y$223))</formula>
    </cfRule>
  </conditionalFormatting>
  <conditionalFormatting sqref="Z223">
    <cfRule type="cellIs" dxfId="3156" priority="63885" stopIfTrue="1" operator="notEqual">
      <formula>168</formula>
    </cfRule>
  </conditionalFormatting>
  <conditionalFormatting sqref="AA223">
    <cfRule type="cellIs" dxfId="3155" priority="63886" stopIfTrue="1" operator="notEqual">
      <formula>"POTW"</formula>
    </cfRule>
  </conditionalFormatting>
  <conditionalFormatting sqref="AB223">
    <cfRule type="cellIs" dxfId="3154" priority="63887" stopIfTrue="1" operator="notEqual">
      <formula>"Holding tank"</formula>
    </cfRule>
  </conditionalFormatting>
  <conditionalFormatting sqref="AC223">
    <cfRule type="cellIs" dxfId="3153" priority="63888" stopIfTrue="1" operator="notEqual">
      <formula>"eductors"</formula>
    </cfRule>
  </conditionalFormatting>
  <conditionalFormatting sqref="AD223">
    <cfRule type="cellIs" dxfId="3152" priority="63889" stopIfTrue="1" operator="notEqual">
      <formula>"non-hazardous"</formula>
    </cfRule>
  </conditionalFormatting>
  <conditionalFormatting sqref="AE223">
    <cfRule type="expression" dxfId="3151" priority="63890" stopIfTrue="1">
      <formula>NOT(ISBLANK($AE$223))</formula>
    </cfRule>
  </conditionalFormatting>
  <conditionalFormatting sqref="AF223">
    <cfRule type="cellIs" dxfId="3150" priority="63891" stopIfTrue="1" operator="notEqual">
      <formula>0</formula>
    </cfRule>
  </conditionalFormatting>
  <conditionalFormatting sqref="AG223">
    <cfRule type="expression" dxfId="3149" priority="63892" stopIfTrue="1">
      <formula>NOT(ISBLANK($AG$223))</formula>
    </cfRule>
  </conditionalFormatting>
  <conditionalFormatting sqref="AH223">
    <cfRule type="expression" dxfId="3148" priority="63893" stopIfTrue="1">
      <formula>NOT(ISBLANK($AH$223))</formula>
    </cfRule>
  </conditionalFormatting>
  <conditionalFormatting sqref="AI223">
    <cfRule type="cellIs" dxfId="3147" priority="63894" stopIfTrue="1" operator="notEqual">
      <formula>"fully automated"</formula>
    </cfRule>
  </conditionalFormatting>
  <conditionalFormatting sqref="AJ223">
    <cfRule type="expression" dxfId="3146" priority="63895" stopIfTrue="1">
      <formula>NOT(ISBLANK($AJ$223))</formula>
    </cfRule>
  </conditionalFormatting>
  <conditionalFormatting sqref="AK223">
    <cfRule type="expression" dxfId="3145" priority="63896" stopIfTrue="1">
      <formula>NOT(ISBLANK($AK$223))</formula>
    </cfRule>
  </conditionalFormatting>
  <conditionalFormatting sqref="AL223">
    <cfRule type="expression" dxfId="3144" priority="63897" stopIfTrue="1">
      <formula>NOT(ISBLANK($AL$223))</formula>
    </cfRule>
  </conditionalFormatting>
  <conditionalFormatting sqref="AM223">
    <cfRule type="expression" dxfId="3143" priority="63898" stopIfTrue="1">
      <formula>NOT(ISBLANK($AM$223))</formula>
    </cfRule>
  </conditionalFormatting>
  <conditionalFormatting sqref="AN223">
    <cfRule type="expression" dxfId="3142" priority="63899" stopIfTrue="1">
      <formula>NOT(ISBLANK($AN$223))</formula>
    </cfRule>
  </conditionalFormatting>
  <conditionalFormatting sqref="AO223">
    <cfRule type="expression" dxfId="3141" priority="63900" stopIfTrue="1">
      <formula>NOT(ISBLANK($AO$223))</formula>
    </cfRule>
  </conditionalFormatting>
  <conditionalFormatting sqref="AP223">
    <cfRule type="expression" dxfId="3140" priority="63901" stopIfTrue="1">
      <formula>NOT(ISBLANK($AP$223))</formula>
    </cfRule>
  </conditionalFormatting>
  <conditionalFormatting sqref="AQ223">
    <cfRule type="expression" dxfId="3139" priority="63902" stopIfTrue="1">
      <formula>NOT(ISBLANK($AQ$223))</formula>
    </cfRule>
  </conditionalFormatting>
  <conditionalFormatting sqref="A224">
    <cfRule type="cellIs" dxfId="3138" priority="63903" stopIfTrue="1" operator="notEqual">
      <formula>14</formula>
    </cfRule>
  </conditionalFormatting>
  <conditionalFormatting sqref="B224">
    <cfRule type="cellIs" dxfId="3137" priority="63904" stopIfTrue="1" operator="notEqual">
      <formula>1</formula>
    </cfRule>
  </conditionalFormatting>
  <conditionalFormatting sqref="C224">
    <cfRule type="cellIs" dxfId="3136" priority="63905" stopIfTrue="1" operator="notEqual">
      <formula>8</formula>
    </cfRule>
  </conditionalFormatting>
  <conditionalFormatting sqref="D224">
    <cfRule type="cellIs" dxfId="3135" priority="63906" stopIfTrue="1" operator="notEqual">
      <formula>75.072</formula>
    </cfRule>
  </conditionalFormatting>
  <conditionalFormatting sqref="E224">
    <cfRule type="cellIs" dxfId="3134" priority="63907" stopIfTrue="1" operator="notEqual">
      <formula>"MGD"</formula>
    </cfRule>
  </conditionalFormatting>
  <conditionalFormatting sqref="F224">
    <cfRule type="cellIs" dxfId="3133" priority="63908" stopIfTrue="1" operator="notEqual">
      <formula>37.536</formula>
    </cfRule>
  </conditionalFormatting>
  <conditionalFormatting sqref="G224">
    <cfRule type="cellIs" dxfId="3132" priority="63909" stopIfTrue="1" operator="notEqual">
      <formula>"MGD"</formula>
    </cfRule>
  </conditionalFormatting>
  <conditionalFormatting sqref="H224">
    <cfRule type="cellIs" dxfId="3131" priority="63910" stopIfTrue="1" operator="notEqual">
      <formula>"regeneration off-site (non-hazardous)"</formula>
    </cfRule>
  </conditionalFormatting>
  <conditionalFormatting sqref="I224">
    <cfRule type="cellIs" dxfId="3130" priority="63911" stopIfTrue="1" operator="notEqual">
      <formula>"carbon life value- bed volumes"</formula>
    </cfRule>
  </conditionalFormatting>
  <conditionalFormatting sqref="J224">
    <cfRule type="cellIs" dxfId="3129" priority="63912" stopIfTrue="1" operator="notEqual">
      <formula>20500</formula>
    </cfRule>
  </conditionalFormatting>
  <conditionalFormatting sqref="K224">
    <cfRule type="expression" dxfId="3128" priority="63913" stopIfTrue="1">
      <formula>NOT(ISBLANK($K$224))</formula>
    </cfRule>
  </conditionalFormatting>
  <conditionalFormatting sqref="L224">
    <cfRule type="expression" dxfId="3127" priority="63914" stopIfTrue="1">
      <formula>NOT(ISBLANK($L$224))</formula>
    </cfRule>
  </conditionalFormatting>
  <conditionalFormatting sqref="M224">
    <cfRule type="expression" dxfId="3126" priority="63915" stopIfTrue="1">
      <formula>NOT(ISBLANK($M$224))</formula>
    </cfRule>
  </conditionalFormatting>
  <conditionalFormatting sqref="N224">
    <cfRule type="cellIs" dxfId="3125" priority="63916" stopIfTrue="1" operator="notEqual">
      <formula>"EBCT"</formula>
    </cfRule>
  </conditionalFormatting>
  <conditionalFormatting sqref="O224">
    <cfRule type="cellIs" dxfId="3124" priority="63917" stopIfTrue="1" operator="notEqual">
      <formula>7.5</formula>
    </cfRule>
  </conditionalFormatting>
  <conditionalFormatting sqref="P224">
    <cfRule type="expression" dxfId="3123" priority="63918" stopIfTrue="1">
      <formula>NOT(ISBLANK($P$224))</formula>
    </cfRule>
  </conditionalFormatting>
  <conditionalFormatting sqref="Q224">
    <cfRule type="expression" dxfId="3122" priority="63919" stopIfTrue="1">
      <formula>NOT(ISBLANK($Q$224))</formula>
    </cfRule>
  </conditionalFormatting>
  <conditionalFormatting sqref="R224">
    <cfRule type="cellIs" dxfId="3121" priority="63920" stopIfTrue="1" operator="notEqual">
      <formula>1</formula>
    </cfRule>
  </conditionalFormatting>
  <conditionalFormatting sqref="S224">
    <cfRule type="cellIs" dxfId="3120" priority="63921" stopIfTrue="1" operator="notEqual">
      <formula>7.2</formula>
    </cfRule>
  </conditionalFormatting>
  <conditionalFormatting sqref="T224">
    <cfRule type="cellIs" dxfId="3119" priority="63922" stopIfTrue="1" operator="notEqual">
      <formula>"horizontal"</formula>
    </cfRule>
  </conditionalFormatting>
  <conditionalFormatting sqref="U224">
    <cfRule type="cellIs" dxfId="3118" priority="63923" stopIfTrue="1" operator="notEqual">
      <formula>20</formula>
    </cfRule>
  </conditionalFormatting>
  <conditionalFormatting sqref="V224">
    <cfRule type="cellIs" dxfId="3117" priority="63924" stopIfTrue="1" operator="notEqual">
      <formula>14</formula>
    </cfRule>
  </conditionalFormatting>
  <conditionalFormatting sqref="W224">
    <cfRule type="expression" dxfId="3116" priority="63925" stopIfTrue="1">
      <formula>NOT(ISBLANK($W$224))</formula>
    </cfRule>
  </conditionalFormatting>
  <conditionalFormatting sqref="X224">
    <cfRule type="expression" dxfId="3115" priority="63926" stopIfTrue="1">
      <formula>NOT(ISBLANK($X$224))</formula>
    </cfRule>
  </conditionalFormatting>
  <conditionalFormatting sqref="Y224">
    <cfRule type="expression" dxfId="3114" priority="63927" stopIfTrue="1">
      <formula>NOT(ISBLANK($Y$224))</formula>
    </cfRule>
  </conditionalFormatting>
  <conditionalFormatting sqref="Z224">
    <cfRule type="cellIs" dxfId="3113" priority="63928" stopIfTrue="1" operator="notEqual">
      <formula>168</formula>
    </cfRule>
  </conditionalFormatting>
  <conditionalFormatting sqref="AA224">
    <cfRule type="cellIs" dxfId="3112" priority="63929" stopIfTrue="1" operator="notEqual">
      <formula>"POTW"</formula>
    </cfRule>
  </conditionalFormatting>
  <conditionalFormatting sqref="AB224">
    <cfRule type="cellIs" dxfId="3111" priority="63930" stopIfTrue="1" operator="notEqual">
      <formula>"Holding tank"</formula>
    </cfRule>
  </conditionalFormatting>
  <conditionalFormatting sqref="AC224">
    <cfRule type="cellIs" dxfId="3110" priority="63931" stopIfTrue="1" operator="notEqual">
      <formula>"eductors"</formula>
    </cfRule>
  </conditionalFormatting>
  <conditionalFormatting sqref="AD224">
    <cfRule type="cellIs" dxfId="3109" priority="63932" stopIfTrue="1" operator="notEqual">
      <formula>"non-hazardous"</formula>
    </cfRule>
  </conditionalFormatting>
  <conditionalFormatting sqref="AE224">
    <cfRule type="expression" dxfId="3108" priority="63933" stopIfTrue="1">
      <formula>NOT(ISBLANK($AE$224))</formula>
    </cfRule>
  </conditionalFormatting>
  <conditionalFormatting sqref="AF224">
    <cfRule type="cellIs" dxfId="3107" priority="63934" stopIfTrue="1" operator="notEqual">
      <formula>0</formula>
    </cfRule>
  </conditionalFormatting>
  <conditionalFormatting sqref="AG224">
    <cfRule type="expression" dxfId="3106" priority="63935" stopIfTrue="1">
      <formula>NOT(ISBLANK($AG$224))</formula>
    </cfRule>
  </conditionalFormatting>
  <conditionalFormatting sqref="AH224">
    <cfRule type="expression" dxfId="3105" priority="63936" stopIfTrue="1">
      <formula>NOT(ISBLANK($AH$224))</formula>
    </cfRule>
  </conditionalFormatting>
  <conditionalFormatting sqref="AI224">
    <cfRule type="cellIs" dxfId="3104" priority="63937" stopIfTrue="1" operator="notEqual">
      <formula>"fully automated"</formula>
    </cfRule>
  </conditionalFormatting>
  <conditionalFormatting sqref="AJ224">
    <cfRule type="expression" dxfId="3103" priority="63938" stopIfTrue="1">
      <formula>NOT(ISBLANK($AJ$224))</formula>
    </cfRule>
  </conditionalFormatting>
  <conditionalFormatting sqref="AK224">
    <cfRule type="expression" dxfId="3102" priority="63939" stopIfTrue="1">
      <formula>NOT(ISBLANK($AK$224))</formula>
    </cfRule>
  </conditionalFormatting>
  <conditionalFormatting sqref="AL224">
    <cfRule type="expression" dxfId="3101" priority="63940" stopIfTrue="1">
      <formula>NOT(ISBLANK($AL$224))</formula>
    </cfRule>
  </conditionalFormatting>
  <conditionalFormatting sqref="AM224">
    <cfRule type="expression" dxfId="3100" priority="63941" stopIfTrue="1">
      <formula>NOT(ISBLANK($AM$224))</formula>
    </cfRule>
  </conditionalFormatting>
  <conditionalFormatting sqref="AN224">
    <cfRule type="expression" dxfId="3099" priority="63942" stopIfTrue="1">
      <formula>NOT(ISBLANK($AN$224))</formula>
    </cfRule>
  </conditionalFormatting>
  <conditionalFormatting sqref="AO224">
    <cfRule type="expression" dxfId="3098" priority="63943" stopIfTrue="1">
      <formula>NOT(ISBLANK($AO$224))</formula>
    </cfRule>
  </conditionalFormatting>
  <conditionalFormatting sqref="AP224">
    <cfRule type="expression" dxfId="3097" priority="63944" stopIfTrue="1">
      <formula>NOT(ISBLANK($AP$224))</formula>
    </cfRule>
  </conditionalFormatting>
  <conditionalFormatting sqref="AQ224">
    <cfRule type="expression" dxfId="3096" priority="63945" stopIfTrue="1">
      <formula>NOT(ISBLANK($AQ$224))</formula>
    </cfRule>
  </conditionalFormatting>
  <conditionalFormatting sqref="A225">
    <cfRule type="cellIs" dxfId="3095" priority="63946" stopIfTrue="1" operator="notEqual">
      <formula>14</formula>
    </cfRule>
  </conditionalFormatting>
  <conditionalFormatting sqref="B225">
    <cfRule type="cellIs" dxfId="3094" priority="63947" stopIfTrue="1" operator="notEqual">
      <formula>2</formula>
    </cfRule>
  </conditionalFormatting>
  <conditionalFormatting sqref="C225">
    <cfRule type="cellIs" dxfId="3093" priority="63948" stopIfTrue="1" operator="notEqual">
      <formula>1</formula>
    </cfRule>
  </conditionalFormatting>
  <conditionalFormatting sqref="D225">
    <cfRule type="cellIs" dxfId="3092" priority="63949" stopIfTrue="1" operator="notEqual">
      <formula>0.03</formula>
    </cfRule>
  </conditionalFormatting>
  <conditionalFormatting sqref="E225">
    <cfRule type="cellIs" dxfId="3091" priority="63950" stopIfTrue="1" operator="notEqual">
      <formula>"MGD"</formula>
    </cfRule>
  </conditionalFormatting>
  <conditionalFormatting sqref="F225">
    <cfRule type="cellIs" dxfId="3090" priority="63951" stopIfTrue="1" operator="notEqual">
      <formula>0.007</formula>
    </cfRule>
  </conditionalFormatting>
  <conditionalFormatting sqref="G225">
    <cfRule type="cellIs" dxfId="3089" priority="63952" stopIfTrue="1" operator="notEqual">
      <formula>"MGD"</formula>
    </cfRule>
  </conditionalFormatting>
  <conditionalFormatting sqref="H225">
    <cfRule type="cellIs" dxfId="3088" priority="63953" stopIfTrue="1" operator="notEqual">
      <formula>"regeneration off-site (non-hazardous)"</formula>
    </cfRule>
  </conditionalFormatting>
  <conditionalFormatting sqref="I225">
    <cfRule type="cellIs" dxfId="3087" priority="63954" stopIfTrue="1" operator="notEqual">
      <formula>"carbon life value- bed volumes"</formula>
    </cfRule>
  </conditionalFormatting>
  <conditionalFormatting sqref="J225">
    <cfRule type="cellIs" dxfId="3086" priority="63955" stopIfTrue="1" operator="notEqual">
      <formula>20500</formula>
    </cfRule>
  </conditionalFormatting>
  <conditionalFormatting sqref="K225">
    <cfRule type="expression" dxfId="3085" priority="63956" stopIfTrue="1">
      <formula>NOT(ISBLANK($K$225))</formula>
    </cfRule>
  </conditionalFormatting>
  <conditionalFormatting sqref="L225">
    <cfRule type="expression" dxfId="3084" priority="63957" stopIfTrue="1">
      <formula>NOT(ISBLANK($L$225))</formula>
    </cfRule>
  </conditionalFormatting>
  <conditionalFormatting sqref="M225">
    <cfRule type="expression" dxfId="3083" priority="63958" stopIfTrue="1">
      <formula>NOT(ISBLANK($M$225))</formula>
    </cfRule>
  </conditionalFormatting>
  <conditionalFormatting sqref="N225">
    <cfRule type="cellIs" dxfId="3082" priority="63959" stopIfTrue="1" operator="notEqual">
      <formula>"EBCT"</formula>
    </cfRule>
  </conditionalFormatting>
  <conditionalFormatting sqref="O225">
    <cfRule type="cellIs" dxfId="3081" priority="63960" stopIfTrue="1" operator="notEqual">
      <formula>7.5</formula>
    </cfRule>
  </conditionalFormatting>
  <conditionalFormatting sqref="P225">
    <cfRule type="expression" dxfId="3080" priority="63961" stopIfTrue="1">
      <formula>NOT(ISBLANK($P$225))</formula>
    </cfRule>
  </conditionalFormatting>
  <conditionalFormatting sqref="Q225">
    <cfRule type="expression" dxfId="3079" priority="63962" stopIfTrue="1">
      <formula>NOT(ISBLANK($Q$225))</formula>
    </cfRule>
  </conditionalFormatting>
  <conditionalFormatting sqref="R225">
    <cfRule type="expression" dxfId="3078" priority="63963" stopIfTrue="1">
      <formula>NOT(ISBLANK($R$225))</formula>
    </cfRule>
  </conditionalFormatting>
  <conditionalFormatting sqref="S225">
    <cfRule type="expression" dxfId="3077" priority="63964" stopIfTrue="1">
      <formula>NOT(ISBLANK($S$225))</formula>
    </cfRule>
  </conditionalFormatting>
  <conditionalFormatting sqref="T225">
    <cfRule type="expression" dxfId="3076" priority="63965" stopIfTrue="1">
      <formula>NOT(ISBLANK($T$225))</formula>
    </cfRule>
  </conditionalFormatting>
  <conditionalFormatting sqref="U225">
    <cfRule type="expression" dxfId="3075" priority="63966" stopIfTrue="1">
      <formula>NOT(ISBLANK($U$225))</formula>
    </cfRule>
  </conditionalFormatting>
  <conditionalFormatting sqref="V225">
    <cfRule type="expression" dxfId="3074" priority="63967" stopIfTrue="1">
      <formula>NOT(ISBLANK($V$225))</formula>
    </cfRule>
  </conditionalFormatting>
  <conditionalFormatting sqref="W225">
    <cfRule type="cellIs" dxfId="3073" priority="63968" stopIfTrue="1" operator="notEqual">
      <formula>6</formula>
    </cfRule>
  </conditionalFormatting>
  <conditionalFormatting sqref="X225">
    <cfRule type="cellIs" dxfId="3072" priority="63969" stopIfTrue="1" operator="notEqual">
      <formula>6</formula>
    </cfRule>
  </conditionalFormatting>
  <conditionalFormatting sqref="Y225">
    <cfRule type="cellIs" dxfId="3071" priority="63970" stopIfTrue="1" operator="notEqual">
      <formula>3</formula>
    </cfRule>
  </conditionalFormatting>
  <conditionalFormatting sqref="Z225">
    <cfRule type="cellIs" dxfId="3070" priority="63971" stopIfTrue="1" operator="notEqual">
      <formula>168</formula>
    </cfRule>
  </conditionalFormatting>
  <conditionalFormatting sqref="AA225">
    <cfRule type="cellIs" dxfId="3069" priority="63972" stopIfTrue="1" operator="notEqual">
      <formula>"POTW"</formula>
    </cfRule>
  </conditionalFormatting>
  <conditionalFormatting sqref="AB225">
    <cfRule type="cellIs" dxfId="3068" priority="63973" stopIfTrue="1" operator="notEqual">
      <formula>"holding tank"</formula>
    </cfRule>
  </conditionalFormatting>
  <conditionalFormatting sqref="AC225">
    <cfRule type="cellIs" dxfId="3067" priority="63974" stopIfTrue="1" operator="notEqual">
      <formula>"manual transfer"</formula>
    </cfRule>
  </conditionalFormatting>
  <conditionalFormatting sqref="AD225">
    <cfRule type="cellIs" dxfId="3066" priority="63975" stopIfTrue="1" operator="notEqual">
      <formula>"non-hazardous"</formula>
    </cfRule>
  </conditionalFormatting>
  <conditionalFormatting sqref="AE225">
    <cfRule type="expression" dxfId="3065" priority="63976" stopIfTrue="1">
      <formula>NOT(ISBLANK($AE$225))</formula>
    </cfRule>
  </conditionalFormatting>
  <conditionalFormatting sqref="AF225">
    <cfRule type="cellIs" dxfId="3064" priority="63977" stopIfTrue="1" operator="notEqual">
      <formula>0</formula>
    </cfRule>
  </conditionalFormatting>
  <conditionalFormatting sqref="AG225">
    <cfRule type="expression" dxfId="3063" priority="63978" stopIfTrue="1">
      <formula>NOT(ISBLANK($AG$225))</formula>
    </cfRule>
  </conditionalFormatting>
  <conditionalFormatting sqref="AH225">
    <cfRule type="expression" dxfId="3062" priority="63979" stopIfTrue="1">
      <formula>NOT(ISBLANK($AH$225))</formula>
    </cfRule>
  </conditionalFormatting>
  <conditionalFormatting sqref="AI225">
    <cfRule type="cellIs" dxfId="3061" priority="63980" stopIfTrue="1" operator="notEqual">
      <formula>"fully automated"</formula>
    </cfRule>
  </conditionalFormatting>
  <conditionalFormatting sqref="AJ225">
    <cfRule type="expression" dxfId="3060" priority="63981" stopIfTrue="1">
      <formula>NOT(ISBLANK($AJ$225))</formula>
    </cfRule>
  </conditionalFormatting>
  <conditionalFormatting sqref="AK225">
    <cfRule type="expression" dxfId="3059" priority="63982" stopIfTrue="1">
      <formula>NOT(ISBLANK($AK$225))</formula>
    </cfRule>
  </conditionalFormatting>
  <conditionalFormatting sqref="AL225">
    <cfRule type="expression" dxfId="3058" priority="63983" stopIfTrue="1">
      <formula>NOT(ISBLANK($AL$225))</formula>
    </cfRule>
  </conditionalFormatting>
  <conditionalFormatting sqref="AM225">
    <cfRule type="expression" dxfId="3057" priority="63984" stopIfTrue="1">
      <formula>NOT(ISBLANK($AM$225))</formula>
    </cfRule>
  </conditionalFormatting>
  <conditionalFormatting sqref="AN225">
    <cfRule type="expression" dxfId="3056" priority="63985" stopIfTrue="1">
      <formula>NOT(ISBLANK($AN$225))</formula>
    </cfRule>
  </conditionalFormatting>
  <conditionalFormatting sqref="AO225">
    <cfRule type="expression" dxfId="3055" priority="63986" stopIfTrue="1">
      <formula>NOT(ISBLANK($AO$225))</formula>
    </cfRule>
  </conditionalFormatting>
  <conditionalFormatting sqref="AP225">
    <cfRule type="expression" dxfId="3054" priority="63987" stopIfTrue="1">
      <formula>NOT(ISBLANK($AP$225))</formula>
    </cfRule>
  </conditionalFormatting>
  <conditionalFormatting sqref="AQ225">
    <cfRule type="expression" dxfId="3053" priority="63988" stopIfTrue="1">
      <formula>NOT(ISBLANK($AQ$225))</formula>
    </cfRule>
  </conditionalFormatting>
  <conditionalFormatting sqref="A226">
    <cfRule type="cellIs" dxfId="3052" priority="63989" stopIfTrue="1" operator="notEqual">
      <formula>14</formula>
    </cfRule>
  </conditionalFormatting>
  <conditionalFormatting sqref="B226">
    <cfRule type="cellIs" dxfId="3051" priority="63990" stopIfTrue="1" operator="notEqual">
      <formula>2</formula>
    </cfRule>
  </conditionalFormatting>
  <conditionalFormatting sqref="C226">
    <cfRule type="cellIs" dxfId="3050" priority="63991" stopIfTrue="1" operator="notEqual">
      <formula>2</formula>
    </cfRule>
  </conditionalFormatting>
  <conditionalFormatting sqref="D226">
    <cfRule type="cellIs" dxfId="3049" priority="63992" stopIfTrue="1" operator="notEqual">
      <formula>0.124</formula>
    </cfRule>
  </conditionalFormatting>
  <conditionalFormatting sqref="E226">
    <cfRule type="cellIs" dxfId="3048" priority="63993" stopIfTrue="1" operator="notEqual">
      <formula>"MGD"</formula>
    </cfRule>
  </conditionalFormatting>
  <conditionalFormatting sqref="F226">
    <cfRule type="cellIs" dxfId="3047" priority="63994" stopIfTrue="1" operator="notEqual">
      <formula>0.035</formula>
    </cfRule>
  </conditionalFormatting>
  <conditionalFormatting sqref="G226">
    <cfRule type="cellIs" dxfId="3046" priority="63995" stopIfTrue="1" operator="notEqual">
      <formula>"MGD"</formula>
    </cfRule>
  </conditionalFormatting>
  <conditionalFormatting sqref="H226">
    <cfRule type="cellIs" dxfId="3045" priority="63996" stopIfTrue="1" operator="notEqual">
      <formula>"regeneration off-site (non-hazardous)"</formula>
    </cfRule>
  </conditionalFormatting>
  <conditionalFormatting sqref="I226">
    <cfRule type="cellIs" dxfId="3044" priority="63997" stopIfTrue="1" operator="notEqual">
      <formula>"carbon life value- bed volumes"</formula>
    </cfRule>
  </conditionalFormatting>
  <conditionalFormatting sqref="J226">
    <cfRule type="cellIs" dxfId="3043" priority="63998" stopIfTrue="1" operator="notEqual">
      <formula>20500</formula>
    </cfRule>
  </conditionalFormatting>
  <conditionalFormatting sqref="K226">
    <cfRule type="expression" dxfId="3042" priority="63999" stopIfTrue="1">
      <formula>NOT(ISBLANK($K$226))</formula>
    </cfRule>
  </conditionalFormatting>
  <conditionalFormatting sqref="L226">
    <cfRule type="expression" dxfId="3041" priority="64000" stopIfTrue="1">
      <formula>NOT(ISBLANK($L$226))</formula>
    </cfRule>
  </conditionalFormatting>
  <conditionalFormatting sqref="M226">
    <cfRule type="expression" dxfId="3040" priority="64001" stopIfTrue="1">
      <formula>NOT(ISBLANK($M$226))</formula>
    </cfRule>
  </conditionalFormatting>
  <conditionalFormatting sqref="N226">
    <cfRule type="cellIs" dxfId="3039" priority="64002" stopIfTrue="1" operator="notEqual">
      <formula>"EBCT"</formula>
    </cfRule>
  </conditionalFormatting>
  <conditionalFormatting sqref="O226">
    <cfRule type="cellIs" dxfId="3038" priority="64003" stopIfTrue="1" operator="notEqual">
      <formula>7.5</formula>
    </cfRule>
  </conditionalFormatting>
  <conditionalFormatting sqref="P226">
    <cfRule type="expression" dxfId="3037" priority="64004" stopIfTrue="1">
      <formula>NOT(ISBLANK($P$226))</formula>
    </cfRule>
  </conditionalFormatting>
  <conditionalFormatting sqref="Q226">
    <cfRule type="expression" dxfId="3036" priority="64005" stopIfTrue="1">
      <formula>NOT(ISBLANK($Q$226))</formula>
    </cfRule>
  </conditionalFormatting>
  <conditionalFormatting sqref="R226">
    <cfRule type="expression" dxfId="3035" priority="64006" stopIfTrue="1">
      <formula>NOT(ISBLANK($R$226))</formula>
    </cfRule>
  </conditionalFormatting>
  <conditionalFormatting sqref="S226">
    <cfRule type="expression" dxfId="3034" priority="64007" stopIfTrue="1">
      <formula>NOT(ISBLANK($S$226))</formula>
    </cfRule>
  </conditionalFormatting>
  <conditionalFormatting sqref="T226">
    <cfRule type="expression" dxfId="3033" priority="64008" stopIfTrue="1">
      <formula>NOT(ISBLANK($T$226))</formula>
    </cfRule>
  </conditionalFormatting>
  <conditionalFormatting sqref="U226">
    <cfRule type="expression" dxfId="3032" priority="64009" stopIfTrue="1">
      <formula>NOT(ISBLANK($U$226))</formula>
    </cfRule>
  </conditionalFormatting>
  <conditionalFormatting sqref="V226">
    <cfRule type="expression" dxfId="3031" priority="64010" stopIfTrue="1">
      <formula>NOT(ISBLANK($V$226))</formula>
    </cfRule>
  </conditionalFormatting>
  <conditionalFormatting sqref="W226">
    <cfRule type="cellIs" dxfId="3030" priority="64011" stopIfTrue="1" operator="notEqual">
      <formula>6</formula>
    </cfRule>
  </conditionalFormatting>
  <conditionalFormatting sqref="X226">
    <cfRule type="cellIs" dxfId="3029" priority="64012" stopIfTrue="1" operator="notEqual">
      <formula>6</formula>
    </cfRule>
  </conditionalFormatting>
  <conditionalFormatting sqref="Y226">
    <cfRule type="cellIs" dxfId="3028" priority="64013" stopIfTrue="1" operator="notEqual">
      <formula>3</formula>
    </cfRule>
  </conditionalFormatting>
  <conditionalFormatting sqref="Z226">
    <cfRule type="cellIs" dxfId="3027" priority="64014" stopIfTrue="1" operator="notEqual">
      <formula>168</formula>
    </cfRule>
  </conditionalFormatting>
  <conditionalFormatting sqref="AA226">
    <cfRule type="cellIs" dxfId="3026" priority="64015" stopIfTrue="1" operator="notEqual">
      <formula>"POTW"</formula>
    </cfRule>
  </conditionalFormatting>
  <conditionalFormatting sqref="AB226">
    <cfRule type="cellIs" dxfId="3025" priority="64016" stopIfTrue="1" operator="notEqual">
      <formula>"holding tank"</formula>
    </cfRule>
  </conditionalFormatting>
  <conditionalFormatting sqref="AC226">
    <cfRule type="cellIs" dxfId="3024" priority="64017" stopIfTrue="1" operator="notEqual">
      <formula>"manual transfer"</formula>
    </cfRule>
  </conditionalFormatting>
  <conditionalFormatting sqref="AD226">
    <cfRule type="cellIs" dxfId="3023" priority="64018" stopIfTrue="1" operator="notEqual">
      <formula>"non-hazardous"</formula>
    </cfRule>
  </conditionalFormatting>
  <conditionalFormatting sqref="AE226">
    <cfRule type="expression" dxfId="3022" priority="64019" stopIfTrue="1">
      <formula>NOT(ISBLANK($AE$226))</formula>
    </cfRule>
  </conditionalFormatting>
  <conditionalFormatting sqref="AF226">
    <cfRule type="cellIs" dxfId="3021" priority="64020" stopIfTrue="1" operator="notEqual">
      <formula>0</formula>
    </cfRule>
  </conditionalFormatting>
  <conditionalFormatting sqref="AG226">
    <cfRule type="expression" dxfId="3020" priority="64021" stopIfTrue="1">
      <formula>NOT(ISBLANK($AG$226))</formula>
    </cfRule>
  </conditionalFormatting>
  <conditionalFormatting sqref="AH226">
    <cfRule type="expression" dxfId="3019" priority="64022" stopIfTrue="1">
      <formula>NOT(ISBLANK($AH$226))</formula>
    </cfRule>
  </conditionalFormatting>
  <conditionalFormatting sqref="AI226">
    <cfRule type="cellIs" dxfId="3018" priority="64023" stopIfTrue="1" operator="notEqual">
      <formula>"fully automated"</formula>
    </cfRule>
  </conditionalFormatting>
  <conditionalFormatting sqref="AJ226">
    <cfRule type="expression" dxfId="3017" priority="64024" stopIfTrue="1">
      <formula>NOT(ISBLANK($AJ$226))</formula>
    </cfRule>
  </conditionalFormatting>
  <conditionalFormatting sqref="AK226">
    <cfRule type="expression" dxfId="3016" priority="64025" stopIfTrue="1">
      <formula>NOT(ISBLANK($AK$226))</formula>
    </cfRule>
  </conditionalFormatting>
  <conditionalFormatting sqref="AL226">
    <cfRule type="expression" dxfId="3015" priority="64026" stopIfTrue="1">
      <formula>NOT(ISBLANK($AL$226))</formula>
    </cfRule>
  </conditionalFormatting>
  <conditionalFormatting sqref="AM226">
    <cfRule type="expression" dxfId="3014" priority="64027" stopIfTrue="1">
      <formula>NOT(ISBLANK($AM$226))</formula>
    </cfRule>
  </conditionalFormatting>
  <conditionalFormatting sqref="AN226">
    <cfRule type="expression" dxfId="3013" priority="64028" stopIfTrue="1">
      <formula>NOT(ISBLANK($AN$226))</formula>
    </cfRule>
  </conditionalFormatting>
  <conditionalFormatting sqref="AO226">
    <cfRule type="expression" dxfId="3012" priority="64029" stopIfTrue="1">
      <formula>NOT(ISBLANK($AO$226))</formula>
    </cfRule>
  </conditionalFormatting>
  <conditionalFormatting sqref="AP226">
    <cfRule type="expression" dxfId="3011" priority="64030" stopIfTrue="1">
      <formula>NOT(ISBLANK($AP$226))</formula>
    </cfRule>
  </conditionalFormatting>
  <conditionalFormatting sqref="AQ226">
    <cfRule type="expression" dxfId="3010" priority="64031" stopIfTrue="1">
      <formula>NOT(ISBLANK($AQ$226))</formula>
    </cfRule>
  </conditionalFormatting>
  <conditionalFormatting sqref="A227">
    <cfRule type="cellIs" dxfId="3009" priority="64032" stopIfTrue="1" operator="notEqual">
      <formula>14</formula>
    </cfRule>
  </conditionalFormatting>
  <conditionalFormatting sqref="B227">
    <cfRule type="cellIs" dxfId="3008" priority="64033" stopIfTrue="1" operator="notEqual">
      <formula>2</formula>
    </cfRule>
  </conditionalFormatting>
  <conditionalFormatting sqref="C227">
    <cfRule type="cellIs" dxfId="3007" priority="64034" stopIfTrue="1" operator="notEqual">
      <formula>3</formula>
    </cfRule>
  </conditionalFormatting>
  <conditionalFormatting sqref="D227">
    <cfRule type="cellIs" dxfId="3006" priority="64035" stopIfTrue="1" operator="notEqual">
      <formula>0.305</formula>
    </cfRule>
  </conditionalFormatting>
  <conditionalFormatting sqref="E227">
    <cfRule type="cellIs" dxfId="3005" priority="64036" stopIfTrue="1" operator="notEqual">
      <formula>"MGD"</formula>
    </cfRule>
  </conditionalFormatting>
  <conditionalFormatting sqref="F227">
    <cfRule type="cellIs" dxfId="3004" priority="64037" stopIfTrue="1" operator="notEqual">
      <formula>0.094</formula>
    </cfRule>
  </conditionalFormatting>
  <conditionalFormatting sqref="G227">
    <cfRule type="cellIs" dxfId="3003" priority="64038" stopIfTrue="1" operator="notEqual">
      <formula>"MGD"</formula>
    </cfRule>
  </conditionalFormatting>
  <conditionalFormatting sqref="H227">
    <cfRule type="cellIs" dxfId="3002" priority="64039" stopIfTrue="1" operator="notEqual">
      <formula>"regeneration off-site (non-hazardous)"</formula>
    </cfRule>
  </conditionalFormatting>
  <conditionalFormatting sqref="I227">
    <cfRule type="cellIs" dxfId="3001" priority="64040" stopIfTrue="1" operator="notEqual">
      <formula>"carbon life value- bed volumes"</formula>
    </cfRule>
  </conditionalFormatting>
  <conditionalFormatting sqref="J227">
    <cfRule type="cellIs" dxfId="3000" priority="64041" stopIfTrue="1" operator="notEqual">
      <formula>20500</formula>
    </cfRule>
  </conditionalFormatting>
  <conditionalFormatting sqref="K227">
    <cfRule type="expression" dxfId="2999" priority="64042" stopIfTrue="1">
      <formula>NOT(ISBLANK($K$227))</formula>
    </cfRule>
  </conditionalFormatting>
  <conditionalFormatting sqref="L227">
    <cfRule type="expression" dxfId="2998" priority="64043" stopIfTrue="1">
      <formula>NOT(ISBLANK($L$227))</formula>
    </cfRule>
  </conditionalFormatting>
  <conditionalFormatting sqref="M227">
    <cfRule type="expression" dxfId="2997" priority="64044" stopIfTrue="1">
      <formula>NOT(ISBLANK($M$227))</formula>
    </cfRule>
  </conditionalFormatting>
  <conditionalFormatting sqref="N227">
    <cfRule type="cellIs" dxfId="2996" priority="64045" stopIfTrue="1" operator="notEqual">
      <formula>"EBCT"</formula>
    </cfRule>
  </conditionalFormatting>
  <conditionalFormatting sqref="O227">
    <cfRule type="cellIs" dxfId="2995" priority="64046" stopIfTrue="1" operator="notEqual">
      <formula>7.5</formula>
    </cfRule>
  </conditionalFormatting>
  <conditionalFormatting sqref="P227">
    <cfRule type="expression" dxfId="2994" priority="64047" stopIfTrue="1">
      <formula>NOT(ISBLANK($P$227))</formula>
    </cfRule>
  </conditionalFormatting>
  <conditionalFormatting sqref="Q227">
    <cfRule type="expression" dxfId="2993" priority="64048" stopIfTrue="1">
      <formula>NOT(ISBLANK($Q$227))</formula>
    </cfRule>
  </conditionalFormatting>
  <conditionalFormatting sqref="R227">
    <cfRule type="expression" dxfId="2992" priority="64049" stopIfTrue="1">
      <formula>NOT(ISBLANK($R$227))</formula>
    </cfRule>
  </conditionalFormatting>
  <conditionalFormatting sqref="S227">
    <cfRule type="expression" dxfId="2991" priority="64050" stopIfTrue="1">
      <formula>NOT(ISBLANK($S$227))</formula>
    </cfRule>
  </conditionalFormatting>
  <conditionalFormatting sqref="T227">
    <cfRule type="expression" dxfId="2990" priority="64051" stopIfTrue="1">
      <formula>NOT(ISBLANK($T$227))</formula>
    </cfRule>
  </conditionalFormatting>
  <conditionalFormatting sqref="U227">
    <cfRule type="expression" dxfId="2989" priority="64052" stopIfTrue="1">
      <formula>NOT(ISBLANK($U$227))</formula>
    </cfRule>
  </conditionalFormatting>
  <conditionalFormatting sqref="V227">
    <cfRule type="expression" dxfId="2988" priority="64053" stopIfTrue="1">
      <formula>NOT(ISBLANK($V$227))</formula>
    </cfRule>
  </conditionalFormatting>
  <conditionalFormatting sqref="W227">
    <cfRule type="cellIs" dxfId="2987" priority="64054" stopIfTrue="1" operator="notEqual">
      <formula>6</formula>
    </cfRule>
  </conditionalFormatting>
  <conditionalFormatting sqref="X227">
    <cfRule type="cellIs" dxfId="2986" priority="64055" stopIfTrue="1" operator="notEqual">
      <formula>6</formula>
    </cfRule>
  </conditionalFormatting>
  <conditionalFormatting sqref="Y227">
    <cfRule type="cellIs" dxfId="2985" priority="64056" stopIfTrue="1" operator="notEqual">
      <formula>3</formula>
    </cfRule>
  </conditionalFormatting>
  <conditionalFormatting sqref="Z227">
    <cfRule type="cellIs" dxfId="2984" priority="64057" stopIfTrue="1" operator="notEqual">
      <formula>168</formula>
    </cfRule>
  </conditionalFormatting>
  <conditionalFormatting sqref="AA227">
    <cfRule type="cellIs" dxfId="2983" priority="64058" stopIfTrue="1" operator="notEqual">
      <formula>"POTW"</formula>
    </cfRule>
  </conditionalFormatting>
  <conditionalFormatting sqref="AB227">
    <cfRule type="cellIs" dxfId="2982" priority="64059" stopIfTrue="1" operator="notEqual">
      <formula>"holding tank"</formula>
    </cfRule>
  </conditionalFormatting>
  <conditionalFormatting sqref="AC227">
    <cfRule type="cellIs" dxfId="2981" priority="64060" stopIfTrue="1" operator="notEqual">
      <formula>"manual transfer"</formula>
    </cfRule>
  </conditionalFormatting>
  <conditionalFormatting sqref="AD227">
    <cfRule type="cellIs" dxfId="2980" priority="64061" stopIfTrue="1" operator="notEqual">
      <formula>"non-hazardous"</formula>
    </cfRule>
  </conditionalFormatting>
  <conditionalFormatting sqref="AE227">
    <cfRule type="expression" dxfId="2979" priority="64062" stopIfTrue="1">
      <formula>NOT(ISBLANK($AE$227))</formula>
    </cfRule>
  </conditionalFormatting>
  <conditionalFormatting sqref="AF227">
    <cfRule type="cellIs" dxfId="2978" priority="64063" stopIfTrue="1" operator="notEqual">
      <formula>0</formula>
    </cfRule>
  </conditionalFormatting>
  <conditionalFormatting sqref="AG227">
    <cfRule type="expression" dxfId="2977" priority="64064" stopIfTrue="1">
      <formula>NOT(ISBLANK($AG$227))</formula>
    </cfRule>
  </conditionalFormatting>
  <conditionalFormatting sqref="AH227">
    <cfRule type="expression" dxfId="2976" priority="64065" stopIfTrue="1">
      <formula>NOT(ISBLANK($AH$227))</formula>
    </cfRule>
  </conditionalFormatting>
  <conditionalFormatting sqref="AI227">
    <cfRule type="cellIs" dxfId="2975" priority="64066" stopIfTrue="1" operator="notEqual">
      <formula>"fully automated"</formula>
    </cfRule>
  </conditionalFormatting>
  <conditionalFormatting sqref="AJ227">
    <cfRule type="expression" dxfId="2974" priority="64067" stopIfTrue="1">
      <formula>NOT(ISBLANK($AJ$227))</formula>
    </cfRule>
  </conditionalFormatting>
  <conditionalFormatting sqref="AK227">
    <cfRule type="expression" dxfId="2973" priority="64068" stopIfTrue="1">
      <formula>NOT(ISBLANK($AK$227))</formula>
    </cfRule>
  </conditionalFormatting>
  <conditionalFormatting sqref="AL227">
    <cfRule type="expression" dxfId="2972" priority="64069" stopIfTrue="1">
      <formula>NOT(ISBLANK($AL$227))</formula>
    </cfRule>
  </conditionalFormatting>
  <conditionalFormatting sqref="AM227">
    <cfRule type="expression" dxfId="2971" priority="64070" stopIfTrue="1">
      <formula>NOT(ISBLANK($AM$227))</formula>
    </cfRule>
  </conditionalFormatting>
  <conditionalFormatting sqref="AN227">
    <cfRule type="expression" dxfId="2970" priority="64071" stopIfTrue="1">
      <formula>NOT(ISBLANK($AN$227))</formula>
    </cfRule>
  </conditionalFormatting>
  <conditionalFormatting sqref="AO227">
    <cfRule type="expression" dxfId="2969" priority="64072" stopIfTrue="1">
      <formula>NOT(ISBLANK($AO$227))</formula>
    </cfRule>
  </conditionalFormatting>
  <conditionalFormatting sqref="AP227">
    <cfRule type="expression" dxfId="2968" priority="64073" stopIfTrue="1">
      <formula>NOT(ISBLANK($AP$227))</formula>
    </cfRule>
  </conditionalFormatting>
  <conditionalFormatting sqref="AQ227">
    <cfRule type="expression" dxfId="2967" priority="64074" stopIfTrue="1">
      <formula>NOT(ISBLANK($AQ$227))</formula>
    </cfRule>
  </conditionalFormatting>
  <conditionalFormatting sqref="A228">
    <cfRule type="cellIs" dxfId="2966" priority="64075" stopIfTrue="1" operator="notEqual">
      <formula>14</formula>
    </cfRule>
  </conditionalFormatting>
  <conditionalFormatting sqref="B228">
    <cfRule type="cellIs" dxfId="2965" priority="64076" stopIfTrue="1" operator="notEqual">
      <formula>2</formula>
    </cfRule>
  </conditionalFormatting>
  <conditionalFormatting sqref="C228">
    <cfRule type="cellIs" dxfId="2964" priority="64077" stopIfTrue="1" operator="notEqual">
      <formula>4</formula>
    </cfRule>
  </conditionalFormatting>
  <conditionalFormatting sqref="D228">
    <cfRule type="cellIs" dxfId="2963" priority="64078" stopIfTrue="1" operator="notEqual">
      <formula>0.74</formula>
    </cfRule>
  </conditionalFormatting>
  <conditionalFormatting sqref="E228">
    <cfRule type="cellIs" dxfId="2962" priority="64079" stopIfTrue="1" operator="notEqual">
      <formula>"MGD"</formula>
    </cfRule>
  </conditionalFormatting>
  <conditionalFormatting sqref="F228">
    <cfRule type="cellIs" dxfId="2961" priority="64080" stopIfTrue="1" operator="notEqual">
      <formula>0.251</formula>
    </cfRule>
  </conditionalFormatting>
  <conditionalFormatting sqref="G228">
    <cfRule type="cellIs" dxfId="2960" priority="64081" stopIfTrue="1" operator="notEqual">
      <formula>"MGD"</formula>
    </cfRule>
  </conditionalFormatting>
  <conditionalFormatting sqref="H228">
    <cfRule type="cellIs" dxfId="2959" priority="64082" stopIfTrue="1" operator="notEqual">
      <formula>"regeneration off-site (non-hazardous)"</formula>
    </cfRule>
  </conditionalFormatting>
  <conditionalFormatting sqref="I228">
    <cfRule type="cellIs" dxfId="2958" priority="64083" stopIfTrue="1" operator="notEqual">
      <formula>"carbon life value- bed volumes"</formula>
    </cfRule>
  </conditionalFormatting>
  <conditionalFormatting sqref="J228">
    <cfRule type="cellIs" dxfId="2957" priority="64084" stopIfTrue="1" operator="notEqual">
      <formula>20500</formula>
    </cfRule>
  </conditionalFormatting>
  <conditionalFormatting sqref="K228">
    <cfRule type="expression" dxfId="2956" priority="64085" stopIfTrue="1">
      <formula>NOT(ISBLANK($K$228))</formula>
    </cfRule>
  </conditionalFormatting>
  <conditionalFormatting sqref="L228">
    <cfRule type="expression" dxfId="2955" priority="64086" stopIfTrue="1">
      <formula>NOT(ISBLANK($L$228))</formula>
    </cfRule>
  </conditionalFormatting>
  <conditionalFormatting sqref="M228">
    <cfRule type="expression" dxfId="2954" priority="64087" stopIfTrue="1">
      <formula>NOT(ISBLANK($M$228))</formula>
    </cfRule>
  </conditionalFormatting>
  <conditionalFormatting sqref="N228">
    <cfRule type="cellIs" dxfId="2953" priority="64088" stopIfTrue="1" operator="notEqual">
      <formula>"EBCT"</formula>
    </cfRule>
  </conditionalFormatting>
  <conditionalFormatting sqref="O228">
    <cfRule type="cellIs" dxfId="2952" priority="64089" stopIfTrue="1" operator="notEqual">
      <formula>7.5</formula>
    </cfRule>
  </conditionalFormatting>
  <conditionalFormatting sqref="P228">
    <cfRule type="expression" dxfId="2951" priority="64090" stopIfTrue="1">
      <formula>NOT(ISBLANK($P$228))</formula>
    </cfRule>
  </conditionalFormatting>
  <conditionalFormatting sqref="Q228">
    <cfRule type="expression" dxfId="2950" priority="64091" stopIfTrue="1">
      <formula>NOT(ISBLANK($Q$228))</formula>
    </cfRule>
  </conditionalFormatting>
  <conditionalFormatting sqref="R228">
    <cfRule type="expression" dxfId="2949" priority="64092" stopIfTrue="1">
      <formula>NOT(ISBLANK($R$228))</formula>
    </cfRule>
  </conditionalFormatting>
  <conditionalFormatting sqref="S228">
    <cfRule type="expression" dxfId="2948" priority="64093" stopIfTrue="1">
      <formula>NOT(ISBLANK($S$228))</formula>
    </cfRule>
  </conditionalFormatting>
  <conditionalFormatting sqref="T228">
    <cfRule type="expression" dxfId="2947" priority="64094" stopIfTrue="1">
      <formula>NOT(ISBLANK($T$228))</formula>
    </cfRule>
  </conditionalFormatting>
  <conditionalFormatting sqref="U228">
    <cfRule type="expression" dxfId="2946" priority="64095" stopIfTrue="1">
      <formula>NOT(ISBLANK($U$228))</formula>
    </cfRule>
  </conditionalFormatting>
  <conditionalFormatting sqref="V228">
    <cfRule type="expression" dxfId="2945" priority="64096" stopIfTrue="1">
      <formula>NOT(ISBLANK($V$228))</formula>
    </cfRule>
  </conditionalFormatting>
  <conditionalFormatting sqref="W228">
    <cfRule type="cellIs" dxfId="2944" priority="64097" stopIfTrue="1" operator="notEqual">
      <formula>7</formula>
    </cfRule>
  </conditionalFormatting>
  <conditionalFormatting sqref="X228">
    <cfRule type="cellIs" dxfId="2943" priority="64098" stopIfTrue="1" operator="notEqual">
      <formula>7</formula>
    </cfRule>
  </conditionalFormatting>
  <conditionalFormatting sqref="Y228">
    <cfRule type="cellIs" dxfId="2942" priority="64099" stopIfTrue="1" operator="notEqual">
      <formula>5.3</formula>
    </cfRule>
  </conditionalFormatting>
  <conditionalFormatting sqref="Z228">
    <cfRule type="cellIs" dxfId="2941" priority="64100" stopIfTrue="1" operator="notEqual">
      <formula>168</formula>
    </cfRule>
  </conditionalFormatting>
  <conditionalFormatting sqref="AA228">
    <cfRule type="cellIs" dxfId="2940" priority="64101" stopIfTrue="1" operator="notEqual">
      <formula>"POTW"</formula>
    </cfRule>
  </conditionalFormatting>
  <conditionalFormatting sqref="AB228">
    <cfRule type="cellIs" dxfId="2939" priority="64102" stopIfTrue="1" operator="notEqual">
      <formula>"holding tank"</formula>
    </cfRule>
  </conditionalFormatting>
  <conditionalFormatting sqref="AC228">
    <cfRule type="cellIs" dxfId="2938" priority="64103" stopIfTrue="1" operator="notEqual">
      <formula>"manual transfer"</formula>
    </cfRule>
  </conditionalFormatting>
  <conditionalFormatting sqref="AD228">
    <cfRule type="cellIs" dxfId="2937" priority="64104" stopIfTrue="1" operator="notEqual">
      <formula>"non-hazardous"</formula>
    </cfRule>
  </conditionalFormatting>
  <conditionalFormatting sqref="AE228">
    <cfRule type="expression" dxfId="2936" priority="64105" stopIfTrue="1">
      <formula>NOT(ISBLANK($AE$228))</formula>
    </cfRule>
  </conditionalFormatting>
  <conditionalFormatting sqref="AF228">
    <cfRule type="cellIs" dxfId="2935" priority="64106" stopIfTrue="1" operator="notEqual">
      <formula>0</formula>
    </cfRule>
  </conditionalFormatting>
  <conditionalFormatting sqref="AG228">
    <cfRule type="expression" dxfId="2934" priority="64107" stopIfTrue="1">
      <formula>NOT(ISBLANK($AG$228))</formula>
    </cfRule>
  </conditionalFormatting>
  <conditionalFormatting sqref="AH228">
    <cfRule type="expression" dxfId="2933" priority="64108" stopIfTrue="1">
      <formula>NOT(ISBLANK($AH$228))</formula>
    </cfRule>
  </conditionalFormatting>
  <conditionalFormatting sqref="AI228">
    <cfRule type="cellIs" dxfId="2932" priority="64109" stopIfTrue="1" operator="notEqual">
      <formula>"fully automated"</formula>
    </cfRule>
  </conditionalFormatting>
  <conditionalFormatting sqref="AJ228">
    <cfRule type="expression" dxfId="2931" priority="64110" stopIfTrue="1">
      <formula>NOT(ISBLANK($AJ$228))</formula>
    </cfRule>
  </conditionalFormatting>
  <conditionalFormatting sqref="AK228">
    <cfRule type="expression" dxfId="2930" priority="64111" stopIfTrue="1">
      <formula>NOT(ISBLANK($AK$228))</formula>
    </cfRule>
  </conditionalFormatting>
  <conditionalFormatting sqref="AL228">
    <cfRule type="expression" dxfId="2929" priority="64112" stopIfTrue="1">
      <formula>NOT(ISBLANK($AL$228))</formula>
    </cfRule>
  </conditionalFormatting>
  <conditionalFormatting sqref="AM228">
    <cfRule type="expression" dxfId="2928" priority="64113" stopIfTrue="1">
      <formula>NOT(ISBLANK($AM$228))</formula>
    </cfRule>
  </conditionalFormatting>
  <conditionalFormatting sqref="AN228">
    <cfRule type="expression" dxfId="2927" priority="64114" stopIfTrue="1">
      <formula>NOT(ISBLANK($AN$228))</formula>
    </cfRule>
  </conditionalFormatting>
  <conditionalFormatting sqref="AO228">
    <cfRule type="expression" dxfId="2926" priority="64115" stopIfTrue="1">
      <formula>NOT(ISBLANK($AO$228))</formula>
    </cfRule>
  </conditionalFormatting>
  <conditionalFormatting sqref="AP228">
    <cfRule type="expression" dxfId="2925" priority="64116" stopIfTrue="1">
      <formula>NOT(ISBLANK($AP$228))</formula>
    </cfRule>
  </conditionalFormatting>
  <conditionalFormatting sqref="AQ228">
    <cfRule type="expression" dxfId="2924" priority="64117" stopIfTrue="1">
      <formula>NOT(ISBLANK($AQ$228))</formula>
    </cfRule>
  </conditionalFormatting>
  <conditionalFormatting sqref="A229">
    <cfRule type="cellIs" dxfId="2923" priority="64118" stopIfTrue="1" operator="notEqual">
      <formula>14</formula>
    </cfRule>
  </conditionalFormatting>
  <conditionalFormatting sqref="B229">
    <cfRule type="cellIs" dxfId="2922" priority="64119" stopIfTrue="1" operator="notEqual">
      <formula>2</formula>
    </cfRule>
  </conditionalFormatting>
  <conditionalFormatting sqref="C229">
    <cfRule type="cellIs" dxfId="2921" priority="64120" stopIfTrue="1" operator="notEqual">
      <formula>5</formula>
    </cfRule>
  </conditionalFormatting>
  <conditionalFormatting sqref="D229">
    <cfRule type="cellIs" dxfId="2920" priority="64121" stopIfTrue="1" operator="notEqual">
      <formula>2.152</formula>
    </cfRule>
  </conditionalFormatting>
  <conditionalFormatting sqref="E229">
    <cfRule type="cellIs" dxfId="2919" priority="64122" stopIfTrue="1" operator="notEqual">
      <formula>"MGD"</formula>
    </cfRule>
  </conditionalFormatting>
  <conditionalFormatting sqref="F229">
    <cfRule type="cellIs" dxfId="2918" priority="64123" stopIfTrue="1" operator="notEqual">
      <formula>0.819</formula>
    </cfRule>
  </conditionalFormatting>
  <conditionalFormatting sqref="G229">
    <cfRule type="cellIs" dxfId="2917" priority="64124" stopIfTrue="1" operator="notEqual">
      <formula>"MGD"</formula>
    </cfRule>
  </conditionalFormatting>
  <conditionalFormatting sqref="H229">
    <cfRule type="cellIs" dxfId="2916" priority="64125" stopIfTrue="1" operator="notEqual">
      <formula>"regeneration off-site (non-hazardous)"</formula>
    </cfRule>
  </conditionalFormatting>
  <conditionalFormatting sqref="I229">
    <cfRule type="cellIs" dxfId="2915" priority="64126" stopIfTrue="1" operator="notEqual">
      <formula>"carbon life value- bed volumes"</formula>
    </cfRule>
  </conditionalFormatting>
  <conditionalFormatting sqref="J229">
    <cfRule type="cellIs" dxfId="2914" priority="64127" stopIfTrue="1" operator="notEqual">
      <formula>20500</formula>
    </cfRule>
  </conditionalFormatting>
  <conditionalFormatting sqref="K229">
    <cfRule type="expression" dxfId="2913" priority="64128" stopIfTrue="1">
      <formula>NOT(ISBLANK($K$229))</formula>
    </cfRule>
  </conditionalFormatting>
  <conditionalFormatting sqref="L229">
    <cfRule type="expression" dxfId="2912" priority="64129" stopIfTrue="1">
      <formula>NOT(ISBLANK($L$229))</formula>
    </cfRule>
  </conditionalFormatting>
  <conditionalFormatting sqref="M229">
    <cfRule type="expression" dxfId="2911" priority="64130" stopIfTrue="1">
      <formula>NOT(ISBLANK($M$229))</formula>
    </cfRule>
  </conditionalFormatting>
  <conditionalFormatting sqref="N229">
    <cfRule type="cellIs" dxfId="2910" priority="64131" stopIfTrue="1" operator="notEqual">
      <formula>"EBCT"</formula>
    </cfRule>
  </conditionalFormatting>
  <conditionalFormatting sqref="O229">
    <cfRule type="cellIs" dxfId="2909" priority="64132" stopIfTrue="1" operator="notEqual">
      <formula>7.5</formula>
    </cfRule>
  </conditionalFormatting>
  <conditionalFormatting sqref="P229">
    <cfRule type="expression" dxfId="2908" priority="64133" stopIfTrue="1">
      <formula>NOT(ISBLANK($P$229))</formula>
    </cfRule>
  </conditionalFormatting>
  <conditionalFormatting sqref="Q229">
    <cfRule type="expression" dxfId="2907" priority="64134" stopIfTrue="1">
      <formula>NOT(ISBLANK($Q$229))</formula>
    </cfRule>
  </conditionalFormatting>
  <conditionalFormatting sqref="R229">
    <cfRule type="expression" dxfId="2906" priority="64135" stopIfTrue="1">
      <formula>NOT(ISBLANK($R$229))</formula>
    </cfRule>
  </conditionalFormatting>
  <conditionalFormatting sqref="S229">
    <cfRule type="expression" dxfId="2905" priority="64136" stopIfTrue="1">
      <formula>NOT(ISBLANK($S$229))</formula>
    </cfRule>
  </conditionalFormatting>
  <conditionalFormatting sqref="T229">
    <cfRule type="expression" dxfId="2904" priority="64137" stopIfTrue="1">
      <formula>NOT(ISBLANK($T$229))</formula>
    </cfRule>
  </conditionalFormatting>
  <conditionalFormatting sqref="U229">
    <cfRule type="expression" dxfId="2903" priority="64138" stopIfTrue="1">
      <formula>NOT(ISBLANK($U$229))</formula>
    </cfRule>
  </conditionalFormatting>
  <conditionalFormatting sqref="V229">
    <cfRule type="expression" dxfId="2902" priority="64139" stopIfTrue="1">
      <formula>NOT(ISBLANK($V$229))</formula>
    </cfRule>
  </conditionalFormatting>
  <conditionalFormatting sqref="W229">
    <cfRule type="cellIs" dxfId="2901" priority="64140" stopIfTrue="1" operator="notEqual">
      <formula>8</formula>
    </cfRule>
  </conditionalFormatting>
  <conditionalFormatting sqref="X229">
    <cfRule type="cellIs" dxfId="2900" priority="64141" stopIfTrue="1" operator="notEqual">
      <formula>8</formula>
    </cfRule>
  </conditionalFormatting>
  <conditionalFormatting sqref="Y229">
    <cfRule type="cellIs" dxfId="2899" priority="64142" stopIfTrue="1" operator="notEqual">
      <formula>7.9</formula>
    </cfRule>
  </conditionalFormatting>
  <conditionalFormatting sqref="Z229">
    <cfRule type="cellIs" dxfId="2898" priority="64143" stopIfTrue="1" operator="notEqual">
      <formula>168</formula>
    </cfRule>
  </conditionalFormatting>
  <conditionalFormatting sqref="AA229">
    <cfRule type="cellIs" dxfId="2897" priority="64144" stopIfTrue="1" operator="notEqual">
      <formula>"POTW"</formula>
    </cfRule>
  </conditionalFormatting>
  <conditionalFormatting sqref="AB229">
    <cfRule type="cellIs" dxfId="2896" priority="64145" stopIfTrue="1" operator="notEqual">
      <formula>"holding tank"</formula>
    </cfRule>
  </conditionalFormatting>
  <conditionalFormatting sqref="AC229">
    <cfRule type="cellIs" dxfId="2895" priority="64146" stopIfTrue="1" operator="notEqual">
      <formula>"manual transfer"</formula>
    </cfRule>
  </conditionalFormatting>
  <conditionalFormatting sqref="AD229">
    <cfRule type="cellIs" dxfId="2894" priority="64147" stopIfTrue="1" operator="notEqual">
      <formula>"non-hazardous"</formula>
    </cfRule>
  </conditionalFormatting>
  <conditionalFormatting sqref="AE229">
    <cfRule type="expression" dxfId="2893" priority="64148" stopIfTrue="1">
      <formula>NOT(ISBLANK($AE$229))</formula>
    </cfRule>
  </conditionalFormatting>
  <conditionalFormatting sqref="AF229">
    <cfRule type="cellIs" dxfId="2892" priority="64149" stopIfTrue="1" operator="notEqual">
      <formula>0</formula>
    </cfRule>
  </conditionalFormatting>
  <conditionalFormatting sqref="AG229">
    <cfRule type="expression" dxfId="2891" priority="64150" stopIfTrue="1">
      <formula>NOT(ISBLANK($AG$229))</formula>
    </cfRule>
  </conditionalFormatting>
  <conditionalFormatting sqref="AH229">
    <cfRule type="expression" dxfId="2890" priority="64151" stopIfTrue="1">
      <formula>NOT(ISBLANK($AH$229))</formula>
    </cfRule>
  </conditionalFormatting>
  <conditionalFormatting sqref="AI229">
    <cfRule type="cellIs" dxfId="2889" priority="64152" stopIfTrue="1" operator="notEqual">
      <formula>"fully automated"</formula>
    </cfRule>
  </conditionalFormatting>
  <conditionalFormatting sqref="AJ229">
    <cfRule type="expression" dxfId="2888" priority="64153" stopIfTrue="1">
      <formula>NOT(ISBLANK($AJ$229))</formula>
    </cfRule>
  </conditionalFormatting>
  <conditionalFormatting sqref="AK229">
    <cfRule type="expression" dxfId="2887" priority="64154" stopIfTrue="1">
      <formula>NOT(ISBLANK($AK$229))</formula>
    </cfRule>
  </conditionalFormatting>
  <conditionalFormatting sqref="AL229">
    <cfRule type="expression" dxfId="2886" priority="64155" stopIfTrue="1">
      <formula>NOT(ISBLANK($AL$229))</formula>
    </cfRule>
  </conditionalFormatting>
  <conditionalFormatting sqref="AM229">
    <cfRule type="expression" dxfId="2885" priority="64156" stopIfTrue="1">
      <formula>NOT(ISBLANK($AM$229))</formula>
    </cfRule>
  </conditionalFormatting>
  <conditionalFormatting sqref="AN229">
    <cfRule type="expression" dxfId="2884" priority="64157" stopIfTrue="1">
      <formula>NOT(ISBLANK($AN$229))</formula>
    </cfRule>
  </conditionalFormatting>
  <conditionalFormatting sqref="AO229">
    <cfRule type="expression" dxfId="2883" priority="64158" stopIfTrue="1">
      <formula>NOT(ISBLANK($AO$229))</formula>
    </cfRule>
  </conditionalFormatting>
  <conditionalFormatting sqref="AP229">
    <cfRule type="expression" dxfId="2882" priority="64159" stopIfTrue="1">
      <formula>NOT(ISBLANK($AP$229))</formula>
    </cfRule>
  </conditionalFormatting>
  <conditionalFormatting sqref="AQ229">
    <cfRule type="expression" dxfId="2881" priority="64160" stopIfTrue="1">
      <formula>NOT(ISBLANK($AQ$229))</formula>
    </cfRule>
  </conditionalFormatting>
  <conditionalFormatting sqref="A230">
    <cfRule type="cellIs" dxfId="2880" priority="64161" stopIfTrue="1" operator="notEqual">
      <formula>14</formula>
    </cfRule>
  </conditionalFormatting>
  <conditionalFormatting sqref="B230">
    <cfRule type="cellIs" dxfId="2879" priority="64162" stopIfTrue="1" operator="notEqual">
      <formula>2</formula>
    </cfRule>
  </conditionalFormatting>
  <conditionalFormatting sqref="C230">
    <cfRule type="cellIs" dxfId="2878" priority="64163" stopIfTrue="1" operator="notEqual">
      <formula>6</formula>
    </cfRule>
  </conditionalFormatting>
  <conditionalFormatting sqref="D230">
    <cfRule type="cellIs" dxfId="2877" priority="64164" stopIfTrue="1" operator="notEqual">
      <formula>7.365</formula>
    </cfRule>
  </conditionalFormatting>
  <conditionalFormatting sqref="E230">
    <cfRule type="cellIs" dxfId="2876" priority="64165" stopIfTrue="1" operator="notEqual">
      <formula>"MGD"</formula>
    </cfRule>
  </conditionalFormatting>
  <conditionalFormatting sqref="F230">
    <cfRule type="cellIs" dxfId="2875" priority="64166" stopIfTrue="1" operator="notEqual">
      <formula>3.2</formula>
    </cfRule>
  </conditionalFormatting>
  <conditionalFormatting sqref="G230">
    <cfRule type="cellIs" dxfId="2874" priority="64167" stopIfTrue="1" operator="notEqual">
      <formula>"MGD"</formula>
    </cfRule>
  </conditionalFormatting>
  <conditionalFormatting sqref="H230">
    <cfRule type="cellIs" dxfId="2873" priority="64168" stopIfTrue="1" operator="notEqual">
      <formula>"regeneration off-site (non-hazardous)"</formula>
    </cfRule>
  </conditionalFormatting>
  <conditionalFormatting sqref="I230">
    <cfRule type="cellIs" dxfId="2872" priority="64169" stopIfTrue="1" operator="notEqual">
      <formula>"carbon life value- bed volumes"</formula>
    </cfRule>
  </conditionalFormatting>
  <conditionalFormatting sqref="J230">
    <cfRule type="cellIs" dxfId="2871" priority="64170" stopIfTrue="1" operator="notEqual">
      <formula>20500</formula>
    </cfRule>
  </conditionalFormatting>
  <conditionalFormatting sqref="K230">
    <cfRule type="expression" dxfId="2870" priority="64171" stopIfTrue="1">
      <formula>NOT(ISBLANK($K$230))</formula>
    </cfRule>
  </conditionalFormatting>
  <conditionalFormatting sqref="L230">
    <cfRule type="expression" dxfId="2869" priority="64172" stopIfTrue="1">
      <formula>NOT(ISBLANK($L$230))</formula>
    </cfRule>
  </conditionalFormatting>
  <conditionalFormatting sqref="M230">
    <cfRule type="expression" dxfId="2868" priority="64173" stopIfTrue="1">
      <formula>NOT(ISBLANK($M$230))</formula>
    </cfRule>
  </conditionalFormatting>
  <conditionalFormatting sqref="N230">
    <cfRule type="cellIs" dxfId="2867" priority="64174" stopIfTrue="1" operator="notEqual">
      <formula>"EBCT"</formula>
    </cfRule>
  </conditionalFormatting>
  <conditionalFormatting sqref="O230">
    <cfRule type="cellIs" dxfId="2866" priority="64175" stopIfTrue="1" operator="notEqual">
      <formula>7.5</formula>
    </cfRule>
  </conditionalFormatting>
  <conditionalFormatting sqref="P230">
    <cfRule type="expression" dxfId="2865" priority="64176" stopIfTrue="1">
      <formula>NOT(ISBLANK($P$230))</formula>
    </cfRule>
  </conditionalFormatting>
  <conditionalFormatting sqref="Q230">
    <cfRule type="expression" dxfId="2864" priority="64177" stopIfTrue="1">
      <formula>NOT(ISBLANK($Q$230))</formula>
    </cfRule>
  </conditionalFormatting>
  <conditionalFormatting sqref="R230">
    <cfRule type="expression" dxfId="2863" priority="64178" stopIfTrue="1">
      <formula>NOT(ISBLANK($R$230))</formula>
    </cfRule>
  </conditionalFormatting>
  <conditionalFormatting sqref="S230">
    <cfRule type="expression" dxfId="2862" priority="64179" stopIfTrue="1">
      <formula>NOT(ISBLANK($S$230))</formula>
    </cfRule>
  </conditionalFormatting>
  <conditionalFormatting sqref="T230">
    <cfRule type="expression" dxfId="2861" priority="64180" stopIfTrue="1">
      <formula>NOT(ISBLANK($T$230))</formula>
    </cfRule>
  </conditionalFormatting>
  <conditionalFormatting sqref="U230">
    <cfRule type="expression" dxfId="2860" priority="64181" stopIfTrue="1">
      <formula>NOT(ISBLANK($U$230))</formula>
    </cfRule>
  </conditionalFormatting>
  <conditionalFormatting sqref="V230">
    <cfRule type="expression" dxfId="2859" priority="64182" stopIfTrue="1">
      <formula>NOT(ISBLANK($V$230))</formula>
    </cfRule>
  </conditionalFormatting>
  <conditionalFormatting sqref="W230">
    <cfRule type="cellIs" dxfId="2858" priority="64183" stopIfTrue="1" operator="notEqual">
      <formula>11.5</formula>
    </cfRule>
  </conditionalFormatting>
  <conditionalFormatting sqref="X230">
    <cfRule type="cellIs" dxfId="2857" priority="64184" stopIfTrue="1" operator="notEqual">
      <formula>11.5</formula>
    </cfRule>
  </conditionalFormatting>
  <conditionalFormatting sqref="Y230">
    <cfRule type="cellIs" dxfId="2856" priority="64185" stopIfTrue="1" operator="notEqual">
      <formula>7.8</formula>
    </cfRule>
  </conditionalFormatting>
  <conditionalFormatting sqref="Z230">
    <cfRule type="cellIs" dxfId="2855" priority="64186" stopIfTrue="1" operator="notEqual">
      <formula>168</formula>
    </cfRule>
  </conditionalFormatting>
  <conditionalFormatting sqref="AA230">
    <cfRule type="cellIs" dxfId="2854" priority="64187" stopIfTrue="1" operator="notEqual">
      <formula>"POTW"</formula>
    </cfRule>
  </conditionalFormatting>
  <conditionalFormatting sqref="AB230">
    <cfRule type="cellIs" dxfId="2853" priority="64188" stopIfTrue="1" operator="notEqual">
      <formula>"holding tank"</formula>
    </cfRule>
  </conditionalFormatting>
  <conditionalFormatting sqref="AC230">
    <cfRule type="cellIs" dxfId="2852" priority="64189" stopIfTrue="1" operator="notEqual">
      <formula>"eductors"</formula>
    </cfRule>
  </conditionalFormatting>
  <conditionalFormatting sqref="AD230">
    <cfRule type="cellIs" dxfId="2851" priority="64190" stopIfTrue="1" operator="notEqual">
      <formula>"non-hazardous"</formula>
    </cfRule>
  </conditionalFormatting>
  <conditionalFormatting sqref="AE230">
    <cfRule type="expression" dxfId="2850" priority="64191" stopIfTrue="1">
      <formula>NOT(ISBLANK($AE$230))</formula>
    </cfRule>
  </conditionalFormatting>
  <conditionalFormatting sqref="AF230">
    <cfRule type="cellIs" dxfId="2849" priority="64192" stopIfTrue="1" operator="notEqual">
      <formula>0</formula>
    </cfRule>
  </conditionalFormatting>
  <conditionalFormatting sqref="AG230">
    <cfRule type="expression" dxfId="2848" priority="64193" stopIfTrue="1">
      <formula>NOT(ISBLANK($AG$230))</formula>
    </cfRule>
  </conditionalFormatting>
  <conditionalFormatting sqref="AH230">
    <cfRule type="expression" dxfId="2847" priority="64194" stopIfTrue="1">
      <formula>NOT(ISBLANK($AH$230))</formula>
    </cfRule>
  </conditionalFormatting>
  <conditionalFormatting sqref="AI230">
    <cfRule type="cellIs" dxfId="2846" priority="64195" stopIfTrue="1" operator="notEqual">
      <formula>"fully automated"</formula>
    </cfRule>
  </conditionalFormatting>
  <conditionalFormatting sqref="AJ230">
    <cfRule type="expression" dxfId="2845" priority="64196" stopIfTrue="1">
      <formula>NOT(ISBLANK($AJ$230))</formula>
    </cfRule>
  </conditionalFormatting>
  <conditionalFormatting sqref="AK230">
    <cfRule type="expression" dxfId="2844" priority="64197" stopIfTrue="1">
      <formula>NOT(ISBLANK($AK$230))</formula>
    </cfRule>
  </conditionalFormatting>
  <conditionalFormatting sqref="AL230">
    <cfRule type="expression" dxfId="2843" priority="64198" stopIfTrue="1">
      <formula>NOT(ISBLANK($AL$230))</formula>
    </cfRule>
  </conditionalFormatting>
  <conditionalFormatting sqref="AM230">
    <cfRule type="expression" dxfId="2842" priority="64199" stopIfTrue="1">
      <formula>NOT(ISBLANK($AM$230))</formula>
    </cfRule>
  </conditionalFormatting>
  <conditionalFormatting sqref="AN230">
    <cfRule type="expression" dxfId="2841" priority="64200" stopIfTrue="1">
      <formula>NOT(ISBLANK($AN$230))</formula>
    </cfRule>
  </conditionalFormatting>
  <conditionalFormatting sqref="AO230">
    <cfRule type="expression" dxfId="2840" priority="64201" stopIfTrue="1">
      <formula>NOT(ISBLANK($AO$230))</formula>
    </cfRule>
  </conditionalFormatting>
  <conditionalFormatting sqref="AP230">
    <cfRule type="expression" dxfId="2839" priority="64202" stopIfTrue="1">
      <formula>NOT(ISBLANK($AP$230))</formula>
    </cfRule>
  </conditionalFormatting>
  <conditionalFormatting sqref="AQ230">
    <cfRule type="expression" dxfId="2838" priority="64203" stopIfTrue="1">
      <formula>NOT(ISBLANK($AQ$230))</formula>
    </cfRule>
  </conditionalFormatting>
  <conditionalFormatting sqref="A231">
    <cfRule type="cellIs" dxfId="2837" priority="64204" stopIfTrue="1" operator="notEqual">
      <formula>14</formula>
    </cfRule>
  </conditionalFormatting>
  <conditionalFormatting sqref="B231">
    <cfRule type="cellIs" dxfId="2836" priority="64205" stopIfTrue="1" operator="notEqual">
      <formula>2</formula>
    </cfRule>
  </conditionalFormatting>
  <conditionalFormatting sqref="C231">
    <cfRule type="cellIs" dxfId="2835" priority="64206" stopIfTrue="1" operator="notEqual">
      <formula>7</formula>
    </cfRule>
  </conditionalFormatting>
  <conditionalFormatting sqref="D231">
    <cfRule type="cellIs" dxfId="2834" priority="64207" stopIfTrue="1" operator="notEqual">
      <formula>22.614</formula>
    </cfRule>
  </conditionalFormatting>
  <conditionalFormatting sqref="E231">
    <cfRule type="cellIs" dxfId="2833" priority="64208" stopIfTrue="1" operator="notEqual">
      <formula>"MGD"</formula>
    </cfRule>
  </conditionalFormatting>
  <conditionalFormatting sqref="F231">
    <cfRule type="cellIs" dxfId="2832" priority="64209" stopIfTrue="1" operator="notEqual">
      <formula>11.066</formula>
    </cfRule>
  </conditionalFormatting>
  <conditionalFormatting sqref="G231">
    <cfRule type="cellIs" dxfId="2831" priority="64210" stopIfTrue="1" operator="notEqual">
      <formula>"MGD"</formula>
    </cfRule>
  </conditionalFormatting>
  <conditionalFormatting sqref="H231">
    <cfRule type="cellIs" dxfId="2830" priority="64211" stopIfTrue="1" operator="notEqual">
      <formula>"regeneration off-site (non-hazardous)"</formula>
    </cfRule>
  </conditionalFormatting>
  <conditionalFormatting sqref="I231">
    <cfRule type="cellIs" dxfId="2829" priority="64212" stopIfTrue="1" operator="notEqual">
      <formula>"carbon life value- bed volumes"</formula>
    </cfRule>
  </conditionalFormatting>
  <conditionalFormatting sqref="J231">
    <cfRule type="cellIs" dxfId="2828" priority="64213" stopIfTrue="1" operator="notEqual">
      <formula>20500</formula>
    </cfRule>
  </conditionalFormatting>
  <conditionalFormatting sqref="K231">
    <cfRule type="expression" dxfId="2827" priority="64214" stopIfTrue="1">
      <formula>NOT(ISBLANK($K$231))</formula>
    </cfRule>
  </conditionalFormatting>
  <conditionalFormatting sqref="L231">
    <cfRule type="expression" dxfId="2826" priority="64215" stopIfTrue="1">
      <formula>NOT(ISBLANK($L$231))</formula>
    </cfRule>
  </conditionalFormatting>
  <conditionalFormatting sqref="M231">
    <cfRule type="expression" dxfId="2825" priority="64216" stopIfTrue="1">
      <formula>NOT(ISBLANK($M$231))</formula>
    </cfRule>
  </conditionalFormatting>
  <conditionalFormatting sqref="N231">
    <cfRule type="cellIs" dxfId="2824" priority="64217" stopIfTrue="1" operator="notEqual">
      <formula>"EBCT"</formula>
    </cfRule>
  </conditionalFormatting>
  <conditionalFormatting sqref="O231">
    <cfRule type="cellIs" dxfId="2823" priority="64218" stopIfTrue="1" operator="notEqual">
      <formula>7.5</formula>
    </cfRule>
  </conditionalFormatting>
  <conditionalFormatting sqref="P231">
    <cfRule type="expression" dxfId="2822" priority="64219" stopIfTrue="1">
      <formula>NOT(ISBLANK($P$231))</formula>
    </cfRule>
  </conditionalFormatting>
  <conditionalFormatting sqref="Q231">
    <cfRule type="expression" dxfId="2821" priority="64220" stopIfTrue="1">
      <formula>NOT(ISBLANK($Q$231))</formula>
    </cfRule>
  </conditionalFormatting>
  <conditionalFormatting sqref="R231">
    <cfRule type="expression" dxfId="2820" priority="64221" stopIfTrue="1">
      <formula>NOT(ISBLANK($R$231))</formula>
    </cfRule>
  </conditionalFormatting>
  <conditionalFormatting sqref="S231">
    <cfRule type="expression" dxfId="2819" priority="64222" stopIfTrue="1">
      <formula>NOT(ISBLANK($S$231))</formula>
    </cfRule>
  </conditionalFormatting>
  <conditionalFormatting sqref="T231">
    <cfRule type="expression" dxfId="2818" priority="64223" stopIfTrue="1">
      <formula>NOT(ISBLANK($T$231))</formula>
    </cfRule>
  </conditionalFormatting>
  <conditionalFormatting sqref="U231">
    <cfRule type="expression" dxfId="2817" priority="64224" stopIfTrue="1">
      <formula>NOT(ISBLANK($U$231))</formula>
    </cfRule>
  </conditionalFormatting>
  <conditionalFormatting sqref="V231">
    <cfRule type="expression" dxfId="2816" priority="64225" stopIfTrue="1">
      <formula>NOT(ISBLANK($V$231))</formula>
    </cfRule>
  </conditionalFormatting>
  <conditionalFormatting sqref="W231">
    <cfRule type="cellIs" dxfId="2815" priority="64226" stopIfTrue="1" operator="notEqual">
      <formula>15</formula>
    </cfRule>
  </conditionalFormatting>
  <conditionalFormatting sqref="X231">
    <cfRule type="cellIs" dxfId="2814" priority="64227" stopIfTrue="1" operator="notEqual">
      <formula>15</formula>
    </cfRule>
  </conditionalFormatting>
  <conditionalFormatting sqref="Y231">
    <cfRule type="cellIs" dxfId="2813" priority="64228" stopIfTrue="1" operator="notEqual">
      <formula>7.8</formula>
    </cfRule>
  </conditionalFormatting>
  <conditionalFormatting sqref="Z231">
    <cfRule type="cellIs" dxfId="2812" priority="64229" stopIfTrue="1" operator="notEqual">
      <formula>168</formula>
    </cfRule>
  </conditionalFormatting>
  <conditionalFormatting sqref="AA231">
    <cfRule type="cellIs" dxfId="2811" priority="64230" stopIfTrue="1" operator="notEqual">
      <formula>"POTW"</formula>
    </cfRule>
  </conditionalFormatting>
  <conditionalFormatting sqref="AB231">
    <cfRule type="cellIs" dxfId="2810" priority="64231" stopIfTrue="1" operator="notEqual">
      <formula>"holding tank"</formula>
    </cfRule>
  </conditionalFormatting>
  <conditionalFormatting sqref="AC231">
    <cfRule type="cellIs" dxfId="2809" priority="64232" stopIfTrue="1" operator="notEqual">
      <formula>"eductors"</formula>
    </cfRule>
  </conditionalFormatting>
  <conditionalFormatting sqref="AD231">
    <cfRule type="cellIs" dxfId="2808" priority="64233" stopIfTrue="1" operator="notEqual">
      <formula>"non-hazardous"</formula>
    </cfRule>
  </conditionalFormatting>
  <conditionalFormatting sqref="AE231">
    <cfRule type="expression" dxfId="2807" priority="64234" stopIfTrue="1">
      <formula>NOT(ISBLANK($AE$231))</formula>
    </cfRule>
  </conditionalFormatting>
  <conditionalFormatting sqref="AF231">
    <cfRule type="cellIs" dxfId="2806" priority="64235" stopIfTrue="1" operator="notEqual">
      <formula>0</formula>
    </cfRule>
  </conditionalFormatting>
  <conditionalFormatting sqref="AG231">
    <cfRule type="expression" dxfId="2805" priority="64236" stopIfTrue="1">
      <formula>NOT(ISBLANK($AG$231))</formula>
    </cfRule>
  </conditionalFormatting>
  <conditionalFormatting sqref="AH231">
    <cfRule type="expression" dxfId="2804" priority="64237" stopIfTrue="1">
      <formula>NOT(ISBLANK($AH$231))</formula>
    </cfRule>
  </conditionalFormatting>
  <conditionalFormatting sqref="AI231">
    <cfRule type="cellIs" dxfId="2803" priority="64238" stopIfTrue="1" operator="notEqual">
      <formula>"fully automated"</formula>
    </cfRule>
  </conditionalFormatting>
  <conditionalFormatting sqref="AJ231">
    <cfRule type="expression" dxfId="2802" priority="64239" stopIfTrue="1">
      <formula>NOT(ISBLANK($AJ$231))</formula>
    </cfRule>
  </conditionalFormatting>
  <conditionalFormatting sqref="AK231">
    <cfRule type="expression" dxfId="2801" priority="64240" stopIfTrue="1">
      <formula>NOT(ISBLANK($AK$231))</formula>
    </cfRule>
  </conditionalFormatting>
  <conditionalFormatting sqref="AL231">
    <cfRule type="expression" dxfId="2800" priority="64241" stopIfTrue="1">
      <formula>NOT(ISBLANK($AL$231))</formula>
    </cfRule>
  </conditionalFormatting>
  <conditionalFormatting sqref="AM231">
    <cfRule type="expression" dxfId="2799" priority="64242" stopIfTrue="1">
      <formula>NOT(ISBLANK($AM$231))</formula>
    </cfRule>
  </conditionalFormatting>
  <conditionalFormatting sqref="AN231">
    <cfRule type="expression" dxfId="2798" priority="64243" stopIfTrue="1">
      <formula>NOT(ISBLANK($AN$231))</formula>
    </cfRule>
  </conditionalFormatting>
  <conditionalFormatting sqref="AO231">
    <cfRule type="expression" dxfId="2797" priority="64244" stopIfTrue="1">
      <formula>NOT(ISBLANK($AO$231))</formula>
    </cfRule>
  </conditionalFormatting>
  <conditionalFormatting sqref="AP231">
    <cfRule type="expression" dxfId="2796" priority="64245" stopIfTrue="1">
      <formula>NOT(ISBLANK($AP$231))</formula>
    </cfRule>
  </conditionalFormatting>
  <conditionalFormatting sqref="AQ231">
    <cfRule type="expression" dxfId="2795" priority="64246" stopIfTrue="1">
      <formula>NOT(ISBLANK($AQ$231))</formula>
    </cfRule>
  </conditionalFormatting>
  <conditionalFormatting sqref="A232">
    <cfRule type="cellIs" dxfId="2794" priority="64247" stopIfTrue="1" operator="notEqual">
      <formula>14</formula>
    </cfRule>
  </conditionalFormatting>
  <conditionalFormatting sqref="B232">
    <cfRule type="cellIs" dxfId="2793" priority="64248" stopIfTrue="1" operator="notEqual">
      <formula>2</formula>
    </cfRule>
  </conditionalFormatting>
  <conditionalFormatting sqref="C232">
    <cfRule type="cellIs" dxfId="2792" priority="64249" stopIfTrue="1" operator="notEqual">
      <formula>8</formula>
    </cfRule>
  </conditionalFormatting>
  <conditionalFormatting sqref="D232">
    <cfRule type="cellIs" dxfId="2791" priority="64250" stopIfTrue="1" operator="notEqual">
      <formula>75.072</formula>
    </cfRule>
  </conditionalFormatting>
  <conditionalFormatting sqref="E232">
    <cfRule type="cellIs" dxfId="2790" priority="64251" stopIfTrue="1" operator="notEqual">
      <formula>"MGD"</formula>
    </cfRule>
  </conditionalFormatting>
  <conditionalFormatting sqref="F232">
    <cfRule type="cellIs" dxfId="2789" priority="64252" stopIfTrue="1" operator="notEqual">
      <formula>37.536</formula>
    </cfRule>
  </conditionalFormatting>
  <conditionalFormatting sqref="G232">
    <cfRule type="cellIs" dxfId="2788" priority="64253" stopIfTrue="1" operator="notEqual">
      <formula>"MGD"</formula>
    </cfRule>
  </conditionalFormatting>
  <conditionalFormatting sqref="H232">
    <cfRule type="cellIs" dxfId="2787" priority="64254" stopIfTrue="1" operator="notEqual">
      <formula>"regeneration off-site (non-hazardous)"</formula>
    </cfRule>
  </conditionalFormatting>
  <conditionalFormatting sqref="I232">
    <cfRule type="cellIs" dxfId="2786" priority="64255" stopIfTrue="1" operator="notEqual">
      <formula>"carbon life value- bed volumes"</formula>
    </cfRule>
  </conditionalFormatting>
  <conditionalFormatting sqref="J232">
    <cfRule type="cellIs" dxfId="2785" priority="64256" stopIfTrue="1" operator="notEqual">
      <formula>20500</formula>
    </cfRule>
  </conditionalFormatting>
  <conditionalFormatting sqref="K232">
    <cfRule type="expression" dxfId="2784" priority="64257" stopIfTrue="1">
      <formula>NOT(ISBLANK($K$232))</formula>
    </cfRule>
  </conditionalFormatting>
  <conditionalFormatting sqref="L232">
    <cfRule type="expression" dxfId="2783" priority="64258" stopIfTrue="1">
      <formula>NOT(ISBLANK($L$232))</formula>
    </cfRule>
  </conditionalFormatting>
  <conditionalFormatting sqref="M232">
    <cfRule type="expression" dxfId="2782" priority="64259" stopIfTrue="1">
      <formula>NOT(ISBLANK($M$232))</formula>
    </cfRule>
  </conditionalFormatting>
  <conditionalFormatting sqref="N232">
    <cfRule type="cellIs" dxfId="2781" priority="64260" stopIfTrue="1" operator="notEqual">
      <formula>"EBCT"</formula>
    </cfRule>
  </conditionalFormatting>
  <conditionalFormatting sqref="O232">
    <cfRule type="cellIs" dxfId="2780" priority="64261" stopIfTrue="1" operator="notEqual">
      <formula>7.5</formula>
    </cfRule>
  </conditionalFormatting>
  <conditionalFormatting sqref="P232">
    <cfRule type="expression" dxfId="2779" priority="64262" stopIfTrue="1">
      <formula>NOT(ISBLANK($P$232))</formula>
    </cfRule>
  </conditionalFormatting>
  <conditionalFormatting sqref="Q232">
    <cfRule type="expression" dxfId="2778" priority="64263" stopIfTrue="1">
      <formula>NOT(ISBLANK($Q$232))</formula>
    </cfRule>
  </conditionalFormatting>
  <conditionalFormatting sqref="R232">
    <cfRule type="expression" dxfId="2777" priority="64264" stopIfTrue="1">
      <formula>NOT(ISBLANK($R$232))</formula>
    </cfRule>
  </conditionalFormatting>
  <conditionalFormatting sqref="S232">
    <cfRule type="expression" dxfId="2776" priority="64265" stopIfTrue="1">
      <formula>NOT(ISBLANK($S$232))</formula>
    </cfRule>
  </conditionalFormatting>
  <conditionalFormatting sqref="T232">
    <cfRule type="expression" dxfId="2775" priority="64266" stopIfTrue="1">
      <formula>NOT(ISBLANK($T$232))</formula>
    </cfRule>
  </conditionalFormatting>
  <conditionalFormatting sqref="U232">
    <cfRule type="expression" dxfId="2774" priority="64267" stopIfTrue="1">
      <formula>NOT(ISBLANK($U$232))</formula>
    </cfRule>
  </conditionalFormatting>
  <conditionalFormatting sqref="V232">
    <cfRule type="expression" dxfId="2773" priority="64268" stopIfTrue="1">
      <formula>NOT(ISBLANK($V$232))</formula>
    </cfRule>
  </conditionalFormatting>
  <conditionalFormatting sqref="W232">
    <cfRule type="cellIs" dxfId="2772" priority="64269" stopIfTrue="1" operator="notEqual">
      <formula>30</formula>
    </cfRule>
  </conditionalFormatting>
  <conditionalFormatting sqref="X232">
    <cfRule type="cellIs" dxfId="2771" priority="64270" stopIfTrue="1" operator="notEqual">
      <formula>30</formula>
    </cfRule>
  </conditionalFormatting>
  <conditionalFormatting sqref="Y232">
    <cfRule type="cellIs" dxfId="2770" priority="64271" stopIfTrue="1" operator="notEqual">
      <formula>9.7</formula>
    </cfRule>
  </conditionalFormatting>
  <conditionalFormatting sqref="Z232">
    <cfRule type="cellIs" dxfId="2769" priority="64272" stopIfTrue="1" operator="notEqual">
      <formula>168</formula>
    </cfRule>
  </conditionalFormatting>
  <conditionalFormatting sqref="AA232">
    <cfRule type="cellIs" dxfId="2768" priority="64273" stopIfTrue="1" operator="notEqual">
      <formula>"POTW"</formula>
    </cfRule>
  </conditionalFormatting>
  <conditionalFormatting sqref="AB232">
    <cfRule type="cellIs" dxfId="2767" priority="64274" stopIfTrue="1" operator="notEqual">
      <formula>"holding tank"</formula>
    </cfRule>
  </conditionalFormatting>
  <conditionalFormatting sqref="AC232">
    <cfRule type="cellIs" dxfId="2766" priority="64275" stopIfTrue="1" operator="notEqual">
      <formula>"eductors"</formula>
    </cfRule>
  </conditionalFormatting>
  <conditionalFormatting sqref="AD232">
    <cfRule type="cellIs" dxfId="2765" priority="64276" stopIfTrue="1" operator="notEqual">
      <formula>"non-hazardous"</formula>
    </cfRule>
  </conditionalFormatting>
  <conditionalFormatting sqref="AE232">
    <cfRule type="expression" dxfId="2764" priority="64277" stopIfTrue="1">
      <formula>NOT(ISBLANK($AE$232))</formula>
    </cfRule>
  </conditionalFormatting>
  <conditionalFormatting sqref="AF232">
    <cfRule type="cellIs" dxfId="2763" priority="64278" stopIfTrue="1" operator="notEqual">
      <formula>0</formula>
    </cfRule>
  </conditionalFormatting>
  <conditionalFormatting sqref="AG232">
    <cfRule type="expression" dxfId="2762" priority="64279" stopIfTrue="1">
      <formula>NOT(ISBLANK($AG$232))</formula>
    </cfRule>
  </conditionalFormatting>
  <conditionalFormatting sqref="AH232">
    <cfRule type="expression" dxfId="2761" priority="64280" stopIfTrue="1">
      <formula>NOT(ISBLANK($AH$232))</formula>
    </cfRule>
  </conditionalFormatting>
  <conditionalFormatting sqref="AI232">
    <cfRule type="cellIs" dxfId="2760" priority="64281" stopIfTrue="1" operator="notEqual">
      <formula>"fully automated"</formula>
    </cfRule>
  </conditionalFormatting>
  <conditionalFormatting sqref="AJ232">
    <cfRule type="expression" dxfId="2759" priority="64282" stopIfTrue="1">
      <formula>NOT(ISBLANK($AJ$232))</formula>
    </cfRule>
  </conditionalFormatting>
  <conditionalFormatting sqref="AK232">
    <cfRule type="expression" dxfId="2758" priority="64283" stopIfTrue="1">
      <formula>NOT(ISBLANK($AK$232))</formula>
    </cfRule>
  </conditionalFormatting>
  <conditionalFormatting sqref="AL232">
    <cfRule type="expression" dxfId="2757" priority="64284" stopIfTrue="1">
      <formula>NOT(ISBLANK($AL$232))</formula>
    </cfRule>
  </conditionalFormatting>
  <conditionalFormatting sqref="AM232">
    <cfRule type="expression" dxfId="2756" priority="64285" stopIfTrue="1">
      <formula>NOT(ISBLANK($AM$232))</formula>
    </cfRule>
  </conditionalFormatting>
  <conditionalFormatting sqref="AN232">
    <cfRule type="expression" dxfId="2755" priority="64286" stopIfTrue="1">
      <formula>NOT(ISBLANK($AN$232))</formula>
    </cfRule>
  </conditionalFormatting>
  <conditionalFormatting sqref="AO232">
    <cfRule type="expression" dxfId="2754" priority="64287" stopIfTrue="1">
      <formula>NOT(ISBLANK($AO$232))</formula>
    </cfRule>
  </conditionalFormatting>
  <conditionalFormatting sqref="AP232">
    <cfRule type="expression" dxfId="2753" priority="64288" stopIfTrue="1">
      <formula>NOT(ISBLANK($AP$232))</formula>
    </cfRule>
  </conditionalFormatting>
  <conditionalFormatting sqref="AQ232">
    <cfRule type="expression" dxfId="2752" priority="64289" stopIfTrue="1">
      <formula>NOT(ISBLANK($AQ$232))</formula>
    </cfRule>
  </conditionalFormatting>
  <conditionalFormatting sqref="A233">
    <cfRule type="cellIs" dxfId="2751" priority="64290" stopIfTrue="1" operator="notEqual">
      <formula>15</formula>
    </cfRule>
  </conditionalFormatting>
  <conditionalFormatting sqref="B233">
    <cfRule type="cellIs" dxfId="2750" priority="64291" stopIfTrue="1" operator="notEqual">
      <formula>1</formula>
    </cfRule>
  </conditionalFormatting>
  <conditionalFormatting sqref="C233">
    <cfRule type="cellIs" dxfId="2749" priority="64292" stopIfTrue="1" operator="notEqual">
      <formula>1</formula>
    </cfRule>
  </conditionalFormatting>
  <conditionalFormatting sqref="D233">
    <cfRule type="cellIs" dxfId="2748" priority="64293" stopIfTrue="1" operator="notEqual">
      <formula>0.03</formula>
    </cfRule>
  </conditionalFormatting>
  <conditionalFormatting sqref="E233">
    <cfRule type="cellIs" dxfId="2747" priority="64294" stopIfTrue="1" operator="notEqual">
      <formula>"MGD"</formula>
    </cfRule>
  </conditionalFormatting>
  <conditionalFormatting sqref="F233">
    <cfRule type="cellIs" dxfId="2746" priority="64295" stopIfTrue="1" operator="notEqual">
      <formula>0.007</formula>
    </cfRule>
  </conditionalFormatting>
  <conditionalFormatting sqref="G233">
    <cfRule type="cellIs" dxfId="2745" priority="64296" stopIfTrue="1" operator="notEqual">
      <formula>"MGD"</formula>
    </cfRule>
  </conditionalFormatting>
  <conditionalFormatting sqref="H233">
    <cfRule type="cellIs" dxfId="2744" priority="64297" stopIfTrue="1" operator="notEqual">
      <formula>"regeneration off-site (non-hazardous)"</formula>
    </cfRule>
  </conditionalFormatting>
  <conditionalFormatting sqref="I233">
    <cfRule type="cellIs" dxfId="2743" priority="64298" stopIfTrue="1" operator="notEqual">
      <formula>"carbon life value- bed volumes"</formula>
    </cfRule>
  </conditionalFormatting>
  <conditionalFormatting sqref="J233">
    <cfRule type="cellIs" dxfId="2742" priority="64299" stopIfTrue="1" operator="notEqual">
      <formula>47100</formula>
    </cfRule>
  </conditionalFormatting>
  <conditionalFormatting sqref="K233">
    <cfRule type="expression" dxfId="2741" priority="64300" stopIfTrue="1">
      <formula>NOT(ISBLANK($K$233))</formula>
    </cfRule>
  </conditionalFormatting>
  <conditionalFormatting sqref="L233">
    <cfRule type="expression" dxfId="2740" priority="64301" stopIfTrue="1">
      <formula>NOT(ISBLANK($L$233))</formula>
    </cfRule>
  </conditionalFormatting>
  <conditionalFormatting sqref="M233">
    <cfRule type="expression" dxfId="2739" priority="64302" stopIfTrue="1">
      <formula>NOT(ISBLANK($M$233))</formula>
    </cfRule>
  </conditionalFormatting>
  <conditionalFormatting sqref="N233">
    <cfRule type="cellIs" dxfId="2738" priority="64303" stopIfTrue="1" operator="notEqual">
      <formula>"EBCT"</formula>
    </cfRule>
  </conditionalFormatting>
  <conditionalFormatting sqref="O233">
    <cfRule type="cellIs" dxfId="2737" priority="64304" stopIfTrue="1" operator="notEqual">
      <formula>7.5</formula>
    </cfRule>
  </conditionalFormatting>
  <conditionalFormatting sqref="P233">
    <cfRule type="expression" dxfId="2736" priority="64305" stopIfTrue="1">
      <formula>NOT(ISBLANK($P$233))</formula>
    </cfRule>
  </conditionalFormatting>
  <conditionalFormatting sqref="Q233">
    <cfRule type="expression" dxfId="2735" priority="64306" stopIfTrue="1">
      <formula>NOT(ISBLANK($Q$233))</formula>
    </cfRule>
  </conditionalFormatting>
  <conditionalFormatting sqref="R233">
    <cfRule type="cellIs" dxfId="2734" priority="64307" stopIfTrue="1" operator="notEqual">
      <formula>1</formula>
    </cfRule>
  </conditionalFormatting>
  <conditionalFormatting sqref="S233">
    <cfRule type="cellIs" dxfId="2733" priority="64308" stopIfTrue="1" operator="notEqual">
      <formula>3.4</formula>
    </cfRule>
  </conditionalFormatting>
  <conditionalFormatting sqref="T233">
    <cfRule type="cellIs" dxfId="2732" priority="64309" stopIfTrue="1" operator="notEqual">
      <formula>"upright"</formula>
    </cfRule>
  </conditionalFormatting>
  <conditionalFormatting sqref="U233">
    <cfRule type="cellIs" dxfId="2731" priority="64310" stopIfTrue="1" operator="notEqual">
      <formula>6</formula>
    </cfRule>
  </conditionalFormatting>
  <conditionalFormatting sqref="V233">
    <cfRule type="cellIs" dxfId="2730" priority="64311" stopIfTrue="1" operator="notEqual">
      <formula>2</formula>
    </cfRule>
  </conditionalFormatting>
  <conditionalFormatting sqref="W233">
    <cfRule type="expression" dxfId="2729" priority="64312" stopIfTrue="1">
      <formula>NOT(ISBLANK($W$233))</formula>
    </cfRule>
  </conditionalFormatting>
  <conditionalFormatting sqref="X233">
    <cfRule type="expression" dxfId="2728" priority="64313" stopIfTrue="1">
      <formula>NOT(ISBLANK($X$233))</formula>
    </cfRule>
  </conditionalFormatting>
  <conditionalFormatting sqref="Y233">
    <cfRule type="expression" dxfId="2727" priority="64314" stopIfTrue="1">
      <formula>NOT(ISBLANK($Y$233))</formula>
    </cfRule>
  </conditionalFormatting>
  <conditionalFormatting sqref="Z233">
    <cfRule type="cellIs" dxfId="2726" priority="64315" stopIfTrue="1" operator="notEqual">
      <formula>168</formula>
    </cfRule>
  </conditionalFormatting>
  <conditionalFormatting sqref="AA233">
    <cfRule type="cellIs" dxfId="2725" priority="64316" stopIfTrue="1" operator="notEqual">
      <formula>"POTW"</formula>
    </cfRule>
  </conditionalFormatting>
  <conditionalFormatting sqref="AB233">
    <cfRule type="cellIs" dxfId="2724" priority="64317" stopIfTrue="1" operator="notEqual">
      <formula>"no holding tank"</formula>
    </cfRule>
  </conditionalFormatting>
  <conditionalFormatting sqref="AC233">
    <cfRule type="cellIs" dxfId="2723" priority="64318" stopIfTrue="1" operator="notEqual">
      <formula>"manual transfer"</formula>
    </cfRule>
  </conditionalFormatting>
  <conditionalFormatting sqref="AD233">
    <cfRule type="expression" dxfId="2722" priority="64319" stopIfTrue="1">
      <formula>NOT(ISBLANK($AD$233))</formula>
    </cfRule>
  </conditionalFormatting>
  <conditionalFormatting sqref="AE233">
    <cfRule type="expression" dxfId="2721" priority="64320" stopIfTrue="1">
      <formula>NOT(ISBLANK($AE$233))</formula>
    </cfRule>
  </conditionalFormatting>
  <conditionalFormatting sqref="AF233">
    <cfRule type="cellIs" dxfId="2720" priority="64321" stopIfTrue="1" operator="notEqual">
      <formula>0</formula>
    </cfRule>
  </conditionalFormatting>
  <conditionalFormatting sqref="AG233">
    <cfRule type="expression" dxfId="2719" priority="64322" stopIfTrue="1">
      <formula>NOT(ISBLANK($AG$233))</formula>
    </cfRule>
  </conditionalFormatting>
  <conditionalFormatting sqref="AH233">
    <cfRule type="expression" dxfId="2718" priority="64323" stopIfTrue="1">
      <formula>NOT(ISBLANK($AH$233))</formula>
    </cfRule>
  </conditionalFormatting>
  <conditionalFormatting sqref="AI233">
    <cfRule type="cellIs" dxfId="2717" priority="64324" stopIfTrue="1" operator="notEqual">
      <formula>"fully automated"</formula>
    </cfRule>
  </conditionalFormatting>
  <conditionalFormatting sqref="AJ233">
    <cfRule type="expression" dxfId="2716" priority="64325" stopIfTrue="1">
      <formula>NOT(ISBLANK($AJ$233))</formula>
    </cfRule>
  </conditionalFormatting>
  <conditionalFormatting sqref="AK233">
    <cfRule type="expression" dxfId="2715" priority="64326" stopIfTrue="1">
      <formula>NOT(ISBLANK($AK$233))</formula>
    </cfRule>
  </conditionalFormatting>
  <conditionalFormatting sqref="AL233">
    <cfRule type="expression" dxfId="2714" priority="64327" stopIfTrue="1">
      <formula>NOT(ISBLANK($AL$233))</formula>
    </cfRule>
  </conditionalFormatting>
  <conditionalFormatting sqref="AM233">
    <cfRule type="expression" dxfId="2713" priority="64328" stopIfTrue="1">
      <formula>NOT(ISBLANK($AM$233))</formula>
    </cfRule>
  </conditionalFormatting>
  <conditionalFormatting sqref="AN233">
    <cfRule type="expression" dxfId="2712" priority="64329" stopIfTrue="1">
      <formula>NOT(ISBLANK($AN$233))</formula>
    </cfRule>
  </conditionalFormatting>
  <conditionalFormatting sqref="AO233">
    <cfRule type="expression" dxfId="2711" priority="64330" stopIfTrue="1">
      <formula>NOT(ISBLANK($AO$233))</formula>
    </cfRule>
  </conditionalFormatting>
  <conditionalFormatting sqref="AP233">
    <cfRule type="expression" dxfId="2710" priority="64331" stopIfTrue="1">
      <formula>NOT(ISBLANK($AP$233))</formula>
    </cfRule>
  </conditionalFormatting>
  <conditionalFormatting sqref="AQ233">
    <cfRule type="expression" dxfId="2709" priority="64332" stopIfTrue="1">
      <formula>NOT(ISBLANK($AQ$233))</formula>
    </cfRule>
  </conditionalFormatting>
  <conditionalFormatting sqref="A234">
    <cfRule type="cellIs" dxfId="2708" priority="64333" stopIfTrue="1" operator="notEqual">
      <formula>15</formula>
    </cfRule>
  </conditionalFormatting>
  <conditionalFormatting sqref="B234">
    <cfRule type="cellIs" dxfId="2707" priority="64334" stopIfTrue="1" operator="notEqual">
      <formula>1</formula>
    </cfRule>
  </conditionalFormatting>
  <conditionalFormatting sqref="C234">
    <cfRule type="cellIs" dxfId="2706" priority="64335" stopIfTrue="1" operator="notEqual">
      <formula>2</formula>
    </cfRule>
  </conditionalFormatting>
  <conditionalFormatting sqref="D234">
    <cfRule type="cellIs" dxfId="2705" priority="64336" stopIfTrue="1" operator="notEqual">
      <formula>0.124</formula>
    </cfRule>
  </conditionalFormatting>
  <conditionalFormatting sqref="E234">
    <cfRule type="cellIs" dxfId="2704" priority="64337" stopIfTrue="1" operator="notEqual">
      <formula>"MGD"</formula>
    </cfRule>
  </conditionalFormatting>
  <conditionalFormatting sqref="F234">
    <cfRule type="cellIs" dxfId="2703" priority="64338" stopIfTrue="1" operator="notEqual">
      <formula>0.035</formula>
    </cfRule>
  </conditionalFormatting>
  <conditionalFormatting sqref="G234">
    <cfRule type="cellIs" dxfId="2702" priority="64339" stopIfTrue="1" operator="notEqual">
      <formula>"MGD"</formula>
    </cfRule>
  </conditionalFormatting>
  <conditionalFormatting sqref="H234">
    <cfRule type="cellIs" dxfId="2701" priority="64340" stopIfTrue="1" operator="notEqual">
      <formula>"regeneration off-site (non-hazardous)"</formula>
    </cfRule>
  </conditionalFormatting>
  <conditionalFormatting sqref="I234">
    <cfRule type="cellIs" dxfId="2700" priority="64341" stopIfTrue="1" operator="notEqual">
      <formula>"carbon life value- bed volumes"</formula>
    </cfRule>
  </conditionalFormatting>
  <conditionalFormatting sqref="J234">
    <cfRule type="cellIs" dxfId="2699" priority="64342" stopIfTrue="1" operator="notEqual">
      <formula>47100</formula>
    </cfRule>
  </conditionalFormatting>
  <conditionalFormatting sqref="K234">
    <cfRule type="expression" dxfId="2698" priority="64343" stopIfTrue="1">
      <formula>NOT(ISBLANK($K$234))</formula>
    </cfRule>
  </conditionalFormatting>
  <conditionalFormatting sqref="L234">
    <cfRule type="expression" dxfId="2697" priority="64344" stopIfTrue="1">
      <formula>NOT(ISBLANK($L$234))</formula>
    </cfRule>
  </conditionalFormatting>
  <conditionalFormatting sqref="M234">
    <cfRule type="expression" dxfId="2696" priority="64345" stopIfTrue="1">
      <formula>NOT(ISBLANK($M$234))</formula>
    </cfRule>
  </conditionalFormatting>
  <conditionalFormatting sqref="N234">
    <cfRule type="cellIs" dxfId="2695" priority="64346" stopIfTrue="1" operator="notEqual">
      <formula>"EBCT"</formula>
    </cfRule>
  </conditionalFormatting>
  <conditionalFormatting sqref="O234">
    <cfRule type="cellIs" dxfId="2694" priority="64347" stopIfTrue="1" operator="notEqual">
      <formula>7.5</formula>
    </cfRule>
  </conditionalFormatting>
  <conditionalFormatting sqref="P234">
    <cfRule type="expression" dxfId="2693" priority="64348" stopIfTrue="1">
      <formula>NOT(ISBLANK($P$234))</formula>
    </cfRule>
  </conditionalFormatting>
  <conditionalFormatting sqref="Q234">
    <cfRule type="expression" dxfId="2692" priority="64349" stopIfTrue="1">
      <formula>NOT(ISBLANK($Q$234))</formula>
    </cfRule>
  </conditionalFormatting>
  <conditionalFormatting sqref="R234">
    <cfRule type="cellIs" dxfId="2691" priority="64350" stopIfTrue="1" operator="notEqual">
      <formula>1</formula>
    </cfRule>
  </conditionalFormatting>
  <conditionalFormatting sqref="S234">
    <cfRule type="cellIs" dxfId="2690" priority="64351" stopIfTrue="1" operator="notEqual">
      <formula>6.9</formula>
    </cfRule>
  </conditionalFormatting>
  <conditionalFormatting sqref="T234">
    <cfRule type="cellIs" dxfId="2689" priority="64352" stopIfTrue="1" operator="notEqual">
      <formula>"upright"</formula>
    </cfRule>
  </conditionalFormatting>
  <conditionalFormatting sqref="U234">
    <cfRule type="cellIs" dxfId="2688" priority="64353" stopIfTrue="1" operator="notEqual">
      <formula>11</formula>
    </cfRule>
  </conditionalFormatting>
  <conditionalFormatting sqref="V234">
    <cfRule type="cellIs" dxfId="2687" priority="64354" stopIfTrue="1" operator="notEqual">
      <formula>4</formula>
    </cfRule>
  </conditionalFormatting>
  <conditionalFormatting sqref="W234">
    <cfRule type="expression" dxfId="2686" priority="64355" stopIfTrue="1">
      <formula>NOT(ISBLANK($W$234))</formula>
    </cfRule>
  </conditionalFormatting>
  <conditionalFormatting sqref="X234">
    <cfRule type="expression" dxfId="2685" priority="64356" stopIfTrue="1">
      <formula>NOT(ISBLANK($X$234))</formula>
    </cfRule>
  </conditionalFormatting>
  <conditionalFormatting sqref="Y234">
    <cfRule type="expression" dxfId="2684" priority="64357" stopIfTrue="1">
      <formula>NOT(ISBLANK($Y$234))</formula>
    </cfRule>
  </conditionalFormatting>
  <conditionalFormatting sqref="Z234">
    <cfRule type="cellIs" dxfId="2683" priority="64358" stopIfTrue="1" operator="notEqual">
      <formula>168</formula>
    </cfRule>
  </conditionalFormatting>
  <conditionalFormatting sqref="AA234">
    <cfRule type="cellIs" dxfId="2682" priority="64359" stopIfTrue="1" operator="notEqual">
      <formula>"POTW"</formula>
    </cfRule>
  </conditionalFormatting>
  <conditionalFormatting sqref="AB234">
    <cfRule type="cellIs" dxfId="2681" priority="64360" stopIfTrue="1" operator="notEqual">
      <formula>"Holding tank"</formula>
    </cfRule>
  </conditionalFormatting>
  <conditionalFormatting sqref="AC234">
    <cfRule type="cellIs" dxfId="2680" priority="64361" stopIfTrue="1" operator="notEqual">
      <formula>"manual transfer"</formula>
    </cfRule>
  </conditionalFormatting>
  <conditionalFormatting sqref="AD234">
    <cfRule type="cellIs" dxfId="2679" priority="64362" stopIfTrue="1" operator="notEqual">
      <formula>"non-hazardous"</formula>
    </cfRule>
  </conditionalFormatting>
  <conditionalFormatting sqref="AE234">
    <cfRule type="expression" dxfId="2678" priority="64363" stopIfTrue="1">
      <formula>NOT(ISBLANK($AE$234))</formula>
    </cfRule>
  </conditionalFormatting>
  <conditionalFormatting sqref="AF234">
    <cfRule type="cellIs" dxfId="2677" priority="64364" stopIfTrue="1" operator="notEqual">
      <formula>0</formula>
    </cfRule>
  </conditionalFormatting>
  <conditionalFormatting sqref="AG234">
    <cfRule type="expression" dxfId="2676" priority="64365" stopIfTrue="1">
      <formula>NOT(ISBLANK($AG$234))</formula>
    </cfRule>
  </conditionalFormatting>
  <conditionalFormatting sqref="AH234">
    <cfRule type="expression" dxfId="2675" priority="64366" stopIfTrue="1">
      <formula>NOT(ISBLANK($AH$234))</formula>
    </cfRule>
  </conditionalFormatting>
  <conditionalFormatting sqref="AI234">
    <cfRule type="cellIs" dxfId="2674" priority="64367" stopIfTrue="1" operator="notEqual">
      <formula>"fully automated"</formula>
    </cfRule>
  </conditionalFormatting>
  <conditionalFormatting sqref="AJ234">
    <cfRule type="expression" dxfId="2673" priority="64368" stopIfTrue="1">
      <formula>NOT(ISBLANK($AJ$234))</formula>
    </cfRule>
  </conditionalFormatting>
  <conditionalFormatting sqref="AK234">
    <cfRule type="expression" dxfId="2672" priority="64369" stopIfTrue="1">
      <formula>NOT(ISBLANK($AK$234))</formula>
    </cfRule>
  </conditionalFormatting>
  <conditionalFormatting sqref="AL234">
    <cfRule type="expression" dxfId="2671" priority="64370" stopIfTrue="1">
      <formula>NOT(ISBLANK($AL$234))</formula>
    </cfRule>
  </conditionalFormatting>
  <conditionalFormatting sqref="AM234">
    <cfRule type="expression" dxfId="2670" priority="64371" stopIfTrue="1">
      <formula>NOT(ISBLANK($AM$234))</formula>
    </cfRule>
  </conditionalFormatting>
  <conditionalFormatting sqref="AN234">
    <cfRule type="expression" dxfId="2669" priority="64372" stopIfTrue="1">
      <formula>NOT(ISBLANK($AN$234))</formula>
    </cfRule>
  </conditionalFormatting>
  <conditionalFormatting sqref="AO234">
    <cfRule type="expression" dxfId="2668" priority="64373" stopIfTrue="1">
      <formula>NOT(ISBLANK($AO$234))</formula>
    </cfRule>
  </conditionalFormatting>
  <conditionalFormatting sqref="AP234">
    <cfRule type="expression" dxfId="2667" priority="64374" stopIfTrue="1">
      <formula>NOT(ISBLANK($AP$234))</formula>
    </cfRule>
  </conditionalFormatting>
  <conditionalFormatting sqref="AQ234">
    <cfRule type="expression" dxfId="2666" priority="64375" stopIfTrue="1">
      <formula>NOT(ISBLANK($AQ$234))</formula>
    </cfRule>
  </conditionalFormatting>
  <conditionalFormatting sqref="A235">
    <cfRule type="cellIs" dxfId="2665" priority="64376" stopIfTrue="1" operator="notEqual">
      <formula>15</formula>
    </cfRule>
  </conditionalFormatting>
  <conditionalFormatting sqref="B235">
    <cfRule type="cellIs" dxfId="2664" priority="64377" stopIfTrue="1" operator="notEqual">
      <formula>1</formula>
    </cfRule>
  </conditionalFormatting>
  <conditionalFormatting sqref="C235">
    <cfRule type="cellIs" dxfId="2663" priority="64378" stopIfTrue="1" operator="notEqual">
      <formula>3</formula>
    </cfRule>
  </conditionalFormatting>
  <conditionalFormatting sqref="D235">
    <cfRule type="cellIs" dxfId="2662" priority="64379" stopIfTrue="1" operator="notEqual">
      <formula>0.305</formula>
    </cfRule>
  </conditionalFormatting>
  <conditionalFormatting sqref="E235">
    <cfRule type="cellIs" dxfId="2661" priority="64380" stopIfTrue="1" operator="notEqual">
      <formula>"MGD"</formula>
    </cfRule>
  </conditionalFormatting>
  <conditionalFormatting sqref="F235">
    <cfRule type="cellIs" dxfId="2660" priority="64381" stopIfTrue="1" operator="notEqual">
      <formula>0.094</formula>
    </cfRule>
  </conditionalFormatting>
  <conditionalFormatting sqref="G235">
    <cfRule type="cellIs" dxfId="2659" priority="64382" stopIfTrue="1" operator="notEqual">
      <formula>"MGD"</formula>
    </cfRule>
  </conditionalFormatting>
  <conditionalFormatting sqref="H235">
    <cfRule type="cellIs" dxfId="2658" priority="64383" stopIfTrue="1" operator="notEqual">
      <formula>"regeneration off-site (non-hazardous)"</formula>
    </cfRule>
  </conditionalFormatting>
  <conditionalFormatting sqref="I235">
    <cfRule type="cellIs" dxfId="2657" priority="64384" stopIfTrue="1" operator="notEqual">
      <formula>"carbon life value- bed volumes"</formula>
    </cfRule>
  </conditionalFormatting>
  <conditionalFormatting sqref="J235">
    <cfRule type="cellIs" dxfId="2656" priority="64385" stopIfTrue="1" operator="notEqual">
      <formula>47100</formula>
    </cfRule>
  </conditionalFormatting>
  <conditionalFormatting sqref="K235">
    <cfRule type="expression" dxfId="2655" priority="64386" stopIfTrue="1">
      <formula>NOT(ISBLANK($K$235))</formula>
    </cfRule>
  </conditionalFormatting>
  <conditionalFormatting sqref="L235">
    <cfRule type="expression" dxfId="2654" priority="64387" stopIfTrue="1">
      <formula>NOT(ISBLANK($L$235))</formula>
    </cfRule>
  </conditionalFormatting>
  <conditionalFormatting sqref="M235">
    <cfRule type="expression" dxfId="2653" priority="64388" stopIfTrue="1">
      <formula>NOT(ISBLANK($M$235))</formula>
    </cfRule>
  </conditionalFormatting>
  <conditionalFormatting sqref="N235">
    <cfRule type="cellIs" dxfId="2652" priority="64389" stopIfTrue="1" operator="notEqual">
      <formula>"EBCT"</formula>
    </cfRule>
  </conditionalFormatting>
  <conditionalFormatting sqref="O235">
    <cfRule type="cellIs" dxfId="2651" priority="64390" stopIfTrue="1" operator="notEqual">
      <formula>7.5</formula>
    </cfRule>
  </conditionalFormatting>
  <conditionalFormatting sqref="P235">
    <cfRule type="expression" dxfId="2650" priority="64391" stopIfTrue="1">
      <formula>NOT(ISBLANK($P$235))</formula>
    </cfRule>
  </conditionalFormatting>
  <conditionalFormatting sqref="Q235">
    <cfRule type="expression" dxfId="2649" priority="64392" stopIfTrue="1">
      <formula>NOT(ISBLANK($Q$235))</formula>
    </cfRule>
  </conditionalFormatting>
  <conditionalFormatting sqref="R235">
    <cfRule type="cellIs" dxfId="2648" priority="64393" stopIfTrue="1" operator="notEqual">
      <formula>1</formula>
    </cfRule>
  </conditionalFormatting>
  <conditionalFormatting sqref="S235">
    <cfRule type="cellIs" dxfId="2647" priority="64394" stopIfTrue="1" operator="notEqual">
      <formula>6.7</formula>
    </cfRule>
  </conditionalFormatting>
  <conditionalFormatting sqref="T235">
    <cfRule type="cellIs" dxfId="2646" priority="64395" stopIfTrue="1" operator="notEqual">
      <formula>"upright"</formula>
    </cfRule>
  </conditionalFormatting>
  <conditionalFormatting sqref="U235">
    <cfRule type="cellIs" dxfId="2645" priority="64396" stopIfTrue="1" operator="notEqual">
      <formula>11</formula>
    </cfRule>
  </conditionalFormatting>
  <conditionalFormatting sqref="V235">
    <cfRule type="cellIs" dxfId="2644" priority="64397" stopIfTrue="1" operator="notEqual">
      <formula>4.5</formula>
    </cfRule>
  </conditionalFormatting>
  <conditionalFormatting sqref="W235">
    <cfRule type="expression" dxfId="2643" priority="64398" stopIfTrue="1">
      <formula>NOT(ISBLANK($W$235))</formula>
    </cfRule>
  </conditionalFormatting>
  <conditionalFormatting sqref="X235">
    <cfRule type="expression" dxfId="2642" priority="64399" stopIfTrue="1">
      <formula>NOT(ISBLANK($X$235))</formula>
    </cfRule>
  </conditionalFormatting>
  <conditionalFormatting sqref="Y235">
    <cfRule type="expression" dxfId="2641" priority="64400" stopIfTrue="1">
      <formula>NOT(ISBLANK($Y$235))</formula>
    </cfRule>
  </conditionalFormatting>
  <conditionalFormatting sqref="Z235">
    <cfRule type="cellIs" dxfId="2640" priority="64401" stopIfTrue="1" operator="notEqual">
      <formula>168</formula>
    </cfRule>
  </conditionalFormatting>
  <conditionalFormatting sqref="AA235">
    <cfRule type="cellIs" dxfId="2639" priority="64402" stopIfTrue="1" operator="notEqual">
      <formula>"POTW"</formula>
    </cfRule>
  </conditionalFormatting>
  <conditionalFormatting sqref="AB235">
    <cfRule type="cellIs" dxfId="2638" priority="64403" stopIfTrue="1" operator="notEqual">
      <formula>"Holding tank"</formula>
    </cfRule>
  </conditionalFormatting>
  <conditionalFormatting sqref="AC235">
    <cfRule type="cellIs" dxfId="2637" priority="64404" stopIfTrue="1" operator="notEqual">
      <formula>"manual transfer"</formula>
    </cfRule>
  </conditionalFormatting>
  <conditionalFormatting sqref="AD235">
    <cfRule type="cellIs" dxfId="2636" priority="64405" stopIfTrue="1" operator="notEqual">
      <formula>"non-hazardous"</formula>
    </cfRule>
  </conditionalFormatting>
  <conditionalFormatting sqref="AE235">
    <cfRule type="expression" dxfId="2635" priority="64406" stopIfTrue="1">
      <formula>NOT(ISBLANK($AE$235))</formula>
    </cfRule>
  </conditionalFormatting>
  <conditionalFormatting sqref="AF235">
    <cfRule type="cellIs" dxfId="2634" priority="64407" stopIfTrue="1" operator="notEqual">
      <formula>0</formula>
    </cfRule>
  </conditionalFormatting>
  <conditionalFormatting sqref="AG235">
    <cfRule type="expression" dxfId="2633" priority="64408" stopIfTrue="1">
      <formula>NOT(ISBLANK($AG$235))</formula>
    </cfRule>
  </conditionalFormatting>
  <conditionalFormatting sqref="AH235">
    <cfRule type="expression" dxfId="2632" priority="64409" stopIfTrue="1">
      <formula>NOT(ISBLANK($AH$235))</formula>
    </cfRule>
  </conditionalFormatting>
  <conditionalFormatting sqref="AI235">
    <cfRule type="cellIs" dxfId="2631" priority="64410" stopIfTrue="1" operator="notEqual">
      <formula>"fully automated"</formula>
    </cfRule>
  </conditionalFormatting>
  <conditionalFormatting sqref="AJ235">
    <cfRule type="expression" dxfId="2630" priority="64411" stopIfTrue="1">
      <formula>NOT(ISBLANK($AJ$235))</formula>
    </cfRule>
  </conditionalFormatting>
  <conditionalFormatting sqref="AK235">
    <cfRule type="expression" dxfId="2629" priority="64412" stopIfTrue="1">
      <formula>NOT(ISBLANK($AK$235))</formula>
    </cfRule>
  </conditionalFormatting>
  <conditionalFormatting sqref="AL235">
    <cfRule type="expression" dxfId="2628" priority="64413" stopIfTrue="1">
      <formula>NOT(ISBLANK($AL$235))</formula>
    </cfRule>
  </conditionalFormatting>
  <conditionalFormatting sqref="AM235">
    <cfRule type="expression" dxfId="2627" priority="64414" stopIfTrue="1">
      <formula>NOT(ISBLANK($AM$235))</formula>
    </cfRule>
  </conditionalFormatting>
  <conditionalFormatting sqref="AN235">
    <cfRule type="expression" dxfId="2626" priority="64415" stopIfTrue="1">
      <formula>NOT(ISBLANK($AN$235))</formula>
    </cfRule>
  </conditionalFormatting>
  <conditionalFormatting sqref="AO235">
    <cfRule type="expression" dxfId="2625" priority="64416" stopIfTrue="1">
      <formula>NOT(ISBLANK($AO$235))</formula>
    </cfRule>
  </conditionalFormatting>
  <conditionalFormatting sqref="AP235">
    <cfRule type="expression" dxfId="2624" priority="64417" stopIfTrue="1">
      <formula>NOT(ISBLANK($AP$235))</formula>
    </cfRule>
  </conditionalFormatting>
  <conditionalFormatting sqref="AQ235">
    <cfRule type="expression" dxfId="2623" priority="64418" stopIfTrue="1">
      <formula>NOT(ISBLANK($AQ$235))</formula>
    </cfRule>
  </conditionalFormatting>
  <conditionalFormatting sqref="A236">
    <cfRule type="cellIs" dxfId="2622" priority="64419" stopIfTrue="1" operator="notEqual">
      <formula>15</formula>
    </cfRule>
  </conditionalFormatting>
  <conditionalFormatting sqref="B236">
    <cfRule type="cellIs" dxfId="2621" priority="64420" stopIfTrue="1" operator="notEqual">
      <formula>1</formula>
    </cfRule>
  </conditionalFormatting>
  <conditionalFormatting sqref="C236">
    <cfRule type="cellIs" dxfId="2620" priority="64421" stopIfTrue="1" operator="notEqual">
      <formula>4</formula>
    </cfRule>
  </conditionalFormatting>
  <conditionalFormatting sqref="D236">
    <cfRule type="cellIs" dxfId="2619" priority="64422" stopIfTrue="1" operator="notEqual">
      <formula>0.74</formula>
    </cfRule>
  </conditionalFormatting>
  <conditionalFormatting sqref="E236">
    <cfRule type="cellIs" dxfId="2618" priority="64423" stopIfTrue="1" operator="notEqual">
      <formula>"MGD"</formula>
    </cfRule>
  </conditionalFormatting>
  <conditionalFormatting sqref="F236">
    <cfRule type="cellIs" dxfId="2617" priority="64424" stopIfTrue="1" operator="notEqual">
      <formula>0.251</formula>
    </cfRule>
  </conditionalFormatting>
  <conditionalFormatting sqref="G236">
    <cfRule type="cellIs" dxfId="2616" priority="64425" stopIfTrue="1" operator="notEqual">
      <formula>"MGD"</formula>
    </cfRule>
  </conditionalFormatting>
  <conditionalFormatting sqref="H236">
    <cfRule type="cellIs" dxfId="2615" priority="64426" stopIfTrue="1" operator="notEqual">
      <formula>"regeneration off-site (non-hazardous)"</formula>
    </cfRule>
  </conditionalFormatting>
  <conditionalFormatting sqref="I236">
    <cfRule type="cellIs" dxfId="2614" priority="64427" stopIfTrue="1" operator="notEqual">
      <formula>"carbon life value- bed volumes"</formula>
    </cfRule>
  </conditionalFormatting>
  <conditionalFormatting sqref="J236">
    <cfRule type="cellIs" dxfId="2613" priority="64428" stopIfTrue="1" operator="notEqual">
      <formula>47100</formula>
    </cfRule>
  </conditionalFormatting>
  <conditionalFormatting sqref="K236">
    <cfRule type="expression" dxfId="2612" priority="64429" stopIfTrue="1">
      <formula>NOT(ISBLANK($K$236))</formula>
    </cfRule>
  </conditionalFormatting>
  <conditionalFormatting sqref="L236">
    <cfRule type="expression" dxfId="2611" priority="64430" stopIfTrue="1">
      <formula>NOT(ISBLANK($L$236))</formula>
    </cfRule>
  </conditionalFormatting>
  <conditionalFormatting sqref="M236">
    <cfRule type="expression" dxfId="2610" priority="64431" stopIfTrue="1">
      <formula>NOT(ISBLANK($M$236))</formula>
    </cfRule>
  </conditionalFormatting>
  <conditionalFormatting sqref="N236">
    <cfRule type="cellIs" dxfId="2609" priority="64432" stopIfTrue="1" operator="notEqual">
      <formula>"EBCT"</formula>
    </cfRule>
  </conditionalFormatting>
  <conditionalFormatting sqref="O236">
    <cfRule type="cellIs" dxfId="2608" priority="64433" stopIfTrue="1" operator="notEqual">
      <formula>7.5</formula>
    </cfRule>
  </conditionalFormatting>
  <conditionalFormatting sqref="P236">
    <cfRule type="expression" dxfId="2607" priority="64434" stopIfTrue="1">
      <formula>NOT(ISBLANK($P$236))</formula>
    </cfRule>
  </conditionalFormatting>
  <conditionalFormatting sqref="Q236">
    <cfRule type="expression" dxfId="2606" priority="64435" stopIfTrue="1">
      <formula>NOT(ISBLANK($Q$236))</formula>
    </cfRule>
  </conditionalFormatting>
  <conditionalFormatting sqref="R236">
    <cfRule type="cellIs" dxfId="2605" priority="64436" stopIfTrue="1" operator="notEqual">
      <formula>1</formula>
    </cfRule>
  </conditionalFormatting>
  <conditionalFormatting sqref="S236">
    <cfRule type="cellIs" dxfId="2604" priority="64437" stopIfTrue="1" operator="notEqual">
      <formula>6.7</formula>
    </cfRule>
  </conditionalFormatting>
  <conditionalFormatting sqref="T236">
    <cfRule type="cellIs" dxfId="2603" priority="64438" stopIfTrue="1" operator="notEqual">
      <formula>"upright"</formula>
    </cfRule>
  </conditionalFormatting>
  <conditionalFormatting sqref="U236">
    <cfRule type="cellIs" dxfId="2602" priority="64439" stopIfTrue="1" operator="notEqual">
      <formula>11</formula>
    </cfRule>
  </conditionalFormatting>
  <conditionalFormatting sqref="V236">
    <cfRule type="cellIs" dxfId="2601" priority="64440" stopIfTrue="1" operator="notEqual">
      <formula>7</formula>
    </cfRule>
  </conditionalFormatting>
  <conditionalFormatting sqref="W236">
    <cfRule type="expression" dxfId="2600" priority="64441" stopIfTrue="1">
      <formula>NOT(ISBLANK($W$236))</formula>
    </cfRule>
  </conditionalFormatting>
  <conditionalFormatting sqref="X236">
    <cfRule type="expression" dxfId="2599" priority="64442" stopIfTrue="1">
      <formula>NOT(ISBLANK($X$236))</formula>
    </cfRule>
  </conditionalFormatting>
  <conditionalFormatting sqref="Y236">
    <cfRule type="expression" dxfId="2598" priority="64443" stopIfTrue="1">
      <formula>NOT(ISBLANK($Y$236))</formula>
    </cfRule>
  </conditionalFormatting>
  <conditionalFormatting sqref="Z236">
    <cfRule type="cellIs" dxfId="2597" priority="64444" stopIfTrue="1" operator="notEqual">
      <formula>168</formula>
    </cfRule>
  </conditionalFormatting>
  <conditionalFormatting sqref="AA236">
    <cfRule type="cellIs" dxfId="2596" priority="64445" stopIfTrue="1" operator="notEqual">
      <formula>"POTW"</formula>
    </cfRule>
  </conditionalFormatting>
  <conditionalFormatting sqref="AB236">
    <cfRule type="cellIs" dxfId="2595" priority="64446" stopIfTrue="1" operator="notEqual">
      <formula>"Holding tank"</formula>
    </cfRule>
  </conditionalFormatting>
  <conditionalFormatting sqref="AC236">
    <cfRule type="cellIs" dxfId="2594" priority="64447" stopIfTrue="1" operator="notEqual">
      <formula>"manual transfer"</formula>
    </cfRule>
  </conditionalFormatting>
  <conditionalFormatting sqref="AD236">
    <cfRule type="cellIs" dxfId="2593" priority="64448" stopIfTrue="1" operator="notEqual">
      <formula>"non-hazardous"</formula>
    </cfRule>
  </conditionalFormatting>
  <conditionalFormatting sqref="AE236">
    <cfRule type="expression" dxfId="2592" priority="64449" stopIfTrue="1">
      <formula>NOT(ISBLANK($AE$236))</formula>
    </cfRule>
  </conditionalFormatting>
  <conditionalFormatting sqref="AF236">
    <cfRule type="cellIs" dxfId="2591" priority="64450" stopIfTrue="1" operator="notEqual">
      <formula>0</formula>
    </cfRule>
  </conditionalFormatting>
  <conditionalFormatting sqref="AG236">
    <cfRule type="expression" dxfId="2590" priority="64451" stopIfTrue="1">
      <formula>NOT(ISBLANK($AG$236))</formula>
    </cfRule>
  </conditionalFormatting>
  <conditionalFormatting sqref="AH236">
    <cfRule type="expression" dxfId="2589" priority="64452" stopIfTrue="1">
      <formula>NOT(ISBLANK($AH$236))</formula>
    </cfRule>
  </conditionalFormatting>
  <conditionalFormatting sqref="AI236">
    <cfRule type="cellIs" dxfId="2588" priority="64453" stopIfTrue="1" operator="notEqual">
      <formula>"fully automated"</formula>
    </cfRule>
  </conditionalFormatting>
  <conditionalFormatting sqref="AJ236">
    <cfRule type="expression" dxfId="2587" priority="64454" stopIfTrue="1">
      <formula>NOT(ISBLANK($AJ$236))</formula>
    </cfRule>
  </conditionalFormatting>
  <conditionalFormatting sqref="AK236">
    <cfRule type="expression" dxfId="2586" priority="64455" stopIfTrue="1">
      <formula>NOT(ISBLANK($AK$236))</formula>
    </cfRule>
  </conditionalFormatting>
  <conditionalFormatting sqref="AL236">
    <cfRule type="expression" dxfId="2585" priority="64456" stopIfTrue="1">
      <formula>NOT(ISBLANK($AL$236))</formula>
    </cfRule>
  </conditionalFormatting>
  <conditionalFormatting sqref="AM236">
    <cfRule type="expression" dxfId="2584" priority="64457" stopIfTrue="1">
      <formula>NOT(ISBLANK($AM$236))</formula>
    </cfRule>
  </conditionalFormatting>
  <conditionalFormatting sqref="AN236">
    <cfRule type="expression" dxfId="2583" priority="64458" stopIfTrue="1">
      <formula>NOT(ISBLANK($AN$236))</formula>
    </cfRule>
  </conditionalFormatting>
  <conditionalFormatting sqref="AO236">
    <cfRule type="expression" dxfId="2582" priority="64459" stopIfTrue="1">
      <formula>NOT(ISBLANK($AO$236))</formula>
    </cfRule>
  </conditionalFormatting>
  <conditionalFormatting sqref="AP236">
    <cfRule type="expression" dxfId="2581" priority="64460" stopIfTrue="1">
      <formula>NOT(ISBLANK($AP$236))</formula>
    </cfRule>
  </conditionalFormatting>
  <conditionalFormatting sqref="AQ236">
    <cfRule type="expression" dxfId="2580" priority="64461" stopIfTrue="1">
      <formula>NOT(ISBLANK($AQ$236))</formula>
    </cfRule>
  </conditionalFormatting>
  <conditionalFormatting sqref="A237">
    <cfRule type="cellIs" dxfId="2579" priority="64462" stopIfTrue="1" operator="notEqual">
      <formula>15</formula>
    </cfRule>
  </conditionalFormatting>
  <conditionalFormatting sqref="B237">
    <cfRule type="cellIs" dxfId="2578" priority="64463" stopIfTrue="1" operator="notEqual">
      <formula>1</formula>
    </cfRule>
  </conditionalFormatting>
  <conditionalFormatting sqref="C237">
    <cfRule type="cellIs" dxfId="2577" priority="64464" stopIfTrue="1" operator="notEqual">
      <formula>5</formula>
    </cfRule>
  </conditionalFormatting>
  <conditionalFormatting sqref="D237">
    <cfRule type="cellIs" dxfId="2576" priority="64465" stopIfTrue="1" operator="notEqual">
      <formula>2.152</formula>
    </cfRule>
  </conditionalFormatting>
  <conditionalFormatting sqref="E237">
    <cfRule type="cellIs" dxfId="2575" priority="64466" stopIfTrue="1" operator="notEqual">
      <formula>"MGD"</formula>
    </cfRule>
  </conditionalFormatting>
  <conditionalFormatting sqref="F237">
    <cfRule type="cellIs" dxfId="2574" priority="64467" stopIfTrue="1" operator="notEqual">
      <formula>0.819</formula>
    </cfRule>
  </conditionalFormatting>
  <conditionalFormatting sqref="G237">
    <cfRule type="cellIs" dxfId="2573" priority="64468" stopIfTrue="1" operator="notEqual">
      <formula>"MGD"</formula>
    </cfRule>
  </conditionalFormatting>
  <conditionalFormatting sqref="H237">
    <cfRule type="cellIs" dxfId="2572" priority="64469" stopIfTrue="1" operator="notEqual">
      <formula>"regeneration off-site (non-hazardous)"</formula>
    </cfRule>
  </conditionalFormatting>
  <conditionalFormatting sqref="I237">
    <cfRule type="cellIs" dxfId="2571" priority="64470" stopIfTrue="1" operator="notEqual">
      <formula>"carbon life value- bed volumes"</formula>
    </cfRule>
  </conditionalFormatting>
  <conditionalFormatting sqref="J237">
    <cfRule type="cellIs" dxfId="2570" priority="64471" stopIfTrue="1" operator="notEqual">
      <formula>47100</formula>
    </cfRule>
  </conditionalFormatting>
  <conditionalFormatting sqref="K237">
    <cfRule type="expression" dxfId="2569" priority="64472" stopIfTrue="1">
      <formula>NOT(ISBLANK($K$237))</formula>
    </cfRule>
  </conditionalFormatting>
  <conditionalFormatting sqref="L237">
    <cfRule type="expression" dxfId="2568" priority="64473" stopIfTrue="1">
      <formula>NOT(ISBLANK($L$237))</formula>
    </cfRule>
  </conditionalFormatting>
  <conditionalFormatting sqref="M237">
    <cfRule type="expression" dxfId="2567" priority="64474" stopIfTrue="1">
      <formula>NOT(ISBLANK($M$237))</formula>
    </cfRule>
  </conditionalFormatting>
  <conditionalFormatting sqref="N237">
    <cfRule type="cellIs" dxfId="2566" priority="64475" stopIfTrue="1" operator="notEqual">
      <formula>"EBCT"</formula>
    </cfRule>
  </conditionalFormatting>
  <conditionalFormatting sqref="O237">
    <cfRule type="cellIs" dxfId="2565" priority="64476" stopIfTrue="1" operator="notEqual">
      <formula>7.5</formula>
    </cfRule>
  </conditionalFormatting>
  <conditionalFormatting sqref="P237">
    <cfRule type="expression" dxfId="2564" priority="64477" stopIfTrue="1">
      <formula>NOT(ISBLANK($P$237))</formula>
    </cfRule>
  </conditionalFormatting>
  <conditionalFormatting sqref="Q237">
    <cfRule type="expression" dxfId="2563" priority="64478" stopIfTrue="1">
      <formula>NOT(ISBLANK($Q$237))</formula>
    </cfRule>
  </conditionalFormatting>
  <conditionalFormatting sqref="R237">
    <cfRule type="cellIs" dxfId="2562" priority="64479" stopIfTrue="1" operator="notEqual">
      <formula>1</formula>
    </cfRule>
  </conditionalFormatting>
  <conditionalFormatting sqref="S237">
    <cfRule type="cellIs" dxfId="2561" priority="64480" stopIfTrue="1" operator="notEqual">
      <formula>6.7</formula>
    </cfRule>
  </conditionalFormatting>
  <conditionalFormatting sqref="T237">
    <cfRule type="cellIs" dxfId="2560" priority="64481" stopIfTrue="1" operator="notEqual">
      <formula>"upright"</formula>
    </cfRule>
  </conditionalFormatting>
  <conditionalFormatting sqref="U237">
    <cfRule type="cellIs" dxfId="2559" priority="64482" stopIfTrue="1" operator="notEqual">
      <formula>11</formula>
    </cfRule>
  </conditionalFormatting>
  <conditionalFormatting sqref="V237">
    <cfRule type="cellIs" dxfId="2558" priority="64483" stopIfTrue="1" operator="notEqual">
      <formula>8.5</formula>
    </cfRule>
  </conditionalFormatting>
  <conditionalFormatting sqref="W237">
    <cfRule type="expression" dxfId="2557" priority="64484" stopIfTrue="1">
      <formula>NOT(ISBLANK($W$237))</formula>
    </cfRule>
  </conditionalFormatting>
  <conditionalFormatting sqref="X237">
    <cfRule type="expression" dxfId="2556" priority="64485" stopIfTrue="1">
      <formula>NOT(ISBLANK($X$237))</formula>
    </cfRule>
  </conditionalFormatting>
  <conditionalFormatting sqref="Y237">
    <cfRule type="expression" dxfId="2555" priority="64486" stopIfTrue="1">
      <formula>NOT(ISBLANK($Y$237))</formula>
    </cfRule>
  </conditionalFormatting>
  <conditionalFormatting sqref="Z237">
    <cfRule type="cellIs" dxfId="2554" priority="64487" stopIfTrue="1" operator="notEqual">
      <formula>168</formula>
    </cfRule>
  </conditionalFormatting>
  <conditionalFormatting sqref="AA237">
    <cfRule type="cellIs" dxfId="2553" priority="64488" stopIfTrue="1" operator="notEqual">
      <formula>"POTW"</formula>
    </cfRule>
  </conditionalFormatting>
  <conditionalFormatting sqref="AB237">
    <cfRule type="cellIs" dxfId="2552" priority="64489" stopIfTrue="1" operator="notEqual">
      <formula>"Holding tank"</formula>
    </cfRule>
  </conditionalFormatting>
  <conditionalFormatting sqref="AC237">
    <cfRule type="cellIs" dxfId="2551" priority="64490" stopIfTrue="1" operator="notEqual">
      <formula>"manual transfer"</formula>
    </cfRule>
  </conditionalFormatting>
  <conditionalFormatting sqref="AD237">
    <cfRule type="cellIs" dxfId="2550" priority="64491" stopIfTrue="1" operator="notEqual">
      <formula>"non-hazardous"</formula>
    </cfRule>
  </conditionalFormatting>
  <conditionalFormatting sqref="AE237">
    <cfRule type="expression" dxfId="2549" priority="64492" stopIfTrue="1">
      <formula>NOT(ISBLANK($AE$237))</formula>
    </cfRule>
  </conditionalFormatting>
  <conditionalFormatting sqref="AF237">
    <cfRule type="cellIs" dxfId="2548" priority="64493" stopIfTrue="1" operator="notEqual">
      <formula>0</formula>
    </cfRule>
  </conditionalFormatting>
  <conditionalFormatting sqref="AG237">
    <cfRule type="expression" dxfId="2547" priority="64494" stopIfTrue="1">
      <formula>NOT(ISBLANK($AG$237))</formula>
    </cfRule>
  </conditionalFormatting>
  <conditionalFormatting sqref="AH237">
    <cfRule type="expression" dxfId="2546" priority="64495" stopIfTrue="1">
      <formula>NOT(ISBLANK($AH$237))</formula>
    </cfRule>
  </conditionalFormatting>
  <conditionalFormatting sqref="AI237">
    <cfRule type="cellIs" dxfId="2545" priority="64496" stopIfTrue="1" operator="notEqual">
      <formula>"fully automated"</formula>
    </cfRule>
  </conditionalFormatting>
  <conditionalFormatting sqref="AJ237">
    <cfRule type="expression" dxfId="2544" priority="64497" stopIfTrue="1">
      <formula>NOT(ISBLANK($AJ$237))</formula>
    </cfRule>
  </conditionalFormatting>
  <conditionalFormatting sqref="AK237">
    <cfRule type="expression" dxfId="2543" priority="64498" stopIfTrue="1">
      <formula>NOT(ISBLANK($AK$237))</formula>
    </cfRule>
  </conditionalFormatting>
  <conditionalFormatting sqref="AL237">
    <cfRule type="expression" dxfId="2542" priority="64499" stopIfTrue="1">
      <formula>NOT(ISBLANK($AL$237))</formula>
    </cfRule>
  </conditionalFormatting>
  <conditionalFormatting sqref="AM237">
    <cfRule type="expression" dxfId="2541" priority="64500" stopIfTrue="1">
      <formula>NOT(ISBLANK($AM$237))</formula>
    </cfRule>
  </conditionalFormatting>
  <conditionalFormatting sqref="AN237">
    <cfRule type="expression" dxfId="2540" priority="64501" stopIfTrue="1">
      <formula>NOT(ISBLANK($AN$237))</formula>
    </cfRule>
  </conditionalFormatting>
  <conditionalFormatting sqref="AO237">
    <cfRule type="expression" dxfId="2539" priority="64502" stopIfTrue="1">
      <formula>NOT(ISBLANK($AO$237))</formula>
    </cfRule>
  </conditionalFormatting>
  <conditionalFormatting sqref="AP237">
    <cfRule type="expression" dxfId="2538" priority="64503" stopIfTrue="1">
      <formula>NOT(ISBLANK($AP$237))</formula>
    </cfRule>
  </conditionalFormatting>
  <conditionalFormatting sqref="AQ237">
    <cfRule type="expression" dxfId="2537" priority="64504" stopIfTrue="1">
      <formula>NOT(ISBLANK($AQ$237))</formula>
    </cfRule>
  </conditionalFormatting>
  <conditionalFormatting sqref="A238">
    <cfRule type="cellIs" dxfId="2536" priority="64505" stopIfTrue="1" operator="notEqual">
      <formula>15</formula>
    </cfRule>
  </conditionalFormatting>
  <conditionalFormatting sqref="B238">
    <cfRule type="cellIs" dxfId="2535" priority="64506" stopIfTrue="1" operator="notEqual">
      <formula>1</formula>
    </cfRule>
  </conditionalFormatting>
  <conditionalFormatting sqref="C238">
    <cfRule type="cellIs" dxfId="2534" priority="64507" stopIfTrue="1" operator="notEqual">
      <formula>6</formula>
    </cfRule>
  </conditionalFormatting>
  <conditionalFormatting sqref="D238">
    <cfRule type="cellIs" dxfId="2533" priority="64508" stopIfTrue="1" operator="notEqual">
      <formula>7.365</formula>
    </cfRule>
  </conditionalFormatting>
  <conditionalFormatting sqref="E238">
    <cfRule type="cellIs" dxfId="2532" priority="64509" stopIfTrue="1" operator="notEqual">
      <formula>"MGD"</formula>
    </cfRule>
  </conditionalFormatting>
  <conditionalFormatting sqref="F238">
    <cfRule type="cellIs" dxfId="2531" priority="64510" stopIfTrue="1" operator="notEqual">
      <formula>3.2</formula>
    </cfRule>
  </conditionalFormatting>
  <conditionalFormatting sqref="G238">
    <cfRule type="cellIs" dxfId="2530" priority="64511" stopIfTrue="1" operator="notEqual">
      <formula>"MGD"</formula>
    </cfRule>
  </conditionalFormatting>
  <conditionalFormatting sqref="H238">
    <cfRule type="cellIs" dxfId="2529" priority="64512" stopIfTrue="1" operator="notEqual">
      <formula>"regeneration off-site (non-hazardous)"</formula>
    </cfRule>
  </conditionalFormatting>
  <conditionalFormatting sqref="I238">
    <cfRule type="cellIs" dxfId="2528" priority="64513" stopIfTrue="1" operator="notEqual">
      <formula>"carbon life value- bed volumes"</formula>
    </cfRule>
  </conditionalFormatting>
  <conditionalFormatting sqref="J238">
    <cfRule type="cellIs" dxfId="2527" priority="64514" stopIfTrue="1" operator="notEqual">
      <formula>47100</formula>
    </cfRule>
  </conditionalFormatting>
  <conditionalFormatting sqref="K238">
    <cfRule type="expression" dxfId="2526" priority="64515" stopIfTrue="1">
      <formula>NOT(ISBLANK($K$238))</formula>
    </cfRule>
  </conditionalFormatting>
  <conditionalFormatting sqref="L238">
    <cfRule type="expression" dxfId="2525" priority="64516" stopIfTrue="1">
      <formula>NOT(ISBLANK($L$238))</formula>
    </cfRule>
  </conditionalFormatting>
  <conditionalFormatting sqref="M238">
    <cfRule type="expression" dxfId="2524" priority="64517" stopIfTrue="1">
      <formula>NOT(ISBLANK($M$238))</formula>
    </cfRule>
  </conditionalFormatting>
  <conditionalFormatting sqref="N238">
    <cfRule type="cellIs" dxfId="2523" priority="64518" stopIfTrue="1" operator="notEqual">
      <formula>"EBCT"</formula>
    </cfRule>
  </conditionalFormatting>
  <conditionalFormatting sqref="O238">
    <cfRule type="cellIs" dxfId="2522" priority="64519" stopIfTrue="1" operator="notEqual">
      <formula>7.5</formula>
    </cfRule>
  </conditionalFormatting>
  <conditionalFormatting sqref="P238">
    <cfRule type="expression" dxfId="2521" priority="64520" stopIfTrue="1">
      <formula>NOT(ISBLANK($P$238))</formula>
    </cfRule>
  </conditionalFormatting>
  <conditionalFormatting sqref="Q238">
    <cfRule type="expression" dxfId="2520" priority="64521" stopIfTrue="1">
      <formula>NOT(ISBLANK($Q$238))</formula>
    </cfRule>
  </conditionalFormatting>
  <conditionalFormatting sqref="R238">
    <cfRule type="cellIs" dxfId="2519" priority="64522" stopIfTrue="1" operator="notEqual">
      <formula>1</formula>
    </cfRule>
  </conditionalFormatting>
  <conditionalFormatting sqref="S238">
    <cfRule type="cellIs" dxfId="2518" priority="64523" stopIfTrue="1" operator="notEqual">
      <formula>6.8</formula>
    </cfRule>
  </conditionalFormatting>
  <conditionalFormatting sqref="T238">
    <cfRule type="cellIs" dxfId="2517" priority="64524" stopIfTrue="1" operator="notEqual">
      <formula>"upright"</formula>
    </cfRule>
  </conditionalFormatting>
  <conditionalFormatting sqref="U238">
    <cfRule type="cellIs" dxfId="2516" priority="64525" stopIfTrue="1" operator="notEqual">
      <formula>11</formula>
    </cfRule>
  </conditionalFormatting>
  <conditionalFormatting sqref="V238">
    <cfRule type="cellIs" dxfId="2515" priority="64526" stopIfTrue="1" operator="notEqual">
      <formula>11</formula>
    </cfRule>
  </conditionalFormatting>
  <conditionalFormatting sqref="W238">
    <cfRule type="expression" dxfId="2514" priority="64527" stopIfTrue="1">
      <formula>NOT(ISBLANK($W$238))</formula>
    </cfRule>
  </conditionalFormatting>
  <conditionalFormatting sqref="X238">
    <cfRule type="expression" dxfId="2513" priority="64528" stopIfTrue="1">
      <formula>NOT(ISBLANK($X$238))</formula>
    </cfRule>
  </conditionalFormatting>
  <conditionalFormatting sqref="Y238">
    <cfRule type="expression" dxfId="2512" priority="64529" stopIfTrue="1">
      <formula>NOT(ISBLANK($Y$238))</formula>
    </cfRule>
  </conditionalFormatting>
  <conditionalFormatting sqref="Z238">
    <cfRule type="cellIs" dxfId="2511" priority="64530" stopIfTrue="1" operator="notEqual">
      <formula>168</formula>
    </cfRule>
  </conditionalFormatting>
  <conditionalFormatting sqref="AA238">
    <cfRule type="cellIs" dxfId="2510" priority="64531" stopIfTrue="1" operator="notEqual">
      <formula>"POTW"</formula>
    </cfRule>
  </conditionalFormatting>
  <conditionalFormatting sqref="AB238">
    <cfRule type="cellIs" dxfId="2509" priority="64532" stopIfTrue="1" operator="notEqual">
      <formula>"Holding tank"</formula>
    </cfRule>
  </conditionalFormatting>
  <conditionalFormatting sqref="AC238">
    <cfRule type="cellIs" dxfId="2508" priority="64533" stopIfTrue="1" operator="notEqual">
      <formula>"eductors"</formula>
    </cfRule>
  </conditionalFormatting>
  <conditionalFormatting sqref="AD238">
    <cfRule type="cellIs" dxfId="2507" priority="64534" stopIfTrue="1" operator="notEqual">
      <formula>"non-hazardous"</formula>
    </cfRule>
  </conditionalFormatting>
  <conditionalFormatting sqref="AE238">
    <cfRule type="expression" dxfId="2506" priority="64535" stopIfTrue="1">
      <formula>NOT(ISBLANK($AE$238))</formula>
    </cfRule>
  </conditionalFormatting>
  <conditionalFormatting sqref="AF238">
    <cfRule type="cellIs" dxfId="2505" priority="64536" stopIfTrue="1" operator="notEqual">
      <formula>0</formula>
    </cfRule>
  </conditionalFormatting>
  <conditionalFormatting sqref="AG238">
    <cfRule type="expression" dxfId="2504" priority="64537" stopIfTrue="1">
      <formula>NOT(ISBLANK($AG$238))</formula>
    </cfRule>
  </conditionalFormatting>
  <conditionalFormatting sqref="AH238">
    <cfRule type="expression" dxfId="2503" priority="64538" stopIfTrue="1">
      <formula>NOT(ISBLANK($AH$238))</formula>
    </cfRule>
  </conditionalFormatting>
  <conditionalFormatting sqref="AI238">
    <cfRule type="cellIs" dxfId="2502" priority="64539" stopIfTrue="1" operator="notEqual">
      <formula>"fully automated"</formula>
    </cfRule>
  </conditionalFormatting>
  <conditionalFormatting sqref="AJ238">
    <cfRule type="expression" dxfId="2501" priority="64540" stopIfTrue="1">
      <formula>NOT(ISBLANK($AJ$238))</formula>
    </cfRule>
  </conditionalFormatting>
  <conditionalFormatting sqref="AK238">
    <cfRule type="expression" dxfId="2500" priority="64541" stopIfTrue="1">
      <formula>NOT(ISBLANK($AK$238))</formula>
    </cfRule>
  </conditionalFormatting>
  <conditionalFormatting sqref="AL238">
    <cfRule type="expression" dxfId="2499" priority="64542" stopIfTrue="1">
      <formula>NOT(ISBLANK($AL$238))</formula>
    </cfRule>
  </conditionalFormatting>
  <conditionalFormatting sqref="AM238">
    <cfRule type="expression" dxfId="2498" priority="64543" stopIfTrue="1">
      <formula>NOT(ISBLANK($AM$238))</formula>
    </cfRule>
  </conditionalFormatting>
  <conditionalFormatting sqref="AN238">
    <cfRule type="expression" dxfId="2497" priority="64544" stopIfTrue="1">
      <formula>NOT(ISBLANK($AN$238))</formula>
    </cfRule>
  </conditionalFormatting>
  <conditionalFormatting sqref="AO238">
    <cfRule type="expression" dxfId="2496" priority="64545" stopIfTrue="1">
      <formula>NOT(ISBLANK($AO$238))</formula>
    </cfRule>
  </conditionalFormatting>
  <conditionalFormatting sqref="AP238">
    <cfRule type="expression" dxfId="2495" priority="64546" stopIfTrue="1">
      <formula>NOT(ISBLANK($AP$238))</formula>
    </cfRule>
  </conditionalFormatting>
  <conditionalFormatting sqref="AQ238">
    <cfRule type="expression" dxfId="2494" priority="64547" stopIfTrue="1">
      <formula>NOT(ISBLANK($AQ$238))</formula>
    </cfRule>
  </conditionalFormatting>
  <conditionalFormatting sqref="A239">
    <cfRule type="cellIs" dxfId="2493" priority="64548" stopIfTrue="1" operator="notEqual">
      <formula>15</formula>
    </cfRule>
  </conditionalFormatting>
  <conditionalFormatting sqref="B239">
    <cfRule type="cellIs" dxfId="2492" priority="64549" stopIfTrue="1" operator="notEqual">
      <formula>1</formula>
    </cfRule>
  </conditionalFormatting>
  <conditionalFormatting sqref="C239">
    <cfRule type="cellIs" dxfId="2491" priority="64550" stopIfTrue="1" operator="notEqual">
      <formula>7</formula>
    </cfRule>
  </conditionalFormatting>
  <conditionalFormatting sqref="D239">
    <cfRule type="cellIs" dxfId="2490" priority="64551" stopIfTrue="1" operator="notEqual">
      <formula>22.614</formula>
    </cfRule>
  </conditionalFormatting>
  <conditionalFormatting sqref="E239">
    <cfRule type="cellIs" dxfId="2489" priority="64552" stopIfTrue="1" operator="notEqual">
      <formula>"MGD"</formula>
    </cfRule>
  </conditionalFormatting>
  <conditionalFormatting sqref="F239">
    <cfRule type="cellIs" dxfId="2488" priority="64553" stopIfTrue="1" operator="notEqual">
      <formula>11.066</formula>
    </cfRule>
  </conditionalFormatting>
  <conditionalFormatting sqref="G239">
    <cfRule type="cellIs" dxfId="2487" priority="64554" stopIfTrue="1" operator="notEqual">
      <formula>"MGD"</formula>
    </cfRule>
  </conditionalFormatting>
  <conditionalFormatting sqref="H239">
    <cfRule type="cellIs" dxfId="2486" priority="64555" stopIfTrue="1" operator="notEqual">
      <formula>"regeneration off-site (non-hazardous)"</formula>
    </cfRule>
  </conditionalFormatting>
  <conditionalFormatting sqref="I239">
    <cfRule type="cellIs" dxfId="2485" priority="64556" stopIfTrue="1" operator="notEqual">
      <formula>"carbon life value- bed volumes"</formula>
    </cfRule>
  </conditionalFormatting>
  <conditionalFormatting sqref="J239">
    <cfRule type="cellIs" dxfId="2484" priority="64557" stopIfTrue="1" operator="notEqual">
      <formula>47100</formula>
    </cfRule>
  </conditionalFormatting>
  <conditionalFormatting sqref="K239">
    <cfRule type="expression" dxfId="2483" priority="64558" stopIfTrue="1">
      <formula>NOT(ISBLANK($K$239))</formula>
    </cfRule>
  </conditionalFormatting>
  <conditionalFormatting sqref="L239">
    <cfRule type="expression" dxfId="2482" priority="64559" stopIfTrue="1">
      <formula>NOT(ISBLANK($L$239))</formula>
    </cfRule>
  </conditionalFormatting>
  <conditionalFormatting sqref="M239">
    <cfRule type="expression" dxfId="2481" priority="64560" stopIfTrue="1">
      <formula>NOT(ISBLANK($M$239))</formula>
    </cfRule>
  </conditionalFormatting>
  <conditionalFormatting sqref="N239">
    <cfRule type="cellIs" dxfId="2480" priority="64561" stopIfTrue="1" operator="notEqual">
      <formula>"EBCT"</formula>
    </cfRule>
  </conditionalFormatting>
  <conditionalFormatting sqref="O239">
    <cfRule type="cellIs" dxfId="2479" priority="64562" stopIfTrue="1" operator="notEqual">
      <formula>7.5</formula>
    </cfRule>
  </conditionalFormatting>
  <conditionalFormatting sqref="P239">
    <cfRule type="expression" dxfId="2478" priority="64563" stopIfTrue="1">
      <formula>NOT(ISBLANK($P$239))</formula>
    </cfRule>
  </conditionalFormatting>
  <conditionalFormatting sqref="Q239">
    <cfRule type="expression" dxfId="2477" priority="64564" stopIfTrue="1">
      <formula>NOT(ISBLANK($Q$239))</formula>
    </cfRule>
  </conditionalFormatting>
  <conditionalFormatting sqref="R239">
    <cfRule type="cellIs" dxfId="2476" priority="64565" stopIfTrue="1" operator="notEqual">
      <formula>1</formula>
    </cfRule>
  </conditionalFormatting>
  <conditionalFormatting sqref="S239">
    <cfRule type="cellIs" dxfId="2475" priority="64566" stopIfTrue="1" operator="notEqual">
      <formula>7.1</formula>
    </cfRule>
  </conditionalFormatting>
  <conditionalFormatting sqref="T239">
    <cfRule type="cellIs" dxfId="2474" priority="64567" stopIfTrue="1" operator="notEqual">
      <formula>"horizontal"</formula>
    </cfRule>
  </conditionalFormatting>
  <conditionalFormatting sqref="U239">
    <cfRule type="cellIs" dxfId="2473" priority="64568" stopIfTrue="1" operator="notEqual">
      <formula>20</formula>
    </cfRule>
  </conditionalFormatting>
  <conditionalFormatting sqref="V239">
    <cfRule type="cellIs" dxfId="2472" priority="64569" stopIfTrue="1" operator="notEqual">
      <formula>14</formula>
    </cfRule>
  </conditionalFormatting>
  <conditionalFormatting sqref="W239">
    <cfRule type="expression" dxfId="2471" priority="64570" stopIfTrue="1">
      <formula>NOT(ISBLANK($W$239))</formula>
    </cfRule>
  </conditionalFormatting>
  <conditionalFormatting sqref="X239">
    <cfRule type="expression" dxfId="2470" priority="64571" stopIfTrue="1">
      <formula>NOT(ISBLANK($X$239))</formula>
    </cfRule>
  </conditionalFormatting>
  <conditionalFormatting sqref="Y239">
    <cfRule type="expression" dxfId="2469" priority="64572" stopIfTrue="1">
      <formula>NOT(ISBLANK($Y$239))</formula>
    </cfRule>
  </conditionalFormatting>
  <conditionalFormatting sqref="Z239">
    <cfRule type="cellIs" dxfId="2468" priority="64573" stopIfTrue="1" operator="notEqual">
      <formula>168</formula>
    </cfRule>
  </conditionalFormatting>
  <conditionalFormatting sqref="AA239">
    <cfRule type="cellIs" dxfId="2467" priority="64574" stopIfTrue="1" operator="notEqual">
      <formula>"POTW"</formula>
    </cfRule>
  </conditionalFormatting>
  <conditionalFormatting sqref="AB239">
    <cfRule type="cellIs" dxfId="2466" priority="64575" stopIfTrue="1" operator="notEqual">
      <formula>"Holding tank"</formula>
    </cfRule>
  </conditionalFormatting>
  <conditionalFormatting sqref="AC239">
    <cfRule type="cellIs" dxfId="2465" priority="64576" stopIfTrue="1" operator="notEqual">
      <formula>"eductors"</formula>
    </cfRule>
  </conditionalFormatting>
  <conditionalFormatting sqref="AD239">
    <cfRule type="cellIs" dxfId="2464" priority="64577" stopIfTrue="1" operator="notEqual">
      <formula>"non-hazardous"</formula>
    </cfRule>
  </conditionalFormatting>
  <conditionalFormatting sqref="AE239">
    <cfRule type="expression" dxfId="2463" priority="64578" stopIfTrue="1">
      <formula>NOT(ISBLANK($AE$239))</formula>
    </cfRule>
  </conditionalFormatting>
  <conditionalFormatting sqref="AF239">
    <cfRule type="cellIs" dxfId="2462" priority="64579" stopIfTrue="1" operator="notEqual">
      <formula>0</formula>
    </cfRule>
  </conditionalFormatting>
  <conditionalFormatting sqref="AG239">
    <cfRule type="expression" dxfId="2461" priority="64580" stopIfTrue="1">
      <formula>NOT(ISBLANK($AG$239))</formula>
    </cfRule>
  </conditionalFormatting>
  <conditionalFormatting sqref="AH239">
    <cfRule type="expression" dxfId="2460" priority="64581" stopIfTrue="1">
      <formula>NOT(ISBLANK($AH$239))</formula>
    </cfRule>
  </conditionalFormatting>
  <conditionalFormatting sqref="AI239">
    <cfRule type="cellIs" dxfId="2459" priority="64582" stopIfTrue="1" operator="notEqual">
      <formula>"fully automated"</formula>
    </cfRule>
  </conditionalFormatting>
  <conditionalFormatting sqref="AJ239">
    <cfRule type="expression" dxfId="2458" priority="64583" stopIfTrue="1">
      <formula>NOT(ISBLANK($AJ$239))</formula>
    </cfRule>
  </conditionalFormatting>
  <conditionalFormatting sqref="AK239">
    <cfRule type="expression" dxfId="2457" priority="64584" stopIfTrue="1">
      <formula>NOT(ISBLANK($AK$239))</formula>
    </cfRule>
  </conditionalFormatting>
  <conditionalFormatting sqref="AL239">
    <cfRule type="expression" dxfId="2456" priority="64585" stopIfTrue="1">
      <formula>NOT(ISBLANK($AL$239))</formula>
    </cfRule>
  </conditionalFormatting>
  <conditionalFormatting sqref="AM239">
    <cfRule type="expression" dxfId="2455" priority="64586" stopIfTrue="1">
      <formula>NOT(ISBLANK($AM$239))</formula>
    </cfRule>
  </conditionalFormatting>
  <conditionalFormatting sqref="AN239">
    <cfRule type="expression" dxfId="2454" priority="64587" stopIfTrue="1">
      <formula>NOT(ISBLANK($AN$239))</formula>
    </cfRule>
  </conditionalFormatting>
  <conditionalFormatting sqref="AO239">
    <cfRule type="expression" dxfId="2453" priority="64588" stopIfTrue="1">
      <formula>NOT(ISBLANK($AO$239))</formula>
    </cfRule>
  </conditionalFormatting>
  <conditionalFormatting sqref="AP239">
    <cfRule type="expression" dxfId="2452" priority="64589" stopIfTrue="1">
      <formula>NOT(ISBLANK($AP$239))</formula>
    </cfRule>
  </conditionalFormatting>
  <conditionalFormatting sqref="AQ239">
    <cfRule type="expression" dxfId="2451" priority="64590" stopIfTrue="1">
      <formula>NOT(ISBLANK($AQ$239))</formula>
    </cfRule>
  </conditionalFormatting>
  <conditionalFormatting sqref="A240">
    <cfRule type="cellIs" dxfId="2450" priority="64591" stopIfTrue="1" operator="notEqual">
      <formula>15</formula>
    </cfRule>
  </conditionalFormatting>
  <conditionalFormatting sqref="B240">
    <cfRule type="cellIs" dxfId="2449" priority="64592" stopIfTrue="1" operator="notEqual">
      <formula>1</formula>
    </cfRule>
  </conditionalFormatting>
  <conditionalFormatting sqref="C240">
    <cfRule type="cellIs" dxfId="2448" priority="64593" stopIfTrue="1" operator="notEqual">
      <formula>8</formula>
    </cfRule>
  </conditionalFormatting>
  <conditionalFormatting sqref="D240">
    <cfRule type="cellIs" dxfId="2447" priority="64594" stopIfTrue="1" operator="notEqual">
      <formula>75.072</formula>
    </cfRule>
  </conditionalFormatting>
  <conditionalFormatting sqref="E240">
    <cfRule type="cellIs" dxfId="2446" priority="64595" stopIfTrue="1" operator="notEqual">
      <formula>"MGD"</formula>
    </cfRule>
  </conditionalFormatting>
  <conditionalFormatting sqref="F240">
    <cfRule type="cellIs" dxfId="2445" priority="64596" stopIfTrue="1" operator="notEqual">
      <formula>37.536</formula>
    </cfRule>
  </conditionalFormatting>
  <conditionalFormatting sqref="G240">
    <cfRule type="cellIs" dxfId="2444" priority="64597" stopIfTrue="1" operator="notEqual">
      <formula>"MGD"</formula>
    </cfRule>
  </conditionalFormatting>
  <conditionalFormatting sqref="H240">
    <cfRule type="cellIs" dxfId="2443" priority="64598" stopIfTrue="1" operator="notEqual">
      <formula>"regeneration off-site (non-hazardous)"</formula>
    </cfRule>
  </conditionalFormatting>
  <conditionalFormatting sqref="I240">
    <cfRule type="cellIs" dxfId="2442" priority="64599" stopIfTrue="1" operator="notEqual">
      <formula>"carbon life value- bed volumes"</formula>
    </cfRule>
  </conditionalFormatting>
  <conditionalFormatting sqref="J240">
    <cfRule type="cellIs" dxfId="2441" priority="64600" stopIfTrue="1" operator="notEqual">
      <formula>47100</formula>
    </cfRule>
  </conditionalFormatting>
  <conditionalFormatting sqref="K240">
    <cfRule type="expression" dxfId="2440" priority="64601" stopIfTrue="1">
      <formula>NOT(ISBLANK($K$240))</formula>
    </cfRule>
  </conditionalFormatting>
  <conditionalFormatting sqref="L240">
    <cfRule type="expression" dxfId="2439" priority="64602" stopIfTrue="1">
      <formula>NOT(ISBLANK($L$240))</formula>
    </cfRule>
  </conditionalFormatting>
  <conditionalFormatting sqref="M240">
    <cfRule type="expression" dxfId="2438" priority="64603" stopIfTrue="1">
      <formula>NOT(ISBLANK($M$240))</formula>
    </cfRule>
  </conditionalFormatting>
  <conditionalFormatting sqref="N240">
    <cfRule type="cellIs" dxfId="2437" priority="64604" stopIfTrue="1" operator="notEqual">
      <formula>"EBCT"</formula>
    </cfRule>
  </conditionalFormatting>
  <conditionalFormatting sqref="O240">
    <cfRule type="cellIs" dxfId="2436" priority="64605" stopIfTrue="1" operator="notEqual">
      <formula>7.5</formula>
    </cfRule>
  </conditionalFormatting>
  <conditionalFormatting sqref="P240">
    <cfRule type="expression" dxfId="2435" priority="64606" stopIfTrue="1">
      <formula>NOT(ISBLANK($P$240))</formula>
    </cfRule>
  </conditionalFormatting>
  <conditionalFormatting sqref="Q240">
    <cfRule type="expression" dxfId="2434" priority="64607" stopIfTrue="1">
      <formula>NOT(ISBLANK($Q$240))</formula>
    </cfRule>
  </conditionalFormatting>
  <conditionalFormatting sqref="R240">
    <cfRule type="cellIs" dxfId="2433" priority="64608" stopIfTrue="1" operator="notEqual">
      <formula>1</formula>
    </cfRule>
  </conditionalFormatting>
  <conditionalFormatting sqref="S240">
    <cfRule type="cellIs" dxfId="2432" priority="64609" stopIfTrue="1" operator="notEqual">
      <formula>7.2</formula>
    </cfRule>
  </conditionalFormatting>
  <conditionalFormatting sqref="T240">
    <cfRule type="cellIs" dxfId="2431" priority="64610" stopIfTrue="1" operator="notEqual">
      <formula>"horizontal"</formula>
    </cfRule>
  </conditionalFormatting>
  <conditionalFormatting sqref="U240">
    <cfRule type="cellIs" dxfId="2430" priority="64611" stopIfTrue="1" operator="notEqual">
      <formula>20</formula>
    </cfRule>
  </conditionalFormatting>
  <conditionalFormatting sqref="V240">
    <cfRule type="cellIs" dxfId="2429" priority="64612" stopIfTrue="1" operator="notEqual">
      <formula>14</formula>
    </cfRule>
  </conditionalFormatting>
  <conditionalFormatting sqref="W240">
    <cfRule type="expression" dxfId="2428" priority="64613" stopIfTrue="1">
      <formula>NOT(ISBLANK($W$240))</formula>
    </cfRule>
  </conditionalFormatting>
  <conditionalFormatting sqref="X240">
    <cfRule type="expression" dxfId="2427" priority="64614" stopIfTrue="1">
      <formula>NOT(ISBLANK($X$240))</formula>
    </cfRule>
  </conditionalFormatting>
  <conditionalFormatting sqref="Y240">
    <cfRule type="expression" dxfId="2426" priority="64615" stopIfTrue="1">
      <formula>NOT(ISBLANK($Y$240))</formula>
    </cfRule>
  </conditionalFormatting>
  <conditionalFormatting sqref="Z240">
    <cfRule type="cellIs" dxfId="2425" priority="64616" stopIfTrue="1" operator="notEqual">
      <formula>168</formula>
    </cfRule>
  </conditionalFormatting>
  <conditionalFormatting sqref="AA240">
    <cfRule type="cellIs" dxfId="2424" priority="64617" stopIfTrue="1" operator="notEqual">
      <formula>"POTW"</formula>
    </cfRule>
  </conditionalFormatting>
  <conditionalFormatting sqref="AB240">
    <cfRule type="cellIs" dxfId="2423" priority="64618" stopIfTrue="1" operator="notEqual">
      <formula>"Holding tank"</formula>
    </cfRule>
  </conditionalFormatting>
  <conditionalFormatting sqref="AC240">
    <cfRule type="cellIs" dxfId="2422" priority="64619" stopIfTrue="1" operator="notEqual">
      <formula>"eductors"</formula>
    </cfRule>
  </conditionalFormatting>
  <conditionalFormatting sqref="AD240">
    <cfRule type="cellIs" dxfId="2421" priority="64620" stopIfTrue="1" operator="notEqual">
      <formula>"non-hazardous"</formula>
    </cfRule>
  </conditionalFormatting>
  <conditionalFormatting sqref="AE240">
    <cfRule type="expression" dxfId="2420" priority="64621" stopIfTrue="1">
      <formula>NOT(ISBLANK($AE$240))</formula>
    </cfRule>
  </conditionalFormatting>
  <conditionalFormatting sqref="AF240">
    <cfRule type="cellIs" dxfId="2419" priority="64622" stopIfTrue="1" operator="notEqual">
      <formula>0</formula>
    </cfRule>
  </conditionalFormatting>
  <conditionalFormatting sqref="AG240">
    <cfRule type="expression" dxfId="2418" priority="64623" stopIfTrue="1">
      <formula>NOT(ISBLANK($AG$240))</formula>
    </cfRule>
  </conditionalFormatting>
  <conditionalFormatting sqref="AH240">
    <cfRule type="expression" dxfId="2417" priority="64624" stopIfTrue="1">
      <formula>NOT(ISBLANK($AH$240))</formula>
    </cfRule>
  </conditionalFormatting>
  <conditionalFormatting sqref="AI240">
    <cfRule type="cellIs" dxfId="2416" priority="64625" stopIfTrue="1" operator="notEqual">
      <formula>"fully automated"</formula>
    </cfRule>
  </conditionalFormatting>
  <conditionalFormatting sqref="AJ240">
    <cfRule type="expression" dxfId="2415" priority="64626" stopIfTrue="1">
      <formula>NOT(ISBLANK($AJ$240))</formula>
    </cfRule>
  </conditionalFormatting>
  <conditionalFormatting sqref="AK240">
    <cfRule type="expression" dxfId="2414" priority="64627" stopIfTrue="1">
      <formula>NOT(ISBLANK($AK$240))</formula>
    </cfRule>
  </conditionalFormatting>
  <conditionalFormatting sqref="AL240">
    <cfRule type="expression" dxfId="2413" priority="64628" stopIfTrue="1">
      <formula>NOT(ISBLANK($AL$240))</formula>
    </cfRule>
  </conditionalFormatting>
  <conditionalFormatting sqref="AM240">
    <cfRule type="expression" dxfId="2412" priority="64629" stopIfTrue="1">
      <formula>NOT(ISBLANK($AM$240))</formula>
    </cfRule>
  </conditionalFormatting>
  <conditionalFormatting sqref="AN240">
    <cfRule type="expression" dxfId="2411" priority="64630" stopIfTrue="1">
      <formula>NOT(ISBLANK($AN$240))</formula>
    </cfRule>
  </conditionalFormatting>
  <conditionalFormatting sqref="AO240">
    <cfRule type="expression" dxfId="2410" priority="64631" stopIfTrue="1">
      <formula>NOT(ISBLANK($AO$240))</formula>
    </cfRule>
  </conditionalFormatting>
  <conditionalFormatting sqref="AP240">
    <cfRule type="expression" dxfId="2409" priority="64632" stopIfTrue="1">
      <formula>NOT(ISBLANK($AP$240))</formula>
    </cfRule>
  </conditionalFormatting>
  <conditionalFormatting sqref="AQ240">
    <cfRule type="expression" dxfId="2408" priority="64633" stopIfTrue="1">
      <formula>NOT(ISBLANK($AQ$240))</formula>
    </cfRule>
  </conditionalFormatting>
  <conditionalFormatting sqref="A241">
    <cfRule type="cellIs" dxfId="2407" priority="64634" stopIfTrue="1" operator="notEqual">
      <formula>15</formula>
    </cfRule>
  </conditionalFormatting>
  <conditionalFormatting sqref="B241">
    <cfRule type="cellIs" dxfId="2406" priority="64635" stopIfTrue="1" operator="notEqual">
      <formula>2</formula>
    </cfRule>
  </conditionalFormatting>
  <conditionalFormatting sqref="C241">
    <cfRule type="cellIs" dxfId="2405" priority="64636" stopIfTrue="1" operator="notEqual">
      <formula>1</formula>
    </cfRule>
  </conditionalFormatting>
  <conditionalFormatting sqref="D241">
    <cfRule type="cellIs" dxfId="2404" priority="64637" stopIfTrue="1" operator="notEqual">
      <formula>0.03</formula>
    </cfRule>
  </conditionalFormatting>
  <conditionalFormatting sqref="E241">
    <cfRule type="cellIs" dxfId="2403" priority="64638" stopIfTrue="1" operator="notEqual">
      <formula>"MGD"</formula>
    </cfRule>
  </conditionalFormatting>
  <conditionalFormatting sqref="F241">
    <cfRule type="cellIs" dxfId="2402" priority="64639" stopIfTrue="1" operator="notEqual">
      <formula>0.007</formula>
    </cfRule>
  </conditionalFormatting>
  <conditionalFormatting sqref="G241">
    <cfRule type="cellIs" dxfId="2401" priority="64640" stopIfTrue="1" operator="notEqual">
      <formula>"MGD"</formula>
    </cfRule>
  </conditionalFormatting>
  <conditionalFormatting sqref="H241">
    <cfRule type="cellIs" dxfId="2400" priority="64641" stopIfTrue="1" operator="notEqual">
      <formula>"regeneration off-site (non-hazardous)"</formula>
    </cfRule>
  </conditionalFormatting>
  <conditionalFormatting sqref="I241">
    <cfRule type="cellIs" dxfId="2399" priority="64642" stopIfTrue="1" operator="notEqual">
      <formula>"carbon life value- bed volumes"</formula>
    </cfRule>
  </conditionalFormatting>
  <conditionalFormatting sqref="J241">
    <cfRule type="cellIs" dxfId="2398" priority="64643" stopIfTrue="1" operator="notEqual">
      <formula>47100</formula>
    </cfRule>
  </conditionalFormatting>
  <conditionalFormatting sqref="K241">
    <cfRule type="expression" dxfId="2397" priority="64644" stopIfTrue="1">
      <formula>NOT(ISBLANK($K$241))</formula>
    </cfRule>
  </conditionalFormatting>
  <conditionalFormatting sqref="L241">
    <cfRule type="expression" dxfId="2396" priority="64645" stopIfTrue="1">
      <formula>NOT(ISBLANK($L$241))</formula>
    </cfRule>
  </conditionalFormatting>
  <conditionalFormatting sqref="M241">
    <cfRule type="expression" dxfId="2395" priority="64646" stopIfTrue="1">
      <formula>NOT(ISBLANK($M$241))</formula>
    </cfRule>
  </conditionalFormatting>
  <conditionalFormatting sqref="N241">
    <cfRule type="cellIs" dxfId="2394" priority="64647" stopIfTrue="1" operator="notEqual">
      <formula>"EBCT"</formula>
    </cfRule>
  </conditionalFormatting>
  <conditionalFormatting sqref="O241">
    <cfRule type="cellIs" dxfId="2393" priority="64648" stopIfTrue="1" operator="notEqual">
      <formula>7.5</formula>
    </cfRule>
  </conditionalFormatting>
  <conditionalFormatting sqref="P241">
    <cfRule type="expression" dxfId="2392" priority="64649" stopIfTrue="1">
      <formula>NOT(ISBLANK($P$241))</formula>
    </cfRule>
  </conditionalFormatting>
  <conditionalFormatting sqref="Q241">
    <cfRule type="expression" dxfId="2391" priority="64650" stopIfTrue="1">
      <formula>NOT(ISBLANK($Q$241))</formula>
    </cfRule>
  </conditionalFormatting>
  <conditionalFormatting sqref="R241">
    <cfRule type="expression" dxfId="2390" priority="64651" stopIfTrue="1">
      <formula>NOT(ISBLANK($R$241))</formula>
    </cfRule>
  </conditionalFormatting>
  <conditionalFormatting sqref="S241">
    <cfRule type="expression" dxfId="2389" priority="64652" stopIfTrue="1">
      <formula>NOT(ISBLANK($S$241))</formula>
    </cfRule>
  </conditionalFormatting>
  <conditionalFormatting sqref="T241">
    <cfRule type="expression" dxfId="2388" priority="64653" stopIfTrue="1">
      <formula>NOT(ISBLANK($T$241))</formula>
    </cfRule>
  </conditionalFormatting>
  <conditionalFormatting sqref="U241">
    <cfRule type="expression" dxfId="2387" priority="64654" stopIfTrue="1">
      <formula>NOT(ISBLANK($U$241))</formula>
    </cfRule>
  </conditionalFormatting>
  <conditionalFormatting sqref="V241">
    <cfRule type="expression" dxfId="2386" priority="64655" stopIfTrue="1">
      <formula>NOT(ISBLANK($V$241))</formula>
    </cfRule>
  </conditionalFormatting>
  <conditionalFormatting sqref="W241">
    <cfRule type="cellIs" dxfId="2385" priority="64656" stopIfTrue="1" operator="notEqual">
      <formula>6</formula>
    </cfRule>
  </conditionalFormatting>
  <conditionalFormatting sqref="X241">
    <cfRule type="cellIs" dxfId="2384" priority="64657" stopIfTrue="1" operator="notEqual">
      <formula>6</formula>
    </cfRule>
  </conditionalFormatting>
  <conditionalFormatting sqref="Y241">
    <cfRule type="cellIs" dxfId="2383" priority="64658" stopIfTrue="1" operator="notEqual">
      <formula>3</formula>
    </cfRule>
  </conditionalFormatting>
  <conditionalFormatting sqref="Z241">
    <cfRule type="cellIs" dxfId="2382" priority="64659" stopIfTrue="1" operator="notEqual">
      <formula>168</formula>
    </cfRule>
  </conditionalFormatting>
  <conditionalFormatting sqref="AA241">
    <cfRule type="cellIs" dxfId="2381" priority="64660" stopIfTrue="1" operator="notEqual">
      <formula>"POTW"</formula>
    </cfRule>
  </conditionalFormatting>
  <conditionalFormatting sqref="AB241">
    <cfRule type="cellIs" dxfId="2380" priority="64661" stopIfTrue="1" operator="notEqual">
      <formula>"holding tank"</formula>
    </cfRule>
  </conditionalFormatting>
  <conditionalFormatting sqref="AC241">
    <cfRule type="cellIs" dxfId="2379" priority="64662" stopIfTrue="1" operator="notEqual">
      <formula>"manual transfer"</formula>
    </cfRule>
  </conditionalFormatting>
  <conditionalFormatting sqref="AD241">
    <cfRule type="cellIs" dxfId="2378" priority="64663" stopIfTrue="1" operator="notEqual">
      <formula>"non-hazardous"</formula>
    </cfRule>
  </conditionalFormatting>
  <conditionalFormatting sqref="AE241">
    <cfRule type="expression" dxfId="2377" priority="64664" stopIfTrue="1">
      <formula>NOT(ISBLANK($AE$241))</formula>
    </cfRule>
  </conditionalFormatting>
  <conditionalFormatting sqref="AF241">
    <cfRule type="cellIs" dxfId="2376" priority="64665" stopIfTrue="1" operator="notEqual">
      <formula>0</formula>
    </cfRule>
  </conditionalFormatting>
  <conditionalFormatting sqref="AG241">
    <cfRule type="expression" dxfId="2375" priority="64666" stopIfTrue="1">
      <formula>NOT(ISBLANK($AG$241))</formula>
    </cfRule>
  </conditionalFormatting>
  <conditionalFormatting sqref="AH241">
    <cfRule type="expression" dxfId="2374" priority="64667" stopIfTrue="1">
      <formula>NOT(ISBLANK($AH$241))</formula>
    </cfRule>
  </conditionalFormatting>
  <conditionalFormatting sqref="AI241">
    <cfRule type="cellIs" dxfId="2373" priority="64668" stopIfTrue="1" operator="notEqual">
      <formula>"fully automated"</formula>
    </cfRule>
  </conditionalFormatting>
  <conditionalFormatting sqref="AJ241">
    <cfRule type="expression" dxfId="2372" priority="64669" stopIfTrue="1">
      <formula>NOT(ISBLANK($AJ$241))</formula>
    </cfRule>
  </conditionalFormatting>
  <conditionalFormatting sqref="AK241">
    <cfRule type="expression" dxfId="2371" priority="64670" stopIfTrue="1">
      <formula>NOT(ISBLANK($AK$241))</formula>
    </cfRule>
  </conditionalFormatting>
  <conditionalFormatting sqref="AL241">
    <cfRule type="expression" dxfId="2370" priority="64671" stopIfTrue="1">
      <formula>NOT(ISBLANK($AL$241))</formula>
    </cfRule>
  </conditionalFormatting>
  <conditionalFormatting sqref="AM241">
    <cfRule type="expression" dxfId="2369" priority="64672" stopIfTrue="1">
      <formula>NOT(ISBLANK($AM$241))</formula>
    </cfRule>
  </conditionalFormatting>
  <conditionalFormatting sqref="AN241">
    <cfRule type="expression" dxfId="2368" priority="64673" stopIfTrue="1">
      <formula>NOT(ISBLANK($AN$241))</formula>
    </cfRule>
  </conditionalFormatting>
  <conditionalFormatting sqref="AO241">
    <cfRule type="expression" dxfId="2367" priority="64674" stopIfTrue="1">
      <formula>NOT(ISBLANK($AO$241))</formula>
    </cfRule>
  </conditionalFormatting>
  <conditionalFormatting sqref="AP241">
    <cfRule type="expression" dxfId="2366" priority="64675" stopIfTrue="1">
      <formula>NOT(ISBLANK($AP$241))</formula>
    </cfRule>
  </conditionalFormatting>
  <conditionalFormatting sqref="AQ241">
    <cfRule type="expression" dxfId="2365" priority="64676" stopIfTrue="1">
      <formula>NOT(ISBLANK($AQ$241))</formula>
    </cfRule>
  </conditionalFormatting>
  <conditionalFormatting sqref="A242">
    <cfRule type="cellIs" dxfId="2364" priority="64677" stopIfTrue="1" operator="notEqual">
      <formula>15</formula>
    </cfRule>
  </conditionalFormatting>
  <conditionalFormatting sqref="B242">
    <cfRule type="cellIs" dxfId="2363" priority="64678" stopIfTrue="1" operator="notEqual">
      <formula>2</formula>
    </cfRule>
  </conditionalFormatting>
  <conditionalFormatting sqref="C242">
    <cfRule type="cellIs" dxfId="2362" priority="64679" stopIfTrue="1" operator="notEqual">
      <formula>2</formula>
    </cfRule>
  </conditionalFormatting>
  <conditionalFormatting sqref="D242">
    <cfRule type="cellIs" dxfId="2361" priority="64680" stopIfTrue="1" operator="notEqual">
      <formula>0.124</formula>
    </cfRule>
  </conditionalFormatting>
  <conditionalFormatting sqref="E242">
    <cfRule type="cellIs" dxfId="2360" priority="64681" stopIfTrue="1" operator="notEqual">
      <formula>"MGD"</formula>
    </cfRule>
  </conditionalFormatting>
  <conditionalFormatting sqref="F242">
    <cfRule type="cellIs" dxfId="2359" priority="64682" stopIfTrue="1" operator="notEqual">
      <formula>0.035</formula>
    </cfRule>
  </conditionalFormatting>
  <conditionalFormatting sqref="G242">
    <cfRule type="cellIs" dxfId="2358" priority="64683" stopIfTrue="1" operator="notEqual">
      <formula>"MGD"</formula>
    </cfRule>
  </conditionalFormatting>
  <conditionalFormatting sqref="H242">
    <cfRule type="cellIs" dxfId="2357" priority="64684" stopIfTrue="1" operator="notEqual">
      <formula>"regeneration off-site (non-hazardous)"</formula>
    </cfRule>
  </conditionalFormatting>
  <conditionalFormatting sqref="I242">
    <cfRule type="cellIs" dxfId="2356" priority="64685" stopIfTrue="1" operator="notEqual">
      <formula>"carbon life value- bed volumes"</formula>
    </cfRule>
  </conditionalFormatting>
  <conditionalFormatting sqref="J242">
    <cfRule type="cellIs" dxfId="2355" priority="64686" stopIfTrue="1" operator="notEqual">
      <formula>47100</formula>
    </cfRule>
  </conditionalFormatting>
  <conditionalFormatting sqref="K242">
    <cfRule type="expression" dxfId="2354" priority="64687" stopIfTrue="1">
      <formula>NOT(ISBLANK($K$242))</formula>
    </cfRule>
  </conditionalFormatting>
  <conditionalFormatting sqref="L242">
    <cfRule type="expression" dxfId="2353" priority="64688" stopIfTrue="1">
      <formula>NOT(ISBLANK($L$242))</formula>
    </cfRule>
  </conditionalFormatting>
  <conditionalFormatting sqref="M242">
    <cfRule type="expression" dxfId="2352" priority="64689" stopIfTrue="1">
      <formula>NOT(ISBLANK($M$242))</formula>
    </cfRule>
  </conditionalFormatting>
  <conditionalFormatting sqref="N242">
    <cfRule type="cellIs" dxfId="2351" priority="64690" stopIfTrue="1" operator="notEqual">
      <formula>"EBCT"</formula>
    </cfRule>
  </conditionalFormatting>
  <conditionalFormatting sqref="O242">
    <cfRule type="cellIs" dxfId="2350" priority="64691" stopIfTrue="1" operator="notEqual">
      <formula>7.5</formula>
    </cfRule>
  </conditionalFormatting>
  <conditionalFormatting sqref="P242">
    <cfRule type="expression" dxfId="2349" priority="64692" stopIfTrue="1">
      <formula>NOT(ISBLANK($P$242))</formula>
    </cfRule>
  </conditionalFormatting>
  <conditionalFormatting sqref="Q242">
    <cfRule type="expression" dxfId="2348" priority="64693" stopIfTrue="1">
      <formula>NOT(ISBLANK($Q$242))</formula>
    </cfRule>
  </conditionalFormatting>
  <conditionalFormatting sqref="R242">
    <cfRule type="expression" dxfId="2347" priority="64694" stopIfTrue="1">
      <formula>NOT(ISBLANK($R$242))</formula>
    </cfRule>
  </conditionalFormatting>
  <conditionalFormatting sqref="S242">
    <cfRule type="expression" dxfId="2346" priority="64695" stopIfTrue="1">
      <formula>NOT(ISBLANK($S$242))</formula>
    </cfRule>
  </conditionalFormatting>
  <conditionalFormatting sqref="T242">
    <cfRule type="expression" dxfId="2345" priority="64696" stopIfTrue="1">
      <formula>NOT(ISBLANK($T$242))</formula>
    </cfRule>
  </conditionalFormatting>
  <conditionalFormatting sqref="U242">
    <cfRule type="expression" dxfId="2344" priority="64697" stopIfTrue="1">
      <formula>NOT(ISBLANK($U$242))</formula>
    </cfRule>
  </conditionalFormatting>
  <conditionalFormatting sqref="V242">
    <cfRule type="expression" dxfId="2343" priority="64698" stopIfTrue="1">
      <formula>NOT(ISBLANK($V$242))</formula>
    </cfRule>
  </conditionalFormatting>
  <conditionalFormatting sqref="W242">
    <cfRule type="cellIs" dxfId="2342" priority="64699" stopIfTrue="1" operator="notEqual">
      <formula>6</formula>
    </cfRule>
  </conditionalFormatting>
  <conditionalFormatting sqref="X242">
    <cfRule type="cellIs" dxfId="2341" priority="64700" stopIfTrue="1" operator="notEqual">
      <formula>6</formula>
    </cfRule>
  </conditionalFormatting>
  <conditionalFormatting sqref="Y242">
    <cfRule type="cellIs" dxfId="2340" priority="64701" stopIfTrue="1" operator="notEqual">
      <formula>3</formula>
    </cfRule>
  </conditionalFormatting>
  <conditionalFormatting sqref="Z242">
    <cfRule type="cellIs" dxfId="2339" priority="64702" stopIfTrue="1" operator="notEqual">
      <formula>168</formula>
    </cfRule>
  </conditionalFormatting>
  <conditionalFormatting sqref="AA242">
    <cfRule type="cellIs" dxfId="2338" priority="64703" stopIfTrue="1" operator="notEqual">
      <formula>"POTW"</formula>
    </cfRule>
  </conditionalFormatting>
  <conditionalFormatting sqref="AB242">
    <cfRule type="cellIs" dxfId="2337" priority="64704" stopIfTrue="1" operator="notEqual">
      <formula>"holding tank"</formula>
    </cfRule>
  </conditionalFormatting>
  <conditionalFormatting sqref="AC242">
    <cfRule type="cellIs" dxfId="2336" priority="64705" stopIfTrue="1" operator="notEqual">
      <formula>"manual transfer"</formula>
    </cfRule>
  </conditionalFormatting>
  <conditionalFormatting sqref="AD242">
    <cfRule type="cellIs" dxfId="2335" priority="64706" stopIfTrue="1" operator="notEqual">
      <formula>"non-hazardous"</formula>
    </cfRule>
  </conditionalFormatting>
  <conditionalFormatting sqref="AE242">
    <cfRule type="expression" dxfId="2334" priority="64707" stopIfTrue="1">
      <formula>NOT(ISBLANK($AE$242))</formula>
    </cfRule>
  </conditionalFormatting>
  <conditionalFormatting sqref="AF242">
    <cfRule type="cellIs" dxfId="2333" priority="64708" stopIfTrue="1" operator="notEqual">
      <formula>0</formula>
    </cfRule>
  </conditionalFormatting>
  <conditionalFormatting sqref="AG242">
    <cfRule type="expression" dxfId="2332" priority="64709" stopIfTrue="1">
      <formula>NOT(ISBLANK($AG$242))</formula>
    </cfRule>
  </conditionalFormatting>
  <conditionalFormatting sqref="AH242">
    <cfRule type="expression" dxfId="2331" priority="64710" stopIfTrue="1">
      <formula>NOT(ISBLANK($AH$242))</formula>
    </cfRule>
  </conditionalFormatting>
  <conditionalFormatting sqref="AI242">
    <cfRule type="cellIs" dxfId="2330" priority="64711" stopIfTrue="1" operator="notEqual">
      <formula>"fully automated"</formula>
    </cfRule>
  </conditionalFormatting>
  <conditionalFormatting sqref="AJ242">
    <cfRule type="expression" dxfId="2329" priority="64712" stopIfTrue="1">
      <formula>NOT(ISBLANK($AJ$242))</formula>
    </cfRule>
  </conditionalFormatting>
  <conditionalFormatting sqref="AK242">
    <cfRule type="expression" dxfId="2328" priority="64713" stopIfTrue="1">
      <formula>NOT(ISBLANK($AK$242))</formula>
    </cfRule>
  </conditionalFormatting>
  <conditionalFormatting sqref="AL242">
    <cfRule type="expression" dxfId="2327" priority="64714" stopIfTrue="1">
      <formula>NOT(ISBLANK($AL$242))</formula>
    </cfRule>
  </conditionalFormatting>
  <conditionalFormatting sqref="AM242">
    <cfRule type="expression" dxfId="2326" priority="64715" stopIfTrue="1">
      <formula>NOT(ISBLANK($AM$242))</formula>
    </cfRule>
  </conditionalFormatting>
  <conditionalFormatting sqref="AN242">
    <cfRule type="expression" dxfId="2325" priority="64716" stopIfTrue="1">
      <formula>NOT(ISBLANK($AN$242))</formula>
    </cfRule>
  </conditionalFormatting>
  <conditionalFormatting sqref="AO242">
    <cfRule type="expression" dxfId="2324" priority="64717" stopIfTrue="1">
      <formula>NOT(ISBLANK($AO$242))</formula>
    </cfRule>
  </conditionalFormatting>
  <conditionalFormatting sqref="AP242">
    <cfRule type="expression" dxfId="2323" priority="64718" stopIfTrue="1">
      <formula>NOT(ISBLANK($AP$242))</formula>
    </cfRule>
  </conditionalFormatting>
  <conditionalFormatting sqref="AQ242">
    <cfRule type="expression" dxfId="2322" priority="64719" stopIfTrue="1">
      <formula>NOT(ISBLANK($AQ$242))</formula>
    </cfRule>
  </conditionalFormatting>
  <conditionalFormatting sqref="A243">
    <cfRule type="cellIs" dxfId="2321" priority="64720" stopIfTrue="1" operator="notEqual">
      <formula>15</formula>
    </cfRule>
  </conditionalFormatting>
  <conditionalFormatting sqref="B243">
    <cfRule type="cellIs" dxfId="2320" priority="64721" stopIfTrue="1" operator="notEqual">
      <formula>2</formula>
    </cfRule>
  </conditionalFormatting>
  <conditionalFormatting sqref="C243">
    <cfRule type="cellIs" dxfId="2319" priority="64722" stopIfTrue="1" operator="notEqual">
      <formula>3</formula>
    </cfRule>
  </conditionalFormatting>
  <conditionalFormatting sqref="D243">
    <cfRule type="cellIs" dxfId="2318" priority="64723" stopIfTrue="1" operator="notEqual">
      <formula>0.305</formula>
    </cfRule>
  </conditionalFormatting>
  <conditionalFormatting sqref="E243">
    <cfRule type="cellIs" dxfId="2317" priority="64724" stopIfTrue="1" operator="notEqual">
      <formula>"MGD"</formula>
    </cfRule>
  </conditionalFormatting>
  <conditionalFormatting sqref="F243">
    <cfRule type="cellIs" dxfId="2316" priority="64725" stopIfTrue="1" operator="notEqual">
      <formula>0.094</formula>
    </cfRule>
  </conditionalFormatting>
  <conditionalFormatting sqref="G243">
    <cfRule type="cellIs" dxfId="2315" priority="64726" stopIfTrue="1" operator="notEqual">
      <formula>"MGD"</formula>
    </cfRule>
  </conditionalFormatting>
  <conditionalFormatting sqref="H243">
    <cfRule type="cellIs" dxfId="2314" priority="64727" stopIfTrue="1" operator="notEqual">
      <formula>"regeneration off-site (non-hazardous)"</formula>
    </cfRule>
  </conditionalFormatting>
  <conditionalFormatting sqref="I243">
    <cfRule type="cellIs" dxfId="2313" priority="64728" stopIfTrue="1" operator="notEqual">
      <formula>"carbon life value- bed volumes"</formula>
    </cfRule>
  </conditionalFormatting>
  <conditionalFormatting sqref="J243">
    <cfRule type="cellIs" dxfId="2312" priority="64729" stopIfTrue="1" operator="notEqual">
      <formula>47100</formula>
    </cfRule>
  </conditionalFormatting>
  <conditionalFormatting sqref="K243">
    <cfRule type="expression" dxfId="2311" priority="64730" stopIfTrue="1">
      <formula>NOT(ISBLANK($K$243))</formula>
    </cfRule>
  </conditionalFormatting>
  <conditionalFormatting sqref="L243">
    <cfRule type="expression" dxfId="2310" priority="64731" stopIfTrue="1">
      <formula>NOT(ISBLANK($L$243))</formula>
    </cfRule>
  </conditionalFormatting>
  <conditionalFormatting sqref="M243">
    <cfRule type="expression" dxfId="2309" priority="64732" stopIfTrue="1">
      <formula>NOT(ISBLANK($M$243))</formula>
    </cfRule>
  </conditionalFormatting>
  <conditionalFormatting sqref="N243">
    <cfRule type="cellIs" dxfId="2308" priority="64733" stopIfTrue="1" operator="notEqual">
      <formula>"EBCT"</formula>
    </cfRule>
  </conditionalFormatting>
  <conditionalFormatting sqref="O243">
    <cfRule type="cellIs" dxfId="2307" priority="64734" stopIfTrue="1" operator="notEqual">
      <formula>7.5</formula>
    </cfRule>
  </conditionalFormatting>
  <conditionalFormatting sqref="P243">
    <cfRule type="expression" dxfId="2306" priority="64735" stopIfTrue="1">
      <formula>NOT(ISBLANK($P$243))</formula>
    </cfRule>
  </conditionalFormatting>
  <conditionalFormatting sqref="Q243">
    <cfRule type="expression" dxfId="2305" priority="64736" stopIfTrue="1">
      <formula>NOT(ISBLANK($Q$243))</formula>
    </cfRule>
  </conditionalFormatting>
  <conditionalFormatting sqref="R243">
    <cfRule type="expression" dxfId="2304" priority="64737" stopIfTrue="1">
      <formula>NOT(ISBLANK($R$243))</formula>
    </cfRule>
  </conditionalFormatting>
  <conditionalFormatting sqref="S243">
    <cfRule type="expression" dxfId="2303" priority="64738" stopIfTrue="1">
      <formula>NOT(ISBLANK($S$243))</formula>
    </cfRule>
  </conditionalFormatting>
  <conditionalFormatting sqref="T243">
    <cfRule type="expression" dxfId="2302" priority="64739" stopIfTrue="1">
      <formula>NOT(ISBLANK($T$243))</formula>
    </cfRule>
  </conditionalFormatting>
  <conditionalFormatting sqref="U243">
    <cfRule type="expression" dxfId="2301" priority="64740" stopIfTrue="1">
      <formula>NOT(ISBLANK($U$243))</formula>
    </cfRule>
  </conditionalFormatting>
  <conditionalFormatting sqref="V243">
    <cfRule type="expression" dxfId="2300" priority="64741" stopIfTrue="1">
      <formula>NOT(ISBLANK($V$243))</formula>
    </cfRule>
  </conditionalFormatting>
  <conditionalFormatting sqref="W243">
    <cfRule type="cellIs" dxfId="2299" priority="64742" stopIfTrue="1" operator="notEqual">
      <formula>6</formula>
    </cfRule>
  </conditionalFormatting>
  <conditionalFormatting sqref="X243">
    <cfRule type="cellIs" dxfId="2298" priority="64743" stopIfTrue="1" operator="notEqual">
      <formula>6</formula>
    </cfRule>
  </conditionalFormatting>
  <conditionalFormatting sqref="Y243">
    <cfRule type="cellIs" dxfId="2297" priority="64744" stopIfTrue="1" operator="notEqual">
      <formula>3</formula>
    </cfRule>
  </conditionalFormatting>
  <conditionalFormatting sqref="Z243">
    <cfRule type="cellIs" dxfId="2296" priority="64745" stopIfTrue="1" operator="notEqual">
      <formula>168</formula>
    </cfRule>
  </conditionalFormatting>
  <conditionalFormatting sqref="AA243">
    <cfRule type="cellIs" dxfId="2295" priority="64746" stopIfTrue="1" operator="notEqual">
      <formula>"POTW"</formula>
    </cfRule>
  </conditionalFormatting>
  <conditionalFormatting sqref="AB243">
    <cfRule type="cellIs" dxfId="2294" priority="64747" stopIfTrue="1" operator="notEqual">
      <formula>"holding tank"</formula>
    </cfRule>
  </conditionalFormatting>
  <conditionalFormatting sqref="AC243">
    <cfRule type="cellIs" dxfId="2293" priority="64748" stopIfTrue="1" operator="notEqual">
      <formula>"manual transfer"</formula>
    </cfRule>
  </conditionalFormatting>
  <conditionalFormatting sqref="AD243">
    <cfRule type="cellIs" dxfId="2292" priority="64749" stopIfTrue="1" operator="notEqual">
      <formula>"non-hazardous"</formula>
    </cfRule>
  </conditionalFormatting>
  <conditionalFormatting sqref="AE243">
    <cfRule type="expression" dxfId="2291" priority="64750" stopIfTrue="1">
      <formula>NOT(ISBLANK($AE$243))</formula>
    </cfRule>
  </conditionalFormatting>
  <conditionalFormatting sqref="AF243">
    <cfRule type="cellIs" dxfId="2290" priority="64751" stopIfTrue="1" operator="notEqual">
      <formula>0</formula>
    </cfRule>
  </conditionalFormatting>
  <conditionalFormatting sqref="AG243">
    <cfRule type="expression" dxfId="2289" priority="64752" stopIfTrue="1">
      <formula>NOT(ISBLANK($AG$243))</formula>
    </cfRule>
  </conditionalFormatting>
  <conditionalFormatting sqref="AH243">
    <cfRule type="expression" dxfId="2288" priority="64753" stopIfTrue="1">
      <formula>NOT(ISBLANK($AH$243))</formula>
    </cfRule>
  </conditionalFormatting>
  <conditionalFormatting sqref="AI243">
    <cfRule type="cellIs" dxfId="2287" priority="64754" stopIfTrue="1" operator="notEqual">
      <formula>"fully automated"</formula>
    </cfRule>
  </conditionalFormatting>
  <conditionalFormatting sqref="AJ243">
    <cfRule type="expression" dxfId="2286" priority="64755" stopIfTrue="1">
      <formula>NOT(ISBLANK($AJ$243))</formula>
    </cfRule>
  </conditionalFormatting>
  <conditionalFormatting sqref="AK243">
    <cfRule type="expression" dxfId="2285" priority="64756" stopIfTrue="1">
      <formula>NOT(ISBLANK($AK$243))</formula>
    </cfRule>
  </conditionalFormatting>
  <conditionalFormatting sqref="AL243">
    <cfRule type="expression" dxfId="2284" priority="64757" stopIfTrue="1">
      <formula>NOT(ISBLANK($AL$243))</formula>
    </cfRule>
  </conditionalFormatting>
  <conditionalFormatting sqref="AM243">
    <cfRule type="expression" dxfId="2283" priority="64758" stopIfTrue="1">
      <formula>NOT(ISBLANK($AM$243))</formula>
    </cfRule>
  </conditionalFormatting>
  <conditionalFormatting sqref="AN243">
    <cfRule type="expression" dxfId="2282" priority="64759" stopIfTrue="1">
      <formula>NOT(ISBLANK($AN$243))</formula>
    </cfRule>
  </conditionalFormatting>
  <conditionalFormatting sqref="AO243">
    <cfRule type="expression" dxfId="2281" priority="64760" stopIfTrue="1">
      <formula>NOT(ISBLANK($AO$243))</formula>
    </cfRule>
  </conditionalFormatting>
  <conditionalFormatting sqref="AP243">
    <cfRule type="expression" dxfId="2280" priority="64761" stopIfTrue="1">
      <formula>NOT(ISBLANK($AP$243))</formula>
    </cfRule>
  </conditionalFormatting>
  <conditionalFormatting sqref="AQ243">
    <cfRule type="expression" dxfId="2279" priority="64762" stopIfTrue="1">
      <formula>NOT(ISBLANK($AQ$243))</formula>
    </cfRule>
  </conditionalFormatting>
  <conditionalFormatting sqref="A244">
    <cfRule type="cellIs" dxfId="2278" priority="64763" stopIfTrue="1" operator="notEqual">
      <formula>15</formula>
    </cfRule>
  </conditionalFormatting>
  <conditionalFormatting sqref="B244">
    <cfRule type="cellIs" dxfId="2277" priority="64764" stopIfTrue="1" operator="notEqual">
      <formula>2</formula>
    </cfRule>
  </conditionalFormatting>
  <conditionalFormatting sqref="C244">
    <cfRule type="cellIs" dxfId="2276" priority="64765" stopIfTrue="1" operator="notEqual">
      <formula>4</formula>
    </cfRule>
  </conditionalFormatting>
  <conditionalFormatting sqref="D244">
    <cfRule type="cellIs" dxfId="2275" priority="64766" stopIfTrue="1" operator="notEqual">
      <formula>0.74</formula>
    </cfRule>
  </conditionalFormatting>
  <conditionalFormatting sqref="E244">
    <cfRule type="cellIs" dxfId="2274" priority="64767" stopIfTrue="1" operator="notEqual">
      <formula>"MGD"</formula>
    </cfRule>
  </conditionalFormatting>
  <conditionalFormatting sqref="F244">
    <cfRule type="cellIs" dxfId="2273" priority="64768" stopIfTrue="1" operator="notEqual">
      <formula>0.251</formula>
    </cfRule>
  </conditionalFormatting>
  <conditionalFormatting sqref="G244">
    <cfRule type="cellIs" dxfId="2272" priority="64769" stopIfTrue="1" operator="notEqual">
      <formula>"MGD"</formula>
    </cfRule>
  </conditionalFormatting>
  <conditionalFormatting sqref="H244">
    <cfRule type="cellIs" dxfId="2271" priority="64770" stopIfTrue="1" operator="notEqual">
      <formula>"regeneration off-site (non-hazardous)"</formula>
    </cfRule>
  </conditionalFormatting>
  <conditionalFormatting sqref="I244">
    <cfRule type="cellIs" dxfId="2270" priority="64771" stopIfTrue="1" operator="notEqual">
      <formula>"carbon life value- bed volumes"</formula>
    </cfRule>
  </conditionalFormatting>
  <conditionalFormatting sqref="J244">
    <cfRule type="cellIs" dxfId="2269" priority="64772" stopIfTrue="1" operator="notEqual">
      <formula>47100</formula>
    </cfRule>
  </conditionalFormatting>
  <conditionalFormatting sqref="K244">
    <cfRule type="expression" dxfId="2268" priority="64773" stopIfTrue="1">
      <formula>NOT(ISBLANK($K$244))</formula>
    </cfRule>
  </conditionalFormatting>
  <conditionalFormatting sqref="L244">
    <cfRule type="expression" dxfId="2267" priority="64774" stopIfTrue="1">
      <formula>NOT(ISBLANK($L$244))</formula>
    </cfRule>
  </conditionalFormatting>
  <conditionalFormatting sqref="M244">
    <cfRule type="expression" dxfId="2266" priority="64775" stopIfTrue="1">
      <formula>NOT(ISBLANK($M$244))</formula>
    </cfRule>
  </conditionalFormatting>
  <conditionalFormatting sqref="N244">
    <cfRule type="cellIs" dxfId="2265" priority="64776" stopIfTrue="1" operator="notEqual">
      <formula>"EBCT"</formula>
    </cfRule>
  </conditionalFormatting>
  <conditionalFormatting sqref="O244">
    <cfRule type="cellIs" dxfId="2264" priority="64777" stopIfTrue="1" operator="notEqual">
      <formula>7.5</formula>
    </cfRule>
  </conditionalFormatting>
  <conditionalFormatting sqref="P244">
    <cfRule type="expression" dxfId="2263" priority="64778" stopIfTrue="1">
      <formula>NOT(ISBLANK($P$244))</formula>
    </cfRule>
  </conditionalFormatting>
  <conditionalFormatting sqref="Q244">
    <cfRule type="expression" dxfId="2262" priority="64779" stopIfTrue="1">
      <formula>NOT(ISBLANK($Q$244))</formula>
    </cfRule>
  </conditionalFormatting>
  <conditionalFormatting sqref="R244">
    <cfRule type="expression" dxfId="2261" priority="64780" stopIfTrue="1">
      <formula>NOT(ISBLANK($R$244))</formula>
    </cfRule>
  </conditionalFormatting>
  <conditionalFormatting sqref="S244">
    <cfRule type="expression" dxfId="2260" priority="64781" stopIfTrue="1">
      <formula>NOT(ISBLANK($S$244))</formula>
    </cfRule>
  </conditionalFormatting>
  <conditionalFormatting sqref="T244">
    <cfRule type="expression" dxfId="2259" priority="64782" stopIfTrue="1">
      <formula>NOT(ISBLANK($T$244))</formula>
    </cfRule>
  </conditionalFormatting>
  <conditionalFormatting sqref="U244">
    <cfRule type="expression" dxfId="2258" priority="64783" stopIfTrue="1">
      <formula>NOT(ISBLANK($U$244))</formula>
    </cfRule>
  </conditionalFormatting>
  <conditionalFormatting sqref="V244">
    <cfRule type="expression" dxfId="2257" priority="64784" stopIfTrue="1">
      <formula>NOT(ISBLANK($V$244))</formula>
    </cfRule>
  </conditionalFormatting>
  <conditionalFormatting sqref="W244">
    <cfRule type="cellIs" dxfId="2256" priority="64785" stopIfTrue="1" operator="notEqual">
      <formula>7</formula>
    </cfRule>
  </conditionalFormatting>
  <conditionalFormatting sqref="X244">
    <cfRule type="cellIs" dxfId="2255" priority="64786" stopIfTrue="1" operator="notEqual">
      <formula>7</formula>
    </cfRule>
  </conditionalFormatting>
  <conditionalFormatting sqref="Y244">
    <cfRule type="cellIs" dxfId="2254" priority="64787" stopIfTrue="1" operator="notEqual">
      <formula>5.3</formula>
    </cfRule>
  </conditionalFormatting>
  <conditionalFormatting sqref="Z244">
    <cfRule type="cellIs" dxfId="2253" priority="64788" stopIfTrue="1" operator="notEqual">
      <formula>168</formula>
    </cfRule>
  </conditionalFormatting>
  <conditionalFormatting sqref="AA244">
    <cfRule type="cellIs" dxfId="2252" priority="64789" stopIfTrue="1" operator="notEqual">
      <formula>"POTW"</formula>
    </cfRule>
  </conditionalFormatting>
  <conditionalFormatting sqref="AB244">
    <cfRule type="cellIs" dxfId="2251" priority="64790" stopIfTrue="1" operator="notEqual">
      <formula>"holding tank"</formula>
    </cfRule>
  </conditionalFormatting>
  <conditionalFormatting sqref="AC244">
    <cfRule type="cellIs" dxfId="2250" priority="64791" stopIfTrue="1" operator="notEqual">
      <formula>"manual transfer"</formula>
    </cfRule>
  </conditionalFormatting>
  <conditionalFormatting sqref="AD244">
    <cfRule type="cellIs" dxfId="2249" priority="64792" stopIfTrue="1" operator="notEqual">
      <formula>"non-hazardous"</formula>
    </cfRule>
  </conditionalFormatting>
  <conditionalFormatting sqref="AE244">
    <cfRule type="expression" dxfId="2248" priority="64793" stopIfTrue="1">
      <formula>NOT(ISBLANK($AE$244))</formula>
    </cfRule>
  </conditionalFormatting>
  <conditionalFormatting sqref="AF244">
    <cfRule type="cellIs" dxfId="2247" priority="64794" stopIfTrue="1" operator="notEqual">
      <formula>0</formula>
    </cfRule>
  </conditionalFormatting>
  <conditionalFormatting sqref="AG244">
    <cfRule type="expression" dxfId="2246" priority="64795" stopIfTrue="1">
      <formula>NOT(ISBLANK($AG$244))</formula>
    </cfRule>
  </conditionalFormatting>
  <conditionalFormatting sqref="AH244">
    <cfRule type="expression" dxfId="2245" priority="64796" stopIfTrue="1">
      <formula>NOT(ISBLANK($AH$244))</formula>
    </cfRule>
  </conditionalFormatting>
  <conditionalFormatting sqref="AI244">
    <cfRule type="cellIs" dxfId="2244" priority="64797" stopIfTrue="1" operator="notEqual">
      <formula>"fully automated"</formula>
    </cfRule>
  </conditionalFormatting>
  <conditionalFormatting sqref="AJ244">
    <cfRule type="expression" dxfId="2243" priority="64798" stopIfTrue="1">
      <formula>NOT(ISBLANK($AJ$244))</formula>
    </cfRule>
  </conditionalFormatting>
  <conditionalFormatting sqref="AK244">
    <cfRule type="expression" dxfId="2242" priority="64799" stopIfTrue="1">
      <formula>NOT(ISBLANK($AK$244))</formula>
    </cfRule>
  </conditionalFormatting>
  <conditionalFormatting sqref="AL244">
    <cfRule type="expression" dxfId="2241" priority="64800" stopIfTrue="1">
      <formula>NOT(ISBLANK($AL$244))</formula>
    </cfRule>
  </conditionalFormatting>
  <conditionalFormatting sqref="AM244">
    <cfRule type="expression" dxfId="2240" priority="64801" stopIfTrue="1">
      <formula>NOT(ISBLANK($AM$244))</formula>
    </cfRule>
  </conditionalFormatting>
  <conditionalFormatting sqref="AN244">
    <cfRule type="expression" dxfId="2239" priority="64802" stopIfTrue="1">
      <formula>NOT(ISBLANK($AN$244))</formula>
    </cfRule>
  </conditionalFormatting>
  <conditionalFormatting sqref="AO244">
    <cfRule type="expression" dxfId="2238" priority="64803" stopIfTrue="1">
      <formula>NOT(ISBLANK($AO$244))</formula>
    </cfRule>
  </conditionalFormatting>
  <conditionalFormatting sqref="AP244">
    <cfRule type="expression" dxfId="2237" priority="64804" stopIfTrue="1">
      <formula>NOT(ISBLANK($AP$244))</formula>
    </cfRule>
  </conditionalFormatting>
  <conditionalFormatting sqref="AQ244">
    <cfRule type="expression" dxfId="2236" priority="64805" stopIfTrue="1">
      <formula>NOT(ISBLANK($AQ$244))</formula>
    </cfRule>
  </conditionalFormatting>
  <conditionalFormatting sqref="A245">
    <cfRule type="cellIs" dxfId="2235" priority="64806" stopIfTrue="1" operator="notEqual">
      <formula>15</formula>
    </cfRule>
  </conditionalFormatting>
  <conditionalFormatting sqref="B245">
    <cfRule type="cellIs" dxfId="2234" priority="64807" stopIfTrue="1" operator="notEqual">
      <formula>2</formula>
    </cfRule>
  </conditionalFormatting>
  <conditionalFormatting sqref="C245">
    <cfRule type="cellIs" dxfId="2233" priority="64808" stopIfTrue="1" operator="notEqual">
      <formula>5</formula>
    </cfRule>
  </conditionalFormatting>
  <conditionalFormatting sqref="D245">
    <cfRule type="cellIs" dxfId="2232" priority="64809" stopIfTrue="1" operator="notEqual">
      <formula>2.152</formula>
    </cfRule>
  </conditionalFormatting>
  <conditionalFormatting sqref="E245">
    <cfRule type="cellIs" dxfId="2231" priority="64810" stopIfTrue="1" operator="notEqual">
      <formula>"MGD"</formula>
    </cfRule>
  </conditionalFormatting>
  <conditionalFormatting sqref="F245">
    <cfRule type="cellIs" dxfId="2230" priority="64811" stopIfTrue="1" operator="notEqual">
      <formula>0.819</formula>
    </cfRule>
  </conditionalFormatting>
  <conditionalFormatting sqref="G245">
    <cfRule type="cellIs" dxfId="2229" priority="64812" stopIfTrue="1" operator="notEqual">
      <formula>"MGD"</formula>
    </cfRule>
  </conditionalFormatting>
  <conditionalFormatting sqref="H245">
    <cfRule type="cellIs" dxfId="2228" priority="64813" stopIfTrue="1" operator="notEqual">
      <formula>"regeneration off-site (non-hazardous)"</formula>
    </cfRule>
  </conditionalFormatting>
  <conditionalFormatting sqref="I245">
    <cfRule type="cellIs" dxfId="2227" priority="64814" stopIfTrue="1" operator="notEqual">
      <formula>"carbon life value- bed volumes"</formula>
    </cfRule>
  </conditionalFormatting>
  <conditionalFormatting sqref="J245">
    <cfRule type="cellIs" dxfId="2226" priority="64815" stopIfTrue="1" operator="notEqual">
      <formula>47100</formula>
    </cfRule>
  </conditionalFormatting>
  <conditionalFormatting sqref="K245">
    <cfRule type="expression" dxfId="2225" priority="64816" stopIfTrue="1">
      <formula>NOT(ISBLANK($K$245))</formula>
    </cfRule>
  </conditionalFormatting>
  <conditionalFormatting sqref="L245">
    <cfRule type="expression" dxfId="2224" priority="64817" stopIfTrue="1">
      <formula>NOT(ISBLANK($L$245))</formula>
    </cfRule>
  </conditionalFormatting>
  <conditionalFormatting sqref="M245">
    <cfRule type="expression" dxfId="2223" priority="64818" stopIfTrue="1">
      <formula>NOT(ISBLANK($M$245))</formula>
    </cfRule>
  </conditionalFormatting>
  <conditionalFormatting sqref="N245">
    <cfRule type="cellIs" dxfId="2222" priority="64819" stopIfTrue="1" operator="notEqual">
      <formula>"EBCT"</formula>
    </cfRule>
  </conditionalFormatting>
  <conditionalFormatting sqref="O245">
    <cfRule type="cellIs" dxfId="2221" priority="64820" stopIfTrue="1" operator="notEqual">
      <formula>7.5</formula>
    </cfRule>
  </conditionalFormatting>
  <conditionalFormatting sqref="P245">
    <cfRule type="expression" dxfId="2220" priority="64821" stopIfTrue="1">
      <formula>NOT(ISBLANK($P$245))</formula>
    </cfRule>
  </conditionalFormatting>
  <conditionalFormatting sqref="Q245">
    <cfRule type="expression" dxfId="2219" priority="64822" stopIfTrue="1">
      <formula>NOT(ISBLANK($Q$245))</formula>
    </cfRule>
  </conditionalFormatting>
  <conditionalFormatting sqref="R245">
    <cfRule type="expression" dxfId="2218" priority="64823" stopIfTrue="1">
      <formula>NOT(ISBLANK($R$245))</formula>
    </cfRule>
  </conditionalFormatting>
  <conditionalFormatting sqref="S245">
    <cfRule type="expression" dxfId="2217" priority="64824" stopIfTrue="1">
      <formula>NOT(ISBLANK($S$245))</formula>
    </cfRule>
  </conditionalFormatting>
  <conditionalFormatting sqref="T245">
    <cfRule type="expression" dxfId="2216" priority="64825" stopIfTrue="1">
      <formula>NOT(ISBLANK($T$245))</formula>
    </cfRule>
  </conditionalFormatting>
  <conditionalFormatting sqref="U245">
    <cfRule type="expression" dxfId="2215" priority="64826" stopIfTrue="1">
      <formula>NOT(ISBLANK($U$245))</formula>
    </cfRule>
  </conditionalFormatting>
  <conditionalFormatting sqref="V245">
    <cfRule type="expression" dxfId="2214" priority="64827" stopIfTrue="1">
      <formula>NOT(ISBLANK($V$245))</formula>
    </cfRule>
  </conditionalFormatting>
  <conditionalFormatting sqref="W245">
    <cfRule type="cellIs" dxfId="2213" priority="64828" stopIfTrue="1" operator="notEqual">
      <formula>8</formula>
    </cfRule>
  </conditionalFormatting>
  <conditionalFormatting sqref="X245">
    <cfRule type="cellIs" dxfId="2212" priority="64829" stopIfTrue="1" operator="notEqual">
      <formula>8</formula>
    </cfRule>
  </conditionalFormatting>
  <conditionalFormatting sqref="Y245">
    <cfRule type="cellIs" dxfId="2211" priority="64830" stopIfTrue="1" operator="notEqual">
      <formula>7.9</formula>
    </cfRule>
  </conditionalFormatting>
  <conditionalFormatting sqref="Z245">
    <cfRule type="cellIs" dxfId="2210" priority="64831" stopIfTrue="1" operator="notEqual">
      <formula>168</formula>
    </cfRule>
  </conditionalFormatting>
  <conditionalFormatting sqref="AA245">
    <cfRule type="cellIs" dxfId="2209" priority="64832" stopIfTrue="1" operator="notEqual">
      <formula>"POTW"</formula>
    </cfRule>
  </conditionalFormatting>
  <conditionalFormatting sqref="AB245">
    <cfRule type="cellIs" dxfId="2208" priority="64833" stopIfTrue="1" operator="notEqual">
      <formula>"holding tank"</formula>
    </cfRule>
  </conditionalFormatting>
  <conditionalFormatting sqref="AC245">
    <cfRule type="cellIs" dxfId="2207" priority="64834" stopIfTrue="1" operator="notEqual">
      <formula>"manual transfer"</formula>
    </cfRule>
  </conditionalFormatting>
  <conditionalFormatting sqref="AD245">
    <cfRule type="cellIs" dxfId="2206" priority="64835" stopIfTrue="1" operator="notEqual">
      <formula>"non-hazardous"</formula>
    </cfRule>
  </conditionalFormatting>
  <conditionalFormatting sqref="AE245">
    <cfRule type="expression" dxfId="2205" priority="64836" stopIfTrue="1">
      <formula>NOT(ISBLANK($AE$245))</formula>
    </cfRule>
  </conditionalFormatting>
  <conditionalFormatting sqref="AF245">
    <cfRule type="cellIs" dxfId="2204" priority="64837" stopIfTrue="1" operator="notEqual">
      <formula>0</formula>
    </cfRule>
  </conditionalFormatting>
  <conditionalFormatting sqref="AG245">
    <cfRule type="expression" dxfId="2203" priority="64838" stopIfTrue="1">
      <formula>NOT(ISBLANK($AG$245))</formula>
    </cfRule>
  </conditionalFormatting>
  <conditionalFormatting sqref="AH245">
    <cfRule type="expression" dxfId="2202" priority="64839" stopIfTrue="1">
      <formula>NOT(ISBLANK($AH$245))</formula>
    </cfRule>
  </conditionalFormatting>
  <conditionalFormatting sqref="AI245">
    <cfRule type="cellIs" dxfId="2201" priority="64840" stopIfTrue="1" operator="notEqual">
      <formula>"fully automated"</formula>
    </cfRule>
  </conditionalFormatting>
  <conditionalFormatting sqref="AJ245">
    <cfRule type="expression" dxfId="2200" priority="64841" stopIfTrue="1">
      <formula>NOT(ISBLANK($AJ$245))</formula>
    </cfRule>
  </conditionalFormatting>
  <conditionalFormatting sqref="AK245">
    <cfRule type="expression" dxfId="2199" priority="64842" stopIfTrue="1">
      <formula>NOT(ISBLANK($AK$245))</formula>
    </cfRule>
  </conditionalFormatting>
  <conditionalFormatting sqref="AL245">
    <cfRule type="expression" dxfId="2198" priority="64843" stopIfTrue="1">
      <formula>NOT(ISBLANK($AL$245))</formula>
    </cfRule>
  </conditionalFormatting>
  <conditionalFormatting sqref="AM245">
    <cfRule type="expression" dxfId="2197" priority="64844" stopIfTrue="1">
      <formula>NOT(ISBLANK($AM$245))</formula>
    </cfRule>
  </conditionalFormatting>
  <conditionalFormatting sqref="AN245">
    <cfRule type="expression" dxfId="2196" priority="64845" stopIfTrue="1">
      <formula>NOT(ISBLANK($AN$245))</formula>
    </cfRule>
  </conditionalFormatting>
  <conditionalFormatting sqref="AO245">
    <cfRule type="expression" dxfId="2195" priority="64846" stopIfTrue="1">
      <formula>NOT(ISBLANK($AO$245))</formula>
    </cfRule>
  </conditionalFormatting>
  <conditionalFormatting sqref="AP245">
    <cfRule type="expression" dxfId="2194" priority="64847" stopIfTrue="1">
      <formula>NOT(ISBLANK($AP$245))</formula>
    </cfRule>
  </conditionalFormatting>
  <conditionalFormatting sqref="AQ245">
    <cfRule type="expression" dxfId="2193" priority="64848" stopIfTrue="1">
      <formula>NOT(ISBLANK($AQ$245))</formula>
    </cfRule>
  </conditionalFormatting>
  <conditionalFormatting sqref="A246">
    <cfRule type="cellIs" dxfId="2192" priority="64849" stopIfTrue="1" operator="notEqual">
      <formula>15</formula>
    </cfRule>
  </conditionalFormatting>
  <conditionalFormatting sqref="B246">
    <cfRule type="cellIs" dxfId="2191" priority="64850" stopIfTrue="1" operator="notEqual">
      <formula>2</formula>
    </cfRule>
  </conditionalFormatting>
  <conditionalFormatting sqref="C246">
    <cfRule type="cellIs" dxfId="2190" priority="64851" stopIfTrue="1" operator="notEqual">
      <formula>6</formula>
    </cfRule>
  </conditionalFormatting>
  <conditionalFormatting sqref="D246">
    <cfRule type="cellIs" dxfId="2189" priority="64852" stopIfTrue="1" operator="notEqual">
      <formula>7.365</formula>
    </cfRule>
  </conditionalFormatting>
  <conditionalFormatting sqref="E246">
    <cfRule type="cellIs" dxfId="2188" priority="64853" stopIfTrue="1" operator="notEqual">
      <formula>"MGD"</formula>
    </cfRule>
  </conditionalFormatting>
  <conditionalFormatting sqref="F246">
    <cfRule type="cellIs" dxfId="2187" priority="64854" stopIfTrue="1" operator="notEqual">
      <formula>3.2</formula>
    </cfRule>
  </conditionalFormatting>
  <conditionalFormatting sqref="G246">
    <cfRule type="cellIs" dxfId="2186" priority="64855" stopIfTrue="1" operator="notEqual">
      <formula>"MGD"</formula>
    </cfRule>
  </conditionalFormatting>
  <conditionalFormatting sqref="H246">
    <cfRule type="cellIs" dxfId="2185" priority="64856" stopIfTrue="1" operator="notEqual">
      <formula>"regeneration off-site (non-hazardous)"</formula>
    </cfRule>
  </conditionalFormatting>
  <conditionalFormatting sqref="I246">
    <cfRule type="cellIs" dxfId="2184" priority="64857" stopIfTrue="1" operator="notEqual">
      <formula>"carbon life value- bed volumes"</formula>
    </cfRule>
  </conditionalFormatting>
  <conditionalFormatting sqref="J246">
    <cfRule type="cellIs" dxfId="2183" priority="64858" stopIfTrue="1" operator="notEqual">
      <formula>47100</formula>
    </cfRule>
  </conditionalFormatting>
  <conditionalFormatting sqref="K246">
    <cfRule type="expression" dxfId="2182" priority="64859" stopIfTrue="1">
      <formula>NOT(ISBLANK($K$246))</formula>
    </cfRule>
  </conditionalFormatting>
  <conditionalFormatting sqref="L246">
    <cfRule type="expression" dxfId="2181" priority="64860" stopIfTrue="1">
      <formula>NOT(ISBLANK($L$246))</formula>
    </cfRule>
  </conditionalFormatting>
  <conditionalFormatting sqref="M246">
    <cfRule type="expression" dxfId="2180" priority="64861" stopIfTrue="1">
      <formula>NOT(ISBLANK($M$246))</formula>
    </cfRule>
  </conditionalFormatting>
  <conditionalFormatting sqref="N246">
    <cfRule type="cellIs" dxfId="2179" priority="64862" stopIfTrue="1" operator="notEqual">
      <formula>"EBCT"</formula>
    </cfRule>
  </conditionalFormatting>
  <conditionalFormatting sqref="O246">
    <cfRule type="cellIs" dxfId="2178" priority="64863" stopIfTrue="1" operator="notEqual">
      <formula>7.5</formula>
    </cfRule>
  </conditionalFormatting>
  <conditionalFormatting sqref="P246">
    <cfRule type="expression" dxfId="2177" priority="64864" stopIfTrue="1">
      <formula>NOT(ISBLANK($P$246))</formula>
    </cfRule>
  </conditionalFormatting>
  <conditionalFormatting sqref="Q246">
    <cfRule type="expression" dxfId="2176" priority="64865" stopIfTrue="1">
      <formula>NOT(ISBLANK($Q$246))</formula>
    </cfRule>
  </conditionalFormatting>
  <conditionalFormatting sqref="R246">
    <cfRule type="expression" dxfId="2175" priority="64866" stopIfTrue="1">
      <formula>NOT(ISBLANK($R$246))</formula>
    </cfRule>
  </conditionalFormatting>
  <conditionalFormatting sqref="S246">
    <cfRule type="expression" dxfId="2174" priority="64867" stopIfTrue="1">
      <formula>NOT(ISBLANK($S$246))</formula>
    </cfRule>
  </conditionalFormatting>
  <conditionalFormatting sqref="T246">
    <cfRule type="expression" dxfId="2173" priority="64868" stopIfTrue="1">
      <formula>NOT(ISBLANK($T$246))</formula>
    </cfRule>
  </conditionalFormatting>
  <conditionalFormatting sqref="U246">
    <cfRule type="expression" dxfId="2172" priority="64869" stopIfTrue="1">
      <formula>NOT(ISBLANK($U$246))</formula>
    </cfRule>
  </conditionalFormatting>
  <conditionalFormatting sqref="V246">
    <cfRule type="expression" dxfId="2171" priority="64870" stopIfTrue="1">
      <formula>NOT(ISBLANK($V$246))</formula>
    </cfRule>
  </conditionalFormatting>
  <conditionalFormatting sqref="W246">
    <cfRule type="cellIs" dxfId="2170" priority="64871" stopIfTrue="1" operator="notEqual">
      <formula>11.5</formula>
    </cfRule>
  </conditionalFormatting>
  <conditionalFormatting sqref="X246">
    <cfRule type="cellIs" dxfId="2169" priority="64872" stopIfTrue="1" operator="notEqual">
      <formula>11.5</formula>
    </cfRule>
  </conditionalFormatting>
  <conditionalFormatting sqref="Y246">
    <cfRule type="cellIs" dxfId="2168" priority="64873" stopIfTrue="1" operator="notEqual">
      <formula>7.8</formula>
    </cfRule>
  </conditionalFormatting>
  <conditionalFormatting sqref="Z246">
    <cfRule type="cellIs" dxfId="2167" priority="64874" stopIfTrue="1" operator="notEqual">
      <formula>168</formula>
    </cfRule>
  </conditionalFormatting>
  <conditionalFormatting sqref="AA246">
    <cfRule type="cellIs" dxfId="2166" priority="64875" stopIfTrue="1" operator="notEqual">
      <formula>"POTW"</formula>
    </cfRule>
  </conditionalFormatting>
  <conditionalFormatting sqref="AB246">
    <cfRule type="cellIs" dxfId="2165" priority="64876" stopIfTrue="1" operator="notEqual">
      <formula>"holding tank"</formula>
    </cfRule>
  </conditionalFormatting>
  <conditionalFormatting sqref="AC246">
    <cfRule type="cellIs" dxfId="2164" priority="64877" stopIfTrue="1" operator="notEqual">
      <formula>"eductors"</formula>
    </cfRule>
  </conditionalFormatting>
  <conditionalFormatting sqref="AD246">
    <cfRule type="cellIs" dxfId="2163" priority="64878" stopIfTrue="1" operator="notEqual">
      <formula>"non-hazardous"</formula>
    </cfRule>
  </conditionalFormatting>
  <conditionalFormatting sqref="AE246">
    <cfRule type="expression" dxfId="2162" priority="64879" stopIfTrue="1">
      <formula>NOT(ISBLANK($AE$246))</formula>
    </cfRule>
  </conditionalFormatting>
  <conditionalFormatting sqref="AF246">
    <cfRule type="cellIs" dxfId="2161" priority="64880" stopIfTrue="1" operator="notEqual">
      <formula>0</formula>
    </cfRule>
  </conditionalFormatting>
  <conditionalFormatting sqref="AG246">
    <cfRule type="expression" dxfId="2160" priority="64881" stopIfTrue="1">
      <formula>NOT(ISBLANK($AG$246))</formula>
    </cfRule>
  </conditionalFormatting>
  <conditionalFormatting sqref="AH246">
    <cfRule type="expression" dxfId="2159" priority="64882" stopIfTrue="1">
      <formula>NOT(ISBLANK($AH$246))</formula>
    </cfRule>
  </conditionalFormatting>
  <conditionalFormatting sqref="AI246">
    <cfRule type="cellIs" dxfId="2158" priority="64883" stopIfTrue="1" operator="notEqual">
      <formula>"fully automated"</formula>
    </cfRule>
  </conditionalFormatting>
  <conditionalFormatting sqref="AJ246">
    <cfRule type="expression" dxfId="2157" priority="64884" stopIfTrue="1">
      <formula>NOT(ISBLANK($AJ$246))</formula>
    </cfRule>
  </conditionalFormatting>
  <conditionalFormatting sqref="AK246">
    <cfRule type="expression" dxfId="2156" priority="64885" stopIfTrue="1">
      <formula>NOT(ISBLANK($AK$246))</formula>
    </cfRule>
  </conditionalFormatting>
  <conditionalFormatting sqref="AL246">
    <cfRule type="expression" dxfId="2155" priority="64886" stopIfTrue="1">
      <formula>NOT(ISBLANK($AL$246))</formula>
    </cfRule>
  </conditionalFormatting>
  <conditionalFormatting sqref="AM246">
    <cfRule type="expression" dxfId="2154" priority="64887" stopIfTrue="1">
      <formula>NOT(ISBLANK($AM$246))</formula>
    </cfRule>
  </conditionalFormatting>
  <conditionalFormatting sqref="AN246">
    <cfRule type="expression" dxfId="2153" priority="64888" stopIfTrue="1">
      <formula>NOT(ISBLANK($AN$246))</formula>
    </cfRule>
  </conditionalFormatting>
  <conditionalFormatting sqref="AO246">
    <cfRule type="expression" dxfId="2152" priority="64889" stopIfTrue="1">
      <formula>NOT(ISBLANK($AO$246))</formula>
    </cfRule>
  </conditionalFormatting>
  <conditionalFormatting sqref="AP246">
    <cfRule type="expression" dxfId="2151" priority="64890" stopIfTrue="1">
      <formula>NOT(ISBLANK($AP$246))</formula>
    </cfRule>
  </conditionalFormatting>
  <conditionalFormatting sqref="AQ246">
    <cfRule type="expression" dxfId="2150" priority="64891" stopIfTrue="1">
      <formula>NOT(ISBLANK($AQ$246))</formula>
    </cfRule>
  </conditionalFormatting>
  <conditionalFormatting sqref="A247">
    <cfRule type="cellIs" dxfId="2149" priority="64892" stopIfTrue="1" operator="notEqual">
      <formula>15</formula>
    </cfRule>
  </conditionalFormatting>
  <conditionalFormatting sqref="B247">
    <cfRule type="cellIs" dxfId="2148" priority="64893" stopIfTrue="1" operator="notEqual">
      <formula>2</formula>
    </cfRule>
  </conditionalFormatting>
  <conditionalFormatting sqref="C247">
    <cfRule type="cellIs" dxfId="2147" priority="64894" stopIfTrue="1" operator="notEqual">
      <formula>7</formula>
    </cfRule>
  </conditionalFormatting>
  <conditionalFormatting sqref="D247">
    <cfRule type="cellIs" dxfId="2146" priority="64895" stopIfTrue="1" operator="notEqual">
      <formula>22.614</formula>
    </cfRule>
  </conditionalFormatting>
  <conditionalFormatting sqref="E247">
    <cfRule type="cellIs" dxfId="2145" priority="64896" stopIfTrue="1" operator="notEqual">
      <formula>"MGD"</formula>
    </cfRule>
  </conditionalFormatting>
  <conditionalFormatting sqref="F247">
    <cfRule type="cellIs" dxfId="2144" priority="64897" stopIfTrue="1" operator="notEqual">
      <formula>11.066</formula>
    </cfRule>
  </conditionalFormatting>
  <conditionalFormatting sqref="G247">
    <cfRule type="cellIs" dxfId="2143" priority="64898" stopIfTrue="1" operator="notEqual">
      <formula>"MGD"</formula>
    </cfRule>
  </conditionalFormatting>
  <conditionalFormatting sqref="H247">
    <cfRule type="cellIs" dxfId="2142" priority="64899" stopIfTrue="1" operator="notEqual">
      <formula>"regeneration off-site (non-hazardous)"</formula>
    </cfRule>
  </conditionalFormatting>
  <conditionalFormatting sqref="I247">
    <cfRule type="cellIs" dxfId="2141" priority="64900" stopIfTrue="1" operator="notEqual">
      <formula>"carbon life value- bed volumes"</formula>
    </cfRule>
  </conditionalFormatting>
  <conditionalFormatting sqref="J247">
    <cfRule type="cellIs" dxfId="2140" priority="64901" stopIfTrue="1" operator="notEqual">
      <formula>47100</formula>
    </cfRule>
  </conditionalFormatting>
  <conditionalFormatting sqref="K247">
    <cfRule type="expression" dxfId="2139" priority="64902" stopIfTrue="1">
      <formula>NOT(ISBLANK($K$247))</formula>
    </cfRule>
  </conditionalFormatting>
  <conditionalFormatting sqref="L247">
    <cfRule type="expression" dxfId="2138" priority="64903" stopIfTrue="1">
      <formula>NOT(ISBLANK($L$247))</formula>
    </cfRule>
  </conditionalFormatting>
  <conditionalFormatting sqref="M247">
    <cfRule type="expression" dxfId="2137" priority="64904" stopIfTrue="1">
      <formula>NOT(ISBLANK($M$247))</formula>
    </cfRule>
  </conditionalFormatting>
  <conditionalFormatting sqref="N247">
    <cfRule type="cellIs" dxfId="2136" priority="64905" stopIfTrue="1" operator="notEqual">
      <formula>"EBCT"</formula>
    </cfRule>
  </conditionalFormatting>
  <conditionalFormatting sqref="O247">
    <cfRule type="cellIs" dxfId="2135" priority="64906" stopIfTrue="1" operator="notEqual">
      <formula>7.5</formula>
    </cfRule>
  </conditionalFormatting>
  <conditionalFormatting sqref="P247">
    <cfRule type="expression" dxfId="2134" priority="64907" stopIfTrue="1">
      <formula>NOT(ISBLANK($P$247))</formula>
    </cfRule>
  </conditionalFormatting>
  <conditionalFormatting sqref="Q247">
    <cfRule type="expression" dxfId="2133" priority="64908" stopIfTrue="1">
      <formula>NOT(ISBLANK($Q$247))</formula>
    </cfRule>
  </conditionalFormatting>
  <conditionalFormatting sqref="R247">
    <cfRule type="expression" dxfId="2132" priority="64909" stopIfTrue="1">
      <formula>NOT(ISBLANK($R$247))</formula>
    </cfRule>
  </conditionalFormatting>
  <conditionalFormatting sqref="S247">
    <cfRule type="expression" dxfId="2131" priority="64910" stopIfTrue="1">
      <formula>NOT(ISBLANK($S$247))</formula>
    </cfRule>
  </conditionalFormatting>
  <conditionalFormatting sqref="T247">
    <cfRule type="expression" dxfId="2130" priority="64911" stopIfTrue="1">
      <formula>NOT(ISBLANK($T$247))</formula>
    </cfRule>
  </conditionalFormatting>
  <conditionalFormatting sqref="U247">
    <cfRule type="expression" dxfId="2129" priority="64912" stopIfTrue="1">
      <formula>NOT(ISBLANK($U$247))</formula>
    </cfRule>
  </conditionalFormatting>
  <conditionalFormatting sqref="V247">
    <cfRule type="expression" dxfId="2128" priority="64913" stopIfTrue="1">
      <formula>NOT(ISBLANK($V$247))</formula>
    </cfRule>
  </conditionalFormatting>
  <conditionalFormatting sqref="W247">
    <cfRule type="cellIs" dxfId="2127" priority="64914" stopIfTrue="1" operator="notEqual">
      <formula>15</formula>
    </cfRule>
  </conditionalFormatting>
  <conditionalFormatting sqref="X247">
    <cfRule type="cellIs" dxfId="2126" priority="64915" stopIfTrue="1" operator="notEqual">
      <formula>15</formula>
    </cfRule>
  </conditionalFormatting>
  <conditionalFormatting sqref="Y247">
    <cfRule type="cellIs" dxfId="2125" priority="64916" stopIfTrue="1" operator="notEqual">
      <formula>7.8</formula>
    </cfRule>
  </conditionalFormatting>
  <conditionalFormatting sqref="Z247">
    <cfRule type="cellIs" dxfId="2124" priority="64917" stopIfTrue="1" operator="notEqual">
      <formula>168</formula>
    </cfRule>
  </conditionalFormatting>
  <conditionalFormatting sqref="AA247">
    <cfRule type="cellIs" dxfId="2123" priority="64918" stopIfTrue="1" operator="notEqual">
      <formula>"POTW"</formula>
    </cfRule>
  </conditionalFormatting>
  <conditionalFormatting sqref="AB247">
    <cfRule type="cellIs" dxfId="2122" priority="64919" stopIfTrue="1" operator="notEqual">
      <formula>"holding tank"</formula>
    </cfRule>
  </conditionalFormatting>
  <conditionalFormatting sqref="AC247">
    <cfRule type="cellIs" dxfId="2121" priority="64920" stopIfTrue="1" operator="notEqual">
      <formula>"eductors"</formula>
    </cfRule>
  </conditionalFormatting>
  <conditionalFormatting sqref="AD247">
    <cfRule type="cellIs" dxfId="2120" priority="64921" stopIfTrue="1" operator="notEqual">
      <formula>"non-hazardous"</formula>
    </cfRule>
  </conditionalFormatting>
  <conditionalFormatting sqref="AE247">
    <cfRule type="expression" dxfId="2119" priority="64922" stopIfTrue="1">
      <formula>NOT(ISBLANK($AE$247))</formula>
    </cfRule>
  </conditionalFormatting>
  <conditionalFormatting sqref="AF247">
    <cfRule type="cellIs" dxfId="2118" priority="64923" stopIfTrue="1" operator="notEqual">
      <formula>0</formula>
    </cfRule>
  </conditionalFormatting>
  <conditionalFormatting sqref="AG247">
    <cfRule type="expression" dxfId="2117" priority="64924" stopIfTrue="1">
      <formula>NOT(ISBLANK($AG$247))</formula>
    </cfRule>
  </conditionalFormatting>
  <conditionalFormatting sqref="AH247">
    <cfRule type="expression" dxfId="2116" priority="64925" stopIfTrue="1">
      <formula>NOT(ISBLANK($AH$247))</formula>
    </cfRule>
  </conditionalFormatting>
  <conditionalFormatting sqref="AI247">
    <cfRule type="cellIs" dxfId="2115" priority="64926" stopIfTrue="1" operator="notEqual">
      <formula>"fully automated"</formula>
    </cfRule>
  </conditionalFormatting>
  <conditionalFormatting sqref="AJ247">
    <cfRule type="expression" dxfId="2114" priority="64927" stopIfTrue="1">
      <formula>NOT(ISBLANK($AJ$247))</formula>
    </cfRule>
  </conditionalFormatting>
  <conditionalFormatting sqref="AK247">
    <cfRule type="expression" dxfId="2113" priority="64928" stopIfTrue="1">
      <formula>NOT(ISBLANK($AK$247))</formula>
    </cfRule>
  </conditionalFormatting>
  <conditionalFormatting sqref="AL247">
    <cfRule type="expression" dxfId="2112" priority="64929" stopIfTrue="1">
      <formula>NOT(ISBLANK($AL$247))</formula>
    </cfRule>
  </conditionalFormatting>
  <conditionalFormatting sqref="AM247">
    <cfRule type="expression" dxfId="2111" priority="64930" stopIfTrue="1">
      <formula>NOT(ISBLANK($AM$247))</formula>
    </cfRule>
  </conditionalFormatting>
  <conditionalFormatting sqref="AN247">
    <cfRule type="expression" dxfId="2110" priority="64931" stopIfTrue="1">
      <formula>NOT(ISBLANK($AN$247))</formula>
    </cfRule>
  </conditionalFormatting>
  <conditionalFormatting sqref="AO247">
    <cfRule type="expression" dxfId="2109" priority="64932" stopIfTrue="1">
      <formula>NOT(ISBLANK($AO$247))</formula>
    </cfRule>
  </conditionalFormatting>
  <conditionalFormatting sqref="AP247">
    <cfRule type="expression" dxfId="2108" priority="64933" stopIfTrue="1">
      <formula>NOT(ISBLANK($AP$247))</formula>
    </cfRule>
  </conditionalFormatting>
  <conditionalFormatting sqref="AQ247">
    <cfRule type="expression" dxfId="2107" priority="64934" stopIfTrue="1">
      <formula>NOT(ISBLANK($AQ$247))</formula>
    </cfRule>
  </conditionalFormatting>
  <conditionalFormatting sqref="A248">
    <cfRule type="cellIs" dxfId="2106" priority="64935" stopIfTrue="1" operator="notEqual">
      <formula>15</formula>
    </cfRule>
  </conditionalFormatting>
  <conditionalFormatting sqref="B248">
    <cfRule type="cellIs" dxfId="2105" priority="64936" stopIfTrue="1" operator="notEqual">
      <formula>2</formula>
    </cfRule>
  </conditionalFormatting>
  <conditionalFormatting sqref="C248">
    <cfRule type="cellIs" dxfId="2104" priority="64937" stopIfTrue="1" operator="notEqual">
      <formula>8</formula>
    </cfRule>
  </conditionalFormatting>
  <conditionalFormatting sqref="D248">
    <cfRule type="cellIs" dxfId="2103" priority="64938" stopIfTrue="1" operator="notEqual">
      <formula>75.072</formula>
    </cfRule>
  </conditionalFormatting>
  <conditionalFormatting sqref="E248">
    <cfRule type="cellIs" dxfId="2102" priority="64939" stopIfTrue="1" operator="notEqual">
      <formula>"MGD"</formula>
    </cfRule>
  </conditionalFormatting>
  <conditionalFormatting sqref="F248">
    <cfRule type="cellIs" dxfId="2101" priority="64940" stopIfTrue="1" operator="notEqual">
      <formula>37.536</formula>
    </cfRule>
  </conditionalFormatting>
  <conditionalFormatting sqref="G248">
    <cfRule type="cellIs" dxfId="2100" priority="64941" stopIfTrue="1" operator="notEqual">
      <formula>"MGD"</formula>
    </cfRule>
  </conditionalFormatting>
  <conditionalFormatting sqref="H248">
    <cfRule type="cellIs" dxfId="2099" priority="64942" stopIfTrue="1" operator="notEqual">
      <formula>"regeneration off-site (non-hazardous)"</formula>
    </cfRule>
  </conditionalFormatting>
  <conditionalFormatting sqref="I248">
    <cfRule type="cellIs" dxfId="2098" priority="64943" stopIfTrue="1" operator="notEqual">
      <formula>"carbon life value- bed volumes"</formula>
    </cfRule>
  </conditionalFormatting>
  <conditionalFormatting sqref="J248">
    <cfRule type="cellIs" dxfId="2097" priority="64944" stopIfTrue="1" operator="notEqual">
      <formula>47100</formula>
    </cfRule>
  </conditionalFormatting>
  <conditionalFormatting sqref="K248">
    <cfRule type="expression" dxfId="2096" priority="64945" stopIfTrue="1">
      <formula>NOT(ISBLANK($K$248))</formula>
    </cfRule>
  </conditionalFormatting>
  <conditionalFormatting sqref="L248">
    <cfRule type="expression" dxfId="2095" priority="64946" stopIfTrue="1">
      <formula>NOT(ISBLANK($L$248))</formula>
    </cfRule>
  </conditionalFormatting>
  <conditionalFormatting sqref="M248">
    <cfRule type="expression" dxfId="2094" priority="64947" stopIfTrue="1">
      <formula>NOT(ISBLANK($M$248))</formula>
    </cfRule>
  </conditionalFormatting>
  <conditionalFormatting sqref="N248">
    <cfRule type="cellIs" dxfId="2093" priority="64948" stopIfTrue="1" operator="notEqual">
      <formula>"EBCT"</formula>
    </cfRule>
  </conditionalFormatting>
  <conditionalFormatting sqref="O248">
    <cfRule type="cellIs" dxfId="2092" priority="64949" stopIfTrue="1" operator="notEqual">
      <formula>7.5</formula>
    </cfRule>
  </conditionalFormatting>
  <conditionalFormatting sqref="P248">
    <cfRule type="expression" dxfId="2091" priority="64950" stopIfTrue="1">
      <formula>NOT(ISBLANK($P$248))</formula>
    </cfRule>
  </conditionalFormatting>
  <conditionalFormatting sqref="Q248">
    <cfRule type="expression" dxfId="2090" priority="64951" stopIfTrue="1">
      <formula>NOT(ISBLANK($Q$248))</formula>
    </cfRule>
  </conditionalFormatting>
  <conditionalFormatting sqref="R248">
    <cfRule type="expression" dxfId="2089" priority="64952" stopIfTrue="1">
      <formula>NOT(ISBLANK($R$248))</formula>
    </cfRule>
  </conditionalFormatting>
  <conditionalFormatting sqref="S248">
    <cfRule type="expression" dxfId="2088" priority="64953" stopIfTrue="1">
      <formula>NOT(ISBLANK($S$248))</formula>
    </cfRule>
  </conditionalFormatting>
  <conditionalFormatting sqref="T248">
    <cfRule type="expression" dxfId="2087" priority="64954" stopIfTrue="1">
      <formula>NOT(ISBLANK($T$248))</formula>
    </cfRule>
  </conditionalFormatting>
  <conditionalFormatting sqref="U248">
    <cfRule type="expression" dxfId="2086" priority="64955" stopIfTrue="1">
      <formula>NOT(ISBLANK($U$248))</formula>
    </cfRule>
  </conditionalFormatting>
  <conditionalFormatting sqref="V248">
    <cfRule type="expression" dxfId="2085" priority="64956" stopIfTrue="1">
      <formula>NOT(ISBLANK($V$248))</formula>
    </cfRule>
  </conditionalFormatting>
  <conditionalFormatting sqref="W248">
    <cfRule type="cellIs" dxfId="2084" priority="64957" stopIfTrue="1" operator="notEqual">
      <formula>30</formula>
    </cfRule>
  </conditionalFormatting>
  <conditionalFormatting sqref="X248">
    <cfRule type="cellIs" dxfId="2083" priority="64958" stopIfTrue="1" operator="notEqual">
      <formula>30</formula>
    </cfRule>
  </conditionalFormatting>
  <conditionalFormatting sqref="Y248">
    <cfRule type="cellIs" dxfId="2082" priority="64959" stopIfTrue="1" operator="notEqual">
      <formula>9.7</formula>
    </cfRule>
  </conditionalFormatting>
  <conditionalFormatting sqref="Z248">
    <cfRule type="cellIs" dxfId="2081" priority="64960" stopIfTrue="1" operator="notEqual">
      <formula>168</formula>
    </cfRule>
  </conditionalFormatting>
  <conditionalFormatting sqref="AA248">
    <cfRule type="cellIs" dxfId="2080" priority="64961" stopIfTrue="1" operator="notEqual">
      <formula>"POTW"</formula>
    </cfRule>
  </conditionalFormatting>
  <conditionalFormatting sqref="AB248">
    <cfRule type="cellIs" dxfId="2079" priority="64962" stopIfTrue="1" operator="notEqual">
      <formula>"holding tank"</formula>
    </cfRule>
  </conditionalFormatting>
  <conditionalFormatting sqref="AC248">
    <cfRule type="cellIs" dxfId="2078" priority="64963" stopIfTrue="1" operator="notEqual">
      <formula>"eductors"</formula>
    </cfRule>
  </conditionalFormatting>
  <conditionalFormatting sqref="AD248">
    <cfRule type="cellIs" dxfId="2077" priority="64964" stopIfTrue="1" operator="notEqual">
      <formula>"non-hazardous"</formula>
    </cfRule>
  </conditionalFormatting>
  <conditionalFormatting sqref="AE248">
    <cfRule type="expression" dxfId="2076" priority="64965" stopIfTrue="1">
      <formula>NOT(ISBLANK($AE$248))</formula>
    </cfRule>
  </conditionalFormatting>
  <conditionalFormatting sqref="AF248">
    <cfRule type="cellIs" dxfId="2075" priority="64966" stopIfTrue="1" operator="notEqual">
      <formula>0</formula>
    </cfRule>
  </conditionalFormatting>
  <conditionalFormatting sqref="AG248">
    <cfRule type="expression" dxfId="2074" priority="64967" stopIfTrue="1">
      <formula>NOT(ISBLANK($AG$248))</formula>
    </cfRule>
  </conditionalFormatting>
  <conditionalFormatting sqref="AH248">
    <cfRule type="expression" dxfId="2073" priority="64968" stopIfTrue="1">
      <formula>NOT(ISBLANK($AH$248))</formula>
    </cfRule>
  </conditionalFormatting>
  <conditionalFormatting sqref="AI248">
    <cfRule type="cellIs" dxfId="2072" priority="64969" stopIfTrue="1" operator="notEqual">
      <formula>"fully automated"</formula>
    </cfRule>
  </conditionalFormatting>
  <conditionalFormatting sqref="AJ248">
    <cfRule type="expression" dxfId="2071" priority="64970" stopIfTrue="1">
      <formula>NOT(ISBLANK($AJ$248))</formula>
    </cfRule>
  </conditionalFormatting>
  <conditionalFormatting sqref="AK248">
    <cfRule type="expression" dxfId="2070" priority="64971" stopIfTrue="1">
      <formula>NOT(ISBLANK($AK$248))</formula>
    </cfRule>
  </conditionalFormatting>
  <conditionalFormatting sqref="AL248">
    <cfRule type="expression" dxfId="2069" priority="64972" stopIfTrue="1">
      <formula>NOT(ISBLANK($AL$248))</formula>
    </cfRule>
  </conditionalFormatting>
  <conditionalFormatting sqref="AM248">
    <cfRule type="expression" dxfId="2068" priority="64973" stopIfTrue="1">
      <formula>NOT(ISBLANK($AM$248))</formula>
    </cfRule>
  </conditionalFormatting>
  <conditionalFormatting sqref="AN248">
    <cfRule type="expression" dxfId="2067" priority="64974" stopIfTrue="1">
      <formula>NOT(ISBLANK($AN$248))</formula>
    </cfRule>
  </conditionalFormatting>
  <conditionalFormatting sqref="AO248">
    <cfRule type="expression" dxfId="2066" priority="64975" stopIfTrue="1">
      <formula>NOT(ISBLANK($AO$248))</formula>
    </cfRule>
  </conditionalFormatting>
  <conditionalFormatting sqref="AP248">
    <cfRule type="expression" dxfId="2065" priority="64976" stopIfTrue="1">
      <formula>NOT(ISBLANK($AP$248))</formula>
    </cfRule>
  </conditionalFormatting>
  <conditionalFormatting sqref="AQ248">
    <cfRule type="expression" dxfId="2064" priority="64977" stopIfTrue="1">
      <formula>NOT(ISBLANK($AQ$248))</formula>
    </cfRule>
  </conditionalFormatting>
  <conditionalFormatting sqref="A249">
    <cfRule type="cellIs" dxfId="2063" priority="64978" stopIfTrue="1" operator="notEqual">
      <formula>16</formula>
    </cfRule>
  </conditionalFormatting>
  <conditionalFormatting sqref="B249">
    <cfRule type="cellIs" dxfId="2062" priority="64979" stopIfTrue="1" operator="notEqual">
      <formula>1</formula>
    </cfRule>
  </conditionalFormatting>
  <conditionalFormatting sqref="C249">
    <cfRule type="cellIs" dxfId="2061" priority="64980" stopIfTrue="1" operator="notEqual">
      <formula>1</formula>
    </cfRule>
  </conditionalFormatting>
  <conditionalFormatting sqref="D249">
    <cfRule type="cellIs" dxfId="2060" priority="64981" stopIfTrue="1" operator="notEqual">
      <formula>0.03</formula>
    </cfRule>
  </conditionalFormatting>
  <conditionalFormatting sqref="E249">
    <cfRule type="cellIs" dxfId="2059" priority="64982" stopIfTrue="1" operator="notEqual">
      <formula>"MGD"</formula>
    </cfRule>
  </conditionalFormatting>
  <conditionalFormatting sqref="F249">
    <cfRule type="cellIs" dxfId="2058" priority="64983" stopIfTrue="1" operator="notEqual">
      <formula>0.007</formula>
    </cfRule>
  </conditionalFormatting>
  <conditionalFormatting sqref="G249">
    <cfRule type="cellIs" dxfId="2057" priority="64984" stopIfTrue="1" operator="notEqual">
      <formula>"MGD"</formula>
    </cfRule>
  </conditionalFormatting>
  <conditionalFormatting sqref="H249">
    <cfRule type="cellIs" dxfId="2056" priority="64985" stopIfTrue="1" operator="notEqual">
      <formula>"regeneration off-site (non-hazardous)"</formula>
    </cfRule>
  </conditionalFormatting>
  <conditionalFormatting sqref="I249">
    <cfRule type="cellIs" dxfId="2055" priority="64986" stopIfTrue="1" operator="notEqual">
      <formula>"carbon life value- bed volumes"</formula>
    </cfRule>
  </conditionalFormatting>
  <conditionalFormatting sqref="J249">
    <cfRule type="cellIs" dxfId="2054" priority="64987" stopIfTrue="1" operator="notEqual">
      <formula>38200</formula>
    </cfRule>
  </conditionalFormatting>
  <conditionalFormatting sqref="K249">
    <cfRule type="expression" dxfId="2053" priority="64988" stopIfTrue="1">
      <formula>NOT(ISBLANK($K$249))</formula>
    </cfRule>
  </conditionalFormatting>
  <conditionalFormatting sqref="L249">
    <cfRule type="expression" dxfId="2052" priority="64989" stopIfTrue="1">
      <formula>NOT(ISBLANK($L$249))</formula>
    </cfRule>
  </conditionalFormatting>
  <conditionalFormatting sqref="M249">
    <cfRule type="expression" dxfId="2051" priority="64990" stopIfTrue="1">
      <formula>NOT(ISBLANK($M$249))</formula>
    </cfRule>
  </conditionalFormatting>
  <conditionalFormatting sqref="N249">
    <cfRule type="cellIs" dxfId="2050" priority="64991" stopIfTrue="1" operator="notEqual">
      <formula>"EBCT"</formula>
    </cfRule>
  </conditionalFormatting>
  <conditionalFormatting sqref="O249">
    <cfRule type="cellIs" dxfId="2049" priority="64992" stopIfTrue="1" operator="notEqual">
      <formula>7.5</formula>
    </cfRule>
  </conditionalFormatting>
  <conditionalFormatting sqref="P249">
    <cfRule type="expression" dxfId="2048" priority="64993" stopIfTrue="1">
      <formula>NOT(ISBLANK($P$249))</formula>
    </cfRule>
  </conditionalFormatting>
  <conditionalFormatting sqref="Q249">
    <cfRule type="expression" dxfId="2047" priority="64994" stopIfTrue="1">
      <formula>NOT(ISBLANK($Q$249))</formula>
    </cfRule>
  </conditionalFormatting>
  <conditionalFormatting sqref="R249">
    <cfRule type="cellIs" dxfId="2046" priority="64995" stopIfTrue="1" operator="notEqual">
      <formula>1</formula>
    </cfRule>
  </conditionalFormatting>
  <conditionalFormatting sqref="S249">
    <cfRule type="cellIs" dxfId="2045" priority="64996" stopIfTrue="1" operator="notEqual">
      <formula>3.4</formula>
    </cfRule>
  </conditionalFormatting>
  <conditionalFormatting sqref="T249">
    <cfRule type="cellIs" dxfId="2044" priority="64997" stopIfTrue="1" operator="notEqual">
      <formula>"upright"</formula>
    </cfRule>
  </conditionalFormatting>
  <conditionalFormatting sqref="U249">
    <cfRule type="cellIs" dxfId="2043" priority="64998" stopIfTrue="1" operator="notEqual">
      <formula>6</formula>
    </cfRule>
  </conditionalFormatting>
  <conditionalFormatting sqref="V249">
    <cfRule type="cellIs" dxfId="2042" priority="64999" stopIfTrue="1" operator="notEqual">
      <formula>2</formula>
    </cfRule>
  </conditionalFormatting>
  <conditionalFormatting sqref="W249">
    <cfRule type="expression" dxfId="2041" priority="65000" stopIfTrue="1">
      <formula>NOT(ISBLANK($W$249))</formula>
    </cfRule>
  </conditionalFormatting>
  <conditionalFormatting sqref="X249">
    <cfRule type="expression" dxfId="2040" priority="65001" stopIfTrue="1">
      <formula>NOT(ISBLANK($X$249))</formula>
    </cfRule>
  </conditionalFormatting>
  <conditionalFormatting sqref="Y249">
    <cfRule type="expression" dxfId="2039" priority="65002" stopIfTrue="1">
      <formula>NOT(ISBLANK($Y$249))</formula>
    </cfRule>
  </conditionalFormatting>
  <conditionalFormatting sqref="Z249">
    <cfRule type="cellIs" dxfId="2038" priority="65003" stopIfTrue="1" operator="notEqual">
      <formula>168</formula>
    </cfRule>
  </conditionalFormatting>
  <conditionalFormatting sqref="AA249">
    <cfRule type="cellIs" dxfId="2037" priority="65004" stopIfTrue="1" operator="notEqual">
      <formula>"POTW"</formula>
    </cfRule>
  </conditionalFormatting>
  <conditionalFormatting sqref="AB249">
    <cfRule type="cellIs" dxfId="2036" priority="65005" stopIfTrue="1" operator="notEqual">
      <formula>"no holding tank"</formula>
    </cfRule>
  </conditionalFormatting>
  <conditionalFormatting sqref="AC249">
    <cfRule type="cellIs" dxfId="2035" priority="65006" stopIfTrue="1" operator="notEqual">
      <formula>"manual transfer"</formula>
    </cfRule>
  </conditionalFormatting>
  <conditionalFormatting sqref="AD249">
    <cfRule type="expression" dxfId="2034" priority="65007" stopIfTrue="1">
      <formula>NOT(ISBLANK($AD$249))</formula>
    </cfRule>
  </conditionalFormatting>
  <conditionalFormatting sqref="AE249">
    <cfRule type="expression" dxfId="2033" priority="65008" stopIfTrue="1">
      <formula>NOT(ISBLANK($AE$249))</formula>
    </cfRule>
  </conditionalFormatting>
  <conditionalFormatting sqref="AF249">
    <cfRule type="cellIs" dxfId="2032" priority="65009" stopIfTrue="1" operator="notEqual">
      <formula>0</formula>
    </cfRule>
  </conditionalFormatting>
  <conditionalFormatting sqref="AG249">
    <cfRule type="expression" dxfId="2031" priority="65010" stopIfTrue="1">
      <formula>NOT(ISBLANK($AG$249))</formula>
    </cfRule>
  </conditionalFormatting>
  <conditionalFormatting sqref="AH249">
    <cfRule type="expression" dxfId="2030" priority="65011" stopIfTrue="1">
      <formula>NOT(ISBLANK($AH$249))</formula>
    </cfRule>
  </conditionalFormatting>
  <conditionalFormatting sqref="AI249">
    <cfRule type="cellIs" dxfId="2029" priority="65012" stopIfTrue="1" operator="notEqual">
      <formula>"fully automated"</formula>
    </cfRule>
  </conditionalFormatting>
  <conditionalFormatting sqref="AJ249">
    <cfRule type="expression" dxfId="2028" priority="65013" stopIfTrue="1">
      <formula>NOT(ISBLANK($AJ$249))</formula>
    </cfRule>
  </conditionalFormatting>
  <conditionalFormatting sqref="AK249">
    <cfRule type="expression" dxfId="2027" priority="65014" stopIfTrue="1">
      <formula>NOT(ISBLANK($AK$249))</formula>
    </cfRule>
  </conditionalFormatting>
  <conditionalFormatting sqref="AL249">
    <cfRule type="expression" dxfId="2026" priority="65015" stopIfTrue="1">
      <formula>NOT(ISBLANK($AL$249))</formula>
    </cfRule>
  </conditionalFormatting>
  <conditionalFormatting sqref="AM249">
    <cfRule type="expression" dxfId="2025" priority="65016" stopIfTrue="1">
      <formula>NOT(ISBLANK($AM$249))</formula>
    </cfRule>
  </conditionalFormatting>
  <conditionalFormatting sqref="AN249">
    <cfRule type="expression" dxfId="2024" priority="65017" stopIfTrue="1">
      <formula>NOT(ISBLANK($AN$249))</formula>
    </cfRule>
  </conditionalFormatting>
  <conditionalFormatting sqref="AO249">
    <cfRule type="expression" dxfId="2023" priority="65018" stopIfTrue="1">
      <formula>NOT(ISBLANK($AO$249))</formula>
    </cfRule>
  </conditionalFormatting>
  <conditionalFormatting sqref="AP249">
    <cfRule type="expression" dxfId="2022" priority="65019" stopIfTrue="1">
      <formula>NOT(ISBLANK($AP$249))</formula>
    </cfRule>
  </conditionalFormatting>
  <conditionalFormatting sqref="AQ249">
    <cfRule type="expression" dxfId="2021" priority="65020" stopIfTrue="1">
      <formula>NOT(ISBLANK($AQ$249))</formula>
    </cfRule>
  </conditionalFormatting>
  <conditionalFormatting sqref="A250">
    <cfRule type="cellIs" dxfId="2020" priority="65021" stopIfTrue="1" operator="notEqual">
      <formula>16</formula>
    </cfRule>
  </conditionalFormatting>
  <conditionalFormatting sqref="B250">
    <cfRule type="cellIs" dxfId="2019" priority="65022" stopIfTrue="1" operator="notEqual">
      <formula>1</formula>
    </cfRule>
  </conditionalFormatting>
  <conditionalFormatting sqref="C250">
    <cfRule type="cellIs" dxfId="2018" priority="65023" stopIfTrue="1" operator="notEqual">
      <formula>2</formula>
    </cfRule>
  </conditionalFormatting>
  <conditionalFormatting sqref="D250">
    <cfRule type="cellIs" dxfId="2017" priority="65024" stopIfTrue="1" operator="notEqual">
      <formula>0.124</formula>
    </cfRule>
  </conditionalFormatting>
  <conditionalFormatting sqref="E250">
    <cfRule type="cellIs" dxfId="2016" priority="65025" stopIfTrue="1" operator="notEqual">
      <formula>"MGD"</formula>
    </cfRule>
  </conditionalFormatting>
  <conditionalFormatting sqref="F250">
    <cfRule type="cellIs" dxfId="2015" priority="65026" stopIfTrue="1" operator="notEqual">
      <formula>0.035</formula>
    </cfRule>
  </conditionalFormatting>
  <conditionalFormatting sqref="G250">
    <cfRule type="cellIs" dxfId="2014" priority="65027" stopIfTrue="1" operator="notEqual">
      <formula>"MGD"</formula>
    </cfRule>
  </conditionalFormatting>
  <conditionalFormatting sqref="H250">
    <cfRule type="cellIs" dxfId="2013" priority="65028" stopIfTrue="1" operator="notEqual">
      <formula>"regeneration off-site (non-hazardous)"</formula>
    </cfRule>
  </conditionalFormatting>
  <conditionalFormatting sqref="I250">
    <cfRule type="cellIs" dxfId="2012" priority="65029" stopIfTrue="1" operator="notEqual">
      <formula>"carbon life value- bed volumes"</formula>
    </cfRule>
  </conditionalFormatting>
  <conditionalFormatting sqref="J250">
    <cfRule type="cellIs" dxfId="2011" priority="65030" stopIfTrue="1" operator="notEqual">
      <formula>38200</formula>
    </cfRule>
  </conditionalFormatting>
  <conditionalFormatting sqref="K250">
    <cfRule type="expression" dxfId="2010" priority="65031" stopIfTrue="1">
      <formula>NOT(ISBLANK($K$250))</formula>
    </cfRule>
  </conditionalFormatting>
  <conditionalFormatting sqref="L250">
    <cfRule type="expression" dxfId="2009" priority="65032" stopIfTrue="1">
      <formula>NOT(ISBLANK($L$250))</formula>
    </cfRule>
  </conditionalFormatting>
  <conditionalFormatting sqref="M250">
    <cfRule type="expression" dxfId="2008" priority="65033" stopIfTrue="1">
      <formula>NOT(ISBLANK($M$250))</formula>
    </cfRule>
  </conditionalFormatting>
  <conditionalFormatting sqref="N250">
    <cfRule type="cellIs" dxfId="2007" priority="65034" stopIfTrue="1" operator="notEqual">
      <formula>"EBCT"</formula>
    </cfRule>
  </conditionalFormatting>
  <conditionalFormatting sqref="O250">
    <cfRule type="cellIs" dxfId="2006" priority="65035" stopIfTrue="1" operator="notEqual">
      <formula>7.5</formula>
    </cfRule>
  </conditionalFormatting>
  <conditionalFormatting sqref="P250">
    <cfRule type="expression" dxfId="2005" priority="65036" stopIfTrue="1">
      <formula>NOT(ISBLANK($P$250))</formula>
    </cfRule>
  </conditionalFormatting>
  <conditionalFormatting sqref="Q250">
    <cfRule type="expression" dxfId="2004" priority="65037" stopIfTrue="1">
      <formula>NOT(ISBLANK($Q$250))</formula>
    </cfRule>
  </conditionalFormatting>
  <conditionalFormatting sqref="R250">
    <cfRule type="cellIs" dxfId="2003" priority="65038" stopIfTrue="1" operator="notEqual">
      <formula>1</formula>
    </cfRule>
  </conditionalFormatting>
  <conditionalFormatting sqref="S250">
    <cfRule type="cellIs" dxfId="2002" priority="65039" stopIfTrue="1" operator="notEqual">
      <formula>6.9</formula>
    </cfRule>
  </conditionalFormatting>
  <conditionalFormatting sqref="T250">
    <cfRule type="cellIs" dxfId="2001" priority="65040" stopIfTrue="1" operator="notEqual">
      <formula>"upright"</formula>
    </cfRule>
  </conditionalFormatting>
  <conditionalFormatting sqref="U250">
    <cfRule type="cellIs" dxfId="2000" priority="65041" stopIfTrue="1" operator="notEqual">
      <formula>11</formula>
    </cfRule>
  </conditionalFormatting>
  <conditionalFormatting sqref="V250">
    <cfRule type="cellIs" dxfId="1999" priority="65042" stopIfTrue="1" operator="notEqual">
      <formula>4</formula>
    </cfRule>
  </conditionalFormatting>
  <conditionalFormatting sqref="W250">
    <cfRule type="expression" dxfId="1998" priority="65043" stopIfTrue="1">
      <formula>NOT(ISBLANK($W$250))</formula>
    </cfRule>
  </conditionalFormatting>
  <conditionalFormatting sqref="X250">
    <cfRule type="expression" dxfId="1997" priority="65044" stopIfTrue="1">
      <formula>NOT(ISBLANK($X$250))</formula>
    </cfRule>
  </conditionalFormatting>
  <conditionalFormatting sqref="Y250">
    <cfRule type="expression" dxfId="1996" priority="65045" stopIfTrue="1">
      <formula>NOT(ISBLANK($Y$250))</formula>
    </cfRule>
  </conditionalFormatting>
  <conditionalFormatting sqref="Z250">
    <cfRule type="cellIs" dxfId="1995" priority="65046" stopIfTrue="1" operator="notEqual">
      <formula>168</formula>
    </cfRule>
  </conditionalFormatting>
  <conditionalFormatting sqref="AA250">
    <cfRule type="cellIs" dxfId="1994" priority="65047" stopIfTrue="1" operator="notEqual">
      <formula>"POTW"</formula>
    </cfRule>
  </conditionalFormatting>
  <conditionalFormatting sqref="AB250">
    <cfRule type="cellIs" dxfId="1993" priority="65048" stopIfTrue="1" operator="notEqual">
      <formula>"Holding tank"</formula>
    </cfRule>
  </conditionalFormatting>
  <conditionalFormatting sqref="AC250">
    <cfRule type="cellIs" dxfId="1992" priority="65049" stopIfTrue="1" operator="notEqual">
      <formula>"manual transfer"</formula>
    </cfRule>
  </conditionalFormatting>
  <conditionalFormatting sqref="AD250">
    <cfRule type="cellIs" dxfId="1991" priority="65050" stopIfTrue="1" operator="notEqual">
      <formula>"non-hazardous"</formula>
    </cfRule>
  </conditionalFormatting>
  <conditionalFormatting sqref="AE250">
    <cfRule type="expression" dxfId="1990" priority="65051" stopIfTrue="1">
      <formula>NOT(ISBLANK($AE$250))</formula>
    </cfRule>
  </conditionalFormatting>
  <conditionalFormatting sqref="AF250">
    <cfRule type="cellIs" dxfId="1989" priority="65052" stopIfTrue="1" operator="notEqual">
      <formula>0</formula>
    </cfRule>
  </conditionalFormatting>
  <conditionalFormatting sqref="AG250">
    <cfRule type="expression" dxfId="1988" priority="65053" stopIfTrue="1">
      <formula>NOT(ISBLANK($AG$250))</formula>
    </cfRule>
  </conditionalFormatting>
  <conditionalFormatting sqref="AH250">
    <cfRule type="expression" dxfId="1987" priority="65054" stopIfTrue="1">
      <formula>NOT(ISBLANK($AH$250))</formula>
    </cfRule>
  </conditionalFormatting>
  <conditionalFormatting sqref="AI250">
    <cfRule type="cellIs" dxfId="1986" priority="65055" stopIfTrue="1" operator="notEqual">
      <formula>"fully automated"</formula>
    </cfRule>
  </conditionalFormatting>
  <conditionalFormatting sqref="AJ250">
    <cfRule type="expression" dxfId="1985" priority="65056" stopIfTrue="1">
      <formula>NOT(ISBLANK($AJ$250))</formula>
    </cfRule>
  </conditionalFormatting>
  <conditionalFormatting sqref="AK250">
    <cfRule type="expression" dxfId="1984" priority="65057" stopIfTrue="1">
      <formula>NOT(ISBLANK($AK$250))</formula>
    </cfRule>
  </conditionalFormatting>
  <conditionalFormatting sqref="AL250">
    <cfRule type="expression" dxfId="1983" priority="65058" stopIfTrue="1">
      <formula>NOT(ISBLANK($AL$250))</formula>
    </cfRule>
  </conditionalFormatting>
  <conditionalFormatting sqref="AM250">
    <cfRule type="expression" dxfId="1982" priority="65059" stopIfTrue="1">
      <formula>NOT(ISBLANK($AM$250))</formula>
    </cfRule>
  </conditionalFormatting>
  <conditionalFormatting sqref="AN250">
    <cfRule type="expression" dxfId="1981" priority="65060" stopIfTrue="1">
      <formula>NOT(ISBLANK($AN$250))</formula>
    </cfRule>
  </conditionalFormatting>
  <conditionalFormatting sqref="AO250">
    <cfRule type="expression" dxfId="1980" priority="65061" stopIfTrue="1">
      <formula>NOT(ISBLANK($AO$250))</formula>
    </cfRule>
  </conditionalFormatting>
  <conditionalFormatting sqref="AP250">
    <cfRule type="expression" dxfId="1979" priority="65062" stopIfTrue="1">
      <formula>NOT(ISBLANK($AP$250))</formula>
    </cfRule>
  </conditionalFormatting>
  <conditionalFormatting sqref="AQ250">
    <cfRule type="expression" dxfId="1978" priority="65063" stopIfTrue="1">
      <formula>NOT(ISBLANK($AQ$250))</formula>
    </cfRule>
  </conditionalFormatting>
  <conditionalFormatting sqref="A251">
    <cfRule type="cellIs" dxfId="1977" priority="65064" stopIfTrue="1" operator="notEqual">
      <formula>16</formula>
    </cfRule>
  </conditionalFormatting>
  <conditionalFormatting sqref="B251">
    <cfRule type="cellIs" dxfId="1976" priority="65065" stopIfTrue="1" operator="notEqual">
      <formula>1</formula>
    </cfRule>
  </conditionalFormatting>
  <conditionalFormatting sqref="C251">
    <cfRule type="cellIs" dxfId="1975" priority="65066" stopIfTrue="1" operator="notEqual">
      <formula>3</formula>
    </cfRule>
  </conditionalFormatting>
  <conditionalFormatting sqref="D251">
    <cfRule type="cellIs" dxfId="1974" priority="65067" stopIfTrue="1" operator="notEqual">
      <formula>0.305</formula>
    </cfRule>
  </conditionalFormatting>
  <conditionalFormatting sqref="E251">
    <cfRule type="cellIs" dxfId="1973" priority="65068" stopIfTrue="1" operator="notEqual">
      <formula>"MGD"</formula>
    </cfRule>
  </conditionalFormatting>
  <conditionalFormatting sqref="F251">
    <cfRule type="cellIs" dxfId="1972" priority="65069" stopIfTrue="1" operator="notEqual">
      <formula>0.094</formula>
    </cfRule>
  </conditionalFormatting>
  <conditionalFormatting sqref="G251">
    <cfRule type="cellIs" dxfId="1971" priority="65070" stopIfTrue="1" operator="notEqual">
      <formula>"MGD"</formula>
    </cfRule>
  </conditionalFormatting>
  <conditionalFormatting sqref="H251">
    <cfRule type="cellIs" dxfId="1970" priority="65071" stopIfTrue="1" operator="notEqual">
      <formula>"regeneration off-site (non-hazardous)"</formula>
    </cfRule>
  </conditionalFormatting>
  <conditionalFormatting sqref="I251">
    <cfRule type="cellIs" dxfId="1969" priority="65072" stopIfTrue="1" operator="notEqual">
      <formula>"carbon life value- bed volumes"</formula>
    </cfRule>
  </conditionalFormatting>
  <conditionalFormatting sqref="J251">
    <cfRule type="cellIs" dxfId="1968" priority="65073" stopIfTrue="1" operator="notEqual">
      <formula>38200</formula>
    </cfRule>
  </conditionalFormatting>
  <conditionalFormatting sqref="K251">
    <cfRule type="expression" dxfId="1967" priority="65074" stopIfTrue="1">
      <formula>NOT(ISBLANK($K$251))</formula>
    </cfRule>
  </conditionalFormatting>
  <conditionalFormatting sqref="L251">
    <cfRule type="expression" dxfId="1966" priority="65075" stopIfTrue="1">
      <formula>NOT(ISBLANK($L$251))</formula>
    </cfRule>
  </conditionalFormatting>
  <conditionalFormatting sqref="M251">
    <cfRule type="expression" dxfId="1965" priority="65076" stopIfTrue="1">
      <formula>NOT(ISBLANK($M$251))</formula>
    </cfRule>
  </conditionalFormatting>
  <conditionalFormatting sqref="N251">
    <cfRule type="cellIs" dxfId="1964" priority="65077" stopIfTrue="1" operator="notEqual">
      <formula>"EBCT"</formula>
    </cfRule>
  </conditionalFormatting>
  <conditionalFormatting sqref="O251">
    <cfRule type="cellIs" dxfId="1963" priority="65078" stopIfTrue="1" operator="notEqual">
      <formula>7.5</formula>
    </cfRule>
  </conditionalFormatting>
  <conditionalFormatting sqref="P251">
    <cfRule type="expression" dxfId="1962" priority="65079" stopIfTrue="1">
      <formula>NOT(ISBLANK($P$251))</formula>
    </cfRule>
  </conditionalFormatting>
  <conditionalFormatting sqref="Q251">
    <cfRule type="expression" dxfId="1961" priority="65080" stopIfTrue="1">
      <formula>NOT(ISBLANK($Q$251))</formula>
    </cfRule>
  </conditionalFormatting>
  <conditionalFormatting sqref="R251">
    <cfRule type="cellIs" dxfId="1960" priority="65081" stopIfTrue="1" operator="notEqual">
      <formula>1</formula>
    </cfRule>
  </conditionalFormatting>
  <conditionalFormatting sqref="S251">
    <cfRule type="cellIs" dxfId="1959" priority="65082" stopIfTrue="1" operator="notEqual">
      <formula>6.7</formula>
    </cfRule>
  </conditionalFormatting>
  <conditionalFormatting sqref="T251">
    <cfRule type="cellIs" dxfId="1958" priority="65083" stopIfTrue="1" operator="notEqual">
      <formula>"upright"</formula>
    </cfRule>
  </conditionalFormatting>
  <conditionalFormatting sqref="U251">
    <cfRule type="cellIs" dxfId="1957" priority="65084" stopIfTrue="1" operator="notEqual">
      <formula>11</formula>
    </cfRule>
  </conditionalFormatting>
  <conditionalFormatting sqref="V251">
    <cfRule type="cellIs" dxfId="1956" priority="65085" stopIfTrue="1" operator="notEqual">
      <formula>4.5</formula>
    </cfRule>
  </conditionalFormatting>
  <conditionalFormatting sqref="W251">
    <cfRule type="expression" dxfId="1955" priority="65086" stopIfTrue="1">
      <formula>NOT(ISBLANK($W$251))</formula>
    </cfRule>
  </conditionalFormatting>
  <conditionalFormatting sqref="X251">
    <cfRule type="expression" dxfId="1954" priority="65087" stopIfTrue="1">
      <formula>NOT(ISBLANK($X$251))</formula>
    </cfRule>
  </conditionalFormatting>
  <conditionalFormatting sqref="Y251">
    <cfRule type="expression" dxfId="1953" priority="65088" stopIfTrue="1">
      <formula>NOT(ISBLANK($Y$251))</formula>
    </cfRule>
  </conditionalFormatting>
  <conditionalFormatting sqref="Z251">
    <cfRule type="cellIs" dxfId="1952" priority="65089" stopIfTrue="1" operator="notEqual">
      <formula>168</formula>
    </cfRule>
  </conditionalFormatting>
  <conditionalFormatting sqref="AA251">
    <cfRule type="cellIs" dxfId="1951" priority="65090" stopIfTrue="1" operator="notEqual">
      <formula>"POTW"</formula>
    </cfRule>
  </conditionalFormatting>
  <conditionalFormatting sqref="AB251">
    <cfRule type="cellIs" dxfId="1950" priority="65091" stopIfTrue="1" operator="notEqual">
      <formula>"Holding tank"</formula>
    </cfRule>
  </conditionalFormatting>
  <conditionalFormatting sqref="AC251">
    <cfRule type="cellIs" dxfId="1949" priority="65092" stopIfTrue="1" operator="notEqual">
      <formula>"manual transfer"</formula>
    </cfRule>
  </conditionalFormatting>
  <conditionalFormatting sqref="AD251">
    <cfRule type="cellIs" dxfId="1948" priority="65093" stopIfTrue="1" operator="notEqual">
      <formula>"non-hazardous"</formula>
    </cfRule>
  </conditionalFormatting>
  <conditionalFormatting sqref="AE251">
    <cfRule type="expression" dxfId="1947" priority="65094" stopIfTrue="1">
      <formula>NOT(ISBLANK($AE$251))</formula>
    </cfRule>
  </conditionalFormatting>
  <conditionalFormatting sqref="AF251">
    <cfRule type="cellIs" dxfId="1946" priority="65095" stopIfTrue="1" operator="notEqual">
      <formula>0</formula>
    </cfRule>
  </conditionalFormatting>
  <conditionalFormatting sqref="AG251">
    <cfRule type="expression" dxfId="1945" priority="65096" stopIfTrue="1">
      <formula>NOT(ISBLANK($AG$251))</formula>
    </cfRule>
  </conditionalFormatting>
  <conditionalFormatting sqref="AH251">
    <cfRule type="expression" dxfId="1944" priority="65097" stopIfTrue="1">
      <formula>NOT(ISBLANK($AH$251))</formula>
    </cfRule>
  </conditionalFormatting>
  <conditionalFormatting sqref="AI251">
    <cfRule type="cellIs" dxfId="1943" priority="65098" stopIfTrue="1" operator="notEqual">
      <formula>"fully automated"</formula>
    </cfRule>
  </conditionalFormatting>
  <conditionalFormatting sqref="AJ251">
    <cfRule type="expression" dxfId="1942" priority="65099" stopIfTrue="1">
      <formula>NOT(ISBLANK($AJ$251))</formula>
    </cfRule>
  </conditionalFormatting>
  <conditionalFormatting sqref="AK251">
    <cfRule type="expression" dxfId="1941" priority="65100" stopIfTrue="1">
      <formula>NOT(ISBLANK($AK$251))</formula>
    </cfRule>
  </conditionalFormatting>
  <conditionalFormatting sqref="AL251">
    <cfRule type="expression" dxfId="1940" priority="65101" stopIfTrue="1">
      <formula>NOT(ISBLANK($AL$251))</formula>
    </cfRule>
  </conditionalFormatting>
  <conditionalFormatting sqref="AM251">
    <cfRule type="expression" dxfId="1939" priority="65102" stopIfTrue="1">
      <formula>NOT(ISBLANK($AM$251))</formula>
    </cfRule>
  </conditionalFormatting>
  <conditionalFormatting sqref="AN251">
    <cfRule type="expression" dxfId="1938" priority="65103" stopIfTrue="1">
      <formula>NOT(ISBLANK($AN$251))</formula>
    </cfRule>
  </conditionalFormatting>
  <conditionalFormatting sqref="AO251">
    <cfRule type="expression" dxfId="1937" priority="65104" stopIfTrue="1">
      <formula>NOT(ISBLANK($AO$251))</formula>
    </cfRule>
  </conditionalFormatting>
  <conditionalFormatting sqref="AP251">
    <cfRule type="expression" dxfId="1936" priority="65105" stopIfTrue="1">
      <formula>NOT(ISBLANK($AP$251))</formula>
    </cfRule>
  </conditionalFormatting>
  <conditionalFormatting sqref="AQ251">
    <cfRule type="expression" dxfId="1935" priority="65106" stopIfTrue="1">
      <formula>NOT(ISBLANK($AQ$251))</formula>
    </cfRule>
  </conditionalFormatting>
  <conditionalFormatting sqref="A252">
    <cfRule type="cellIs" dxfId="1934" priority="65107" stopIfTrue="1" operator="notEqual">
      <formula>16</formula>
    </cfRule>
  </conditionalFormatting>
  <conditionalFormatting sqref="B252">
    <cfRule type="cellIs" dxfId="1933" priority="65108" stopIfTrue="1" operator="notEqual">
      <formula>1</formula>
    </cfRule>
  </conditionalFormatting>
  <conditionalFormatting sqref="C252">
    <cfRule type="cellIs" dxfId="1932" priority="65109" stopIfTrue="1" operator="notEqual">
      <formula>4</formula>
    </cfRule>
  </conditionalFormatting>
  <conditionalFormatting sqref="D252">
    <cfRule type="cellIs" dxfId="1931" priority="65110" stopIfTrue="1" operator="notEqual">
      <formula>0.74</formula>
    </cfRule>
  </conditionalFormatting>
  <conditionalFormatting sqref="E252">
    <cfRule type="cellIs" dxfId="1930" priority="65111" stopIfTrue="1" operator="notEqual">
      <formula>"MGD"</formula>
    </cfRule>
  </conditionalFormatting>
  <conditionalFormatting sqref="F252">
    <cfRule type="cellIs" dxfId="1929" priority="65112" stopIfTrue="1" operator="notEqual">
      <formula>0.251</formula>
    </cfRule>
  </conditionalFormatting>
  <conditionalFormatting sqref="G252">
    <cfRule type="cellIs" dxfId="1928" priority="65113" stopIfTrue="1" operator="notEqual">
      <formula>"MGD"</formula>
    </cfRule>
  </conditionalFormatting>
  <conditionalFormatting sqref="H252">
    <cfRule type="cellIs" dxfId="1927" priority="65114" stopIfTrue="1" operator="notEqual">
      <formula>"regeneration off-site (non-hazardous)"</formula>
    </cfRule>
  </conditionalFormatting>
  <conditionalFormatting sqref="I252">
    <cfRule type="cellIs" dxfId="1926" priority="65115" stopIfTrue="1" operator="notEqual">
      <formula>"carbon life value- bed volumes"</formula>
    </cfRule>
  </conditionalFormatting>
  <conditionalFormatting sqref="J252">
    <cfRule type="cellIs" dxfId="1925" priority="65116" stopIfTrue="1" operator="notEqual">
      <formula>38200</formula>
    </cfRule>
  </conditionalFormatting>
  <conditionalFormatting sqref="K252">
    <cfRule type="expression" dxfId="1924" priority="65117" stopIfTrue="1">
      <formula>NOT(ISBLANK($K$252))</formula>
    </cfRule>
  </conditionalFormatting>
  <conditionalFormatting sqref="L252">
    <cfRule type="expression" dxfId="1923" priority="65118" stopIfTrue="1">
      <formula>NOT(ISBLANK($L$252))</formula>
    </cfRule>
  </conditionalFormatting>
  <conditionalFormatting sqref="M252">
    <cfRule type="expression" dxfId="1922" priority="65119" stopIfTrue="1">
      <formula>NOT(ISBLANK($M$252))</formula>
    </cfRule>
  </conditionalFormatting>
  <conditionalFormatting sqref="N252">
    <cfRule type="cellIs" dxfId="1921" priority="65120" stopIfTrue="1" operator="notEqual">
      <formula>"EBCT"</formula>
    </cfRule>
  </conditionalFormatting>
  <conditionalFormatting sqref="O252">
    <cfRule type="cellIs" dxfId="1920" priority="65121" stopIfTrue="1" operator="notEqual">
      <formula>7.5</formula>
    </cfRule>
  </conditionalFormatting>
  <conditionalFormatting sqref="P252">
    <cfRule type="expression" dxfId="1919" priority="65122" stopIfTrue="1">
      <formula>NOT(ISBLANK($P$252))</formula>
    </cfRule>
  </conditionalFormatting>
  <conditionalFormatting sqref="Q252">
    <cfRule type="expression" dxfId="1918" priority="65123" stopIfTrue="1">
      <formula>NOT(ISBLANK($Q$252))</formula>
    </cfRule>
  </conditionalFormatting>
  <conditionalFormatting sqref="R252">
    <cfRule type="cellIs" dxfId="1917" priority="65124" stopIfTrue="1" operator="notEqual">
      <formula>1</formula>
    </cfRule>
  </conditionalFormatting>
  <conditionalFormatting sqref="S252">
    <cfRule type="cellIs" dxfId="1916" priority="65125" stopIfTrue="1" operator="notEqual">
      <formula>6.7</formula>
    </cfRule>
  </conditionalFormatting>
  <conditionalFormatting sqref="T252">
    <cfRule type="cellIs" dxfId="1915" priority="65126" stopIfTrue="1" operator="notEqual">
      <formula>"upright"</formula>
    </cfRule>
  </conditionalFormatting>
  <conditionalFormatting sqref="U252">
    <cfRule type="cellIs" dxfId="1914" priority="65127" stopIfTrue="1" operator="notEqual">
      <formula>11</formula>
    </cfRule>
  </conditionalFormatting>
  <conditionalFormatting sqref="V252">
    <cfRule type="cellIs" dxfId="1913" priority="65128" stopIfTrue="1" operator="notEqual">
      <formula>7</formula>
    </cfRule>
  </conditionalFormatting>
  <conditionalFormatting sqref="W252">
    <cfRule type="expression" dxfId="1912" priority="65129" stopIfTrue="1">
      <formula>NOT(ISBLANK($W$252))</formula>
    </cfRule>
  </conditionalFormatting>
  <conditionalFormatting sqref="X252">
    <cfRule type="expression" dxfId="1911" priority="65130" stopIfTrue="1">
      <formula>NOT(ISBLANK($X$252))</formula>
    </cfRule>
  </conditionalFormatting>
  <conditionalFormatting sqref="Y252">
    <cfRule type="expression" dxfId="1910" priority="65131" stopIfTrue="1">
      <formula>NOT(ISBLANK($Y$252))</formula>
    </cfRule>
  </conditionalFormatting>
  <conditionalFormatting sqref="Z252">
    <cfRule type="cellIs" dxfId="1909" priority="65132" stopIfTrue="1" operator="notEqual">
      <formula>168</formula>
    </cfRule>
  </conditionalFormatting>
  <conditionalFormatting sqref="AA252">
    <cfRule type="cellIs" dxfId="1908" priority="65133" stopIfTrue="1" operator="notEqual">
      <formula>"POTW"</formula>
    </cfRule>
  </conditionalFormatting>
  <conditionalFormatting sqref="AB252">
    <cfRule type="cellIs" dxfId="1907" priority="65134" stopIfTrue="1" operator="notEqual">
      <formula>"Holding tank"</formula>
    </cfRule>
  </conditionalFormatting>
  <conditionalFormatting sqref="AC252">
    <cfRule type="cellIs" dxfId="1906" priority="65135" stopIfTrue="1" operator="notEqual">
      <formula>"manual transfer"</formula>
    </cfRule>
  </conditionalFormatting>
  <conditionalFormatting sqref="AD252">
    <cfRule type="cellIs" dxfId="1905" priority="65136" stopIfTrue="1" operator="notEqual">
      <formula>"non-hazardous"</formula>
    </cfRule>
  </conditionalFormatting>
  <conditionalFormatting sqref="AE252">
    <cfRule type="expression" dxfId="1904" priority="65137" stopIfTrue="1">
      <formula>NOT(ISBLANK($AE$252))</formula>
    </cfRule>
  </conditionalFormatting>
  <conditionalFormatting sqref="AF252">
    <cfRule type="cellIs" dxfId="1903" priority="65138" stopIfTrue="1" operator="notEqual">
      <formula>0</formula>
    </cfRule>
  </conditionalFormatting>
  <conditionalFormatting sqref="AG252">
    <cfRule type="expression" dxfId="1902" priority="65139" stopIfTrue="1">
      <formula>NOT(ISBLANK($AG$252))</formula>
    </cfRule>
  </conditionalFormatting>
  <conditionalFormatting sqref="AH252">
    <cfRule type="expression" dxfId="1901" priority="65140" stopIfTrue="1">
      <formula>NOT(ISBLANK($AH$252))</formula>
    </cfRule>
  </conditionalFormatting>
  <conditionalFormatting sqref="AI252">
    <cfRule type="cellIs" dxfId="1900" priority="65141" stopIfTrue="1" operator="notEqual">
      <formula>"fully automated"</formula>
    </cfRule>
  </conditionalFormatting>
  <conditionalFormatting sqref="AJ252">
    <cfRule type="expression" dxfId="1899" priority="65142" stopIfTrue="1">
      <formula>NOT(ISBLANK($AJ$252))</formula>
    </cfRule>
  </conditionalFormatting>
  <conditionalFormatting sqref="AK252">
    <cfRule type="expression" dxfId="1898" priority="65143" stopIfTrue="1">
      <formula>NOT(ISBLANK($AK$252))</formula>
    </cfRule>
  </conditionalFormatting>
  <conditionalFormatting sqref="AL252">
    <cfRule type="expression" dxfId="1897" priority="65144" stopIfTrue="1">
      <formula>NOT(ISBLANK($AL$252))</formula>
    </cfRule>
  </conditionalFormatting>
  <conditionalFormatting sqref="AM252">
    <cfRule type="expression" dxfId="1896" priority="65145" stopIfTrue="1">
      <formula>NOT(ISBLANK($AM$252))</formula>
    </cfRule>
  </conditionalFormatting>
  <conditionalFormatting sqref="AN252">
    <cfRule type="expression" dxfId="1895" priority="65146" stopIfTrue="1">
      <formula>NOT(ISBLANK($AN$252))</formula>
    </cfRule>
  </conditionalFormatting>
  <conditionalFormatting sqref="AO252">
    <cfRule type="expression" dxfId="1894" priority="65147" stopIfTrue="1">
      <formula>NOT(ISBLANK($AO$252))</formula>
    </cfRule>
  </conditionalFormatting>
  <conditionalFormatting sqref="AP252">
    <cfRule type="expression" dxfId="1893" priority="65148" stopIfTrue="1">
      <formula>NOT(ISBLANK($AP$252))</formula>
    </cfRule>
  </conditionalFormatting>
  <conditionalFormatting sqref="AQ252">
    <cfRule type="expression" dxfId="1892" priority="65149" stopIfTrue="1">
      <formula>NOT(ISBLANK($AQ$252))</formula>
    </cfRule>
  </conditionalFormatting>
  <conditionalFormatting sqref="A253">
    <cfRule type="cellIs" dxfId="1891" priority="65150" stopIfTrue="1" operator="notEqual">
      <formula>16</formula>
    </cfRule>
  </conditionalFormatting>
  <conditionalFormatting sqref="B253">
    <cfRule type="cellIs" dxfId="1890" priority="65151" stopIfTrue="1" operator="notEqual">
      <formula>1</formula>
    </cfRule>
  </conditionalFormatting>
  <conditionalFormatting sqref="C253">
    <cfRule type="cellIs" dxfId="1889" priority="65152" stopIfTrue="1" operator="notEqual">
      <formula>5</formula>
    </cfRule>
  </conditionalFormatting>
  <conditionalFormatting sqref="D253">
    <cfRule type="cellIs" dxfId="1888" priority="65153" stopIfTrue="1" operator="notEqual">
      <formula>2.152</formula>
    </cfRule>
  </conditionalFormatting>
  <conditionalFormatting sqref="E253">
    <cfRule type="cellIs" dxfId="1887" priority="65154" stopIfTrue="1" operator="notEqual">
      <formula>"MGD"</formula>
    </cfRule>
  </conditionalFormatting>
  <conditionalFormatting sqref="F253">
    <cfRule type="cellIs" dxfId="1886" priority="65155" stopIfTrue="1" operator="notEqual">
      <formula>0.819</formula>
    </cfRule>
  </conditionalFormatting>
  <conditionalFormatting sqref="G253">
    <cfRule type="cellIs" dxfId="1885" priority="65156" stopIfTrue="1" operator="notEqual">
      <formula>"MGD"</formula>
    </cfRule>
  </conditionalFormatting>
  <conditionalFormatting sqref="H253">
    <cfRule type="cellIs" dxfId="1884" priority="65157" stopIfTrue="1" operator="notEqual">
      <formula>"regeneration off-site (non-hazardous)"</formula>
    </cfRule>
  </conditionalFormatting>
  <conditionalFormatting sqref="I253">
    <cfRule type="cellIs" dxfId="1883" priority="65158" stopIfTrue="1" operator="notEqual">
      <formula>"carbon life value- bed volumes"</formula>
    </cfRule>
  </conditionalFormatting>
  <conditionalFormatting sqref="J253">
    <cfRule type="cellIs" dxfId="1882" priority="65159" stopIfTrue="1" operator="notEqual">
      <formula>38200</formula>
    </cfRule>
  </conditionalFormatting>
  <conditionalFormatting sqref="K253">
    <cfRule type="expression" dxfId="1881" priority="65160" stopIfTrue="1">
      <formula>NOT(ISBLANK($K$253))</formula>
    </cfRule>
  </conditionalFormatting>
  <conditionalFormatting sqref="L253">
    <cfRule type="expression" dxfId="1880" priority="65161" stopIfTrue="1">
      <formula>NOT(ISBLANK($L$253))</formula>
    </cfRule>
  </conditionalFormatting>
  <conditionalFormatting sqref="M253">
    <cfRule type="expression" dxfId="1879" priority="65162" stopIfTrue="1">
      <formula>NOT(ISBLANK($M$253))</formula>
    </cfRule>
  </conditionalFormatting>
  <conditionalFormatting sqref="N253">
    <cfRule type="cellIs" dxfId="1878" priority="65163" stopIfTrue="1" operator="notEqual">
      <formula>"EBCT"</formula>
    </cfRule>
  </conditionalFormatting>
  <conditionalFormatting sqref="O253">
    <cfRule type="cellIs" dxfId="1877" priority="65164" stopIfTrue="1" operator="notEqual">
      <formula>7.5</formula>
    </cfRule>
  </conditionalFormatting>
  <conditionalFormatting sqref="P253">
    <cfRule type="expression" dxfId="1876" priority="65165" stopIfTrue="1">
      <formula>NOT(ISBLANK($P$253))</formula>
    </cfRule>
  </conditionalFormatting>
  <conditionalFormatting sqref="Q253">
    <cfRule type="expression" dxfId="1875" priority="65166" stopIfTrue="1">
      <formula>NOT(ISBLANK($Q$253))</formula>
    </cfRule>
  </conditionalFormatting>
  <conditionalFormatting sqref="R253">
    <cfRule type="cellIs" dxfId="1874" priority="65167" stopIfTrue="1" operator="notEqual">
      <formula>1</formula>
    </cfRule>
  </conditionalFormatting>
  <conditionalFormatting sqref="S253">
    <cfRule type="cellIs" dxfId="1873" priority="65168" stopIfTrue="1" operator="notEqual">
      <formula>6.7</formula>
    </cfRule>
  </conditionalFormatting>
  <conditionalFormatting sqref="T253">
    <cfRule type="cellIs" dxfId="1872" priority="65169" stopIfTrue="1" operator="notEqual">
      <formula>"upright"</formula>
    </cfRule>
  </conditionalFormatting>
  <conditionalFormatting sqref="U253">
    <cfRule type="cellIs" dxfId="1871" priority="65170" stopIfTrue="1" operator="notEqual">
      <formula>11</formula>
    </cfRule>
  </conditionalFormatting>
  <conditionalFormatting sqref="V253">
    <cfRule type="cellIs" dxfId="1870" priority="65171" stopIfTrue="1" operator="notEqual">
      <formula>8.5</formula>
    </cfRule>
  </conditionalFormatting>
  <conditionalFormatting sqref="W253">
    <cfRule type="expression" dxfId="1869" priority="65172" stopIfTrue="1">
      <formula>NOT(ISBLANK($W$253))</formula>
    </cfRule>
  </conditionalFormatting>
  <conditionalFormatting sqref="X253">
    <cfRule type="expression" dxfId="1868" priority="65173" stopIfTrue="1">
      <formula>NOT(ISBLANK($X$253))</formula>
    </cfRule>
  </conditionalFormatting>
  <conditionalFormatting sqref="Y253">
    <cfRule type="expression" dxfId="1867" priority="65174" stopIfTrue="1">
      <formula>NOT(ISBLANK($Y$253))</formula>
    </cfRule>
  </conditionalFormatting>
  <conditionalFormatting sqref="Z253">
    <cfRule type="cellIs" dxfId="1866" priority="65175" stopIfTrue="1" operator="notEqual">
      <formula>168</formula>
    </cfRule>
  </conditionalFormatting>
  <conditionalFormatting sqref="AA253">
    <cfRule type="cellIs" dxfId="1865" priority="65176" stopIfTrue="1" operator="notEqual">
      <formula>"POTW"</formula>
    </cfRule>
  </conditionalFormatting>
  <conditionalFormatting sqref="AB253">
    <cfRule type="cellIs" dxfId="1864" priority="65177" stopIfTrue="1" operator="notEqual">
      <formula>"Holding tank"</formula>
    </cfRule>
  </conditionalFormatting>
  <conditionalFormatting sqref="AC253">
    <cfRule type="cellIs" dxfId="1863" priority="65178" stopIfTrue="1" operator="notEqual">
      <formula>"manual transfer"</formula>
    </cfRule>
  </conditionalFormatting>
  <conditionalFormatting sqref="AD253">
    <cfRule type="cellIs" dxfId="1862" priority="65179" stopIfTrue="1" operator="notEqual">
      <formula>"non-hazardous"</formula>
    </cfRule>
  </conditionalFormatting>
  <conditionalFormatting sqref="AE253">
    <cfRule type="expression" dxfId="1861" priority="65180" stopIfTrue="1">
      <formula>NOT(ISBLANK($AE$253))</formula>
    </cfRule>
  </conditionalFormatting>
  <conditionalFormatting sqref="AF253">
    <cfRule type="cellIs" dxfId="1860" priority="65181" stopIfTrue="1" operator="notEqual">
      <formula>0</formula>
    </cfRule>
  </conditionalFormatting>
  <conditionalFormatting sqref="AG253">
    <cfRule type="expression" dxfId="1859" priority="65182" stopIfTrue="1">
      <formula>NOT(ISBLANK($AG$253))</formula>
    </cfRule>
  </conditionalFormatting>
  <conditionalFormatting sqref="AH253">
    <cfRule type="expression" dxfId="1858" priority="65183" stopIfTrue="1">
      <formula>NOT(ISBLANK($AH$253))</formula>
    </cfRule>
  </conditionalFormatting>
  <conditionalFormatting sqref="AI253">
    <cfRule type="cellIs" dxfId="1857" priority="65184" stopIfTrue="1" operator="notEqual">
      <formula>"fully automated"</formula>
    </cfRule>
  </conditionalFormatting>
  <conditionalFormatting sqref="AJ253">
    <cfRule type="expression" dxfId="1856" priority="65185" stopIfTrue="1">
      <formula>NOT(ISBLANK($AJ$253))</formula>
    </cfRule>
  </conditionalFormatting>
  <conditionalFormatting sqref="AK253">
    <cfRule type="expression" dxfId="1855" priority="65186" stopIfTrue="1">
      <formula>NOT(ISBLANK($AK$253))</formula>
    </cfRule>
  </conditionalFormatting>
  <conditionalFormatting sqref="AL253">
    <cfRule type="expression" dxfId="1854" priority="65187" stopIfTrue="1">
      <formula>NOT(ISBLANK($AL$253))</formula>
    </cfRule>
  </conditionalFormatting>
  <conditionalFormatting sqref="AM253">
    <cfRule type="expression" dxfId="1853" priority="65188" stopIfTrue="1">
      <formula>NOT(ISBLANK($AM$253))</formula>
    </cfRule>
  </conditionalFormatting>
  <conditionalFormatting sqref="AN253">
    <cfRule type="expression" dxfId="1852" priority="65189" stopIfTrue="1">
      <formula>NOT(ISBLANK($AN$253))</formula>
    </cfRule>
  </conditionalFormatting>
  <conditionalFormatting sqref="AO253">
    <cfRule type="expression" dxfId="1851" priority="65190" stopIfTrue="1">
      <formula>NOT(ISBLANK($AO$253))</formula>
    </cfRule>
  </conditionalFormatting>
  <conditionalFormatting sqref="AP253">
    <cfRule type="expression" dxfId="1850" priority="65191" stopIfTrue="1">
      <formula>NOT(ISBLANK($AP$253))</formula>
    </cfRule>
  </conditionalFormatting>
  <conditionalFormatting sqref="AQ253">
    <cfRule type="expression" dxfId="1849" priority="65192" stopIfTrue="1">
      <formula>NOT(ISBLANK($AQ$253))</formula>
    </cfRule>
  </conditionalFormatting>
  <conditionalFormatting sqref="A254">
    <cfRule type="cellIs" dxfId="1848" priority="65193" stopIfTrue="1" operator="notEqual">
      <formula>16</formula>
    </cfRule>
  </conditionalFormatting>
  <conditionalFormatting sqref="B254">
    <cfRule type="cellIs" dxfId="1847" priority="65194" stopIfTrue="1" operator="notEqual">
      <formula>1</formula>
    </cfRule>
  </conditionalFormatting>
  <conditionalFormatting sqref="C254">
    <cfRule type="cellIs" dxfId="1846" priority="65195" stopIfTrue="1" operator="notEqual">
      <formula>6</formula>
    </cfRule>
  </conditionalFormatting>
  <conditionalFormatting sqref="D254">
    <cfRule type="cellIs" dxfId="1845" priority="65196" stopIfTrue="1" operator="notEqual">
      <formula>7.365</formula>
    </cfRule>
  </conditionalFormatting>
  <conditionalFormatting sqref="E254">
    <cfRule type="cellIs" dxfId="1844" priority="65197" stopIfTrue="1" operator="notEqual">
      <formula>"MGD"</formula>
    </cfRule>
  </conditionalFormatting>
  <conditionalFormatting sqref="F254">
    <cfRule type="cellIs" dxfId="1843" priority="65198" stopIfTrue="1" operator="notEqual">
      <formula>3.2</formula>
    </cfRule>
  </conditionalFormatting>
  <conditionalFormatting sqref="G254">
    <cfRule type="cellIs" dxfId="1842" priority="65199" stopIfTrue="1" operator="notEqual">
      <formula>"MGD"</formula>
    </cfRule>
  </conditionalFormatting>
  <conditionalFormatting sqref="H254">
    <cfRule type="cellIs" dxfId="1841" priority="65200" stopIfTrue="1" operator="notEqual">
      <formula>"regeneration off-site (non-hazardous)"</formula>
    </cfRule>
  </conditionalFormatting>
  <conditionalFormatting sqref="I254">
    <cfRule type="cellIs" dxfId="1840" priority="65201" stopIfTrue="1" operator="notEqual">
      <formula>"carbon life value- bed volumes"</formula>
    </cfRule>
  </conditionalFormatting>
  <conditionalFormatting sqref="J254">
    <cfRule type="cellIs" dxfId="1839" priority="65202" stopIfTrue="1" operator="notEqual">
      <formula>38200</formula>
    </cfRule>
  </conditionalFormatting>
  <conditionalFormatting sqref="K254">
    <cfRule type="expression" dxfId="1838" priority="65203" stopIfTrue="1">
      <formula>NOT(ISBLANK($K$254))</formula>
    </cfRule>
  </conditionalFormatting>
  <conditionalFormatting sqref="L254">
    <cfRule type="expression" dxfId="1837" priority="65204" stopIfTrue="1">
      <formula>NOT(ISBLANK($L$254))</formula>
    </cfRule>
  </conditionalFormatting>
  <conditionalFormatting sqref="M254">
    <cfRule type="expression" dxfId="1836" priority="65205" stopIfTrue="1">
      <formula>NOT(ISBLANK($M$254))</formula>
    </cfRule>
  </conditionalFormatting>
  <conditionalFormatting sqref="N254">
    <cfRule type="cellIs" dxfId="1835" priority="65206" stopIfTrue="1" operator="notEqual">
      <formula>"EBCT"</formula>
    </cfRule>
  </conditionalFormatting>
  <conditionalFormatting sqref="O254">
    <cfRule type="cellIs" dxfId="1834" priority="65207" stopIfTrue="1" operator="notEqual">
      <formula>7.5</formula>
    </cfRule>
  </conditionalFormatting>
  <conditionalFormatting sqref="P254">
    <cfRule type="expression" dxfId="1833" priority="65208" stopIfTrue="1">
      <formula>NOT(ISBLANK($P$254))</formula>
    </cfRule>
  </conditionalFormatting>
  <conditionalFormatting sqref="Q254">
    <cfRule type="expression" dxfId="1832" priority="65209" stopIfTrue="1">
      <formula>NOT(ISBLANK($Q$254))</formula>
    </cfRule>
  </conditionalFormatting>
  <conditionalFormatting sqref="R254">
    <cfRule type="cellIs" dxfId="1831" priority="65210" stopIfTrue="1" operator="notEqual">
      <formula>1</formula>
    </cfRule>
  </conditionalFormatting>
  <conditionalFormatting sqref="S254">
    <cfRule type="cellIs" dxfId="1830" priority="65211" stopIfTrue="1" operator="notEqual">
      <formula>6.8</formula>
    </cfRule>
  </conditionalFormatting>
  <conditionalFormatting sqref="T254">
    <cfRule type="cellIs" dxfId="1829" priority="65212" stopIfTrue="1" operator="notEqual">
      <formula>"upright"</formula>
    </cfRule>
  </conditionalFormatting>
  <conditionalFormatting sqref="U254">
    <cfRule type="cellIs" dxfId="1828" priority="65213" stopIfTrue="1" operator="notEqual">
      <formula>11</formula>
    </cfRule>
  </conditionalFormatting>
  <conditionalFormatting sqref="V254">
    <cfRule type="cellIs" dxfId="1827" priority="65214" stopIfTrue="1" operator="notEqual">
      <formula>11</formula>
    </cfRule>
  </conditionalFormatting>
  <conditionalFormatting sqref="W254">
    <cfRule type="expression" dxfId="1826" priority="65215" stopIfTrue="1">
      <formula>NOT(ISBLANK($W$254))</formula>
    </cfRule>
  </conditionalFormatting>
  <conditionalFormatting sqref="X254">
    <cfRule type="expression" dxfId="1825" priority="65216" stopIfTrue="1">
      <formula>NOT(ISBLANK($X$254))</formula>
    </cfRule>
  </conditionalFormatting>
  <conditionalFormatting sqref="Y254">
    <cfRule type="expression" dxfId="1824" priority="65217" stopIfTrue="1">
      <formula>NOT(ISBLANK($Y$254))</formula>
    </cfRule>
  </conditionalFormatting>
  <conditionalFormatting sqref="Z254">
    <cfRule type="cellIs" dxfId="1823" priority="65218" stopIfTrue="1" operator="notEqual">
      <formula>168</formula>
    </cfRule>
  </conditionalFormatting>
  <conditionalFormatting sqref="AA254">
    <cfRule type="cellIs" dxfId="1822" priority="65219" stopIfTrue="1" operator="notEqual">
      <formula>"POTW"</formula>
    </cfRule>
  </conditionalFormatting>
  <conditionalFormatting sqref="AB254">
    <cfRule type="cellIs" dxfId="1821" priority="65220" stopIfTrue="1" operator="notEqual">
      <formula>"Holding tank"</formula>
    </cfRule>
  </conditionalFormatting>
  <conditionalFormatting sqref="AC254">
    <cfRule type="cellIs" dxfId="1820" priority="65221" stopIfTrue="1" operator="notEqual">
      <formula>"eductors"</formula>
    </cfRule>
  </conditionalFormatting>
  <conditionalFormatting sqref="AD254">
    <cfRule type="cellIs" dxfId="1819" priority="65222" stopIfTrue="1" operator="notEqual">
      <formula>"non-hazardous"</formula>
    </cfRule>
  </conditionalFormatting>
  <conditionalFormatting sqref="AE254">
    <cfRule type="expression" dxfId="1818" priority="65223" stopIfTrue="1">
      <formula>NOT(ISBLANK($AE$254))</formula>
    </cfRule>
  </conditionalFormatting>
  <conditionalFormatting sqref="AF254">
    <cfRule type="cellIs" dxfId="1817" priority="65224" stopIfTrue="1" operator="notEqual">
      <formula>0</formula>
    </cfRule>
  </conditionalFormatting>
  <conditionalFormatting sqref="AG254">
    <cfRule type="expression" dxfId="1816" priority="65225" stopIfTrue="1">
      <formula>NOT(ISBLANK($AG$254))</formula>
    </cfRule>
  </conditionalFormatting>
  <conditionalFormatting sqref="AH254">
    <cfRule type="expression" dxfId="1815" priority="65226" stopIfTrue="1">
      <formula>NOT(ISBLANK($AH$254))</formula>
    </cfRule>
  </conditionalFormatting>
  <conditionalFormatting sqref="AI254">
    <cfRule type="cellIs" dxfId="1814" priority="65227" stopIfTrue="1" operator="notEqual">
      <formula>"fully automated"</formula>
    </cfRule>
  </conditionalFormatting>
  <conditionalFormatting sqref="AJ254">
    <cfRule type="expression" dxfId="1813" priority="65228" stopIfTrue="1">
      <formula>NOT(ISBLANK($AJ$254))</formula>
    </cfRule>
  </conditionalFormatting>
  <conditionalFormatting sqref="AK254">
    <cfRule type="expression" dxfId="1812" priority="65229" stopIfTrue="1">
      <formula>NOT(ISBLANK($AK$254))</formula>
    </cfRule>
  </conditionalFormatting>
  <conditionalFormatting sqref="AL254">
    <cfRule type="expression" dxfId="1811" priority="65230" stopIfTrue="1">
      <formula>NOT(ISBLANK($AL$254))</formula>
    </cfRule>
  </conditionalFormatting>
  <conditionalFormatting sqref="AM254">
    <cfRule type="expression" dxfId="1810" priority="65231" stopIfTrue="1">
      <formula>NOT(ISBLANK($AM$254))</formula>
    </cfRule>
  </conditionalFormatting>
  <conditionalFormatting sqref="AN254">
    <cfRule type="expression" dxfId="1809" priority="65232" stopIfTrue="1">
      <formula>NOT(ISBLANK($AN$254))</formula>
    </cfRule>
  </conditionalFormatting>
  <conditionalFormatting sqref="AO254">
    <cfRule type="expression" dxfId="1808" priority="65233" stopIfTrue="1">
      <formula>NOT(ISBLANK($AO$254))</formula>
    </cfRule>
  </conditionalFormatting>
  <conditionalFormatting sqref="AP254">
    <cfRule type="expression" dxfId="1807" priority="65234" stopIfTrue="1">
      <formula>NOT(ISBLANK($AP$254))</formula>
    </cfRule>
  </conditionalFormatting>
  <conditionalFormatting sqref="AQ254">
    <cfRule type="expression" dxfId="1806" priority="65235" stopIfTrue="1">
      <formula>NOT(ISBLANK($AQ$254))</formula>
    </cfRule>
  </conditionalFormatting>
  <conditionalFormatting sqref="A255">
    <cfRule type="cellIs" dxfId="1805" priority="65236" stopIfTrue="1" operator="notEqual">
      <formula>16</formula>
    </cfRule>
  </conditionalFormatting>
  <conditionalFormatting sqref="B255">
    <cfRule type="cellIs" dxfId="1804" priority="65237" stopIfTrue="1" operator="notEqual">
      <formula>1</formula>
    </cfRule>
  </conditionalFormatting>
  <conditionalFormatting sqref="C255">
    <cfRule type="cellIs" dxfId="1803" priority="65238" stopIfTrue="1" operator="notEqual">
      <formula>7</formula>
    </cfRule>
  </conditionalFormatting>
  <conditionalFormatting sqref="D255">
    <cfRule type="cellIs" dxfId="1802" priority="65239" stopIfTrue="1" operator="notEqual">
      <formula>22.614</formula>
    </cfRule>
  </conditionalFormatting>
  <conditionalFormatting sqref="E255">
    <cfRule type="cellIs" dxfId="1801" priority="65240" stopIfTrue="1" operator="notEqual">
      <formula>"MGD"</formula>
    </cfRule>
  </conditionalFormatting>
  <conditionalFormatting sqref="F255">
    <cfRule type="cellIs" dxfId="1800" priority="65241" stopIfTrue="1" operator="notEqual">
      <formula>11.066</formula>
    </cfRule>
  </conditionalFormatting>
  <conditionalFormatting sqref="G255">
    <cfRule type="cellIs" dxfId="1799" priority="65242" stopIfTrue="1" operator="notEqual">
      <formula>"MGD"</formula>
    </cfRule>
  </conditionalFormatting>
  <conditionalFormatting sqref="H255">
    <cfRule type="cellIs" dxfId="1798" priority="65243" stopIfTrue="1" operator="notEqual">
      <formula>"regeneration off-site (non-hazardous)"</formula>
    </cfRule>
  </conditionalFormatting>
  <conditionalFormatting sqref="I255">
    <cfRule type="cellIs" dxfId="1797" priority="65244" stopIfTrue="1" operator="notEqual">
      <formula>"carbon life value- bed volumes"</formula>
    </cfRule>
  </conditionalFormatting>
  <conditionalFormatting sqref="J255">
    <cfRule type="cellIs" dxfId="1796" priority="65245" stopIfTrue="1" operator="notEqual">
      <formula>38200</formula>
    </cfRule>
  </conditionalFormatting>
  <conditionalFormatting sqref="K255">
    <cfRule type="expression" dxfId="1795" priority="65246" stopIfTrue="1">
      <formula>NOT(ISBLANK($K$255))</formula>
    </cfRule>
  </conditionalFormatting>
  <conditionalFormatting sqref="L255">
    <cfRule type="expression" dxfId="1794" priority="65247" stopIfTrue="1">
      <formula>NOT(ISBLANK($L$255))</formula>
    </cfRule>
  </conditionalFormatting>
  <conditionalFormatting sqref="M255">
    <cfRule type="expression" dxfId="1793" priority="65248" stopIfTrue="1">
      <formula>NOT(ISBLANK($M$255))</formula>
    </cfRule>
  </conditionalFormatting>
  <conditionalFormatting sqref="N255">
    <cfRule type="cellIs" dxfId="1792" priority="65249" stopIfTrue="1" operator="notEqual">
      <formula>"EBCT"</formula>
    </cfRule>
  </conditionalFormatting>
  <conditionalFormatting sqref="O255">
    <cfRule type="cellIs" dxfId="1791" priority="65250" stopIfTrue="1" operator="notEqual">
      <formula>7.5</formula>
    </cfRule>
  </conditionalFormatting>
  <conditionalFormatting sqref="P255">
    <cfRule type="expression" dxfId="1790" priority="65251" stopIfTrue="1">
      <formula>NOT(ISBLANK($P$255))</formula>
    </cfRule>
  </conditionalFormatting>
  <conditionalFormatting sqref="Q255">
    <cfRule type="expression" dxfId="1789" priority="65252" stopIfTrue="1">
      <formula>NOT(ISBLANK($Q$255))</formula>
    </cfRule>
  </conditionalFormatting>
  <conditionalFormatting sqref="R255">
    <cfRule type="cellIs" dxfId="1788" priority="65253" stopIfTrue="1" operator="notEqual">
      <formula>1</formula>
    </cfRule>
  </conditionalFormatting>
  <conditionalFormatting sqref="S255">
    <cfRule type="cellIs" dxfId="1787" priority="65254" stopIfTrue="1" operator="notEqual">
      <formula>7.1</formula>
    </cfRule>
  </conditionalFormatting>
  <conditionalFormatting sqref="T255">
    <cfRule type="cellIs" dxfId="1786" priority="65255" stopIfTrue="1" operator="notEqual">
      <formula>"horizontal"</formula>
    </cfRule>
  </conditionalFormatting>
  <conditionalFormatting sqref="U255">
    <cfRule type="cellIs" dxfId="1785" priority="65256" stopIfTrue="1" operator="notEqual">
      <formula>20</formula>
    </cfRule>
  </conditionalFormatting>
  <conditionalFormatting sqref="V255">
    <cfRule type="cellIs" dxfId="1784" priority="65257" stopIfTrue="1" operator="notEqual">
      <formula>14</formula>
    </cfRule>
  </conditionalFormatting>
  <conditionalFormatting sqref="W255">
    <cfRule type="expression" dxfId="1783" priority="65258" stopIfTrue="1">
      <formula>NOT(ISBLANK($W$255))</formula>
    </cfRule>
  </conditionalFormatting>
  <conditionalFormatting sqref="X255">
    <cfRule type="expression" dxfId="1782" priority="65259" stopIfTrue="1">
      <formula>NOT(ISBLANK($X$255))</formula>
    </cfRule>
  </conditionalFormatting>
  <conditionalFormatting sqref="Y255">
    <cfRule type="expression" dxfId="1781" priority="65260" stopIfTrue="1">
      <formula>NOT(ISBLANK($Y$255))</formula>
    </cfRule>
  </conditionalFormatting>
  <conditionalFormatting sqref="Z255">
    <cfRule type="cellIs" dxfId="1780" priority="65261" stopIfTrue="1" operator="notEqual">
      <formula>168</formula>
    </cfRule>
  </conditionalFormatting>
  <conditionalFormatting sqref="AA255">
    <cfRule type="cellIs" dxfId="1779" priority="65262" stopIfTrue="1" operator="notEqual">
      <formula>"POTW"</formula>
    </cfRule>
  </conditionalFormatting>
  <conditionalFormatting sqref="AB255">
    <cfRule type="cellIs" dxfId="1778" priority="65263" stopIfTrue="1" operator="notEqual">
      <formula>"Holding tank"</formula>
    </cfRule>
  </conditionalFormatting>
  <conditionalFormatting sqref="AC255">
    <cfRule type="cellIs" dxfId="1777" priority="65264" stopIfTrue="1" operator="notEqual">
      <formula>"eductors"</formula>
    </cfRule>
  </conditionalFormatting>
  <conditionalFormatting sqref="AD255">
    <cfRule type="cellIs" dxfId="1776" priority="65265" stopIfTrue="1" operator="notEqual">
      <formula>"non-hazardous"</formula>
    </cfRule>
  </conditionalFormatting>
  <conditionalFormatting sqref="AE255">
    <cfRule type="expression" dxfId="1775" priority="65266" stopIfTrue="1">
      <formula>NOT(ISBLANK($AE$255))</formula>
    </cfRule>
  </conditionalFormatting>
  <conditionalFormatting sqref="AF255">
    <cfRule type="cellIs" dxfId="1774" priority="65267" stopIfTrue="1" operator="notEqual">
      <formula>0</formula>
    </cfRule>
  </conditionalFormatting>
  <conditionalFormatting sqref="AG255">
    <cfRule type="expression" dxfId="1773" priority="65268" stopIfTrue="1">
      <formula>NOT(ISBLANK($AG$255))</formula>
    </cfRule>
  </conditionalFormatting>
  <conditionalFormatting sqref="AH255">
    <cfRule type="expression" dxfId="1772" priority="65269" stopIfTrue="1">
      <formula>NOT(ISBLANK($AH$255))</formula>
    </cfRule>
  </conditionalFormatting>
  <conditionalFormatting sqref="AI255">
    <cfRule type="cellIs" dxfId="1771" priority="65270" stopIfTrue="1" operator="notEqual">
      <formula>"fully automated"</formula>
    </cfRule>
  </conditionalFormatting>
  <conditionalFormatting sqref="AJ255">
    <cfRule type="expression" dxfId="1770" priority="65271" stopIfTrue="1">
      <formula>NOT(ISBLANK($AJ$255))</formula>
    </cfRule>
  </conditionalFormatting>
  <conditionalFormatting sqref="AK255">
    <cfRule type="expression" dxfId="1769" priority="65272" stopIfTrue="1">
      <formula>NOT(ISBLANK($AK$255))</formula>
    </cfRule>
  </conditionalFormatting>
  <conditionalFormatting sqref="AL255">
    <cfRule type="expression" dxfId="1768" priority="65273" stopIfTrue="1">
      <formula>NOT(ISBLANK($AL$255))</formula>
    </cfRule>
  </conditionalFormatting>
  <conditionalFormatting sqref="AM255">
    <cfRule type="expression" dxfId="1767" priority="65274" stopIfTrue="1">
      <formula>NOT(ISBLANK($AM$255))</formula>
    </cfRule>
  </conditionalFormatting>
  <conditionalFormatting sqref="AN255">
    <cfRule type="expression" dxfId="1766" priority="65275" stopIfTrue="1">
      <formula>NOT(ISBLANK($AN$255))</formula>
    </cfRule>
  </conditionalFormatting>
  <conditionalFormatting sqref="AO255">
    <cfRule type="expression" dxfId="1765" priority="65276" stopIfTrue="1">
      <formula>NOT(ISBLANK($AO$255))</formula>
    </cfRule>
  </conditionalFormatting>
  <conditionalFormatting sqref="AP255">
    <cfRule type="expression" dxfId="1764" priority="65277" stopIfTrue="1">
      <formula>NOT(ISBLANK($AP$255))</formula>
    </cfRule>
  </conditionalFormatting>
  <conditionalFormatting sqref="AQ255">
    <cfRule type="expression" dxfId="1763" priority="65278" stopIfTrue="1">
      <formula>NOT(ISBLANK($AQ$255))</formula>
    </cfRule>
  </conditionalFormatting>
  <conditionalFormatting sqref="A256">
    <cfRule type="cellIs" dxfId="1762" priority="65279" stopIfTrue="1" operator="notEqual">
      <formula>16</formula>
    </cfRule>
  </conditionalFormatting>
  <conditionalFormatting sqref="B256">
    <cfRule type="cellIs" dxfId="1761" priority="65280" stopIfTrue="1" operator="notEqual">
      <formula>1</formula>
    </cfRule>
  </conditionalFormatting>
  <conditionalFormatting sqref="C256">
    <cfRule type="cellIs" dxfId="1760" priority="65281" stopIfTrue="1" operator="notEqual">
      <formula>8</formula>
    </cfRule>
  </conditionalFormatting>
  <conditionalFormatting sqref="D256">
    <cfRule type="cellIs" dxfId="1759" priority="65282" stopIfTrue="1" operator="notEqual">
      <formula>75.072</formula>
    </cfRule>
  </conditionalFormatting>
  <conditionalFormatting sqref="E256">
    <cfRule type="cellIs" dxfId="1758" priority="65283" stopIfTrue="1" operator="notEqual">
      <formula>"MGD"</formula>
    </cfRule>
  </conditionalFormatting>
  <conditionalFormatting sqref="F256">
    <cfRule type="cellIs" dxfId="1757" priority="65284" stopIfTrue="1" operator="notEqual">
      <formula>37.536</formula>
    </cfRule>
  </conditionalFormatting>
  <conditionalFormatting sqref="G256">
    <cfRule type="cellIs" dxfId="1756" priority="65285" stopIfTrue="1" operator="notEqual">
      <formula>"MGD"</formula>
    </cfRule>
  </conditionalFormatting>
  <conditionalFormatting sqref="H256">
    <cfRule type="cellIs" dxfId="1755" priority="65286" stopIfTrue="1" operator="notEqual">
      <formula>"regeneration off-site (non-hazardous)"</formula>
    </cfRule>
  </conditionalFormatting>
  <conditionalFormatting sqref="I256">
    <cfRule type="cellIs" dxfId="1754" priority="65287" stopIfTrue="1" operator="notEqual">
      <formula>"carbon life value- bed volumes"</formula>
    </cfRule>
  </conditionalFormatting>
  <conditionalFormatting sqref="J256">
    <cfRule type="cellIs" dxfId="1753" priority="65288" stopIfTrue="1" operator="notEqual">
      <formula>38200</formula>
    </cfRule>
  </conditionalFormatting>
  <conditionalFormatting sqref="K256">
    <cfRule type="expression" dxfId="1752" priority="65289" stopIfTrue="1">
      <formula>NOT(ISBLANK($K$256))</formula>
    </cfRule>
  </conditionalFormatting>
  <conditionalFormatting sqref="L256">
    <cfRule type="expression" dxfId="1751" priority="65290" stopIfTrue="1">
      <formula>NOT(ISBLANK($L$256))</formula>
    </cfRule>
  </conditionalFormatting>
  <conditionalFormatting sqref="M256">
    <cfRule type="expression" dxfId="1750" priority="65291" stopIfTrue="1">
      <formula>NOT(ISBLANK($M$256))</formula>
    </cfRule>
  </conditionalFormatting>
  <conditionalFormatting sqref="N256">
    <cfRule type="cellIs" dxfId="1749" priority="65292" stopIfTrue="1" operator="notEqual">
      <formula>"EBCT"</formula>
    </cfRule>
  </conditionalFormatting>
  <conditionalFormatting sqref="O256">
    <cfRule type="cellIs" dxfId="1748" priority="65293" stopIfTrue="1" operator="notEqual">
      <formula>7.5</formula>
    </cfRule>
  </conditionalFormatting>
  <conditionalFormatting sqref="P256">
    <cfRule type="expression" dxfId="1747" priority="65294" stopIfTrue="1">
      <formula>NOT(ISBLANK($P$256))</formula>
    </cfRule>
  </conditionalFormatting>
  <conditionalFormatting sqref="Q256">
    <cfRule type="expression" dxfId="1746" priority="65295" stopIfTrue="1">
      <formula>NOT(ISBLANK($Q$256))</formula>
    </cfRule>
  </conditionalFormatting>
  <conditionalFormatting sqref="R256">
    <cfRule type="cellIs" dxfId="1745" priority="65296" stopIfTrue="1" operator="notEqual">
      <formula>1</formula>
    </cfRule>
  </conditionalFormatting>
  <conditionalFormatting sqref="S256">
    <cfRule type="cellIs" dxfId="1744" priority="65297" stopIfTrue="1" operator="notEqual">
      <formula>7.2</formula>
    </cfRule>
  </conditionalFormatting>
  <conditionalFormatting sqref="T256">
    <cfRule type="cellIs" dxfId="1743" priority="65298" stopIfTrue="1" operator="notEqual">
      <formula>"horizontal"</formula>
    </cfRule>
  </conditionalFormatting>
  <conditionalFormatting sqref="U256">
    <cfRule type="cellIs" dxfId="1742" priority="65299" stopIfTrue="1" operator="notEqual">
      <formula>20</formula>
    </cfRule>
  </conditionalFormatting>
  <conditionalFormatting sqref="V256">
    <cfRule type="cellIs" dxfId="1741" priority="65300" stopIfTrue="1" operator="notEqual">
      <formula>14</formula>
    </cfRule>
  </conditionalFormatting>
  <conditionalFormatting sqref="W256">
    <cfRule type="expression" dxfId="1740" priority="65301" stopIfTrue="1">
      <formula>NOT(ISBLANK($W$256))</formula>
    </cfRule>
  </conditionalFormatting>
  <conditionalFormatting sqref="X256">
    <cfRule type="expression" dxfId="1739" priority="65302" stopIfTrue="1">
      <formula>NOT(ISBLANK($X$256))</formula>
    </cfRule>
  </conditionalFormatting>
  <conditionalFormatting sqref="Y256">
    <cfRule type="expression" dxfId="1738" priority="65303" stopIfTrue="1">
      <formula>NOT(ISBLANK($Y$256))</formula>
    </cfRule>
  </conditionalFormatting>
  <conditionalFormatting sqref="Z256">
    <cfRule type="cellIs" dxfId="1737" priority="65304" stopIfTrue="1" operator="notEqual">
      <formula>168</formula>
    </cfRule>
  </conditionalFormatting>
  <conditionalFormatting sqref="AA256">
    <cfRule type="cellIs" dxfId="1736" priority="65305" stopIfTrue="1" operator="notEqual">
      <formula>"POTW"</formula>
    </cfRule>
  </conditionalFormatting>
  <conditionalFormatting sqref="AB256">
    <cfRule type="cellIs" dxfId="1735" priority="65306" stopIfTrue="1" operator="notEqual">
      <formula>"Holding tank"</formula>
    </cfRule>
  </conditionalFormatting>
  <conditionalFormatting sqref="AC256">
    <cfRule type="cellIs" dxfId="1734" priority="65307" stopIfTrue="1" operator="notEqual">
      <formula>"eductors"</formula>
    </cfRule>
  </conditionalFormatting>
  <conditionalFormatting sqref="AD256">
    <cfRule type="cellIs" dxfId="1733" priority="65308" stopIfTrue="1" operator="notEqual">
      <formula>"non-hazardous"</formula>
    </cfRule>
  </conditionalFormatting>
  <conditionalFormatting sqref="AE256">
    <cfRule type="expression" dxfId="1732" priority="65309" stopIfTrue="1">
      <formula>NOT(ISBLANK($AE$256))</formula>
    </cfRule>
  </conditionalFormatting>
  <conditionalFormatting sqref="AF256">
    <cfRule type="cellIs" dxfId="1731" priority="65310" stopIfTrue="1" operator="notEqual">
      <formula>0</formula>
    </cfRule>
  </conditionalFormatting>
  <conditionalFormatting sqref="AG256">
    <cfRule type="expression" dxfId="1730" priority="65311" stopIfTrue="1">
      <formula>NOT(ISBLANK($AG$256))</formula>
    </cfRule>
  </conditionalFormatting>
  <conditionalFormatting sqref="AH256">
    <cfRule type="expression" dxfId="1729" priority="65312" stopIfTrue="1">
      <formula>NOT(ISBLANK($AH$256))</formula>
    </cfRule>
  </conditionalFormatting>
  <conditionalFormatting sqref="AI256">
    <cfRule type="cellIs" dxfId="1728" priority="65313" stopIfTrue="1" operator="notEqual">
      <formula>"fully automated"</formula>
    </cfRule>
  </conditionalFormatting>
  <conditionalFormatting sqref="AJ256">
    <cfRule type="expression" dxfId="1727" priority="65314" stopIfTrue="1">
      <formula>NOT(ISBLANK($AJ$256))</formula>
    </cfRule>
  </conditionalFormatting>
  <conditionalFormatting sqref="AK256">
    <cfRule type="expression" dxfId="1726" priority="65315" stopIfTrue="1">
      <formula>NOT(ISBLANK($AK$256))</formula>
    </cfRule>
  </conditionalFormatting>
  <conditionalFormatting sqref="AL256">
    <cfRule type="expression" dxfId="1725" priority="65316" stopIfTrue="1">
      <formula>NOT(ISBLANK($AL$256))</formula>
    </cfRule>
  </conditionalFormatting>
  <conditionalFormatting sqref="AM256">
    <cfRule type="expression" dxfId="1724" priority="65317" stopIfTrue="1">
      <formula>NOT(ISBLANK($AM$256))</formula>
    </cfRule>
  </conditionalFormatting>
  <conditionalFormatting sqref="AN256">
    <cfRule type="expression" dxfId="1723" priority="65318" stopIfTrue="1">
      <formula>NOT(ISBLANK($AN$256))</formula>
    </cfRule>
  </conditionalFormatting>
  <conditionalFormatting sqref="AO256">
    <cfRule type="expression" dxfId="1722" priority="65319" stopIfTrue="1">
      <formula>NOT(ISBLANK($AO$256))</formula>
    </cfRule>
  </conditionalFormatting>
  <conditionalFormatting sqref="AP256">
    <cfRule type="expression" dxfId="1721" priority="65320" stopIfTrue="1">
      <formula>NOT(ISBLANK($AP$256))</formula>
    </cfRule>
  </conditionalFormatting>
  <conditionalFormatting sqref="AQ256">
    <cfRule type="expression" dxfId="1720" priority="65321" stopIfTrue="1">
      <formula>NOT(ISBLANK($AQ$256))</formula>
    </cfRule>
  </conditionalFormatting>
  <conditionalFormatting sqref="A257">
    <cfRule type="cellIs" dxfId="1719" priority="65322" stopIfTrue="1" operator="notEqual">
      <formula>16</formula>
    </cfRule>
  </conditionalFormatting>
  <conditionalFormatting sqref="B257">
    <cfRule type="cellIs" dxfId="1718" priority="65323" stopIfTrue="1" operator="notEqual">
      <formula>2</formula>
    </cfRule>
  </conditionalFormatting>
  <conditionalFormatting sqref="C257">
    <cfRule type="cellIs" dxfId="1717" priority="65324" stopIfTrue="1" operator="notEqual">
      <formula>1</formula>
    </cfRule>
  </conditionalFormatting>
  <conditionalFormatting sqref="D257">
    <cfRule type="cellIs" dxfId="1716" priority="65325" stopIfTrue="1" operator="notEqual">
      <formula>0.03</formula>
    </cfRule>
  </conditionalFormatting>
  <conditionalFormatting sqref="E257">
    <cfRule type="cellIs" dxfId="1715" priority="65326" stopIfTrue="1" operator="notEqual">
      <formula>"MGD"</formula>
    </cfRule>
  </conditionalFormatting>
  <conditionalFormatting sqref="F257">
    <cfRule type="cellIs" dxfId="1714" priority="65327" stopIfTrue="1" operator="notEqual">
      <formula>0.007</formula>
    </cfRule>
  </conditionalFormatting>
  <conditionalFormatting sqref="G257">
    <cfRule type="cellIs" dxfId="1713" priority="65328" stopIfTrue="1" operator="notEqual">
      <formula>"MGD"</formula>
    </cfRule>
  </conditionalFormatting>
  <conditionalFormatting sqref="H257">
    <cfRule type="cellIs" dxfId="1712" priority="65329" stopIfTrue="1" operator="notEqual">
      <formula>"regeneration off-site (non-hazardous)"</formula>
    </cfRule>
  </conditionalFormatting>
  <conditionalFormatting sqref="I257">
    <cfRule type="cellIs" dxfId="1711" priority="65330" stopIfTrue="1" operator="notEqual">
      <formula>"carbon life value- bed volumes"</formula>
    </cfRule>
  </conditionalFormatting>
  <conditionalFormatting sqref="J257">
    <cfRule type="cellIs" dxfId="1710" priority="65331" stopIfTrue="1" operator="notEqual">
      <formula>38200</formula>
    </cfRule>
  </conditionalFormatting>
  <conditionalFormatting sqref="K257">
    <cfRule type="expression" dxfId="1709" priority="65332" stopIfTrue="1">
      <formula>NOT(ISBLANK($K$257))</formula>
    </cfRule>
  </conditionalFormatting>
  <conditionalFormatting sqref="L257">
    <cfRule type="expression" dxfId="1708" priority="65333" stopIfTrue="1">
      <formula>NOT(ISBLANK($L$257))</formula>
    </cfRule>
  </conditionalFormatting>
  <conditionalFormatting sqref="M257">
    <cfRule type="expression" dxfId="1707" priority="65334" stopIfTrue="1">
      <formula>NOT(ISBLANK($M$257))</formula>
    </cfRule>
  </conditionalFormatting>
  <conditionalFormatting sqref="N257">
    <cfRule type="cellIs" dxfId="1706" priority="65335" stopIfTrue="1" operator="notEqual">
      <formula>"EBCT"</formula>
    </cfRule>
  </conditionalFormatting>
  <conditionalFormatting sqref="O257">
    <cfRule type="cellIs" dxfId="1705" priority="65336" stopIfTrue="1" operator="notEqual">
      <formula>7.5</formula>
    </cfRule>
  </conditionalFormatting>
  <conditionalFormatting sqref="P257">
    <cfRule type="expression" dxfId="1704" priority="65337" stopIfTrue="1">
      <formula>NOT(ISBLANK($P$257))</formula>
    </cfRule>
  </conditionalFormatting>
  <conditionalFormatting sqref="Q257">
    <cfRule type="expression" dxfId="1703" priority="65338" stopIfTrue="1">
      <formula>NOT(ISBLANK($Q$257))</formula>
    </cfRule>
  </conditionalFormatting>
  <conditionalFormatting sqref="R257">
    <cfRule type="expression" dxfId="1702" priority="65339" stopIfTrue="1">
      <formula>NOT(ISBLANK($R$257))</formula>
    </cfRule>
  </conditionalFormatting>
  <conditionalFormatting sqref="S257">
    <cfRule type="expression" dxfId="1701" priority="65340" stopIfTrue="1">
      <formula>NOT(ISBLANK($S$257))</formula>
    </cfRule>
  </conditionalFormatting>
  <conditionalFormatting sqref="T257">
    <cfRule type="expression" dxfId="1700" priority="65341" stopIfTrue="1">
      <formula>NOT(ISBLANK($T$257))</formula>
    </cfRule>
  </conditionalFormatting>
  <conditionalFormatting sqref="U257">
    <cfRule type="expression" dxfId="1699" priority="65342" stopIfTrue="1">
      <formula>NOT(ISBLANK($U$257))</formula>
    </cfRule>
  </conditionalFormatting>
  <conditionalFormatting sqref="V257">
    <cfRule type="expression" dxfId="1698" priority="65343" stopIfTrue="1">
      <formula>NOT(ISBLANK($V$257))</formula>
    </cfRule>
  </conditionalFormatting>
  <conditionalFormatting sqref="W257">
    <cfRule type="cellIs" dxfId="1697" priority="65344" stopIfTrue="1" operator="notEqual">
      <formula>6</formula>
    </cfRule>
  </conditionalFormatting>
  <conditionalFormatting sqref="X257">
    <cfRule type="cellIs" dxfId="1696" priority="65345" stopIfTrue="1" operator="notEqual">
      <formula>6</formula>
    </cfRule>
  </conditionalFormatting>
  <conditionalFormatting sqref="Y257">
    <cfRule type="cellIs" dxfId="1695" priority="65346" stopIfTrue="1" operator="notEqual">
      <formula>3</formula>
    </cfRule>
  </conditionalFormatting>
  <conditionalFormatting sqref="Z257">
    <cfRule type="cellIs" dxfId="1694" priority="65347" stopIfTrue="1" operator="notEqual">
      <formula>168</formula>
    </cfRule>
  </conditionalFormatting>
  <conditionalFormatting sqref="AA257">
    <cfRule type="cellIs" dxfId="1693" priority="65348" stopIfTrue="1" operator="notEqual">
      <formula>"POTW"</formula>
    </cfRule>
  </conditionalFormatting>
  <conditionalFormatting sqref="AB257">
    <cfRule type="cellIs" dxfId="1692" priority="65349" stopIfTrue="1" operator="notEqual">
      <formula>"holding tank"</formula>
    </cfRule>
  </conditionalFormatting>
  <conditionalFormatting sqref="AC257">
    <cfRule type="cellIs" dxfId="1691" priority="65350" stopIfTrue="1" operator="notEqual">
      <formula>"manual transfer"</formula>
    </cfRule>
  </conditionalFormatting>
  <conditionalFormatting sqref="AD257">
    <cfRule type="cellIs" dxfId="1690" priority="65351" stopIfTrue="1" operator="notEqual">
      <formula>"non-hazardous"</formula>
    </cfRule>
  </conditionalFormatting>
  <conditionalFormatting sqref="AE257">
    <cfRule type="expression" dxfId="1689" priority="65352" stopIfTrue="1">
      <formula>NOT(ISBLANK($AE$257))</formula>
    </cfRule>
  </conditionalFormatting>
  <conditionalFormatting sqref="AF257">
    <cfRule type="cellIs" dxfId="1688" priority="65353" stopIfTrue="1" operator="notEqual">
      <formula>0</formula>
    </cfRule>
  </conditionalFormatting>
  <conditionalFormatting sqref="AG257">
    <cfRule type="expression" dxfId="1687" priority="65354" stopIfTrue="1">
      <formula>NOT(ISBLANK($AG$257))</formula>
    </cfRule>
  </conditionalFormatting>
  <conditionalFormatting sqref="AH257">
    <cfRule type="expression" dxfId="1686" priority="65355" stopIfTrue="1">
      <formula>NOT(ISBLANK($AH$257))</formula>
    </cfRule>
  </conditionalFormatting>
  <conditionalFormatting sqref="AI257">
    <cfRule type="cellIs" dxfId="1685" priority="65356" stopIfTrue="1" operator="notEqual">
      <formula>"fully automated"</formula>
    </cfRule>
  </conditionalFormatting>
  <conditionalFormatting sqref="AJ257">
    <cfRule type="expression" dxfId="1684" priority="65357" stopIfTrue="1">
      <formula>NOT(ISBLANK($AJ$257))</formula>
    </cfRule>
  </conditionalFormatting>
  <conditionalFormatting sqref="AK257">
    <cfRule type="expression" dxfId="1683" priority="65358" stopIfTrue="1">
      <formula>NOT(ISBLANK($AK$257))</formula>
    </cfRule>
  </conditionalFormatting>
  <conditionalFormatting sqref="AL257">
    <cfRule type="expression" dxfId="1682" priority="65359" stopIfTrue="1">
      <formula>NOT(ISBLANK($AL$257))</formula>
    </cfRule>
  </conditionalFormatting>
  <conditionalFormatting sqref="AM257">
    <cfRule type="expression" dxfId="1681" priority="65360" stopIfTrue="1">
      <formula>NOT(ISBLANK($AM$257))</formula>
    </cfRule>
  </conditionalFormatting>
  <conditionalFormatting sqref="AN257">
    <cfRule type="expression" dxfId="1680" priority="65361" stopIfTrue="1">
      <formula>NOT(ISBLANK($AN$257))</formula>
    </cfRule>
  </conditionalFormatting>
  <conditionalFormatting sqref="AO257">
    <cfRule type="expression" dxfId="1679" priority="65362" stopIfTrue="1">
      <formula>NOT(ISBLANK($AO$257))</formula>
    </cfRule>
  </conditionalFormatting>
  <conditionalFormatting sqref="AP257">
    <cfRule type="expression" dxfId="1678" priority="65363" stopIfTrue="1">
      <formula>NOT(ISBLANK($AP$257))</formula>
    </cfRule>
  </conditionalFormatting>
  <conditionalFormatting sqref="AQ257">
    <cfRule type="expression" dxfId="1677" priority="65364" stopIfTrue="1">
      <formula>NOT(ISBLANK($AQ$257))</formula>
    </cfRule>
  </conditionalFormatting>
  <conditionalFormatting sqref="A258">
    <cfRule type="cellIs" dxfId="1676" priority="65365" stopIfTrue="1" operator="notEqual">
      <formula>16</formula>
    </cfRule>
  </conditionalFormatting>
  <conditionalFormatting sqref="B258">
    <cfRule type="cellIs" dxfId="1675" priority="65366" stopIfTrue="1" operator="notEqual">
      <formula>2</formula>
    </cfRule>
  </conditionalFormatting>
  <conditionalFormatting sqref="C258">
    <cfRule type="cellIs" dxfId="1674" priority="65367" stopIfTrue="1" operator="notEqual">
      <formula>2</formula>
    </cfRule>
  </conditionalFormatting>
  <conditionalFormatting sqref="D258">
    <cfRule type="cellIs" dxfId="1673" priority="65368" stopIfTrue="1" operator="notEqual">
      <formula>0.124</formula>
    </cfRule>
  </conditionalFormatting>
  <conditionalFormatting sqref="E258">
    <cfRule type="cellIs" dxfId="1672" priority="65369" stopIfTrue="1" operator="notEqual">
      <formula>"MGD"</formula>
    </cfRule>
  </conditionalFormatting>
  <conditionalFormatting sqref="F258">
    <cfRule type="cellIs" dxfId="1671" priority="65370" stopIfTrue="1" operator="notEqual">
      <formula>0.035</formula>
    </cfRule>
  </conditionalFormatting>
  <conditionalFormatting sqref="G258">
    <cfRule type="cellIs" dxfId="1670" priority="65371" stopIfTrue="1" operator="notEqual">
      <formula>"MGD"</formula>
    </cfRule>
  </conditionalFormatting>
  <conditionalFormatting sqref="H258">
    <cfRule type="cellIs" dxfId="1669" priority="65372" stopIfTrue="1" operator="notEqual">
      <formula>"regeneration off-site (non-hazardous)"</formula>
    </cfRule>
  </conditionalFormatting>
  <conditionalFormatting sqref="I258">
    <cfRule type="cellIs" dxfId="1668" priority="65373" stopIfTrue="1" operator="notEqual">
      <formula>"carbon life value- bed volumes"</formula>
    </cfRule>
  </conditionalFormatting>
  <conditionalFormatting sqref="J258">
    <cfRule type="cellIs" dxfId="1667" priority="65374" stopIfTrue="1" operator="notEqual">
      <formula>38200</formula>
    </cfRule>
  </conditionalFormatting>
  <conditionalFormatting sqref="K258">
    <cfRule type="expression" dxfId="1666" priority="65375" stopIfTrue="1">
      <formula>NOT(ISBLANK($K$258))</formula>
    </cfRule>
  </conditionalFormatting>
  <conditionalFormatting sqref="L258">
    <cfRule type="expression" dxfId="1665" priority="65376" stopIfTrue="1">
      <formula>NOT(ISBLANK($L$258))</formula>
    </cfRule>
  </conditionalFormatting>
  <conditionalFormatting sqref="M258">
    <cfRule type="expression" dxfId="1664" priority="65377" stopIfTrue="1">
      <formula>NOT(ISBLANK($M$258))</formula>
    </cfRule>
  </conditionalFormatting>
  <conditionalFormatting sqref="N258">
    <cfRule type="cellIs" dxfId="1663" priority="65378" stopIfTrue="1" operator="notEqual">
      <formula>"EBCT"</formula>
    </cfRule>
  </conditionalFormatting>
  <conditionalFormatting sqref="O258">
    <cfRule type="cellIs" dxfId="1662" priority="65379" stopIfTrue="1" operator="notEqual">
      <formula>7.5</formula>
    </cfRule>
  </conditionalFormatting>
  <conditionalFormatting sqref="P258">
    <cfRule type="expression" dxfId="1661" priority="65380" stopIfTrue="1">
      <formula>NOT(ISBLANK($P$258))</formula>
    </cfRule>
  </conditionalFormatting>
  <conditionalFormatting sqref="Q258">
    <cfRule type="expression" dxfId="1660" priority="65381" stopIfTrue="1">
      <formula>NOT(ISBLANK($Q$258))</formula>
    </cfRule>
  </conditionalFormatting>
  <conditionalFormatting sqref="R258">
    <cfRule type="expression" dxfId="1659" priority="65382" stopIfTrue="1">
      <formula>NOT(ISBLANK($R$258))</formula>
    </cfRule>
  </conditionalFormatting>
  <conditionalFormatting sqref="S258">
    <cfRule type="expression" dxfId="1658" priority="65383" stopIfTrue="1">
      <formula>NOT(ISBLANK($S$258))</formula>
    </cfRule>
  </conditionalFormatting>
  <conditionalFormatting sqref="T258">
    <cfRule type="expression" dxfId="1657" priority="65384" stopIfTrue="1">
      <formula>NOT(ISBLANK($T$258))</formula>
    </cfRule>
  </conditionalFormatting>
  <conditionalFormatting sqref="U258">
    <cfRule type="expression" dxfId="1656" priority="65385" stopIfTrue="1">
      <formula>NOT(ISBLANK($U$258))</formula>
    </cfRule>
  </conditionalFormatting>
  <conditionalFormatting sqref="V258">
    <cfRule type="expression" dxfId="1655" priority="65386" stopIfTrue="1">
      <formula>NOT(ISBLANK($V$258))</formula>
    </cfRule>
  </conditionalFormatting>
  <conditionalFormatting sqref="W258">
    <cfRule type="cellIs" dxfId="1654" priority="65387" stopIfTrue="1" operator="notEqual">
      <formula>6</formula>
    </cfRule>
  </conditionalFormatting>
  <conditionalFormatting sqref="X258">
    <cfRule type="cellIs" dxfId="1653" priority="65388" stopIfTrue="1" operator="notEqual">
      <formula>6</formula>
    </cfRule>
  </conditionalFormatting>
  <conditionalFormatting sqref="Y258">
    <cfRule type="cellIs" dxfId="1652" priority="65389" stopIfTrue="1" operator="notEqual">
      <formula>3</formula>
    </cfRule>
  </conditionalFormatting>
  <conditionalFormatting sqref="Z258">
    <cfRule type="cellIs" dxfId="1651" priority="65390" stopIfTrue="1" operator="notEqual">
      <formula>168</formula>
    </cfRule>
  </conditionalFormatting>
  <conditionalFormatting sqref="AA258">
    <cfRule type="cellIs" dxfId="1650" priority="65391" stopIfTrue="1" operator="notEqual">
      <formula>"POTW"</formula>
    </cfRule>
  </conditionalFormatting>
  <conditionalFormatting sqref="AB258">
    <cfRule type="cellIs" dxfId="1649" priority="65392" stopIfTrue="1" operator="notEqual">
      <formula>"holding tank"</formula>
    </cfRule>
  </conditionalFormatting>
  <conditionalFormatting sqref="AC258">
    <cfRule type="cellIs" dxfId="1648" priority="65393" stopIfTrue="1" operator="notEqual">
      <formula>"manual transfer"</formula>
    </cfRule>
  </conditionalFormatting>
  <conditionalFormatting sqref="AD258">
    <cfRule type="cellIs" dxfId="1647" priority="65394" stopIfTrue="1" operator="notEqual">
      <formula>"non-hazardous"</formula>
    </cfRule>
  </conditionalFormatting>
  <conditionalFormatting sqref="AE258">
    <cfRule type="expression" dxfId="1646" priority="65395" stopIfTrue="1">
      <formula>NOT(ISBLANK($AE$258))</formula>
    </cfRule>
  </conditionalFormatting>
  <conditionalFormatting sqref="AF258">
    <cfRule type="cellIs" dxfId="1645" priority="65396" stopIfTrue="1" operator="notEqual">
      <formula>0</formula>
    </cfRule>
  </conditionalFormatting>
  <conditionalFormatting sqref="AG258">
    <cfRule type="expression" dxfId="1644" priority="65397" stopIfTrue="1">
      <formula>NOT(ISBLANK($AG$258))</formula>
    </cfRule>
  </conditionalFormatting>
  <conditionalFormatting sqref="AH258">
    <cfRule type="expression" dxfId="1643" priority="65398" stopIfTrue="1">
      <formula>NOT(ISBLANK($AH$258))</formula>
    </cfRule>
  </conditionalFormatting>
  <conditionalFormatting sqref="AI258">
    <cfRule type="cellIs" dxfId="1642" priority="65399" stopIfTrue="1" operator="notEqual">
      <formula>"fully automated"</formula>
    </cfRule>
  </conditionalFormatting>
  <conditionalFormatting sqref="AJ258">
    <cfRule type="expression" dxfId="1641" priority="65400" stopIfTrue="1">
      <formula>NOT(ISBLANK($AJ$258))</formula>
    </cfRule>
  </conditionalFormatting>
  <conditionalFormatting sqref="AK258">
    <cfRule type="expression" dxfId="1640" priority="65401" stopIfTrue="1">
      <formula>NOT(ISBLANK($AK$258))</formula>
    </cfRule>
  </conditionalFormatting>
  <conditionalFormatting sqref="AL258">
    <cfRule type="expression" dxfId="1639" priority="65402" stopIfTrue="1">
      <formula>NOT(ISBLANK($AL$258))</formula>
    </cfRule>
  </conditionalFormatting>
  <conditionalFormatting sqref="AM258">
    <cfRule type="expression" dxfId="1638" priority="65403" stopIfTrue="1">
      <formula>NOT(ISBLANK($AM$258))</formula>
    </cfRule>
  </conditionalFormatting>
  <conditionalFormatting sqref="AN258">
    <cfRule type="expression" dxfId="1637" priority="65404" stopIfTrue="1">
      <formula>NOT(ISBLANK($AN$258))</formula>
    </cfRule>
  </conditionalFormatting>
  <conditionalFormatting sqref="AO258">
    <cfRule type="expression" dxfId="1636" priority="65405" stopIfTrue="1">
      <formula>NOT(ISBLANK($AO$258))</formula>
    </cfRule>
  </conditionalFormatting>
  <conditionalFormatting sqref="AP258">
    <cfRule type="expression" dxfId="1635" priority="65406" stopIfTrue="1">
      <formula>NOT(ISBLANK($AP$258))</formula>
    </cfRule>
  </conditionalFormatting>
  <conditionalFormatting sqref="AQ258">
    <cfRule type="expression" dxfId="1634" priority="65407" stopIfTrue="1">
      <formula>NOT(ISBLANK($AQ$258))</formula>
    </cfRule>
  </conditionalFormatting>
  <conditionalFormatting sqref="A259">
    <cfRule type="cellIs" dxfId="1633" priority="65408" stopIfTrue="1" operator="notEqual">
      <formula>16</formula>
    </cfRule>
  </conditionalFormatting>
  <conditionalFormatting sqref="B259">
    <cfRule type="cellIs" dxfId="1632" priority="65409" stopIfTrue="1" operator="notEqual">
      <formula>2</formula>
    </cfRule>
  </conditionalFormatting>
  <conditionalFormatting sqref="C259">
    <cfRule type="cellIs" dxfId="1631" priority="65410" stopIfTrue="1" operator="notEqual">
      <formula>3</formula>
    </cfRule>
  </conditionalFormatting>
  <conditionalFormatting sqref="D259">
    <cfRule type="cellIs" dxfId="1630" priority="65411" stopIfTrue="1" operator="notEqual">
      <formula>0.305</formula>
    </cfRule>
  </conditionalFormatting>
  <conditionalFormatting sqref="E259">
    <cfRule type="cellIs" dxfId="1629" priority="65412" stopIfTrue="1" operator="notEqual">
      <formula>"MGD"</formula>
    </cfRule>
  </conditionalFormatting>
  <conditionalFormatting sqref="F259">
    <cfRule type="cellIs" dxfId="1628" priority="65413" stopIfTrue="1" operator="notEqual">
      <formula>0.094</formula>
    </cfRule>
  </conditionalFormatting>
  <conditionalFormatting sqref="G259">
    <cfRule type="cellIs" dxfId="1627" priority="65414" stopIfTrue="1" operator="notEqual">
      <formula>"MGD"</formula>
    </cfRule>
  </conditionalFormatting>
  <conditionalFormatting sqref="H259">
    <cfRule type="cellIs" dxfId="1626" priority="65415" stopIfTrue="1" operator="notEqual">
      <formula>"regeneration off-site (non-hazardous)"</formula>
    </cfRule>
  </conditionalFormatting>
  <conditionalFormatting sqref="I259">
    <cfRule type="cellIs" dxfId="1625" priority="65416" stopIfTrue="1" operator="notEqual">
      <formula>"carbon life value- bed volumes"</formula>
    </cfRule>
  </conditionalFormatting>
  <conditionalFormatting sqref="J259">
    <cfRule type="cellIs" dxfId="1624" priority="65417" stopIfTrue="1" operator="notEqual">
      <formula>38200</formula>
    </cfRule>
  </conditionalFormatting>
  <conditionalFormatting sqref="K259">
    <cfRule type="expression" dxfId="1623" priority="65418" stopIfTrue="1">
      <formula>NOT(ISBLANK($K$259))</formula>
    </cfRule>
  </conditionalFormatting>
  <conditionalFormatting sqref="L259">
    <cfRule type="expression" dxfId="1622" priority="65419" stopIfTrue="1">
      <formula>NOT(ISBLANK($L$259))</formula>
    </cfRule>
  </conditionalFormatting>
  <conditionalFormatting sqref="M259">
    <cfRule type="expression" dxfId="1621" priority="65420" stopIfTrue="1">
      <formula>NOT(ISBLANK($M$259))</formula>
    </cfRule>
  </conditionalFormatting>
  <conditionalFormatting sqref="N259">
    <cfRule type="cellIs" dxfId="1620" priority="65421" stopIfTrue="1" operator="notEqual">
      <formula>"EBCT"</formula>
    </cfRule>
  </conditionalFormatting>
  <conditionalFormatting sqref="O259">
    <cfRule type="cellIs" dxfId="1619" priority="65422" stopIfTrue="1" operator="notEqual">
      <formula>7.5</formula>
    </cfRule>
  </conditionalFormatting>
  <conditionalFormatting sqref="P259">
    <cfRule type="expression" dxfId="1618" priority="65423" stopIfTrue="1">
      <formula>NOT(ISBLANK($P$259))</formula>
    </cfRule>
  </conditionalFormatting>
  <conditionalFormatting sqref="Q259">
    <cfRule type="expression" dxfId="1617" priority="65424" stopIfTrue="1">
      <formula>NOT(ISBLANK($Q$259))</formula>
    </cfRule>
  </conditionalFormatting>
  <conditionalFormatting sqref="R259">
    <cfRule type="expression" dxfId="1616" priority="65425" stopIfTrue="1">
      <formula>NOT(ISBLANK($R$259))</formula>
    </cfRule>
  </conditionalFormatting>
  <conditionalFormatting sqref="S259">
    <cfRule type="expression" dxfId="1615" priority="65426" stopIfTrue="1">
      <formula>NOT(ISBLANK($S$259))</formula>
    </cfRule>
  </conditionalFormatting>
  <conditionalFormatting sqref="T259">
    <cfRule type="expression" dxfId="1614" priority="65427" stopIfTrue="1">
      <formula>NOT(ISBLANK($T$259))</formula>
    </cfRule>
  </conditionalFormatting>
  <conditionalFormatting sqref="U259">
    <cfRule type="expression" dxfId="1613" priority="65428" stopIfTrue="1">
      <formula>NOT(ISBLANK($U$259))</formula>
    </cfRule>
  </conditionalFormatting>
  <conditionalFormatting sqref="V259">
    <cfRule type="expression" dxfId="1612" priority="65429" stopIfTrue="1">
      <formula>NOT(ISBLANK($V$259))</formula>
    </cfRule>
  </conditionalFormatting>
  <conditionalFormatting sqref="W259">
    <cfRule type="cellIs" dxfId="1611" priority="65430" stopIfTrue="1" operator="notEqual">
      <formula>6</formula>
    </cfRule>
  </conditionalFormatting>
  <conditionalFormatting sqref="X259">
    <cfRule type="cellIs" dxfId="1610" priority="65431" stopIfTrue="1" operator="notEqual">
      <formula>6</formula>
    </cfRule>
  </conditionalFormatting>
  <conditionalFormatting sqref="Y259">
    <cfRule type="cellIs" dxfId="1609" priority="65432" stopIfTrue="1" operator="notEqual">
      <formula>3</formula>
    </cfRule>
  </conditionalFormatting>
  <conditionalFormatting sqref="Z259">
    <cfRule type="cellIs" dxfId="1608" priority="65433" stopIfTrue="1" operator="notEqual">
      <formula>168</formula>
    </cfRule>
  </conditionalFormatting>
  <conditionalFormatting sqref="AA259">
    <cfRule type="cellIs" dxfId="1607" priority="65434" stopIfTrue="1" operator="notEqual">
      <formula>"POTW"</formula>
    </cfRule>
  </conditionalFormatting>
  <conditionalFormatting sqref="AB259">
    <cfRule type="cellIs" dxfId="1606" priority="65435" stopIfTrue="1" operator="notEqual">
      <formula>"holding tank"</formula>
    </cfRule>
  </conditionalFormatting>
  <conditionalFormatting sqref="AC259">
    <cfRule type="cellIs" dxfId="1605" priority="65436" stopIfTrue="1" operator="notEqual">
      <formula>"manual transfer"</formula>
    </cfRule>
  </conditionalFormatting>
  <conditionalFormatting sqref="AD259">
    <cfRule type="cellIs" dxfId="1604" priority="65437" stopIfTrue="1" operator="notEqual">
      <formula>"non-hazardous"</formula>
    </cfRule>
  </conditionalFormatting>
  <conditionalFormatting sqref="AE259">
    <cfRule type="expression" dxfId="1603" priority="65438" stopIfTrue="1">
      <formula>NOT(ISBLANK($AE$259))</formula>
    </cfRule>
  </conditionalFormatting>
  <conditionalFormatting sqref="AF259">
    <cfRule type="cellIs" dxfId="1602" priority="65439" stopIfTrue="1" operator="notEqual">
      <formula>0</formula>
    </cfRule>
  </conditionalFormatting>
  <conditionalFormatting sqref="AG259">
    <cfRule type="expression" dxfId="1601" priority="65440" stopIfTrue="1">
      <formula>NOT(ISBLANK($AG$259))</formula>
    </cfRule>
  </conditionalFormatting>
  <conditionalFormatting sqref="AH259">
    <cfRule type="expression" dxfId="1600" priority="65441" stopIfTrue="1">
      <formula>NOT(ISBLANK($AH$259))</formula>
    </cfRule>
  </conditionalFormatting>
  <conditionalFormatting sqref="AI259">
    <cfRule type="cellIs" dxfId="1599" priority="65442" stopIfTrue="1" operator="notEqual">
      <formula>"fully automated"</formula>
    </cfRule>
  </conditionalFormatting>
  <conditionalFormatting sqref="AJ259">
    <cfRule type="expression" dxfId="1598" priority="65443" stopIfTrue="1">
      <formula>NOT(ISBLANK($AJ$259))</formula>
    </cfRule>
  </conditionalFormatting>
  <conditionalFormatting sqref="AK259">
    <cfRule type="expression" dxfId="1597" priority="65444" stopIfTrue="1">
      <formula>NOT(ISBLANK($AK$259))</formula>
    </cfRule>
  </conditionalFormatting>
  <conditionalFormatting sqref="AL259">
    <cfRule type="expression" dxfId="1596" priority="65445" stopIfTrue="1">
      <formula>NOT(ISBLANK($AL$259))</formula>
    </cfRule>
  </conditionalFormatting>
  <conditionalFormatting sqref="AM259">
    <cfRule type="expression" dxfId="1595" priority="65446" stopIfTrue="1">
      <formula>NOT(ISBLANK($AM$259))</formula>
    </cfRule>
  </conditionalFormatting>
  <conditionalFormatting sqref="AN259">
    <cfRule type="expression" dxfId="1594" priority="65447" stopIfTrue="1">
      <formula>NOT(ISBLANK($AN$259))</formula>
    </cfRule>
  </conditionalFormatting>
  <conditionalFormatting sqref="AO259">
    <cfRule type="expression" dxfId="1593" priority="65448" stopIfTrue="1">
      <formula>NOT(ISBLANK($AO$259))</formula>
    </cfRule>
  </conditionalFormatting>
  <conditionalFormatting sqref="AP259">
    <cfRule type="expression" dxfId="1592" priority="65449" stopIfTrue="1">
      <formula>NOT(ISBLANK($AP$259))</formula>
    </cfRule>
  </conditionalFormatting>
  <conditionalFormatting sqref="AQ259">
    <cfRule type="expression" dxfId="1591" priority="65450" stopIfTrue="1">
      <formula>NOT(ISBLANK($AQ$259))</formula>
    </cfRule>
  </conditionalFormatting>
  <conditionalFormatting sqref="A260">
    <cfRule type="cellIs" dxfId="1590" priority="65451" stopIfTrue="1" operator="notEqual">
      <formula>16</formula>
    </cfRule>
  </conditionalFormatting>
  <conditionalFormatting sqref="B260">
    <cfRule type="cellIs" dxfId="1589" priority="65452" stopIfTrue="1" operator="notEqual">
      <formula>2</formula>
    </cfRule>
  </conditionalFormatting>
  <conditionalFormatting sqref="C260">
    <cfRule type="cellIs" dxfId="1588" priority="65453" stopIfTrue="1" operator="notEqual">
      <formula>4</formula>
    </cfRule>
  </conditionalFormatting>
  <conditionalFormatting sqref="D260">
    <cfRule type="cellIs" dxfId="1587" priority="65454" stopIfTrue="1" operator="notEqual">
      <formula>0.74</formula>
    </cfRule>
  </conditionalFormatting>
  <conditionalFormatting sqref="E260">
    <cfRule type="cellIs" dxfId="1586" priority="65455" stopIfTrue="1" operator="notEqual">
      <formula>"MGD"</formula>
    </cfRule>
  </conditionalFormatting>
  <conditionalFormatting sqref="F260">
    <cfRule type="cellIs" dxfId="1585" priority="65456" stopIfTrue="1" operator="notEqual">
      <formula>0.251</formula>
    </cfRule>
  </conditionalFormatting>
  <conditionalFormatting sqref="G260">
    <cfRule type="cellIs" dxfId="1584" priority="65457" stopIfTrue="1" operator="notEqual">
      <formula>"MGD"</formula>
    </cfRule>
  </conditionalFormatting>
  <conditionalFormatting sqref="H260">
    <cfRule type="cellIs" dxfId="1583" priority="65458" stopIfTrue="1" operator="notEqual">
      <formula>"regeneration off-site (non-hazardous)"</formula>
    </cfRule>
  </conditionalFormatting>
  <conditionalFormatting sqref="I260">
    <cfRule type="cellIs" dxfId="1582" priority="65459" stopIfTrue="1" operator="notEqual">
      <formula>"carbon life value- bed volumes"</formula>
    </cfRule>
  </conditionalFormatting>
  <conditionalFormatting sqref="J260">
    <cfRule type="cellIs" dxfId="1581" priority="65460" stopIfTrue="1" operator="notEqual">
      <formula>38200</formula>
    </cfRule>
  </conditionalFormatting>
  <conditionalFormatting sqref="K260">
    <cfRule type="expression" dxfId="1580" priority="65461" stopIfTrue="1">
      <formula>NOT(ISBLANK($K$260))</formula>
    </cfRule>
  </conditionalFormatting>
  <conditionalFormatting sqref="L260">
    <cfRule type="expression" dxfId="1579" priority="65462" stopIfTrue="1">
      <formula>NOT(ISBLANK($L$260))</formula>
    </cfRule>
  </conditionalFormatting>
  <conditionalFormatting sqref="M260">
    <cfRule type="expression" dxfId="1578" priority="65463" stopIfTrue="1">
      <formula>NOT(ISBLANK($M$260))</formula>
    </cfRule>
  </conditionalFormatting>
  <conditionalFormatting sqref="N260">
    <cfRule type="cellIs" dxfId="1577" priority="65464" stopIfTrue="1" operator="notEqual">
      <formula>"EBCT"</formula>
    </cfRule>
  </conditionalFormatting>
  <conditionalFormatting sqref="O260">
    <cfRule type="cellIs" dxfId="1576" priority="65465" stopIfTrue="1" operator="notEqual">
      <formula>7.5</formula>
    </cfRule>
  </conditionalFormatting>
  <conditionalFormatting sqref="P260">
    <cfRule type="expression" dxfId="1575" priority="65466" stopIfTrue="1">
      <formula>NOT(ISBLANK($P$260))</formula>
    </cfRule>
  </conditionalFormatting>
  <conditionalFormatting sqref="Q260">
    <cfRule type="expression" dxfId="1574" priority="65467" stopIfTrue="1">
      <formula>NOT(ISBLANK($Q$260))</formula>
    </cfRule>
  </conditionalFormatting>
  <conditionalFormatting sqref="R260">
    <cfRule type="expression" dxfId="1573" priority="65468" stopIfTrue="1">
      <formula>NOT(ISBLANK($R$260))</formula>
    </cfRule>
  </conditionalFormatting>
  <conditionalFormatting sqref="S260">
    <cfRule type="expression" dxfId="1572" priority="65469" stopIfTrue="1">
      <formula>NOT(ISBLANK($S$260))</formula>
    </cfRule>
  </conditionalFormatting>
  <conditionalFormatting sqref="T260">
    <cfRule type="expression" dxfId="1571" priority="65470" stopIfTrue="1">
      <formula>NOT(ISBLANK($T$260))</formula>
    </cfRule>
  </conditionalFormatting>
  <conditionalFormatting sqref="U260">
    <cfRule type="expression" dxfId="1570" priority="65471" stopIfTrue="1">
      <formula>NOT(ISBLANK($U$260))</formula>
    </cfRule>
  </conditionalFormatting>
  <conditionalFormatting sqref="V260">
    <cfRule type="expression" dxfId="1569" priority="65472" stopIfTrue="1">
      <formula>NOT(ISBLANK($V$260))</formula>
    </cfRule>
  </conditionalFormatting>
  <conditionalFormatting sqref="W260">
    <cfRule type="cellIs" dxfId="1568" priority="65473" stopIfTrue="1" operator="notEqual">
      <formula>7</formula>
    </cfRule>
  </conditionalFormatting>
  <conditionalFormatting sqref="X260">
    <cfRule type="cellIs" dxfId="1567" priority="65474" stopIfTrue="1" operator="notEqual">
      <formula>7</formula>
    </cfRule>
  </conditionalFormatting>
  <conditionalFormatting sqref="Y260">
    <cfRule type="cellIs" dxfId="1566" priority="65475" stopIfTrue="1" operator="notEqual">
      <formula>5.3</formula>
    </cfRule>
  </conditionalFormatting>
  <conditionalFormatting sqref="Z260">
    <cfRule type="cellIs" dxfId="1565" priority="65476" stopIfTrue="1" operator="notEqual">
      <formula>168</formula>
    </cfRule>
  </conditionalFormatting>
  <conditionalFormatting sqref="AA260">
    <cfRule type="cellIs" dxfId="1564" priority="65477" stopIfTrue="1" operator="notEqual">
      <formula>"POTW"</formula>
    </cfRule>
  </conditionalFormatting>
  <conditionalFormatting sqref="AB260">
    <cfRule type="cellIs" dxfId="1563" priority="65478" stopIfTrue="1" operator="notEqual">
      <formula>"holding tank"</formula>
    </cfRule>
  </conditionalFormatting>
  <conditionalFormatting sqref="AC260">
    <cfRule type="cellIs" dxfId="1562" priority="65479" stopIfTrue="1" operator="notEqual">
      <formula>"manual transfer"</formula>
    </cfRule>
  </conditionalFormatting>
  <conditionalFormatting sqref="AD260">
    <cfRule type="cellIs" dxfId="1561" priority="65480" stopIfTrue="1" operator="notEqual">
      <formula>"non-hazardous"</formula>
    </cfRule>
  </conditionalFormatting>
  <conditionalFormatting sqref="AE260">
    <cfRule type="expression" dxfId="1560" priority="65481" stopIfTrue="1">
      <formula>NOT(ISBLANK($AE$260))</formula>
    </cfRule>
  </conditionalFormatting>
  <conditionalFormatting sqref="AF260">
    <cfRule type="cellIs" dxfId="1559" priority="65482" stopIfTrue="1" operator="notEqual">
      <formula>0</formula>
    </cfRule>
  </conditionalFormatting>
  <conditionalFormatting sqref="AG260">
    <cfRule type="expression" dxfId="1558" priority="65483" stopIfTrue="1">
      <formula>NOT(ISBLANK($AG$260))</formula>
    </cfRule>
  </conditionalFormatting>
  <conditionalFormatting sqref="AH260">
    <cfRule type="expression" dxfId="1557" priority="65484" stopIfTrue="1">
      <formula>NOT(ISBLANK($AH$260))</formula>
    </cfRule>
  </conditionalFormatting>
  <conditionalFormatting sqref="AI260">
    <cfRule type="cellIs" dxfId="1556" priority="65485" stopIfTrue="1" operator="notEqual">
      <formula>"fully automated"</formula>
    </cfRule>
  </conditionalFormatting>
  <conditionalFormatting sqref="AJ260">
    <cfRule type="expression" dxfId="1555" priority="65486" stopIfTrue="1">
      <formula>NOT(ISBLANK($AJ$260))</formula>
    </cfRule>
  </conditionalFormatting>
  <conditionalFormatting sqref="AK260">
    <cfRule type="expression" dxfId="1554" priority="65487" stopIfTrue="1">
      <formula>NOT(ISBLANK($AK$260))</formula>
    </cfRule>
  </conditionalFormatting>
  <conditionalFormatting sqref="AL260">
    <cfRule type="expression" dxfId="1553" priority="65488" stopIfTrue="1">
      <formula>NOT(ISBLANK($AL$260))</formula>
    </cfRule>
  </conditionalFormatting>
  <conditionalFormatting sqref="AM260">
    <cfRule type="expression" dxfId="1552" priority="65489" stopIfTrue="1">
      <formula>NOT(ISBLANK($AM$260))</formula>
    </cfRule>
  </conditionalFormatting>
  <conditionalFormatting sqref="AN260">
    <cfRule type="expression" dxfId="1551" priority="65490" stopIfTrue="1">
      <formula>NOT(ISBLANK($AN$260))</formula>
    </cfRule>
  </conditionalFormatting>
  <conditionalFormatting sqref="AO260">
    <cfRule type="expression" dxfId="1550" priority="65491" stopIfTrue="1">
      <formula>NOT(ISBLANK($AO$260))</formula>
    </cfRule>
  </conditionalFormatting>
  <conditionalFormatting sqref="AP260">
    <cfRule type="expression" dxfId="1549" priority="65492" stopIfTrue="1">
      <formula>NOT(ISBLANK($AP$260))</formula>
    </cfRule>
  </conditionalFormatting>
  <conditionalFormatting sqref="AQ260">
    <cfRule type="expression" dxfId="1548" priority="65493" stopIfTrue="1">
      <formula>NOT(ISBLANK($AQ$260))</formula>
    </cfRule>
  </conditionalFormatting>
  <conditionalFormatting sqref="A261">
    <cfRule type="cellIs" dxfId="1547" priority="65494" stopIfTrue="1" operator="notEqual">
      <formula>16</formula>
    </cfRule>
  </conditionalFormatting>
  <conditionalFormatting sqref="B261">
    <cfRule type="cellIs" dxfId="1546" priority="65495" stopIfTrue="1" operator="notEqual">
      <formula>2</formula>
    </cfRule>
  </conditionalFormatting>
  <conditionalFormatting sqref="C261">
    <cfRule type="cellIs" dxfId="1545" priority="65496" stopIfTrue="1" operator="notEqual">
      <formula>5</formula>
    </cfRule>
  </conditionalFormatting>
  <conditionalFormatting sqref="D261">
    <cfRule type="cellIs" dxfId="1544" priority="65497" stopIfTrue="1" operator="notEqual">
      <formula>2.152</formula>
    </cfRule>
  </conditionalFormatting>
  <conditionalFormatting sqref="E261">
    <cfRule type="cellIs" dxfId="1543" priority="65498" stopIfTrue="1" operator="notEqual">
      <formula>"MGD"</formula>
    </cfRule>
  </conditionalFormatting>
  <conditionalFormatting sqref="F261">
    <cfRule type="cellIs" dxfId="1542" priority="65499" stopIfTrue="1" operator="notEqual">
      <formula>0.819</formula>
    </cfRule>
  </conditionalFormatting>
  <conditionalFormatting sqref="G261">
    <cfRule type="cellIs" dxfId="1541" priority="65500" stopIfTrue="1" operator="notEqual">
      <formula>"MGD"</formula>
    </cfRule>
  </conditionalFormatting>
  <conditionalFormatting sqref="H261">
    <cfRule type="cellIs" dxfId="1540" priority="65501" stopIfTrue="1" operator="notEqual">
      <formula>"regeneration off-site (non-hazardous)"</formula>
    </cfRule>
  </conditionalFormatting>
  <conditionalFormatting sqref="I261">
    <cfRule type="cellIs" dxfId="1539" priority="65502" stopIfTrue="1" operator="notEqual">
      <formula>"carbon life value- bed volumes"</formula>
    </cfRule>
  </conditionalFormatting>
  <conditionalFormatting sqref="J261">
    <cfRule type="cellIs" dxfId="1538" priority="65503" stopIfTrue="1" operator="notEqual">
      <formula>38200</formula>
    </cfRule>
  </conditionalFormatting>
  <conditionalFormatting sqref="K261">
    <cfRule type="expression" dxfId="1537" priority="65504" stopIfTrue="1">
      <formula>NOT(ISBLANK($K$261))</formula>
    </cfRule>
  </conditionalFormatting>
  <conditionalFormatting sqref="L261">
    <cfRule type="expression" dxfId="1536" priority="65505" stopIfTrue="1">
      <formula>NOT(ISBLANK($L$261))</formula>
    </cfRule>
  </conditionalFormatting>
  <conditionalFormatting sqref="M261">
    <cfRule type="expression" dxfId="1535" priority="65506" stopIfTrue="1">
      <formula>NOT(ISBLANK($M$261))</formula>
    </cfRule>
  </conditionalFormatting>
  <conditionalFormatting sqref="N261">
    <cfRule type="cellIs" dxfId="1534" priority="65507" stopIfTrue="1" operator="notEqual">
      <formula>"EBCT"</formula>
    </cfRule>
  </conditionalFormatting>
  <conditionalFormatting sqref="O261">
    <cfRule type="cellIs" dxfId="1533" priority="65508" stopIfTrue="1" operator="notEqual">
      <formula>7.5</formula>
    </cfRule>
  </conditionalFormatting>
  <conditionalFormatting sqref="P261">
    <cfRule type="expression" dxfId="1532" priority="65509" stopIfTrue="1">
      <formula>NOT(ISBLANK($P$261))</formula>
    </cfRule>
  </conditionalFormatting>
  <conditionalFormatting sqref="Q261">
    <cfRule type="expression" dxfId="1531" priority="65510" stopIfTrue="1">
      <formula>NOT(ISBLANK($Q$261))</formula>
    </cfRule>
  </conditionalFormatting>
  <conditionalFormatting sqref="R261">
    <cfRule type="expression" dxfId="1530" priority="65511" stopIfTrue="1">
      <formula>NOT(ISBLANK($R$261))</formula>
    </cfRule>
  </conditionalFormatting>
  <conditionalFormatting sqref="S261">
    <cfRule type="expression" dxfId="1529" priority="65512" stopIfTrue="1">
      <formula>NOT(ISBLANK($S$261))</formula>
    </cfRule>
  </conditionalFormatting>
  <conditionalFormatting sqref="T261">
    <cfRule type="expression" dxfId="1528" priority="65513" stopIfTrue="1">
      <formula>NOT(ISBLANK($T$261))</formula>
    </cfRule>
  </conditionalFormatting>
  <conditionalFormatting sqref="U261">
    <cfRule type="expression" dxfId="1527" priority="65514" stopIfTrue="1">
      <formula>NOT(ISBLANK($U$261))</formula>
    </cfRule>
  </conditionalFormatting>
  <conditionalFormatting sqref="V261">
    <cfRule type="expression" dxfId="1526" priority="65515" stopIfTrue="1">
      <formula>NOT(ISBLANK($V$261))</formula>
    </cfRule>
  </conditionalFormatting>
  <conditionalFormatting sqref="W261">
    <cfRule type="cellIs" dxfId="1525" priority="65516" stopIfTrue="1" operator="notEqual">
      <formula>8</formula>
    </cfRule>
  </conditionalFormatting>
  <conditionalFormatting sqref="X261">
    <cfRule type="cellIs" dxfId="1524" priority="65517" stopIfTrue="1" operator="notEqual">
      <formula>8</formula>
    </cfRule>
  </conditionalFormatting>
  <conditionalFormatting sqref="Y261">
    <cfRule type="cellIs" dxfId="1523" priority="65518" stopIfTrue="1" operator="notEqual">
      <formula>7.9</formula>
    </cfRule>
  </conditionalFormatting>
  <conditionalFormatting sqref="Z261">
    <cfRule type="cellIs" dxfId="1522" priority="65519" stopIfTrue="1" operator="notEqual">
      <formula>168</formula>
    </cfRule>
  </conditionalFormatting>
  <conditionalFormatting sqref="AA261">
    <cfRule type="cellIs" dxfId="1521" priority="65520" stopIfTrue="1" operator="notEqual">
      <formula>"POTW"</formula>
    </cfRule>
  </conditionalFormatting>
  <conditionalFormatting sqref="AB261">
    <cfRule type="cellIs" dxfId="1520" priority="65521" stopIfTrue="1" operator="notEqual">
      <formula>"holding tank"</formula>
    </cfRule>
  </conditionalFormatting>
  <conditionalFormatting sqref="AC261">
    <cfRule type="cellIs" dxfId="1519" priority="65522" stopIfTrue="1" operator="notEqual">
      <formula>"manual transfer"</formula>
    </cfRule>
  </conditionalFormatting>
  <conditionalFormatting sqref="AD261">
    <cfRule type="cellIs" dxfId="1518" priority="65523" stopIfTrue="1" operator="notEqual">
      <formula>"non-hazardous"</formula>
    </cfRule>
  </conditionalFormatting>
  <conditionalFormatting sqref="AE261">
    <cfRule type="expression" dxfId="1517" priority="65524" stopIfTrue="1">
      <formula>NOT(ISBLANK($AE$261))</formula>
    </cfRule>
  </conditionalFormatting>
  <conditionalFormatting sqref="AF261">
    <cfRule type="cellIs" dxfId="1516" priority="65525" stopIfTrue="1" operator="notEqual">
      <formula>0</formula>
    </cfRule>
  </conditionalFormatting>
  <conditionalFormatting sqref="AG261">
    <cfRule type="expression" dxfId="1515" priority="65526" stopIfTrue="1">
      <formula>NOT(ISBLANK($AG$261))</formula>
    </cfRule>
  </conditionalFormatting>
  <conditionalFormatting sqref="AH261">
    <cfRule type="expression" dxfId="1514" priority="65527" stopIfTrue="1">
      <formula>NOT(ISBLANK($AH$261))</formula>
    </cfRule>
  </conditionalFormatting>
  <conditionalFormatting sqref="AI261">
    <cfRule type="cellIs" dxfId="1513" priority="65528" stopIfTrue="1" operator="notEqual">
      <formula>"fully automated"</formula>
    </cfRule>
  </conditionalFormatting>
  <conditionalFormatting sqref="AJ261">
    <cfRule type="expression" dxfId="1512" priority="65529" stopIfTrue="1">
      <formula>NOT(ISBLANK($AJ$261))</formula>
    </cfRule>
  </conditionalFormatting>
  <conditionalFormatting sqref="AK261">
    <cfRule type="expression" dxfId="1511" priority="65530" stopIfTrue="1">
      <formula>NOT(ISBLANK($AK$261))</formula>
    </cfRule>
  </conditionalFormatting>
  <conditionalFormatting sqref="AL261">
    <cfRule type="expression" dxfId="1510" priority="65531" stopIfTrue="1">
      <formula>NOT(ISBLANK($AL$261))</formula>
    </cfRule>
  </conditionalFormatting>
  <conditionalFormatting sqref="AM261">
    <cfRule type="expression" dxfId="1509" priority="65532" stopIfTrue="1">
      <formula>NOT(ISBLANK($AM$261))</formula>
    </cfRule>
  </conditionalFormatting>
  <conditionalFormatting sqref="AN261">
    <cfRule type="expression" dxfId="1508" priority="65533" stopIfTrue="1">
      <formula>NOT(ISBLANK($AN$261))</formula>
    </cfRule>
  </conditionalFormatting>
  <conditionalFormatting sqref="AO261">
    <cfRule type="expression" dxfId="1507" priority="65534" stopIfTrue="1">
      <formula>NOT(ISBLANK($AO$261))</formula>
    </cfRule>
  </conditionalFormatting>
  <conditionalFormatting sqref="AP261">
    <cfRule type="expression" dxfId="1506" priority="65535" stopIfTrue="1">
      <formula>NOT(ISBLANK($AP$261))</formula>
    </cfRule>
  </conditionalFormatting>
  <conditionalFormatting sqref="AQ261">
    <cfRule type="expression" dxfId="1505" priority="65536" stopIfTrue="1">
      <formula>NOT(ISBLANK($AQ$261))</formula>
    </cfRule>
  </conditionalFormatting>
  <conditionalFormatting sqref="A262">
    <cfRule type="cellIs" dxfId="1504" priority="65537" stopIfTrue="1" operator="notEqual">
      <formula>16</formula>
    </cfRule>
  </conditionalFormatting>
  <conditionalFormatting sqref="B262">
    <cfRule type="cellIs" dxfId="1503" priority="65538" stopIfTrue="1" operator="notEqual">
      <formula>2</formula>
    </cfRule>
  </conditionalFormatting>
  <conditionalFormatting sqref="C262">
    <cfRule type="cellIs" dxfId="1502" priority="65539" stopIfTrue="1" operator="notEqual">
      <formula>6</formula>
    </cfRule>
  </conditionalFormatting>
  <conditionalFormatting sqref="D262">
    <cfRule type="cellIs" dxfId="1501" priority="65540" stopIfTrue="1" operator="notEqual">
      <formula>7.365</formula>
    </cfRule>
  </conditionalFormatting>
  <conditionalFormatting sqref="E262">
    <cfRule type="cellIs" dxfId="1500" priority="65541" stopIfTrue="1" operator="notEqual">
      <formula>"MGD"</formula>
    </cfRule>
  </conditionalFormatting>
  <conditionalFormatting sqref="F262">
    <cfRule type="cellIs" dxfId="1499" priority="65542" stopIfTrue="1" operator="notEqual">
      <formula>3.2</formula>
    </cfRule>
  </conditionalFormatting>
  <conditionalFormatting sqref="G262">
    <cfRule type="cellIs" dxfId="1498" priority="65543" stopIfTrue="1" operator="notEqual">
      <formula>"MGD"</formula>
    </cfRule>
  </conditionalFormatting>
  <conditionalFormatting sqref="H262">
    <cfRule type="cellIs" dxfId="1497" priority="65544" stopIfTrue="1" operator="notEqual">
      <formula>"regeneration off-site (non-hazardous)"</formula>
    </cfRule>
  </conditionalFormatting>
  <conditionalFormatting sqref="I262">
    <cfRule type="cellIs" dxfId="1496" priority="65545" stopIfTrue="1" operator="notEqual">
      <formula>"carbon life value- bed volumes"</formula>
    </cfRule>
  </conditionalFormatting>
  <conditionalFormatting sqref="J262">
    <cfRule type="cellIs" dxfId="1495" priority="65546" stopIfTrue="1" operator="notEqual">
      <formula>38200</formula>
    </cfRule>
  </conditionalFormatting>
  <conditionalFormatting sqref="K262">
    <cfRule type="expression" dxfId="1494" priority="65547" stopIfTrue="1">
      <formula>NOT(ISBLANK($K$262))</formula>
    </cfRule>
  </conditionalFormatting>
  <conditionalFormatting sqref="L262">
    <cfRule type="expression" dxfId="1493" priority="65548" stopIfTrue="1">
      <formula>NOT(ISBLANK($L$262))</formula>
    </cfRule>
  </conditionalFormatting>
  <conditionalFormatting sqref="M262">
    <cfRule type="expression" dxfId="1492" priority="65549" stopIfTrue="1">
      <formula>NOT(ISBLANK($M$262))</formula>
    </cfRule>
  </conditionalFormatting>
  <conditionalFormatting sqref="N262">
    <cfRule type="cellIs" dxfId="1491" priority="65550" stopIfTrue="1" operator="notEqual">
      <formula>"EBCT"</formula>
    </cfRule>
  </conditionalFormatting>
  <conditionalFormatting sqref="O262">
    <cfRule type="cellIs" dxfId="1490" priority="65551" stopIfTrue="1" operator="notEqual">
      <formula>7.5</formula>
    </cfRule>
  </conditionalFormatting>
  <conditionalFormatting sqref="P262">
    <cfRule type="expression" dxfId="1489" priority="65552" stopIfTrue="1">
      <formula>NOT(ISBLANK($P$262))</formula>
    </cfRule>
  </conditionalFormatting>
  <conditionalFormatting sqref="Q262">
    <cfRule type="expression" dxfId="1488" priority="65553" stopIfTrue="1">
      <formula>NOT(ISBLANK($Q$262))</formula>
    </cfRule>
  </conditionalFormatting>
  <conditionalFormatting sqref="R262">
    <cfRule type="expression" dxfId="1487" priority="65554" stopIfTrue="1">
      <formula>NOT(ISBLANK($R$262))</formula>
    </cfRule>
  </conditionalFormatting>
  <conditionalFormatting sqref="S262">
    <cfRule type="expression" dxfId="1486" priority="65555" stopIfTrue="1">
      <formula>NOT(ISBLANK($S$262))</formula>
    </cfRule>
  </conditionalFormatting>
  <conditionalFormatting sqref="T262">
    <cfRule type="expression" dxfId="1485" priority="65556" stopIfTrue="1">
      <formula>NOT(ISBLANK($T$262))</formula>
    </cfRule>
  </conditionalFormatting>
  <conditionalFormatting sqref="U262">
    <cfRule type="expression" dxfId="1484" priority="65557" stopIfTrue="1">
      <formula>NOT(ISBLANK($U$262))</formula>
    </cfRule>
  </conditionalFormatting>
  <conditionalFormatting sqref="V262">
    <cfRule type="expression" dxfId="1483" priority="65558" stopIfTrue="1">
      <formula>NOT(ISBLANK($V$262))</formula>
    </cfRule>
  </conditionalFormatting>
  <conditionalFormatting sqref="W262">
    <cfRule type="cellIs" dxfId="1482" priority="65559" stopIfTrue="1" operator="notEqual">
      <formula>11.5</formula>
    </cfRule>
  </conditionalFormatting>
  <conditionalFormatting sqref="X262">
    <cfRule type="cellIs" dxfId="1481" priority="65560" stopIfTrue="1" operator="notEqual">
      <formula>11.5</formula>
    </cfRule>
  </conditionalFormatting>
  <conditionalFormatting sqref="Y262">
    <cfRule type="cellIs" dxfId="1480" priority="65561" stopIfTrue="1" operator="notEqual">
      <formula>7.8</formula>
    </cfRule>
  </conditionalFormatting>
  <conditionalFormatting sqref="Z262">
    <cfRule type="cellIs" dxfId="1479" priority="65562" stopIfTrue="1" operator="notEqual">
      <formula>168</formula>
    </cfRule>
  </conditionalFormatting>
  <conditionalFormatting sqref="AA262">
    <cfRule type="cellIs" dxfId="1478" priority="65563" stopIfTrue="1" operator="notEqual">
      <formula>"POTW"</formula>
    </cfRule>
  </conditionalFormatting>
  <conditionalFormatting sqref="AB262">
    <cfRule type="cellIs" dxfId="1477" priority="65564" stopIfTrue="1" operator="notEqual">
      <formula>"holding tank"</formula>
    </cfRule>
  </conditionalFormatting>
  <conditionalFormatting sqref="AC262">
    <cfRule type="cellIs" dxfId="1476" priority="65565" stopIfTrue="1" operator="notEqual">
      <formula>"eductors"</formula>
    </cfRule>
  </conditionalFormatting>
  <conditionalFormatting sqref="AD262">
    <cfRule type="cellIs" dxfId="1475" priority="65566" stopIfTrue="1" operator="notEqual">
      <formula>"non-hazardous"</formula>
    </cfRule>
  </conditionalFormatting>
  <conditionalFormatting sqref="AE262">
    <cfRule type="expression" dxfId="1474" priority="65567" stopIfTrue="1">
      <formula>NOT(ISBLANK($AE$262))</formula>
    </cfRule>
  </conditionalFormatting>
  <conditionalFormatting sqref="AF262">
    <cfRule type="cellIs" dxfId="1473" priority="65568" stopIfTrue="1" operator="notEqual">
      <formula>0</formula>
    </cfRule>
  </conditionalFormatting>
  <conditionalFormatting sqref="AG262">
    <cfRule type="expression" dxfId="1472" priority="65569" stopIfTrue="1">
      <formula>NOT(ISBLANK($AG$262))</formula>
    </cfRule>
  </conditionalFormatting>
  <conditionalFormatting sqref="AH262">
    <cfRule type="expression" dxfId="1471" priority="65570" stopIfTrue="1">
      <formula>NOT(ISBLANK($AH$262))</formula>
    </cfRule>
  </conditionalFormatting>
  <conditionalFormatting sqref="AI262">
    <cfRule type="cellIs" dxfId="1470" priority="65571" stopIfTrue="1" operator="notEqual">
      <formula>"fully automated"</formula>
    </cfRule>
  </conditionalFormatting>
  <conditionalFormatting sqref="AJ262">
    <cfRule type="expression" dxfId="1469" priority="65572" stopIfTrue="1">
      <formula>NOT(ISBLANK($AJ$262))</formula>
    </cfRule>
  </conditionalFormatting>
  <conditionalFormatting sqref="AK262">
    <cfRule type="expression" dxfId="1468" priority="65573" stopIfTrue="1">
      <formula>NOT(ISBLANK($AK$262))</formula>
    </cfRule>
  </conditionalFormatting>
  <conditionalFormatting sqref="AL262">
    <cfRule type="expression" dxfId="1467" priority="65574" stopIfTrue="1">
      <formula>NOT(ISBLANK($AL$262))</formula>
    </cfRule>
  </conditionalFormatting>
  <conditionalFormatting sqref="AM262">
    <cfRule type="expression" dxfId="1466" priority="65575" stopIfTrue="1">
      <formula>NOT(ISBLANK($AM$262))</formula>
    </cfRule>
  </conditionalFormatting>
  <conditionalFormatting sqref="AN262">
    <cfRule type="expression" dxfId="1465" priority="65576" stopIfTrue="1">
      <formula>NOT(ISBLANK($AN$262))</formula>
    </cfRule>
  </conditionalFormatting>
  <conditionalFormatting sqref="AO262">
    <cfRule type="expression" dxfId="1464" priority="65577" stopIfTrue="1">
      <formula>NOT(ISBLANK($AO$262))</formula>
    </cfRule>
  </conditionalFormatting>
  <conditionalFormatting sqref="AP262">
    <cfRule type="expression" dxfId="1463" priority="65578" stopIfTrue="1">
      <formula>NOT(ISBLANK($AP$262))</formula>
    </cfRule>
  </conditionalFormatting>
  <conditionalFormatting sqref="AQ262">
    <cfRule type="expression" dxfId="1462" priority="65579" stopIfTrue="1">
      <formula>NOT(ISBLANK($AQ$262))</formula>
    </cfRule>
  </conditionalFormatting>
  <conditionalFormatting sqref="A263">
    <cfRule type="cellIs" dxfId="1461" priority="65580" stopIfTrue="1" operator="notEqual">
      <formula>16</formula>
    </cfRule>
  </conditionalFormatting>
  <conditionalFormatting sqref="B263">
    <cfRule type="cellIs" dxfId="1460" priority="65581" stopIfTrue="1" operator="notEqual">
      <formula>2</formula>
    </cfRule>
  </conditionalFormatting>
  <conditionalFormatting sqref="C263">
    <cfRule type="cellIs" dxfId="1459" priority="65582" stopIfTrue="1" operator="notEqual">
      <formula>7</formula>
    </cfRule>
  </conditionalFormatting>
  <conditionalFormatting sqref="D263">
    <cfRule type="cellIs" dxfId="1458" priority="65583" stopIfTrue="1" operator="notEqual">
      <formula>22.614</formula>
    </cfRule>
  </conditionalFormatting>
  <conditionalFormatting sqref="E263">
    <cfRule type="cellIs" dxfId="1457" priority="65584" stopIfTrue="1" operator="notEqual">
      <formula>"MGD"</formula>
    </cfRule>
  </conditionalFormatting>
  <conditionalFormatting sqref="F263">
    <cfRule type="cellIs" dxfId="1456" priority="65585" stopIfTrue="1" operator="notEqual">
      <formula>11.066</formula>
    </cfRule>
  </conditionalFormatting>
  <conditionalFormatting sqref="G263">
    <cfRule type="cellIs" dxfId="1455" priority="65586" stopIfTrue="1" operator="notEqual">
      <formula>"MGD"</formula>
    </cfRule>
  </conditionalFormatting>
  <conditionalFormatting sqref="H263">
    <cfRule type="cellIs" dxfId="1454" priority="65587" stopIfTrue="1" operator="notEqual">
      <formula>"regeneration off-site (non-hazardous)"</formula>
    </cfRule>
  </conditionalFormatting>
  <conditionalFormatting sqref="I263">
    <cfRule type="cellIs" dxfId="1453" priority="65588" stopIfTrue="1" operator="notEqual">
      <formula>"carbon life value- bed volumes"</formula>
    </cfRule>
  </conditionalFormatting>
  <conditionalFormatting sqref="J263">
    <cfRule type="cellIs" dxfId="1452" priority="65589" stopIfTrue="1" operator="notEqual">
      <formula>38200</formula>
    </cfRule>
  </conditionalFormatting>
  <conditionalFormatting sqref="K263">
    <cfRule type="expression" dxfId="1451" priority="65590" stopIfTrue="1">
      <formula>NOT(ISBLANK($K$263))</formula>
    </cfRule>
  </conditionalFormatting>
  <conditionalFormatting sqref="L263">
    <cfRule type="expression" dxfId="1450" priority="65591" stopIfTrue="1">
      <formula>NOT(ISBLANK($L$263))</formula>
    </cfRule>
  </conditionalFormatting>
  <conditionalFormatting sqref="M263">
    <cfRule type="expression" dxfId="1449" priority="65592" stopIfTrue="1">
      <formula>NOT(ISBLANK($M$263))</formula>
    </cfRule>
  </conditionalFormatting>
  <conditionalFormatting sqref="N263">
    <cfRule type="cellIs" dxfId="1448" priority="65593" stopIfTrue="1" operator="notEqual">
      <formula>"EBCT"</formula>
    </cfRule>
  </conditionalFormatting>
  <conditionalFormatting sqref="O263">
    <cfRule type="cellIs" dxfId="1447" priority="65594" stopIfTrue="1" operator="notEqual">
      <formula>7.5</formula>
    </cfRule>
  </conditionalFormatting>
  <conditionalFormatting sqref="P263">
    <cfRule type="expression" dxfId="1446" priority="65595" stopIfTrue="1">
      <formula>NOT(ISBLANK($P$263))</formula>
    </cfRule>
  </conditionalFormatting>
  <conditionalFormatting sqref="Q263">
    <cfRule type="expression" dxfId="1445" priority="65596" stopIfTrue="1">
      <formula>NOT(ISBLANK($Q$263))</formula>
    </cfRule>
  </conditionalFormatting>
  <conditionalFormatting sqref="R263">
    <cfRule type="expression" dxfId="1444" priority="65597" stopIfTrue="1">
      <formula>NOT(ISBLANK($R$263))</formula>
    </cfRule>
  </conditionalFormatting>
  <conditionalFormatting sqref="S263">
    <cfRule type="expression" dxfId="1443" priority="65598" stopIfTrue="1">
      <formula>NOT(ISBLANK($S$263))</formula>
    </cfRule>
  </conditionalFormatting>
  <conditionalFormatting sqref="T263">
    <cfRule type="expression" dxfId="1442" priority="65599" stopIfTrue="1">
      <formula>NOT(ISBLANK($T$263))</formula>
    </cfRule>
  </conditionalFormatting>
  <conditionalFormatting sqref="U263">
    <cfRule type="expression" dxfId="1441" priority="65600" stopIfTrue="1">
      <formula>NOT(ISBLANK($U$263))</formula>
    </cfRule>
  </conditionalFormatting>
  <conditionalFormatting sqref="V263">
    <cfRule type="expression" dxfId="1440" priority="65601" stopIfTrue="1">
      <formula>NOT(ISBLANK($V$263))</formula>
    </cfRule>
  </conditionalFormatting>
  <conditionalFormatting sqref="W263">
    <cfRule type="cellIs" dxfId="1439" priority="65602" stopIfTrue="1" operator="notEqual">
      <formula>15</formula>
    </cfRule>
  </conditionalFormatting>
  <conditionalFormatting sqref="X263">
    <cfRule type="cellIs" dxfId="1438" priority="65603" stopIfTrue="1" operator="notEqual">
      <formula>15</formula>
    </cfRule>
  </conditionalFormatting>
  <conditionalFormatting sqref="Y263">
    <cfRule type="cellIs" dxfId="1437" priority="65604" stopIfTrue="1" operator="notEqual">
      <formula>7.8</formula>
    </cfRule>
  </conditionalFormatting>
  <conditionalFormatting sqref="Z263">
    <cfRule type="cellIs" dxfId="1436" priority="65605" stopIfTrue="1" operator="notEqual">
      <formula>168</formula>
    </cfRule>
  </conditionalFormatting>
  <conditionalFormatting sqref="AA263">
    <cfRule type="cellIs" dxfId="1435" priority="65606" stopIfTrue="1" operator="notEqual">
      <formula>"POTW"</formula>
    </cfRule>
  </conditionalFormatting>
  <conditionalFormatting sqref="AB263">
    <cfRule type="cellIs" dxfId="1434" priority="65607" stopIfTrue="1" operator="notEqual">
      <formula>"holding tank"</formula>
    </cfRule>
  </conditionalFormatting>
  <conditionalFormatting sqref="AC263">
    <cfRule type="cellIs" dxfId="1433" priority="65608" stopIfTrue="1" operator="notEqual">
      <formula>"eductors"</formula>
    </cfRule>
  </conditionalFormatting>
  <conditionalFormatting sqref="AD263">
    <cfRule type="cellIs" dxfId="1432" priority="65609" stopIfTrue="1" operator="notEqual">
      <formula>"non-hazardous"</formula>
    </cfRule>
  </conditionalFormatting>
  <conditionalFormatting sqref="AE263">
    <cfRule type="expression" dxfId="1431" priority="65610" stopIfTrue="1">
      <formula>NOT(ISBLANK($AE$263))</formula>
    </cfRule>
  </conditionalFormatting>
  <conditionalFormatting sqref="AF263">
    <cfRule type="cellIs" dxfId="1430" priority="65611" stopIfTrue="1" operator="notEqual">
      <formula>0</formula>
    </cfRule>
  </conditionalFormatting>
  <conditionalFormatting sqref="AG263">
    <cfRule type="expression" dxfId="1429" priority="65612" stopIfTrue="1">
      <formula>NOT(ISBLANK($AG$263))</formula>
    </cfRule>
  </conditionalFormatting>
  <conditionalFormatting sqref="AH263">
    <cfRule type="expression" dxfId="1428" priority="65613" stopIfTrue="1">
      <formula>NOT(ISBLANK($AH$263))</formula>
    </cfRule>
  </conditionalFormatting>
  <conditionalFormatting sqref="AI263">
    <cfRule type="cellIs" dxfId="1427" priority="65614" stopIfTrue="1" operator="notEqual">
      <formula>"fully automated"</formula>
    </cfRule>
  </conditionalFormatting>
  <conditionalFormatting sqref="AJ263">
    <cfRule type="expression" dxfId="1426" priority="65615" stopIfTrue="1">
      <formula>NOT(ISBLANK($AJ$263))</formula>
    </cfRule>
  </conditionalFormatting>
  <conditionalFormatting sqref="AK263">
    <cfRule type="expression" dxfId="1425" priority="65616" stopIfTrue="1">
      <formula>NOT(ISBLANK($AK$263))</formula>
    </cfRule>
  </conditionalFormatting>
  <conditionalFormatting sqref="AL263">
    <cfRule type="expression" dxfId="1424" priority="65617" stopIfTrue="1">
      <formula>NOT(ISBLANK($AL$263))</formula>
    </cfRule>
  </conditionalFormatting>
  <conditionalFormatting sqref="AM263">
    <cfRule type="expression" dxfId="1423" priority="65618" stopIfTrue="1">
      <formula>NOT(ISBLANK($AM$263))</formula>
    </cfRule>
  </conditionalFormatting>
  <conditionalFormatting sqref="AN263">
    <cfRule type="expression" dxfId="1422" priority="65619" stopIfTrue="1">
      <formula>NOT(ISBLANK($AN$263))</formula>
    </cfRule>
  </conditionalFormatting>
  <conditionalFormatting sqref="AO263">
    <cfRule type="expression" dxfId="1421" priority="65620" stopIfTrue="1">
      <formula>NOT(ISBLANK($AO$263))</formula>
    </cfRule>
  </conditionalFormatting>
  <conditionalFormatting sqref="AP263">
    <cfRule type="expression" dxfId="1420" priority="65621" stopIfTrue="1">
      <formula>NOT(ISBLANK($AP$263))</formula>
    </cfRule>
  </conditionalFormatting>
  <conditionalFormatting sqref="AQ263">
    <cfRule type="expression" dxfId="1419" priority="65622" stopIfTrue="1">
      <formula>NOT(ISBLANK($AQ$263))</formula>
    </cfRule>
  </conditionalFormatting>
  <conditionalFormatting sqref="A264">
    <cfRule type="cellIs" dxfId="1418" priority="65623" stopIfTrue="1" operator="notEqual">
      <formula>16</formula>
    </cfRule>
  </conditionalFormatting>
  <conditionalFormatting sqref="B264">
    <cfRule type="cellIs" dxfId="1417" priority="65624" stopIfTrue="1" operator="notEqual">
      <formula>2</formula>
    </cfRule>
  </conditionalFormatting>
  <conditionalFormatting sqref="C264">
    <cfRule type="cellIs" dxfId="1416" priority="65625" stopIfTrue="1" operator="notEqual">
      <formula>8</formula>
    </cfRule>
  </conditionalFormatting>
  <conditionalFormatting sqref="D264">
    <cfRule type="cellIs" dxfId="1415" priority="65626" stopIfTrue="1" operator="notEqual">
      <formula>75.072</formula>
    </cfRule>
  </conditionalFormatting>
  <conditionalFormatting sqref="E264">
    <cfRule type="cellIs" dxfId="1414" priority="65627" stopIfTrue="1" operator="notEqual">
      <formula>"MGD"</formula>
    </cfRule>
  </conditionalFormatting>
  <conditionalFormatting sqref="F264">
    <cfRule type="cellIs" dxfId="1413" priority="65628" stopIfTrue="1" operator="notEqual">
      <formula>37.536</formula>
    </cfRule>
  </conditionalFormatting>
  <conditionalFormatting sqref="G264">
    <cfRule type="cellIs" dxfId="1412" priority="65629" stopIfTrue="1" operator="notEqual">
      <formula>"MGD"</formula>
    </cfRule>
  </conditionalFormatting>
  <conditionalFormatting sqref="H264">
    <cfRule type="cellIs" dxfId="1411" priority="65630" stopIfTrue="1" operator="notEqual">
      <formula>"regeneration off-site (non-hazardous)"</formula>
    </cfRule>
  </conditionalFormatting>
  <conditionalFormatting sqref="I264">
    <cfRule type="cellIs" dxfId="1410" priority="65631" stopIfTrue="1" operator="notEqual">
      <formula>"carbon life value- bed volumes"</formula>
    </cfRule>
  </conditionalFormatting>
  <conditionalFormatting sqref="J264">
    <cfRule type="cellIs" dxfId="1409" priority="65632" stopIfTrue="1" operator="notEqual">
      <formula>38200</formula>
    </cfRule>
  </conditionalFormatting>
  <conditionalFormatting sqref="K264">
    <cfRule type="expression" dxfId="1408" priority="65633" stopIfTrue="1">
      <formula>NOT(ISBLANK($K$264))</formula>
    </cfRule>
  </conditionalFormatting>
  <conditionalFormatting sqref="L264">
    <cfRule type="expression" dxfId="1407" priority="65634" stopIfTrue="1">
      <formula>NOT(ISBLANK($L$264))</formula>
    </cfRule>
  </conditionalFormatting>
  <conditionalFormatting sqref="M264">
    <cfRule type="expression" dxfId="1406" priority="65635" stopIfTrue="1">
      <formula>NOT(ISBLANK($M$264))</formula>
    </cfRule>
  </conditionalFormatting>
  <conditionalFormatting sqref="N264">
    <cfRule type="cellIs" dxfId="1405" priority="65636" stopIfTrue="1" operator="notEqual">
      <formula>"EBCT"</formula>
    </cfRule>
  </conditionalFormatting>
  <conditionalFormatting sqref="O264">
    <cfRule type="cellIs" dxfId="1404" priority="65637" stopIfTrue="1" operator="notEqual">
      <formula>7.5</formula>
    </cfRule>
  </conditionalFormatting>
  <conditionalFormatting sqref="P264">
    <cfRule type="expression" dxfId="1403" priority="65638" stopIfTrue="1">
      <formula>NOT(ISBLANK($P$264))</formula>
    </cfRule>
  </conditionalFormatting>
  <conditionalFormatting sqref="Q264">
    <cfRule type="expression" dxfId="1402" priority="65639" stopIfTrue="1">
      <formula>NOT(ISBLANK($Q$264))</formula>
    </cfRule>
  </conditionalFormatting>
  <conditionalFormatting sqref="R264">
    <cfRule type="expression" dxfId="1401" priority="65640" stopIfTrue="1">
      <formula>NOT(ISBLANK($R$264))</formula>
    </cfRule>
  </conditionalFormatting>
  <conditionalFormatting sqref="S264">
    <cfRule type="expression" dxfId="1400" priority="65641" stopIfTrue="1">
      <formula>NOT(ISBLANK($S$264))</formula>
    </cfRule>
  </conditionalFormatting>
  <conditionalFormatting sqref="T264">
    <cfRule type="expression" dxfId="1399" priority="65642" stopIfTrue="1">
      <formula>NOT(ISBLANK($T$264))</formula>
    </cfRule>
  </conditionalFormatting>
  <conditionalFormatting sqref="U264">
    <cfRule type="expression" dxfId="1398" priority="65643" stopIfTrue="1">
      <formula>NOT(ISBLANK($U$264))</formula>
    </cfRule>
  </conditionalFormatting>
  <conditionalFormatting sqref="V264">
    <cfRule type="expression" dxfId="1397" priority="65644" stopIfTrue="1">
      <formula>NOT(ISBLANK($V$264))</formula>
    </cfRule>
  </conditionalFormatting>
  <conditionalFormatting sqref="W264">
    <cfRule type="cellIs" dxfId="1396" priority="65645" stopIfTrue="1" operator="notEqual">
      <formula>30</formula>
    </cfRule>
  </conditionalFormatting>
  <conditionalFormatting sqref="X264">
    <cfRule type="cellIs" dxfId="1395" priority="65646" stopIfTrue="1" operator="notEqual">
      <formula>30</formula>
    </cfRule>
  </conditionalFormatting>
  <conditionalFormatting sqref="Y264">
    <cfRule type="cellIs" dxfId="1394" priority="65647" stopIfTrue="1" operator="notEqual">
      <formula>9.7</formula>
    </cfRule>
  </conditionalFormatting>
  <conditionalFormatting sqref="Z264">
    <cfRule type="cellIs" dxfId="1393" priority="65648" stopIfTrue="1" operator="notEqual">
      <formula>168</formula>
    </cfRule>
  </conditionalFormatting>
  <conditionalFormatting sqref="AA264">
    <cfRule type="cellIs" dxfId="1392" priority="65649" stopIfTrue="1" operator="notEqual">
      <formula>"POTW"</formula>
    </cfRule>
  </conditionalFormatting>
  <conditionalFormatting sqref="AB264">
    <cfRule type="cellIs" dxfId="1391" priority="65650" stopIfTrue="1" operator="notEqual">
      <formula>"holding tank"</formula>
    </cfRule>
  </conditionalFormatting>
  <conditionalFormatting sqref="AC264">
    <cfRule type="cellIs" dxfId="1390" priority="65651" stopIfTrue="1" operator="notEqual">
      <formula>"eductors"</formula>
    </cfRule>
  </conditionalFormatting>
  <conditionalFormatting sqref="AD264">
    <cfRule type="cellIs" dxfId="1389" priority="65652" stopIfTrue="1" operator="notEqual">
      <formula>"non-hazardous"</formula>
    </cfRule>
  </conditionalFormatting>
  <conditionalFormatting sqref="AE264">
    <cfRule type="expression" dxfId="1388" priority="65653" stopIfTrue="1">
      <formula>NOT(ISBLANK($AE$264))</formula>
    </cfRule>
  </conditionalFormatting>
  <conditionalFormatting sqref="AF264">
    <cfRule type="cellIs" dxfId="1387" priority="65654" stopIfTrue="1" operator="notEqual">
      <formula>0</formula>
    </cfRule>
  </conditionalFormatting>
  <conditionalFormatting sqref="AG264">
    <cfRule type="expression" dxfId="1386" priority="65655" stopIfTrue="1">
      <formula>NOT(ISBLANK($AG$264))</formula>
    </cfRule>
  </conditionalFormatting>
  <conditionalFormatting sqref="AH264">
    <cfRule type="expression" dxfId="1385" priority="65656" stopIfTrue="1">
      <formula>NOT(ISBLANK($AH$264))</formula>
    </cfRule>
  </conditionalFormatting>
  <conditionalFormatting sqref="AI264">
    <cfRule type="cellIs" dxfId="1384" priority="65657" stopIfTrue="1" operator="notEqual">
      <formula>"fully automated"</formula>
    </cfRule>
  </conditionalFormatting>
  <conditionalFormatting sqref="AJ264">
    <cfRule type="expression" dxfId="1383" priority="65658" stopIfTrue="1">
      <formula>NOT(ISBLANK($AJ$264))</formula>
    </cfRule>
  </conditionalFormatting>
  <conditionalFormatting sqref="AK264">
    <cfRule type="expression" dxfId="1382" priority="65659" stopIfTrue="1">
      <formula>NOT(ISBLANK($AK$264))</formula>
    </cfRule>
  </conditionalFormatting>
  <conditionalFormatting sqref="AL264">
    <cfRule type="expression" dxfId="1381" priority="65660" stopIfTrue="1">
      <formula>NOT(ISBLANK($AL$264))</formula>
    </cfRule>
  </conditionalFormatting>
  <conditionalFormatting sqref="AM264">
    <cfRule type="expression" dxfId="1380" priority="65661" stopIfTrue="1">
      <formula>NOT(ISBLANK($AM$264))</formula>
    </cfRule>
  </conditionalFormatting>
  <conditionalFormatting sqref="AN264">
    <cfRule type="expression" dxfId="1379" priority="65662" stopIfTrue="1">
      <formula>NOT(ISBLANK($AN$264))</formula>
    </cfRule>
  </conditionalFormatting>
  <conditionalFormatting sqref="AO264">
    <cfRule type="expression" dxfId="1378" priority="65663" stopIfTrue="1">
      <formula>NOT(ISBLANK($AO$264))</formula>
    </cfRule>
  </conditionalFormatting>
  <conditionalFormatting sqref="AP264">
    <cfRule type="expression" dxfId="1377" priority="65664" stopIfTrue="1">
      <formula>NOT(ISBLANK($AP$264))</formula>
    </cfRule>
  </conditionalFormatting>
  <conditionalFormatting sqref="AQ264">
    <cfRule type="expression" dxfId="1376" priority="65665" stopIfTrue="1">
      <formula>NOT(ISBLANK($AQ$264))</formula>
    </cfRule>
  </conditionalFormatting>
  <conditionalFormatting sqref="A265">
    <cfRule type="cellIs" dxfId="1375" priority="65666" stopIfTrue="1" operator="notEqual">
      <formula>17</formula>
    </cfRule>
  </conditionalFormatting>
  <conditionalFormatting sqref="B265">
    <cfRule type="cellIs" dxfId="1374" priority="65667" stopIfTrue="1" operator="notEqual">
      <formula>1</formula>
    </cfRule>
  </conditionalFormatting>
  <conditionalFormatting sqref="C265">
    <cfRule type="cellIs" dxfId="1373" priority="65668" stopIfTrue="1" operator="notEqual">
      <formula>1</formula>
    </cfRule>
  </conditionalFormatting>
  <conditionalFormatting sqref="D265">
    <cfRule type="cellIs" dxfId="1372" priority="65669" stopIfTrue="1" operator="notEqual">
      <formula>0.03</formula>
    </cfRule>
  </conditionalFormatting>
  <conditionalFormatting sqref="E265">
    <cfRule type="cellIs" dxfId="1371" priority="65670" stopIfTrue="1" operator="notEqual">
      <formula>"MGD"</formula>
    </cfRule>
  </conditionalFormatting>
  <conditionalFormatting sqref="F265">
    <cfRule type="cellIs" dxfId="1370" priority="65671" stopIfTrue="1" operator="notEqual">
      <formula>0.007</formula>
    </cfRule>
  </conditionalFormatting>
  <conditionalFormatting sqref="G265">
    <cfRule type="cellIs" dxfId="1369" priority="65672" stopIfTrue="1" operator="notEqual">
      <formula>"MGD"</formula>
    </cfRule>
  </conditionalFormatting>
  <conditionalFormatting sqref="H265">
    <cfRule type="cellIs" dxfId="1368" priority="65673" stopIfTrue="1" operator="notEqual">
      <formula>"regeneration off-site (non-hazardous)"</formula>
    </cfRule>
  </conditionalFormatting>
  <conditionalFormatting sqref="I265">
    <cfRule type="cellIs" dxfId="1367" priority="65674" stopIfTrue="1" operator="notEqual">
      <formula>"carbon life value- months"</formula>
    </cfRule>
  </conditionalFormatting>
  <conditionalFormatting sqref="J265">
    <cfRule type="cellIs" dxfId="1366" priority="65675" stopIfTrue="1" operator="notEqual">
      <formula>12</formula>
    </cfRule>
  </conditionalFormatting>
  <conditionalFormatting sqref="K265">
    <cfRule type="expression" dxfId="1365" priority="65676" stopIfTrue="1">
      <formula>NOT(ISBLANK($K$265))</formula>
    </cfRule>
  </conditionalFormatting>
  <conditionalFormatting sqref="L265">
    <cfRule type="expression" dxfId="1364" priority="65677" stopIfTrue="1">
      <formula>NOT(ISBLANK($L$265))</formula>
    </cfRule>
  </conditionalFormatting>
  <conditionalFormatting sqref="M265">
    <cfRule type="expression" dxfId="1363" priority="65678" stopIfTrue="1">
      <formula>NOT(ISBLANK($M$265))</formula>
    </cfRule>
  </conditionalFormatting>
  <conditionalFormatting sqref="N265">
    <cfRule type="cellIs" dxfId="1362" priority="65679" stopIfTrue="1" operator="notEqual">
      <formula>"EBCT"</formula>
    </cfRule>
  </conditionalFormatting>
  <conditionalFormatting sqref="O265">
    <cfRule type="cellIs" dxfId="1361" priority="65680" stopIfTrue="1" operator="notEqual">
      <formula>4</formula>
    </cfRule>
  </conditionalFormatting>
  <conditionalFormatting sqref="P265">
    <cfRule type="expression" dxfId="1360" priority="65681" stopIfTrue="1">
      <formula>NOT(ISBLANK($P$265))</formula>
    </cfRule>
  </conditionalFormatting>
  <conditionalFormatting sqref="Q265">
    <cfRule type="expression" dxfId="1359" priority="65682" stopIfTrue="1">
      <formula>NOT(ISBLANK($Q$265))</formula>
    </cfRule>
  </conditionalFormatting>
  <conditionalFormatting sqref="R265">
    <cfRule type="cellIs" dxfId="1358" priority="65683" stopIfTrue="1" operator="notEqual">
      <formula>1</formula>
    </cfRule>
  </conditionalFormatting>
  <conditionalFormatting sqref="S265">
    <cfRule type="cellIs" dxfId="1357" priority="65684" stopIfTrue="1" operator="notEqual">
      <formula>3.6</formula>
    </cfRule>
  </conditionalFormatting>
  <conditionalFormatting sqref="T265">
    <cfRule type="cellIs" dxfId="1356" priority="65685" stopIfTrue="1" operator="notEqual">
      <formula>"upright"</formula>
    </cfRule>
  </conditionalFormatting>
  <conditionalFormatting sqref="U265">
    <cfRule type="cellIs" dxfId="1355" priority="65686" stopIfTrue="1" operator="notEqual">
      <formula>6</formula>
    </cfRule>
  </conditionalFormatting>
  <conditionalFormatting sqref="V265">
    <cfRule type="cellIs" dxfId="1354" priority="65687" stopIfTrue="1" operator="notEqual">
      <formula>2</formula>
    </cfRule>
  </conditionalFormatting>
  <conditionalFormatting sqref="W265">
    <cfRule type="expression" dxfId="1353" priority="65688" stopIfTrue="1">
      <formula>NOT(ISBLANK($W$265))</formula>
    </cfRule>
  </conditionalFormatting>
  <conditionalFormatting sqref="X265">
    <cfRule type="expression" dxfId="1352" priority="65689" stopIfTrue="1">
      <formula>NOT(ISBLANK($X$265))</formula>
    </cfRule>
  </conditionalFormatting>
  <conditionalFormatting sqref="Y265">
    <cfRule type="expression" dxfId="1351" priority="65690" stopIfTrue="1">
      <formula>NOT(ISBLANK($Y$265))</formula>
    </cfRule>
  </conditionalFormatting>
  <conditionalFormatting sqref="Z265">
    <cfRule type="cellIs" dxfId="1350" priority="65691" stopIfTrue="1" operator="notEqual">
      <formula>168</formula>
    </cfRule>
  </conditionalFormatting>
  <conditionalFormatting sqref="AA265">
    <cfRule type="cellIs" dxfId="1349" priority="65692" stopIfTrue="1" operator="notEqual">
      <formula>"POTW"</formula>
    </cfRule>
  </conditionalFormatting>
  <conditionalFormatting sqref="AB265">
    <cfRule type="cellIs" dxfId="1348" priority="65693" stopIfTrue="1" operator="notEqual">
      <formula>"none"</formula>
    </cfRule>
  </conditionalFormatting>
  <conditionalFormatting sqref="AC265">
    <cfRule type="cellIs" dxfId="1347" priority="65694" stopIfTrue="1" operator="notEqual">
      <formula>"manual transfer"</formula>
    </cfRule>
  </conditionalFormatting>
  <conditionalFormatting sqref="AD265">
    <cfRule type="expression" dxfId="1346" priority="65695" stopIfTrue="1">
      <formula>NOT(ISBLANK($AD$265))</formula>
    </cfRule>
  </conditionalFormatting>
  <conditionalFormatting sqref="AE265">
    <cfRule type="cellIs" dxfId="1345" priority="65696" stopIfTrue="1" operator="notEqual">
      <formula>0</formula>
    </cfRule>
  </conditionalFormatting>
  <conditionalFormatting sqref="AF265">
    <cfRule type="cellIs" dxfId="1344" priority="65697" stopIfTrue="1" operator="notEqual">
      <formula>0</formula>
    </cfRule>
  </conditionalFormatting>
  <conditionalFormatting sqref="AG265">
    <cfRule type="cellIs" dxfId="1343" priority="65698" stopIfTrue="1" operator="notEqual">
      <formula>"existing pumps"</formula>
    </cfRule>
  </conditionalFormatting>
  <conditionalFormatting sqref="AH265">
    <cfRule type="cellIs" dxfId="1342" priority="65699" stopIfTrue="1" operator="notEqual">
      <formula>"existing storage"</formula>
    </cfRule>
  </conditionalFormatting>
  <conditionalFormatting sqref="AI265">
    <cfRule type="cellIs" dxfId="1341" priority="65700" stopIfTrue="1" operator="notEqual">
      <formula>"fully automated"</formula>
    </cfRule>
  </conditionalFormatting>
  <conditionalFormatting sqref="AJ265">
    <cfRule type="expression" dxfId="1340" priority="65701" stopIfTrue="1">
      <formula>NOT(ISBLANK($AJ$265))</formula>
    </cfRule>
  </conditionalFormatting>
  <conditionalFormatting sqref="AK265">
    <cfRule type="cellIs" dxfId="1339" priority="65702" stopIfTrue="1" operator="notEqual">
      <formula>"add-on"</formula>
    </cfRule>
  </conditionalFormatting>
  <conditionalFormatting sqref="AL265">
    <cfRule type="expression" dxfId="1338" priority="65703" stopIfTrue="1">
      <formula>NOT(ISBLANK($AL$265))</formula>
    </cfRule>
  </conditionalFormatting>
  <conditionalFormatting sqref="AM265">
    <cfRule type="expression" dxfId="1337" priority="65704" stopIfTrue="1">
      <formula>NOT(ISBLANK($AM$265))</formula>
    </cfRule>
  </conditionalFormatting>
  <conditionalFormatting sqref="AN265">
    <cfRule type="expression" dxfId="1336" priority="65705" stopIfTrue="1">
      <formula>NOT(ISBLANK($AN$265))</formula>
    </cfRule>
  </conditionalFormatting>
  <conditionalFormatting sqref="AO265">
    <cfRule type="expression" dxfId="1335" priority="65706" stopIfTrue="1">
      <formula>NOT(ISBLANK($AO$265))</formula>
    </cfRule>
  </conditionalFormatting>
  <conditionalFormatting sqref="AP265">
    <cfRule type="expression" dxfId="1334" priority="65707" stopIfTrue="1">
      <formula>NOT(ISBLANK($AP$265))</formula>
    </cfRule>
  </conditionalFormatting>
  <conditionalFormatting sqref="AQ265">
    <cfRule type="expression" dxfId="1333" priority="65708" stopIfTrue="1">
      <formula>NOT(ISBLANK($AQ$265))</formula>
    </cfRule>
  </conditionalFormatting>
  <conditionalFormatting sqref="A266">
    <cfRule type="cellIs" dxfId="1332" priority="65709" stopIfTrue="1" operator="notEqual">
      <formula>17</formula>
    </cfRule>
  </conditionalFormatting>
  <conditionalFormatting sqref="B266">
    <cfRule type="cellIs" dxfId="1331" priority="65710" stopIfTrue="1" operator="notEqual">
      <formula>1</formula>
    </cfRule>
  </conditionalFormatting>
  <conditionalFormatting sqref="C266">
    <cfRule type="cellIs" dxfId="1330" priority="65711" stopIfTrue="1" operator="notEqual">
      <formula>2</formula>
    </cfRule>
  </conditionalFormatting>
  <conditionalFormatting sqref="D266">
    <cfRule type="cellIs" dxfId="1329" priority="65712" stopIfTrue="1" operator="notEqual">
      <formula>0.124</formula>
    </cfRule>
  </conditionalFormatting>
  <conditionalFormatting sqref="E266">
    <cfRule type="cellIs" dxfId="1328" priority="65713" stopIfTrue="1" operator="notEqual">
      <formula>"MGD"</formula>
    </cfRule>
  </conditionalFormatting>
  <conditionalFormatting sqref="F266">
    <cfRule type="cellIs" dxfId="1327" priority="65714" stopIfTrue="1" operator="notEqual">
      <formula>0.035</formula>
    </cfRule>
  </conditionalFormatting>
  <conditionalFormatting sqref="G266">
    <cfRule type="cellIs" dxfId="1326" priority="65715" stopIfTrue="1" operator="notEqual">
      <formula>"MGD"</formula>
    </cfRule>
  </conditionalFormatting>
  <conditionalFormatting sqref="H266">
    <cfRule type="cellIs" dxfId="1325" priority="65716" stopIfTrue="1" operator="notEqual">
      <formula>"regeneration off-site (non-hazardous)"</formula>
    </cfRule>
  </conditionalFormatting>
  <conditionalFormatting sqref="I266">
    <cfRule type="cellIs" dxfId="1324" priority="65717" stopIfTrue="1" operator="notEqual">
      <formula>"carbon life value- months"</formula>
    </cfRule>
  </conditionalFormatting>
  <conditionalFormatting sqref="J266">
    <cfRule type="cellIs" dxfId="1323" priority="65718" stopIfTrue="1" operator="notEqual">
      <formula>12</formula>
    </cfRule>
  </conditionalFormatting>
  <conditionalFormatting sqref="K266">
    <cfRule type="expression" dxfId="1322" priority="65719" stopIfTrue="1">
      <formula>NOT(ISBLANK($K$266))</formula>
    </cfRule>
  </conditionalFormatting>
  <conditionalFormatting sqref="L266">
    <cfRule type="expression" dxfId="1321" priority="65720" stopIfTrue="1">
      <formula>NOT(ISBLANK($L$266))</formula>
    </cfRule>
  </conditionalFormatting>
  <conditionalFormatting sqref="M266">
    <cfRule type="expression" dxfId="1320" priority="65721" stopIfTrue="1">
      <formula>NOT(ISBLANK($M$266))</formula>
    </cfRule>
  </conditionalFormatting>
  <conditionalFormatting sqref="N266">
    <cfRule type="cellIs" dxfId="1319" priority="65722" stopIfTrue="1" operator="notEqual">
      <formula>"EBCT"</formula>
    </cfRule>
  </conditionalFormatting>
  <conditionalFormatting sqref="O266">
    <cfRule type="cellIs" dxfId="1318" priority="65723" stopIfTrue="1" operator="notEqual">
      <formula>4</formula>
    </cfRule>
  </conditionalFormatting>
  <conditionalFormatting sqref="P266">
    <cfRule type="expression" dxfId="1317" priority="65724" stopIfTrue="1">
      <formula>NOT(ISBLANK($P$266))</formula>
    </cfRule>
  </conditionalFormatting>
  <conditionalFormatting sqref="Q266">
    <cfRule type="expression" dxfId="1316" priority="65725" stopIfTrue="1">
      <formula>NOT(ISBLANK($Q$266))</formula>
    </cfRule>
  </conditionalFormatting>
  <conditionalFormatting sqref="R266">
    <cfRule type="cellIs" dxfId="1315" priority="65726" stopIfTrue="1" operator="notEqual">
      <formula>1</formula>
    </cfRule>
  </conditionalFormatting>
  <conditionalFormatting sqref="S266">
    <cfRule type="cellIs" dxfId="1314" priority="65727" stopIfTrue="1" operator="notEqual">
      <formula>4.8</formula>
    </cfRule>
  </conditionalFormatting>
  <conditionalFormatting sqref="T266">
    <cfRule type="cellIs" dxfId="1313" priority="65728" stopIfTrue="1" operator="notEqual">
      <formula>"upright"</formula>
    </cfRule>
  </conditionalFormatting>
  <conditionalFormatting sqref="U266">
    <cfRule type="cellIs" dxfId="1312" priority="65729" stopIfTrue="1" operator="notEqual">
      <formula>8</formula>
    </cfRule>
  </conditionalFormatting>
  <conditionalFormatting sqref="V266">
    <cfRule type="cellIs" dxfId="1311" priority="65730" stopIfTrue="1" operator="notEqual">
      <formula>3.5</formula>
    </cfRule>
  </conditionalFormatting>
  <conditionalFormatting sqref="W266">
    <cfRule type="expression" dxfId="1310" priority="65731" stopIfTrue="1">
      <formula>NOT(ISBLANK($W$266))</formula>
    </cfRule>
  </conditionalFormatting>
  <conditionalFormatting sqref="X266">
    <cfRule type="expression" dxfId="1309" priority="65732" stopIfTrue="1">
      <formula>NOT(ISBLANK($X$266))</formula>
    </cfRule>
  </conditionalFormatting>
  <conditionalFormatting sqref="Y266">
    <cfRule type="expression" dxfId="1308" priority="65733" stopIfTrue="1">
      <formula>NOT(ISBLANK($Y$266))</formula>
    </cfRule>
  </conditionalFormatting>
  <conditionalFormatting sqref="Z266">
    <cfRule type="cellIs" dxfId="1307" priority="65734" stopIfTrue="1" operator="notEqual">
      <formula>168</formula>
    </cfRule>
  </conditionalFormatting>
  <conditionalFormatting sqref="AA266">
    <cfRule type="cellIs" dxfId="1306" priority="65735" stopIfTrue="1" operator="notEqual">
      <formula>"POTW"</formula>
    </cfRule>
  </conditionalFormatting>
  <conditionalFormatting sqref="AB266">
    <cfRule type="cellIs" dxfId="1305" priority="65736" stopIfTrue="1" operator="notEqual">
      <formula>"none"</formula>
    </cfRule>
  </conditionalFormatting>
  <conditionalFormatting sqref="AC266">
    <cfRule type="cellIs" dxfId="1304" priority="65737" stopIfTrue="1" operator="notEqual">
      <formula>"manual transfer"</formula>
    </cfRule>
  </conditionalFormatting>
  <conditionalFormatting sqref="AD266">
    <cfRule type="expression" dxfId="1303" priority="65738" stopIfTrue="1">
      <formula>NOT(ISBLANK($AD$266))</formula>
    </cfRule>
  </conditionalFormatting>
  <conditionalFormatting sqref="AE266">
    <cfRule type="cellIs" dxfId="1302" priority="65739" stopIfTrue="1" operator="notEqual">
      <formula>0</formula>
    </cfRule>
  </conditionalFormatting>
  <conditionalFormatting sqref="AF266">
    <cfRule type="cellIs" dxfId="1301" priority="65740" stopIfTrue="1" operator="notEqual">
      <formula>0</formula>
    </cfRule>
  </conditionalFormatting>
  <conditionalFormatting sqref="AG266">
    <cfRule type="cellIs" dxfId="1300" priority="65741" stopIfTrue="1" operator="notEqual">
      <formula>"existing pumps"</formula>
    </cfRule>
  </conditionalFormatting>
  <conditionalFormatting sqref="AH266">
    <cfRule type="cellIs" dxfId="1299" priority="65742" stopIfTrue="1" operator="notEqual">
      <formula>"existing storage"</formula>
    </cfRule>
  </conditionalFormatting>
  <conditionalFormatting sqref="AI266">
    <cfRule type="cellIs" dxfId="1298" priority="65743" stopIfTrue="1" operator="notEqual">
      <formula>"fully automated"</formula>
    </cfRule>
  </conditionalFormatting>
  <conditionalFormatting sqref="AJ266">
    <cfRule type="expression" dxfId="1297" priority="65744" stopIfTrue="1">
      <formula>NOT(ISBLANK($AJ$266))</formula>
    </cfRule>
  </conditionalFormatting>
  <conditionalFormatting sqref="AK266">
    <cfRule type="cellIs" dxfId="1296" priority="65745" stopIfTrue="1" operator="notEqual">
      <formula>"add-on"</formula>
    </cfRule>
  </conditionalFormatting>
  <conditionalFormatting sqref="AL266">
    <cfRule type="expression" dxfId="1295" priority="65746" stopIfTrue="1">
      <formula>NOT(ISBLANK($AL$266))</formula>
    </cfRule>
  </conditionalFormatting>
  <conditionalFormatting sqref="AM266">
    <cfRule type="expression" dxfId="1294" priority="65747" stopIfTrue="1">
      <formula>NOT(ISBLANK($AM$266))</formula>
    </cfRule>
  </conditionalFormatting>
  <conditionalFormatting sqref="AN266">
    <cfRule type="expression" dxfId="1293" priority="65748" stopIfTrue="1">
      <formula>NOT(ISBLANK($AN$266))</formula>
    </cfRule>
  </conditionalFormatting>
  <conditionalFormatting sqref="AO266">
    <cfRule type="expression" dxfId="1292" priority="65749" stopIfTrue="1">
      <formula>NOT(ISBLANK($AO$266))</formula>
    </cfRule>
  </conditionalFormatting>
  <conditionalFormatting sqref="AP266">
    <cfRule type="expression" dxfId="1291" priority="65750" stopIfTrue="1">
      <formula>NOT(ISBLANK($AP$266))</formula>
    </cfRule>
  </conditionalFormatting>
  <conditionalFormatting sqref="AQ266">
    <cfRule type="expression" dxfId="1290" priority="65751" stopIfTrue="1">
      <formula>NOT(ISBLANK($AQ$266))</formula>
    </cfRule>
  </conditionalFormatting>
  <conditionalFormatting sqref="A267">
    <cfRule type="cellIs" dxfId="1289" priority="65752" stopIfTrue="1" operator="notEqual">
      <formula>17</formula>
    </cfRule>
  </conditionalFormatting>
  <conditionalFormatting sqref="B267">
    <cfRule type="cellIs" dxfId="1288" priority="65753" stopIfTrue="1" operator="notEqual">
      <formula>1</formula>
    </cfRule>
  </conditionalFormatting>
  <conditionalFormatting sqref="C267">
    <cfRule type="cellIs" dxfId="1287" priority="65754" stopIfTrue="1" operator="notEqual">
      <formula>3</formula>
    </cfRule>
  </conditionalFormatting>
  <conditionalFormatting sqref="D267">
    <cfRule type="cellIs" dxfId="1286" priority="65755" stopIfTrue="1" operator="notEqual">
      <formula>0.305</formula>
    </cfRule>
  </conditionalFormatting>
  <conditionalFormatting sqref="E267">
    <cfRule type="cellIs" dxfId="1285" priority="65756" stopIfTrue="1" operator="notEqual">
      <formula>"MGD"</formula>
    </cfRule>
  </conditionalFormatting>
  <conditionalFormatting sqref="F267">
    <cfRule type="cellIs" dxfId="1284" priority="65757" stopIfTrue="1" operator="notEqual">
      <formula>0.094</formula>
    </cfRule>
  </conditionalFormatting>
  <conditionalFormatting sqref="G267">
    <cfRule type="cellIs" dxfId="1283" priority="65758" stopIfTrue="1" operator="notEqual">
      <formula>"MGD"</formula>
    </cfRule>
  </conditionalFormatting>
  <conditionalFormatting sqref="H267">
    <cfRule type="cellIs" dxfId="1282" priority="65759" stopIfTrue="1" operator="notEqual">
      <formula>"regeneration off-site (non-hazardous)"</formula>
    </cfRule>
  </conditionalFormatting>
  <conditionalFormatting sqref="I267">
    <cfRule type="cellIs" dxfId="1281" priority="65760" stopIfTrue="1" operator="notEqual">
      <formula>"carbon life value- months"</formula>
    </cfRule>
  </conditionalFormatting>
  <conditionalFormatting sqref="J267">
    <cfRule type="cellIs" dxfId="1280" priority="65761" stopIfTrue="1" operator="notEqual">
      <formula>12</formula>
    </cfRule>
  </conditionalFormatting>
  <conditionalFormatting sqref="K267">
    <cfRule type="expression" dxfId="1279" priority="65762" stopIfTrue="1">
      <formula>NOT(ISBLANK($K$267))</formula>
    </cfRule>
  </conditionalFormatting>
  <conditionalFormatting sqref="L267">
    <cfRule type="expression" dxfId="1278" priority="65763" stopIfTrue="1">
      <formula>NOT(ISBLANK($L$267))</formula>
    </cfRule>
  </conditionalFormatting>
  <conditionalFormatting sqref="M267">
    <cfRule type="expression" dxfId="1277" priority="65764" stopIfTrue="1">
      <formula>NOT(ISBLANK($M$267))</formula>
    </cfRule>
  </conditionalFormatting>
  <conditionalFormatting sqref="N267">
    <cfRule type="cellIs" dxfId="1276" priority="65765" stopIfTrue="1" operator="notEqual">
      <formula>"EBCT"</formula>
    </cfRule>
  </conditionalFormatting>
  <conditionalFormatting sqref="O267">
    <cfRule type="cellIs" dxfId="1275" priority="65766" stopIfTrue="1" operator="notEqual">
      <formula>4</formula>
    </cfRule>
  </conditionalFormatting>
  <conditionalFormatting sqref="P267">
    <cfRule type="expression" dxfId="1274" priority="65767" stopIfTrue="1">
      <formula>NOT(ISBLANK($P$267))</formula>
    </cfRule>
  </conditionalFormatting>
  <conditionalFormatting sqref="Q267">
    <cfRule type="expression" dxfId="1273" priority="65768" stopIfTrue="1">
      <formula>NOT(ISBLANK($Q$267))</formula>
    </cfRule>
  </conditionalFormatting>
  <conditionalFormatting sqref="R267">
    <cfRule type="cellIs" dxfId="1272" priority="65769" stopIfTrue="1" operator="notEqual">
      <formula>1</formula>
    </cfRule>
  </conditionalFormatting>
  <conditionalFormatting sqref="S267">
    <cfRule type="cellIs" dxfId="1271" priority="65770" stopIfTrue="1" operator="notEqual">
      <formula>4.8</formula>
    </cfRule>
  </conditionalFormatting>
  <conditionalFormatting sqref="T267">
    <cfRule type="cellIs" dxfId="1270" priority="65771" stopIfTrue="1" operator="notEqual">
      <formula>"upright"</formula>
    </cfRule>
  </conditionalFormatting>
  <conditionalFormatting sqref="U267">
    <cfRule type="cellIs" dxfId="1269" priority="65772" stopIfTrue="1" operator="notEqual">
      <formula>8</formula>
    </cfRule>
  </conditionalFormatting>
  <conditionalFormatting sqref="V267">
    <cfRule type="cellIs" dxfId="1268" priority="65773" stopIfTrue="1" operator="notEqual">
      <formula>5.5</formula>
    </cfRule>
  </conditionalFormatting>
  <conditionalFormatting sqref="W267">
    <cfRule type="expression" dxfId="1267" priority="65774" stopIfTrue="1">
      <formula>NOT(ISBLANK($W$267))</formula>
    </cfRule>
  </conditionalFormatting>
  <conditionalFormatting sqref="X267">
    <cfRule type="expression" dxfId="1266" priority="65775" stopIfTrue="1">
      <formula>NOT(ISBLANK($X$267))</formula>
    </cfRule>
  </conditionalFormatting>
  <conditionalFormatting sqref="Y267">
    <cfRule type="expression" dxfId="1265" priority="65776" stopIfTrue="1">
      <formula>NOT(ISBLANK($Y$267))</formula>
    </cfRule>
  </conditionalFormatting>
  <conditionalFormatting sqref="Z267">
    <cfRule type="cellIs" dxfId="1264" priority="65777" stopIfTrue="1" operator="notEqual">
      <formula>168</formula>
    </cfRule>
  </conditionalFormatting>
  <conditionalFormatting sqref="AA267">
    <cfRule type="cellIs" dxfId="1263" priority="65778" stopIfTrue="1" operator="notEqual">
      <formula>"POTW"</formula>
    </cfRule>
  </conditionalFormatting>
  <conditionalFormatting sqref="AB267">
    <cfRule type="cellIs" dxfId="1262" priority="65779" stopIfTrue="1" operator="notEqual">
      <formula>"none"</formula>
    </cfRule>
  </conditionalFormatting>
  <conditionalFormatting sqref="AC267">
    <cfRule type="cellIs" dxfId="1261" priority="65780" stopIfTrue="1" operator="notEqual">
      <formula>"manual transfer"</formula>
    </cfRule>
  </conditionalFormatting>
  <conditionalFormatting sqref="AD267">
    <cfRule type="expression" dxfId="1260" priority="65781" stopIfTrue="1">
      <formula>NOT(ISBLANK($AD$267))</formula>
    </cfRule>
  </conditionalFormatting>
  <conditionalFormatting sqref="AE267">
    <cfRule type="cellIs" dxfId="1259" priority="65782" stopIfTrue="1" operator="notEqual">
      <formula>0</formula>
    </cfRule>
  </conditionalFormatting>
  <conditionalFormatting sqref="AF267">
    <cfRule type="cellIs" dxfId="1258" priority="65783" stopIfTrue="1" operator="notEqual">
      <formula>0</formula>
    </cfRule>
  </conditionalFormatting>
  <conditionalFormatting sqref="AG267">
    <cfRule type="cellIs" dxfId="1257" priority="65784" stopIfTrue="1" operator="notEqual">
      <formula>"existing pumps"</formula>
    </cfRule>
  </conditionalFormatting>
  <conditionalFormatting sqref="AH267">
    <cfRule type="cellIs" dxfId="1256" priority="65785" stopIfTrue="1" operator="notEqual">
      <formula>"existing storage"</formula>
    </cfRule>
  </conditionalFormatting>
  <conditionalFormatting sqref="AI267">
    <cfRule type="cellIs" dxfId="1255" priority="65786" stopIfTrue="1" operator="notEqual">
      <formula>"fully automated"</formula>
    </cfRule>
  </conditionalFormatting>
  <conditionalFormatting sqref="AJ267">
    <cfRule type="expression" dxfId="1254" priority="65787" stopIfTrue="1">
      <formula>NOT(ISBLANK($AJ$267))</formula>
    </cfRule>
  </conditionalFormatting>
  <conditionalFormatting sqref="AK267">
    <cfRule type="cellIs" dxfId="1253" priority="65788" stopIfTrue="1" operator="notEqual">
      <formula>"add-on"</formula>
    </cfRule>
  </conditionalFormatting>
  <conditionalFormatting sqref="AL267">
    <cfRule type="expression" dxfId="1252" priority="65789" stopIfTrue="1">
      <formula>NOT(ISBLANK($AL$267))</formula>
    </cfRule>
  </conditionalFormatting>
  <conditionalFormatting sqref="AM267">
    <cfRule type="expression" dxfId="1251" priority="65790" stopIfTrue="1">
      <formula>NOT(ISBLANK($AM$267))</formula>
    </cfRule>
  </conditionalFormatting>
  <conditionalFormatting sqref="AN267">
    <cfRule type="expression" dxfId="1250" priority="65791" stopIfTrue="1">
      <formula>NOT(ISBLANK($AN$267))</formula>
    </cfRule>
  </conditionalFormatting>
  <conditionalFormatting sqref="AO267">
    <cfRule type="expression" dxfId="1249" priority="65792" stopIfTrue="1">
      <formula>NOT(ISBLANK($AO$267))</formula>
    </cfRule>
  </conditionalFormatting>
  <conditionalFormatting sqref="AP267">
    <cfRule type="expression" dxfId="1248" priority="65793" stopIfTrue="1">
      <formula>NOT(ISBLANK($AP$267))</formula>
    </cfRule>
  </conditionalFormatting>
  <conditionalFormatting sqref="AQ267">
    <cfRule type="expression" dxfId="1247" priority="65794" stopIfTrue="1">
      <formula>NOT(ISBLANK($AQ$267))</formula>
    </cfRule>
  </conditionalFormatting>
  <conditionalFormatting sqref="A268">
    <cfRule type="cellIs" dxfId="1246" priority="65795" stopIfTrue="1" operator="notEqual">
      <formula>17</formula>
    </cfRule>
  </conditionalFormatting>
  <conditionalFormatting sqref="B268">
    <cfRule type="cellIs" dxfId="1245" priority="65796" stopIfTrue="1" operator="notEqual">
      <formula>1</formula>
    </cfRule>
  </conditionalFormatting>
  <conditionalFormatting sqref="C268">
    <cfRule type="cellIs" dxfId="1244" priority="65797" stopIfTrue="1" operator="notEqual">
      <formula>4</formula>
    </cfRule>
  </conditionalFormatting>
  <conditionalFormatting sqref="D268">
    <cfRule type="cellIs" dxfId="1243" priority="65798" stopIfTrue="1" operator="notEqual">
      <formula>0.74</formula>
    </cfRule>
  </conditionalFormatting>
  <conditionalFormatting sqref="E268">
    <cfRule type="cellIs" dxfId="1242" priority="65799" stopIfTrue="1" operator="notEqual">
      <formula>"MGD"</formula>
    </cfRule>
  </conditionalFormatting>
  <conditionalFormatting sqref="F268">
    <cfRule type="cellIs" dxfId="1241" priority="65800" stopIfTrue="1" operator="notEqual">
      <formula>0.251</formula>
    </cfRule>
  </conditionalFormatting>
  <conditionalFormatting sqref="G268">
    <cfRule type="cellIs" dxfId="1240" priority="65801" stopIfTrue="1" operator="notEqual">
      <formula>"MGD"</formula>
    </cfRule>
  </conditionalFormatting>
  <conditionalFormatting sqref="H268">
    <cfRule type="cellIs" dxfId="1239" priority="65802" stopIfTrue="1" operator="notEqual">
      <formula>"regeneration off-site (non-hazardous)"</formula>
    </cfRule>
  </conditionalFormatting>
  <conditionalFormatting sqref="I268">
    <cfRule type="cellIs" dxfId="1238" priority="65803" stopIfTrue="1" operator="notEqual">
      <formula>"carbon life value- months"</formula>
    </cfRule>
  </conditionalFormatting>
  <conditionalFormatting sqref="J268">
    <cfRule type="cellIs" dxfId="1237" priority="65804" stopIfTrue="1" operator="notEqual">
      <formula>12</formula>
    </cfRule>
  </conditionalFormatting>
  <conditionalFormatting sqref="K268">
    <cfRule type="expression" dxfId="1236" priority="65805" stopIfTrue="1">
      <formula>NOT(ISBLANK($K$268))</formula>
    </cfRule>
  </conditionalFormatting>
  <conditionalFormatting sqref="L268">
    <cfRule type="expression" dxfId="1235" priority="65806" stopIfTrue="1">
      <formula>NOT(ISBLANK($L$268))</formula>
    </cfRule>
  </conditionalFormatting>
  <conditionalFormatting sqref="M268">
    <cfRule type="expression" dxfId="1234" priority="65807" stopIfTrue="1">
      <formula>NOT(ISBLANK($M$268))</formula>
    </cfRule>
  </conditionalFormatting>
  <conditionalFormatting sqref="N268">
    <cfRule type="cellIs" dxfId="1233" priority="65808" stopIfTrue="1" operator="notEqual">
      <formula>"EBCT"</formula>
    </cfRule>
  </conditionalFormatting>
  <conditionalFormatting sqref="O268">
    <cfRule type="cellIs" dxfId="1232" priority="65809" stopIfTrue="1" operator="notEqual">
      <formula>4</formula>
    </cfRule>
  </conditionalFormatting>
  <conditionalFormatting sqref="P268">
    <cfRule type="expression" dxfId="1231" priority="65810" stopIfTrue="1">
      <formula>NOT(ISBLANK($P$268))</formula>
    </cfRule>
  </conditionalFormatting>
  <conditionalFormatting sqref="Q268">
    <cfRule type="expression" dxfId="1230" priority="65811" stopIfTrue="1">
      <formula>NOT(ISBLANK($Q$268))</formula>
    </cfRule>
  </conditionalFormatting>
  <conditionalFormatting sqref="R268">
    <cfRule type="cellIs" dxfId="1229" priority="65812" stopIfTrue="1" operator="notEqual">
      <formula>1</formula>
    </cfRule>
  </conditionalFormatting>
  <conditionalFormatting sqref="S268">
    <cfRule type="cellIs" dxfId="1228" priority="65813" stopIfTrue="1" operator="notEqual">
      <formula>4.9</formula>
    </cfRule>
  </conditionalFormatting>
  <conditionalFormatting sqref="T268">
    <cfRule type="cellIs" dxfId="1227" priority="65814" stopIfTrue="1" operator="notEqual">
      <formula>"upright"</formula>
    </cfRule>
  </conditionalFormatting>
  <conditionalFormatting sqref="U268">
    <cfRule type="cellIs" dxfId="1226" priority="65815" stopIfTrue="1" operator="notEqual">
      <formula>8</formula>
    </cfRule>
  </conditionalFormatting>
  <conditionalFormatting sqref="V268">
    <cfRule type="cellIs" dxfId="1225" priority="65816" stopIfTrue="1" operator="notEqual">
      <formula>8.5</formula>
    </cfRule>
  </conditionalFormatting>
  <conditionalFormatting sqref="W268">
    <cfRule type="expression" dxfId="1224" priority="65817" stopIfTrue="1">
      <formula>NOT(ISBLANK($W$268))</formula>
    </cfRule>
  </conditionalFormatting>
  <conditionalFormatting sqref="X268">
    <cfRule type="expression" dxfId="1223" priority="65818" stopIfTrue="1">
      <formula>NOT(ISBLANK($X$268))</formula>
    </cfRule>
  </conditionalFormatting>
  <conditionalFormatting sqref="Y268">
    <cfRule type="expression" dxfId="1222" priority="65819" stopIfTrue="1">
      <formula>NOT(ISBLANK($Y$268))</formula>
    </cfRule>
  </conditionalFormatting>
  <conditionalFormatting sqref="Z268">
    <cfRule type="cellIs" dxfId="1221" priority="65820" stopIfTrue="1" operator="notEqual">
      <formula>168</formula>
    </cfRule>
  </conditionalFormatting>
  <conditionalFormatting sqref="AA268">
    <cfRule type="cellIs" dxfId="1220" priority="65821" stopIfTrue="1" operator="notEqual">
      <formula>"POTW"</formula>
    </cfRule>
  </conditionalFormatting>
  <conditionalFormatting sqref="AB268">
    <cfRule type="cellIs" dxfId="1219" priority="65822" stopIfTrue="1" operator="notEqual">
      <formula>"none"</formula>
    </cfRule>
  </conditionalFormatting>
  <conditionalFormatting sqref="AC268">
    <cfRule type="cellIs" dxfId="1218" priority="65823" stopIfTrue="1" operator="notEqual">
      <formula>"manual transfer"</formula>
    </cfRule>
  </conditionalFormatting>
  <conditionalFormatting sqref="AD268">
    <cfRule type="expression" dxfId="1217" priority="65824" stopIfTrue="1">
      <formula>NOT(ISBLANK($AD$268))</formula>
    </cfRule>
  </conditionalFormatting>
  <conditionalFormatting sqref="AE268">
    <cfRule type="cellIs" dxfId="1216" priority="65825" stopIfTrue="1" operator="notEqual">
      <formula>0</formula>
    </cfRule>
  </conditionalFormatting>
  <conditionalFormatting sqref="AF268">
    <cfRule type="cellIs" dxfId="1215" priority="65826" stopIfTrue="1" operator="notEqual">
      <formula>0</formula>
    </cfRule>
  </conditionalFormatting>
  <conditionalFormatting sqref="AG268">
    <cfRule type="cellIs" dxfId="1214" priority="65827" stopIfTrue="1" operator="notEqual">
      <formula>"existing pumps"</formula>
    </cfRule>
  </conditionalFormatting>
  <conditionalFormatting sqref="AH268">
    <cfRule type="cellIs" dxfId="1213" priority="65828" stopIfTrue="1" operator="notEqual">
      <formula>"existing storage"</formula>
    </cfRule>
  </conditionalFormatting>
  <conditionalFormatting sqref="AI268">
    <cfRule type="cellIs" dxfId="1212" priority="65829" stopIfTrue="1" operator="notEqual">
      <formula>"fully automated"</formula>
    </cfRule>
  </conditionalFormatting>
  <conditionalFormatting sqref="AJ268">
    <cfRule type="expression" dxfId="1211" priority="65830" stopIfTrue="1">
      <formula>NOT(ISBLANK($AJ$268))</formula>
    </cfRule>
  </conditionalFormatting>
  <conditionalFormatting sqref="AK268">
    <cfRule type="cellIs" dxfId="1210" priority="65831" stopIfTrue="1" operator="notEqual">
      <formula>"add-on"</formula>
    </cfRule>
  </conditionalFormatting>
  <conditionalFormatting sqref="AL268">
    <cfRule type="expression" dxfId="1209" priority="65832" stopIfTrue="1">
      <formula>NOT(ISBLANK($AL$268))</formula>
    </cfRule>
  </conditionalFormatting>
  <conditionalFormatting sqref="AM268">
    <cfRule type="expression" dxfId="1208" priority="65833" stopIfTrue="1">
      <formula>NOT(ISBLANK($AM$268))</formula>
    </cfRule>
  </conditionalFormatting>
  <conditionalFormatting sqref="AN268">
    <cfRule type="expression" dxfId="1207" priority="65834" stopIfTrue="1">
      <formula>NOT(ISBLANK($AN$268))</formula>
    </cfRule>
  </conditionalFormatting>
  <conditionalFormatting sqref="AO268">
    <cfRule type="expression" dxfId="1206" priority="65835" stopIfTrue="1">
      <formula>NOT(ISBLANK($AO$268))</formula>
    </cfRule>
  </conditionalFormatting>
  <conditionalFormatting sqref="AP268">
    <cfRule type="expression" dxfId="1205" priority="65836" stopIfTrue="1">
      <formula>NOT(ISBLANK($AP$268))</formula>
    </cfRule>
  </conditionalFormatting>
  <conditionalFormatting sqref="AQ268">
    <cfRule type="expression" dxfId="1204" priority="65837" stopIfTrue="1">
      <formula>NOT(ISBLANK($AQ$268))</formula>
    </cfRule>
  </conditionalFormatting>
  <conditionalFormatting sqref="A269">
    <cfRule type="cellIs" dxfId="1203" priority="65838" stopIfTrue="1" operator="notEqual">
      <formula>17</formula>
    </cfRule>
  </conditionalFormatting>
  <conditionalFormatting sqref="B269">
    <cfRule type="cellIs" dxfId="1202" priority="65839" stopIfTrue="1" operator="notEqual">
      <formula>1</formula>
    </cfRule>
  </conditionalFormatting>
  <conditionalFormatting sqref="C269">
    <cfRule type="cellIs" dxfId="1201" priority="65840" stopIfTrue="1" operator="notEqual">
      <formula>5</formula>
    </cfRule>
  </conditionalFormatting>
  <conditionalFormatting sqref="D269">
    <cfRule type="cellIs" dxfId="1200" priority="65841" stopIfTrue="1" operator="notEqual">
      <formula>2.152</formula>
    </cfRule>
  </conditionalFormatting>
  <conditionalFormatting sqref="E269">
    <cfRule type="cellIs" dxfId="1199" priority="65842" stopIfTrue="1" operator="notEqual">
      <formula>"MGD"</formula>
    </cfRule>
  </conditionalFormatting>
  <conditionalFormatting sqref="F269">
    <cfRule type="cellIs" dxfId="1198" priority="65843" stopIfTrue="1" operator="notEqual">
      <formula>0.819</formula>
    </cfRule>
  </conditionalFormatting>
  <conditionalFormatting sqref="G269">
    <cfRule type="cellIs" dxfId="1197" priority="65844" stopIfTrue="1" operator="notEqual">
      <formula>"MGD"</formula>
    </cfRule>
  </conditionalFormatting>
  <conditionalFormatting sqref="H269">
    <cfRule type="cellIs" dxfId="1196" priority="65845" stopIfTrue="1" operator="notEqual">
      <formula>"regeneration off-site (non-hazardous)"</formula>
    </cfRule>
  </conditionalFormatting>
  <conditionalFormatting sqref="I269">
    <cfRule type="cellIs" dxfId="1195" priority="65846" stopIfTrue="1" operator="notEqual">
      <formula>"carbon life value- months"</formula>
    </cfRule>
  </conditionalFormatting>
  <conditionalFormatting sqref="J269">
    <cfRule type="cellIs" dxfId="1194" priority="65847" stopIfTrue="1" operator="notEqual">
      <formula>12</formula>
    </cfRule>
  </conditionalFormatting>
  <conditionalFormatting sqref="K269">
    <cfRule type="expression" dxfId="1193" priority="65848" stopIfTrue="1">
      <formula>NOT(ISBLANK($K$269))</formula>
    </cfRule>
  </conditionalFormatting>
  <conditionalFormatting sqref="L269">
    <cfRule type="expression" dxfId="1192" priority="65849" stopIfTrue="1">
      <formula>NOT(ISBLANK($L$269))</formula>
    </cfRule>
  </conditionalFormatting>
  <conditionalFormatting sqref="M269">
    <cfRule type="expression" dxfId="1191" priority="65850" stopIfTrue="1">
      <formula>NOT(ISBLANK($M$269))</formula>
    </cfRule>
  </conditionalFormatting>
  <conditionalFormatting sqref="N269">
    <cfRule type="cellIs" dxfId="1190" priority="65851" stopIfTrue="1" operator="notEqual">
      <formula>"EBCT"</formula>
    </cfRule>
  </conditionalFormatting>
  <conditionalFormatting sqref="O269">
    <cfRule type="cellIs" dxfId="1189" priority="65852" stopIfTrue="1" operator="notEqual">
      <formula>4</formula>
    </cfRule>
  </conditionalFormatting>
  <conditionalFormatting sqref="P269">
    <cfRule type="expression" dxfId="1188" priority="65853" stopIfTrue="1">
      <formula>NOT(ISBLANK($P$269))</formula>
    </cfRule>
  </conditionalFormatting>
  <conditionalFormatting sqref="Q269">
    <cfRule type="expression" dxfId="1187" priority="65854" stopIfTrue="1">
      <formula>NOT(ISBLANK($Q$269))</formula>
    </cfRule>
  </conditionalFormatting>
  <conditionalFormatting sqref="R269">
    <cfRule type="cellIs" dxfId="1186" priority="65855" stopIfTrue="1" operator="notEqual">
      <formula>1</formula>
    </cfRule>
  </conditionalFormatting>
  <conditionalFormatting sqref="S269">
    <cfRule type="cellIs" dxfId="1185" priority="65856" stopIfTrue="1" operator="notEqual">
      <formula>5.2</formula>
    </cfRule>
  </conditionalFormatting>
  <conditionalFormatting sqref="T269">
    <cfRule type="cellIs" dxfId="1184" priority="65857" stopIfTrue="1" operator="notEqual">
      <formula>"upright"</formula>
    </cfRule>
  </conditionalFormatting>
  <conditionalFormatting sqref="U269">
    <cfRule type="cellIs" dxfId="1183" priority="65858" stopIfTrue="1" operator="notEqual">
      <formula>8.5</formula>
    </cfRule>
  </conditionalFormatting>
  <conditionalFormatting sqref="V269">
    <cfRule type="cellIs" dxfId="1182" priority="65859" stopIfTrue="1" operator="notEqual">
      <formula>14</formula>
    </cfRule>
  </conditionalFormatting>
  <conditionalFormatting sqref="W269">
    <cfRule type="expression" dxfId="1181" priority="65860" stopIfTrue="1">
      <formula>NOT(ISBLANK($W$269))</formula>
    </cfRule>
  </conditionalFormatting>
  <conditionalFormatting sqref="X269">
    <cfRule type="expression" dxfId="1180" priority="65861" stopIfTrue="1">
      <formula>NOT(ISBLANK($X$269))</formula>
    </cfRule>
  </conditionalFormatting>
  <conditionalFormatting sqref="Y269">
    <cfRule type="expression" dxfId="1179" priority="65862" stopIfTrue="1">
      <formula>NOT(ISBLANK($Y$269))</formula>
    </cfRule>
  </conditionalFormatting>
  <conditionalFormatting sqref="Z269">
    <cfRule type="cellIs" dxfId="1178" priority="65863" stopIfTrue="1" operator="notEqual">
      <formula>168</formula>
    </cfRule>
  </conditionalFormatting>
  <conditionalFormatting sqref="AA269">
    <cfRule type="cellIs" dxfId="1177" priority="65864" stopIfTrue="1" operator="notEqual">
      <formula>"POTW"</formula>
    </cfRule>
  </conditionalFormatting>
  <conditionalFormatting sqref="AB269">
    <cfRule type="cellIs" dxfId="1176" priority="65865" stopIfTrue="1" operator="notEqual">
      <formula>"none"</formula>
    </cfRule>
  </conditionalFormatting>
  <conditionalFormatting sqref="AC269">
    <cfRule type="cellIs" dxfId="1175" priority="65866" stopIfTrue="1" operator="notEqual">
      <formula>"manual transfer"</formula>
    </cfRule>
  </conditionalFormatting>
  <conditionalFormatting sqref="AD269">
    <cfRule type="expression" dxfId="1174" priority="65867" stopIfTrue="1">
      <formula>NOT(ISBLANK($AD$269))</formula>
    </cfRule>
  </conditionalFormatting>
  <conditionalFormatting sqref="AE269">
    <cfRule type="cellIs" dxfId="1173" priority="65868" stopIfTrue="1" operator="notEqual">
      <formula>0</formula>
    </cfRule>
  </conditionalFormatting>
  <conditionalFormatting sqref="AF269">
    <cfRule type="cellIs" dxfId="1172" priority="65869" stopIfTrue="1" operator="notEqual">
      <formula>0</formula>
    </cfRule>
  </conditionalFormatting>
  <conditionalFormatting sqref="AG269">
    <cfRule type="cellIs" dxfId="1171" priority="65870" stopIfTrue="1" operator="notEqual">
      <formula>"existing pumps"</formula>
    </cfRule>
  </conditionalFormatting>
  <conditionalFormatting sqref="AH269">
    <cfRule type="cellIs" dxfId="1170" priority="65871" stopIfTrue="1" operator="notEqual">
      <formula>"existing storage"</formula>
    </cfRule>
  </conditionalFormatting>
  <conditionalFormatting sqref="AI269">
    <cfRule type="cellIs" dxfId="1169" priority="65872" stopIfTrue="1" operator="notEqual">
      <formula>"fully automated"</formula>
    </cfRule>
  </conditionalFormatting>
  <conditionalFormatting sqref="AJ269">
    <cfRule type="expression" dxfId="1168" priority="65873" stopIfTrue="1">
      <formula>NOT(ISBLANK($AJ$269))</formula>
    </cfRule>
  </conditionalFormatting>
  <conditionalFormatting sqref="AK269">
    <cfRule type="cellIs" dxfId="1167" priority="65874" stopIfTrue="1" operator="notEqual">
      <formula>"add-on"</formula>
    </cfRule>
  </conditionalFormatting>
  <conditionalFormatting sqref="AL269">
    <cfRule type="expression" dxfId="1166" priority="65875" stopIfTrue="1">
      <formula>NOT(ISBLANK($AL$269))</formula>
    </cfRule>
  </conditionalFormatting>
  <conditionalFormatting sqref="AM269">
    <cfRule type="expression" dxfId="1165" priority="65876" stopIfTrue="1">
      <formula>NOT(ISBLANK($AM$269))</formula>
    </cfRule>
  </conditionalFormatting>
  <conditionalFormatting sqref="AN269">
    <cfRule type="expression" dxfId="1164" priority="65877" stopIfTrue="1">
      <formula>NOT(ISBLANK($AN$269))</formula>
    </cfRule>
  </conditionalFormatting>
  <conditionalFormatting sqref="AO269">
    <cfRule type="expression" dxfId="1163" priority="65878" stopIfTrue="1">
      <formula>NOT(ISBLANK($AO$269))</formula>
    </cfRule>
  </conditionalFormatting>
  <conditionalFormatting sqref="AP269">
    <cfRule type="expression" dxfId="1162" priority="65879" stopIfTrue="1">
      <formula>NOT(ISBLANK($AP$269))</formula>
    </cfRule>
  </conditionalFormatting>
  <conditionalFormatting sqref="AQ269">
    <cfRule type="expression" dxfId="1161" priority="65880" stopIfTrue="1">
      <formula>NOT(ISBLANK($AQ$269))</formula>
    </cfRule>
  </conditionalFormatting>
  <conditionalFormatting sqref="A270">
    <cfRule type="cellIs" dxfId="1160" priority="65881" stopIfTrue="1" operator="notEqual">
      <formula>17</formula>
    </cfRule>
  </conditionalFormatting>
  <conditionalFormatting sqref="B270">
    <cfRule type="cellIs" dxfId="1159" priority="65882" stopIfTrue="1" operator="notEqual">
      <formula>1</formula>
    </cfRule>
  </conditionalFormatting>
  <conditionalFormatting sqref="C270">
    <cfRule type="cellIs" dxfId="1158" priority="65883" stopIfTrue="1" operator="notEqual">
      <formula>6</formula>
    </cfRule>
  </conditionalFormatting>
  <conditionalFormatting sqref="D270">
    <cfRule type="cellIs" dxfId="1157" priority="65884" stopIfTrue="1" operator="notEqual">
      <formula>7.365</formula>
    </cfRule>
  </conditionalFormatting>
  <conditionalFormatting sqref="E270">
    <cfRule type="cellIs" dxfId="1156" priority="65885" stopIfTrue="1" operator="notEqual">
      <formula>"MGD"</formula>
    </cfRule>
  </conditionalFormatting>
  <conditionalFormatting sqref="F270">
    <cfRule type="cellIs" dxfId="1155" priority="65886" stopIfTrue="1" operator="notEqual">
      <formula>3.2</formula>
    </cfRule>
  </conditionalFormatting>
  <conditionalFormatting sqref="G270">
    <cfRule type="cellIs" dxfId="1154" priority="65887" stopIfTrue="1" operator="notEqual">
      <formula>"MGD"</formula>
    </cfRule>
  </conditionalFormatting>
  <conditionalFormatting sqref="H270">
    <cfRule type="cellIs" dxfId="1153" priority="65888" stopIfTrue="1" operator="notEqual">
      <formula>"regeneration off-site (non-hazardous)"</formula>
    </cfRule>
  </conditionalFormatting>
  <conditionalFormatting sqref="I270">
    <cfRule type="cellIs" dxfId="1152" priority="65889" stopIfTrue="1" operator="notEqual">
      <formula>"carbon life value- months"</formula>
    </cfRule>
  </conditionalFormatting>
  <conditionalFormatting sqref="J270">
    <cfRule type="cellIs" dxfId="1151" priority="65890" stopIfTrue="1" operator="notEqual">
      <formula>12</formula>
    </cfRule>
  </conditionalFormatting>
  <conditionalFormatting sqref="K270">
    <cfRule type="expression" dxfId="1150" priority="65891" stopIfTrue="1">
      <formula>NOT(ISBLANK($K$270))</formula>
    </cfRule>
  </conditionalFormatting>
  <conditionalFormatting sqref="L270">
    <cfRule type="expression" dxfId="1149" priority="65892" stopIfTrue="1">
      <formula>NOT(ISBLANK($L$270))</formula>
    </cfRule>
  </conditionalFormatting>
  <conditionalFormatting sqref="M270">
    <cfRule type="expression" dxfId="1148" priority="65893" stopIfTrue="1">
      <formula>NOT(ISBLANK($M$270))</formula>
    </cfRule>
  </conditionalFormatting>
  <conditionalFormatting sqref="N270">
    <cfRule type="cellIs" dxfId="1147" priority="65894" stopIfTrue="1" operator="notEqual">
      <formula>"EBCT"</formula>
    </cfRule>
  </conditionalFormatting>
  <conditionalFormatting sqref="O270">
    <cfRule type="cellIs" dxfId="1146" priority="65895" stopIfTrue="1" operator="notEqual">
      <formula>4</formula>
    </cfRule>
  </conditionalFormatting>
  <conditionalFormatting sqref="P270">
    <cfRule type="expression" dxfId="1145" priority="65896" stopIfTrue="1">
      <formula>NOT(ISBLANK($P$270))</formula>
    </cfRule>
  </conditionalFormatting>
  <conditionalFormatting sqref="Q270">
    <cfRule type="expression" dxfId="1144" priority="65897" stopIfTrue="1">
      <formula>NOT(ISBLANK($Q$270))</formula>
    </cfRule>
  </conditionalFormatting>
  <conditionalFormatting sqref="R270">
    <cfRule type="cellIs" dxfId="1143" priority="65898" stopIfTrue="1" operator="notEqual">
      <formula>1</formula>
    </cfRule>
  </conditionalFormatting>
  <conditionalFormatting sqref="S270">
    <cfRule type="cellIs" dxfId="1142" priority="65899" stopIfTrue="1" operator="notEqual">
      <formula>5.2</formula>
    </cfRule>
  </conditionalFormatting>
  <conditionalFormatting sqref="T270">
    <cfRule type="cellIs" dxfId="1141" priority="65900" stopIfTrue="1" operator="notEqual">
      <formula>"upright"</formula>
    </cfRule>
  </conditionalFormatting>
  <conditionalFormatting sqref="U270">
    <cfRule type="cellIs" dxfId="1140" priority="65901" stopIfTrue="1" operator="notEqual">
      <formula>8.5</formula>
    </cfRule>
  </conditionalFormatting>
  <conditionalFormatting sqref="V270">
    <cfRule type="cellIs" dxfId="1139" priority="65902" stopIfTrue="1" operator="notEqual">
      <formula>13</formula>
    </cfRule>
  </conditionalFormatting>
  <conditionalFormatting sqref="W270">
    <cfRule type="expression" dxfId="1138" priority="65903" stopIfTrue="1">
      <formula>NOT(ISBLANK($W$270))</formula>
    </cfRule>
  </conditionalFormatting>
  <conditionalFormatting sqref="X270">
    <cfRule type="expression" dxfId="1137" priority="65904" stopIfTrue="1">
      <formula>NOT(ISBLANK($X$270))</formula>
    </cfRule>
  </conditionalFormatting>
  <conditionalFormatting sqref="Y270">
    <cfRule type="expression" dxfId="1136" priority="65905" stopIfTrue="1">
      <formula>NOT(ISBLANK($Y$270))</formula>
    </cfRule>
  </conditionalFormatting>
  <conditionalFormatting sqref="Z270">
    <cfRule type="cellIs" dxfId="1135" priority="65906" stopIfTrue="1" operator="notEqual">
      <formula>168</formula>
    </cfRule>
  </conditionalFormatting>
  <conditionalFormatting sqref="AA270">
    <cfRule type="cellIs" dxfId="1134" priority="65907" stopIfTrue="1" operator="notEqual">
      <formula>"POTW"</formula>
    </cfRule>
  </conditionalFormatting>
  <conditionalFormatting sqref="AB270">
    <cfRule type="cellIs" dxfId="1133" priority="65908" stopIfTrue="1" operator="notEqual">
      <formula>"none"</formula>
    </cfRule>
  </conditionalFormatting>
  <conditionalFormatting sqref="AC270">
    <cfRule type="cellIs" dxfId="1132" priority="65909" stopIfTrue="1" operator="notEqual">
      <formula>"manual transfer"</formula>
    </cfRule>
  </conditionalFormatting>
  <conditionalFormatting sqref="AD270">
    <cfRule type="expression" dxfId="1131" priority="65910" stopIfTrue="1">
      <formula>NOT(ISBLANK($AD$270))</formula>
    </cfRule>
  </conditionalFormatting>
  <conditionalFormatting sqref="AE270">
    <cfRule type="cellIs" dxfId="1130" priority="65911" stopIfTrue="1" operator="notEqual">
      <formula>0</formula>
    </cfRule>
  </conditionalFormatting>
  <conditionalFormatting sqref="AF270">
    <cfRule type="cellIs" dxfId="1129" priority="65912" stopIfTrue="1" operator="notEqual">
      <formula>0</formula>
    </cfRule>
  </conditionalFormatting>
  <conditionalFormatting sqref="AG270">
    <cfRule type="cellIs" dxfId="1128" priority="65913" stopIfTrue="1" operator="notEqual">
      <formula>"existing pumps"</formula>
    </cfRule>
  </conditionalFormatting>
  <conditionalFormatting sqref="AH270">
    <cfRule type="cellIs" dxfId="1127" priority="65914" stopIfTrue="1" operator="notEqual">
      <formula>"existing storage"</formula>
    </cfRule>
  </conditionalFormatting>
  <conditionalFormatting sqref="AI270">
    <cfRule type="cellIs" dxfId="1126" priority="65915" stopIfTrue="1" operator="notEqual">
      <formula>"fully automated"</formula>
    </cfRule>
  </conditionalFormatting>
  <conditionalFormatting sqref="AJ270">
    <cfRule type="expression" dxfId="1125" priority="65916" stopIfTrue="1">
      <formula>NOT(ISBLANK($AJ$270))</formula>
    </cfRule>
  </conditionalFormatting>
  <conditionalFormatting sqref="AK270">
    <cfRule type="cellIs" dxfId="1124" priority="65917" stopIfTrue="1" operator="notEqual">
      <formula>"add-on"</formula>
    </cfRule>
  </conditionalFormatting>
  <conditionalFormatting sqref="AL270">
    <cfRule type="expression" dxfId="1123" priority="65918" stopIfTrue="1">
      <formula>NOT(ISBLANK($AL$270))</formula>
    </cfRule>
  </conditionalFormatting>
  <conditionalFormatting sqref="AM270">
    <cfRule type="expression" dxfId="1122" priority="65919" stopIfTrue="1">
      <formula>NOT(ISBLANK($AM$270))</formula>
    </cfRule>
  </conditionalFormatting>
  <conditionalFormatting sqref="AN270">
    <cfRule type="expression" dxfId="1121" priority="65920" stopIfTrue="1">
      <formula>NOT(ISBLANK($AN$270))</formula>
    </cfRule>
  </conditionalFormatting>
  <conditionalFormatting sqref="AO270">
    <cfRule type="expression" dxfId="1120" priority="65921" stopIfTrue="1">
      <formula>NOT(ISBLANK($AO$270))</formula>
    </cfRule>
  </conditionalFormatting>
  <conditionalFormatting sqref="AP270">
    <cfRule type="expression" dxfId="1119" priority="65922" stopIfTrue="1">
      <formula>NOT(ISBLANK($AP$270))</formula>
    </cfRule>
  </conditionalFormatting>
  <conditionalFormatting sqref="AQ270">
    <cfRule type="expression" dxfId="1118" priority="65923" stopIfTrue="1">
      <formula>NOT(ISBLANK($AQ$270))</formula>
    </cfRule>
  </conditionalFormatting>
  <conditionalFormatting sqref="A271">
    <cfRule type="cellIs" dxfId="1117" priority="65924" stopIfTrue="1" operator="notEqual">
      <formula>17</formula>
    </cfRule>
  </conditionalFormatting>
  <conditionalFormatting sqref="B271">
    <cfRule type="cellIs" dxfId="1116" priority="65925" stopIfTrue="1" operator="notEqual">
      <formula>1</formula>
    </cfRule>
  </conditionalFormatting>
  <conditionalFormatting sqref="C271">
    <cfRule type="cellIs" dxfId="1115" priority="65926" stopIfTrue="1" operator="notEqual">
      <formula>7</formula>
    </cfRule>
  </conditionalFormatting>
  <conditionalFormatting sqref="D271">
    <cfRule type="cellIs" dxfId="1114" priority="65927" stopIfTrue="1" operator="notEqual">
      <formula>22.614</formula>
    </cfRule>
  </conditionalFormatting>
  <conditionalFormatting sqref="E271">
    <cfRule type="cellIs" dxfId="1113" priority="65928" stopIfTrue="1" operator="notEqual">
      <formula>"MGD"</formula>
    </cfRule>
  </conditionalFormatting>
  <conditionalFormatting sqref="F271">
    <cfRule type="cellIs" dxfId="1112" priority="65929" stopIfTrue="1" operator="notEqual">
      <formula>11.066</formula>
    </cfRule>
  </conditionalFormatting>
  <conditionalFormatting sqref="G271">
    <cfRule type="cellIs" dxfId="1111" priority="65930" stopIfTrue="1" operator="notEqual">
      <formula>"MGD"</formula>
    </cfRule>
  </conditionalFormatting>
  <conditionalFormatting sqref="H271">
    <cfRule type="cellIs" dxfId="1110" priority="65931" stopIfTrue="1" operator="notEqual">
      <formula>"regeneration off-site (non-hazardous)"</formula>
    </cfRule>
  </conditionalFormatting>
  <conditionalFormatting sqref="I271">
    <cfRule type="cellIs" dxfId="1109" priority="65932" stopIfTrue="1" operator="notEqual">
      <formula>"carbon life value- months"</formula>
    </cfRule>
  </conditionalFormatting>
  <conditionalFormatting sqref="J271">
    <cfRule type="cellIs" dxfId="1108" priority="65933" stopIfTrue="1" operator="notEqual">
      <formula>12</formula>
    </cfRule>
  </conditionalFormatting>
  <conditionalFormatting sqref="K271">
    <cfRule type="expression" dxfId="1107" priority="65934" stopIfTrue="1">
      <formula>NOT(ISBLANK($K$271))</formula>
    </cfRule>
  </conditionalFormatting>
  <conditionalFormatting sqref="L271">
    <cfRule type="expression" dxfId="1106" priority="65935" stopIfTrue="1">
      <formula>NOT(ISBLANK($L$271))</formula>
    </cfRule>
  </conditionalFormatting>
  <conditionalFormatting sqref="M271">
    <cfRule type="expression" dxfId="1105" priority="65936" stopIfTrue="1">
      <formula>NOT(ISBLANK($M$271))</formula>
    </cfRule>
  </conditionalFormatting>
  <conditionalFormatting sqref="N271">
    <cfRule type="cellIs" dxfId="1104" priority="65937" stopIfTrue="1" operator="notEqual">
      <formula>"EBCT"</formula>
    </cfRule>
  </conditionalFormatting>
  <conditionalFormatting sqref="O271">
    <cfRule type="cellIs" dxfId="1103" priority="65938" stopIfTrue="1" operator="notEqual">
      <formula>4</formula>
    </cfRule>
  </conditionalFormatting>
  <conditionalFormatting sqref="P271">
    <cfRule type="expression" dxfId="1102" priority="65939" stopIfTrue="1">
      <formula>NOT(ISBLANK($P$271))</formula>
    </cfRule>
  </conditionalFormatting>
  <conditionalFormatting sqref="Q271">
    <cfRule type="expression" dxfId="1101" priority="65940" stopIfTrue="1">
      <formula>NOT(ISBLANK($Q$271))</formula>
    </cfRule>
  </conditionalFormatting>
  <conditionalFormatting sqref="R271">
    <cfRule type="cellIs" dxfId="1100" priority="65941" stopIfTrue="1" operator="notEqual">
      <formula>1</formula>
    </cfRule>
  </conditionalFormatting>
  <conditionalFormatting sqref="S271">
    <cfRule type="cellIs" dxfId="1099" priority="65942" stopIfTrue="1" operator="notEqual">
      <formula>5.3</formula>
    </cfRule>
  </conditionalFormatting>
  <conditionalFormatting sqref="T271">
    <cfRule type="cellIs" dxfId="1098" priority="65943" stopIfTrue="1" operator="notEqual">
      <formula>"upright"</formula>
    </cfRule>
  </conditionalFormatting>
  <conditionalFormatting sqref="U271">
    <cfRule type="cellIs" dxfId="1097" priority="65944" stopIfTrue="1" operator="notEqual">
      <formula>8.5</formula>
    </cfRule>
  </conditionalFormatting>
  <conditionalFormatting sqref="V271">
    <cfRule type="cellIs" dxfId="1096" priority="65945" stopIfTrue="1" operator="notEqual">
      <formula>13</formula>
    </cfRule>
  </conditionalFormatting>
  <conditionalFormatting sqref="W271">
    <cfRule type="expression" dxfId="1095" priority="65946" stopIfTrue="1">
      <formula>NOT(ISBLANK($W$271))</formula>
    </cfRule>
  </conditionalFormatting>
  <conditionalFormatting sqref="X271">
    <cfRule type="expression" dxfId="1094" priority="65947" stopIfTrue="1">
      <formula>NOT(ISBLANK($X$271))</formula>
    </cfRule>
  </conditionalFormatting>
  <conditionalFormatting sqref="Y271">
    <cfRule type="expression" dxfId="1093" priority="65948" stopIfTrue="1">
      <formula>NOT(ISBLANK($Y$271))</formula>
    </cfRule>
  </conditionalFormatting>
  <conditionalFormatting sqref="Z271">
    <cfRule type="cellIs" dxfId="1092" priority="65949" stopIfTrue="1" operator="notEqual">
      <formula>168</formula>
    </cfRule>
  </conditionalFormatting>
  <conditionalFormatting sqref="AA271">
    <cfRule type="cellIs" dxfId="1091" priority="65950" stopIfTrue="1" operator="notEqual">
      <formula>"POTW"</formula>
    </cfRule>
  </conditionalFormatting>
  <conditionalFormatting sqref="AB271">
    <cfRule type="cellIs" dxfId="1090" priority="65951" stopIfTrue="1" operator="notEqual">
      <formula>"none"</formula>
    </cfRule>
  </conditionalFormatting>
  <conditionalFormatting sqref="AC271">
    <cfRule type="cellIs" dxfId="1089" priority="65952" stopIfTrue="1" operator="notEqual">
      <formula>"manual transfer"</formula>
    </cfRule>
  </conditionalFormatting>
  <conditionalFormatting sqref="AD271">
    <cfRule type="expression" dxfId="1088" priority="65953" stopIfTrue="1">
      <formula>NOT(ISBLANK($AD$271))</formula>
    </cfRule>
  </conditionalFormatting>
  <conditionalFormatting sqref="AE271">
    <cfRule type="cellIs" dxfId="1087" priority="65954" stopIfTrue="1" operator="notEqual">
      <formula>0</formula>
    </cfRule>
  </conditionalFormatting>
  <conditionalFormatting sqref="AF271">
    <cfRule type="cellIs" dxfId="1086" priority="65955" stopIfTrue="1" operator="notEqual">
      <formula>0</formula>
    </cfRule>
  </conditionalFormatting>
  <conditionalFormatting sqref="AG271">
    <cfRule type="cellIs" dxfId="1085" priority="65956" stopIfTrue="1" operator="notEqual">
      <formula>"existing pumps"</formula>
    </cfRule>
  </conditionalFormatting>
  <conditionalFormatting sqref="AH271">
    <cfRule type="cellIs" dxfId="1084" priority="65957" stopIfTrue="1" operator="notEqual">
      <formula>"existing storage"</formula>
    </cfRule>
  </conditionalFormatting>
  <conditionalFormatting sqref="AI271">
    <cfRule type="cellIs" dxfId="1083" priority="65958" stopIfTrue="1" operator="notEqual">
      <formula>"fully automated"</formula>
    </cfRule>
  </conditionalFormatting>
  <conditionalFormatting sqref="AJ271">
    <cfRule type="expression" dxfId="1082" priority="65959" stopIfTrue="1">
      <formula>NOT(ISBLANK($AJ$271))</formula>
    </cfRule>
  </conditionalFormatting>
  <conditionalFormatting sqref="AK271">
    <cfRule type="cellIs" dxfId="1081" priority="65960" stopIfTrue="1" operator="notEqual">
      <formula>"add-on"</formula>
    </cfRule>
  </conditionalFormatting>
  <conditionalFormatting sqref="AL271">
    <cfRule type="expression" dxfId="1080" priority="65961" stopIfTrue="1">
      <formula>NOT(ISBLANK($AL$271))</formula>
    </cfRule>
  </conditionalFormatting>
  <conditionalFormatting sqref="AM271">
    <cfRule type="expression" dxfId="1079" priority="65962" stopIfTrue="1">
      <formula>NOT(ISBLANK($AM$271))</formula>
    </cfRule>
  </conditionalFormatting>
  <conditionalFormatting sqref="AN271">
    <cfRule type="expression" dxfId="1078" priority="65963" stopIfTrue="1">
      <formula>NOT(ISBLANK($AN$271))</formula>
    </cfRule>
  </conditionalFormatting>
  <conditionalFormatting sqref="AO271">
    <cfRule type="expression" dxfId="1077" priority="65964" stopIfTrue="1">
      <formula>NOT(ISBLANK($AO$271))</formula>
    </cfRule>
  </conditionalFormatting>
  <conditionalFormatting sqref="AP271">
    <cfRule type="expression" dxfId="1076" priority="65965" stopIfTrue="1">
      <formula>NOT(ISBLANK($AP$271))</formula>
    </cfRule>
  </conditionalFormatting>
  <conditionalFormatting sqref="AQ271">
    <cfRule type="expression" dxfId="1075" priority="65966" stopIfTrue="1">
      <formula>NOT(ISBLANK($AQ$271))</formula>
    </cfRule>
  </conditionalFormatting>
  <conditionalFormatting sqref="A272">
    <cfRule type="cellIs" dxfId="1074" priority="65967" stopIfTrue="1" operator="notEqual">
      <formula>17</formula>
    </cfRule>
  </conditionalFormatting>
  <conditionalFormatting sqref="B272">
    <cfRule type="cellIs" dxfId="1073" priority="65968" stopIfTrue="1" operator="notEqual">
      <formula>1</formula>
    </cfRule>
  </conditionalFormatting>
  <conditionalFormatting sqref="C272">
    <cfRule type="cellIs" dxfId="1072" priority="65969" stopIfTrue="1" operator="notEqual">
      <formula>8</formula>
    </cfRule>
  </conditionalFormatting>
  <conditionalFormatting sqref="D272">
    <cfRule type="cellIs" dxfId="1071" priority="65970" stopIfTrue="1" operator="notEqual">
      <formula>75.072</formula>
    </cfRule>
  </conditionalFormatting>
  <conditionalFormatting sqref="E272">
    <cfRule type="cellIs" dxfId="1070" priority="65971" stopIfTrue="1" operator="notEqual">
      <formula>"MGD"</formula>
    </cfRule>
  </conditionalFormatting>
  <conditionalFormatting sqref="F272">
    <cfRule type="cellIs" dxfId="1069" priority="65972" stopIfTrue="1" operator="notEqual">
      <formula>37.536</formula>
    </cfRule>
  </conditionalFormatting>
  <conditionalFormatting sqref="G272">
    <cfRule type="cellIs" dxfId="1068" priority="65973" stopIfTrue="1" operator="notEqual">
      <formula>"MGD"</formula>
    </cfRule>
  </conditionalFormatting>
  <conditionalFormatting sqref="H272">
    <cfRule type="cellIs" dxfId="1067" priority="65974" stopIfTrue="1" operator="notEqual">
      <formula>"regeneration off-site (non-hazardous)"</formula>
    </cfRule>
  </conditionalFormatting>
  <conditionalFormatting sqref="I272">
    <cfRule type="cellIs" dxfId="1066" priority="65975" stopIfTrue="1" operator="notEqual">
      <formula>"carbon life value- months"</formula>
    </cfRule>
  </conditionalFormatting>
  <conditionalFormatting sqref="J272">
    <cfRule type="cellIs" dxfId="1065" priority="65976" stopIfTrue="1" operator="notEqual">
      <formula>12</formula>
    </cfRule>
  </conditionalFormatting>
  <conditionalFormatting sqref="K272">
    <cfRule type="expression" dxfId="1064" priority="65977" stopIfTrue="1">
      <formula>NOT(ISBLANK($K$272))</formula>
    </cfRule>
  </conditionalFormatting>
  <conditionalFormatting sqref="L272">
    <cfRule type="expression" dxfId="1063" priority="65978" stopIfTrue="1">
      <formula>NOT(ISBLANK($L$272))</formula>
    </cfRule>
  </conditionalFormatting>
  <conditionalFormatting sqref="M272">
    <cfRule type="expression" dxfId="1062" priority="65979" stopIfTrue="1">
      <formula>NOT(ISBLANK($M$272))</formula>
    </cfRule>
  </conditionalFormatting>
  <conditionalFormatting sqref="N272">
    <cfRule type="cellIs" dxfId="1061" priority="65980" stopIfTrue="1" operator="notEqual">
      <formula>"EBCT"</formula>
    </cfRule>
  </conditionalFormatting>
  <conditionalFormatting sqref="O272">
    <cfRule type="cellIs" dxfId="1060" priority="65981" stopIfTrue="1" operator="notEqual">
      <formula>4</formula>
    </cfRule>
  </conditionalFormatting>
  <conditionalFormatting sqref="P272">
    <cfRule type="expression" dxfId="1059" priority="65982" stopIfTrue="1">
      <formula>NOT(ISBLANK($P$272))</formula>
    </cfRule>
  </conditionalFormatting>
  <conditionalFormatting sqref="Q272">
    <cfRule type="expression" dxfId="1058" priority="65983" stopIfTrue="1">
      <formula>NOT(ISBLANK($Q$272))</formula>
    </cfRule>
  </conditionalFormatting>
  <conditionalFormatting sqref="R272">
    <cfRule type="cellIs" dxfId="1057" priority="65984" stopIfTrue="1" operator="notEqual">
      <formula>1</formula>
    </cfRule>
  </conditionalFormatting>
  <conditionalFormatting sqref="S272">
    <cfRule type="cellIs" dxfId="1056" priority="65985" stopIfTrue="1" operator="notEqual">
      <formula>5.3</formula>
    </cfRule>
  </conditionalFormatting>
  <conditionalFormatting sqref="T272">
    <cfRule type="cellIs" dxfId="1055" priority="65986" stopIfTrue="1" operator="notEqual">
      <formula>"upright"</formula>
    </cfRule>
  </conditionalFormatting>
  <conditionalFormatting sqref="U272">
    <cfRule type="cellIs" dxfId="1054" priority="65987" stopIfTrue="1" operator="notEqual">
      <formula>8.5</formula>
    </cfRule>
  </conditionalFormatting>
  <conditionalFormatting sqref="V272">
    <cfRule type="cellIs" dxfId="1053" priority="65988" stopIfTrue="1" operator="notEqual">
      <formula>13.5</formula>
    </cfRule>
  </conditionalFormatting>
  <conditionalFormatting sqref="W272">
    <cfRule type="expression" dxfId="1052" priority="65989" stopIfTrue="1">
      <formula>NOT(ISBLANK($W$272))</formula>
    </cfRule>
  </conditionalFormatting>
  <conditionalFormatting sqref="X272">
    <cfRule type="expression" dxfId="1051" priority="65990" stopIfTrue="1">
      <formula>NOT(ISBLANK($X$272))</formula>
    </cfRule>
  </conditionalFormatting>
  <conditionalFormatting sqref="Y272">
    <cfRule type="expression" dxfId="1050" priority="65991" stopIfTrue="1">
      <formula>NOT(ISBLANK($Y$272))</formula>
    </cfRule>
  </conditionalFormatting>
  <conditionalFormatting sqref="Z272">
    <cfRule type="cellIs" dxfId="1049" priority="65992" stopIfTrue="1" operator="notEqual">
      <formula>168</formula>
    </cfRule>
  </conditionalFormatting>
  <conditionalFormatting sqref="AA272">
    <cfRule type="cellIs" dxfId="1048" priority="65993" stopIfTrue="1" operator="notEqual">
      <formula>"POTW"</formula>
    </cfRule>
  </conditionalFormatting>
  <conditionalFormatting sqref="AB272">
    <cfRule type="cellIs" dxfId="1047" priority="65994" stopIfTrue="1" operator="notEqual">
      <formula>"none"</formula>
    </cfRule>
  </conditionalFormatting>
  <conditionalFormatting sqref="AC272">
    <cfRule type="cellIs" dxfId="1046" priority="65995" stopIfTrue="1" operator="notEqual">
      <formula>"manual transfer"</formula>
    </cfRule>
  </conditionalFormatting>
  <conditionalFormatting sqref="AD272">
    <cfRule type="expression" dxfId="1045" priority="65996" stopIfTrue="1">
      <formula>NOT(ISBLANK($AD$272))</formula>
    </cfRule>
  </conditionalFormatting>
  <conditionalFormatting sqref="AE272">
    <cfRule type="cellIs" dxfId="1044" priority="65997" stopIfTrue="1" operator="notEqual">
      <formula>0</formula>
    </cfRule>
  </conditionalFormatting>
  <conditionalFormatting sqref="AF272">
    <cfRule type="cellIs" dxfId="1043" priority="65998" stopIfTrue="1" operator="notEqual">
      <formula>0</formula>
    </cfRule>
  </conditionalFormatting>
  <conditionalFormatting sqref="AG272">
    <cfRule type="cellIs" dxfId="1042" priority="65999" stopIfTrue="1" operator="notEqual">
      <formula>"existing pumps"</formula>
    </cfRule>
  </conditionalFormatting>
  <conditionalFormatting sqref="AH272">
    <cfRule type="cellIs" dxfId="1041" priority="66000" stopIfTrue="1" operator="notEqual">
      <formula>"existing storage"</formula>
    </cfRule>
  </conditionalFormatting>
  <conditionalFormatting sqref="AI272">
    <cfRule type="cellIs" dxfId="1040" priority="66001" stopIfTrue="1" operator="notEqual">
      <formula>"fully automated"</formula>
    </cfRule>
  </conditionalFormatting>
  <conditionalFormatting sqref="AJ272">
    <cfRule type="expression" dxfId="1039" priority="66002" stopIfTrue="1">
      <formula>NOT(ISBLANK($AJ$272))</formula>
    </cfRule>
  </conditionalFormatting>
  <conditionalFormatting sqref="AK272">
    <cfRule type="cellIs" dxfId="1038" priority="66003" stopIfTrue="1" operator="notEqual">
      <formula>"add-on"</formula>
    </cfRule>
  </conditionalFormatting>
  <conditionalFormatting sqref="AL272">
    <cfRule type="expression" dxfId="1037" priority="66004" stopIfTrue="1">
      <formula>NOT(ISBLANK($AL$272))</formula>
    </cfRule>
  </conditionalFormatting>
  <conditionalFormatting sqref="AM272">
    <cfRule type="expression" dxfId="1036" priority="66005" stopIfTrue="1">
      <formula>NOT(ISBLANK($AM$272))</formula>
    </cfRule>
  </conditionalFormatting>
  <conditionalFormatting sqref="AN272">
    <cfRule type="expression" dxfId="1035" priority="66006" stopIfTrue="1">
      <formula>NOT(ISBLANK($AN$272))</formula>
    </cfRule>
  </conditionalFormatting>
  <conditionalFormatting sqref="AO272">
    <cfRule type="expression" dxfId="1034" priority="66007" stopIfTrue="1">
      <formula>NOT(ISBLANK($AO$272))</formula>
    </cfRule>
  </conditionalFormatting>
  <conditionalFormatting sqref="AP272">
    <cfRule type="expression" dxfId="1033" priority="66008" stopIfTrue="1">
      <formula>NOT(ISBLANK($AP$272))</formula>
    </cfRule>
  </conditionalFormatting>
  <conditionalFormatting sqref="AQ272">
    <cfRule type="expression" dxfId="1032" priority="66009" stopIfTrue="1">
      <formula>NOT(ISBLANK($AQ$272))</formula>
    </cfRule>
  </conditionalFormatting>
  <conditionalFormatting sqref="A273">
    <cfRule type="cellIs" dxfId="1031" priority="66010" stopIfTrue="1" operator="notEqual">
      <formula>17</formula>
    </cfRule>
  </conditionalFormatting>
  <conditionalFormatting sqref="B273">
    <cfRule type="cellIs" dxfId="1030" priority="66011" stopIfTrue="1" operator="notEqual">
      <formula>2</formula>
    </cfRule>
  </conditionalFormatting>
  <conditionalFormatting sqref="C273">
    <cfRule type="cellIs" dxfId="1029" priority="66012" stopIfTrue="1" operator="notEqual">
      <formula>1</formula>
    </cfRule>
  </conditionalFormatting>
  <conditionalFormatting sqref="D273">
    <cfRule type="cellIs" dxfId="1028" priority="66013" stopIfTrue="1" operator="notEqual">
      <formula>0.03</formula>
    </cfRule>
  </conditionalFormatting>
  <conditionalFormatting sqref="E273">
    <cfRule type="cellIs" dxfId="1027" priority="66014" stopIfTrue="1" operator="notEqual">
      <formula>"MGD"</formula>
    </cfRule>
  </conditionalFormatting>
  <conditionalFormatting sqref="F273">
    <cfRule type="cellIs" dxfId="1026" priority="66015" stopIfTrue="1" operator="notEqual">
      <formula>0.007</formula>
    </cfRule>
  </conditionalFormatting>
  <conditionalFormatting sqref="G273">
    <cfRule type="cellIs" dxfId="1025" priority="66016" stopIfTrue="1" operator="notEqual">
      <formula>"MGD"</formula>
    </cfRule>
  </conditionalFormatting>
  <conditionalFormatting sqref="H273">
    <cfRule type="cellIs" dxfId="1024" priority="66017" stopIfTrue="1" operator="notEqual">
      <formula>"regeneration off-site (non-hazardous)"</formula>
    </cfRule>
  </conditionalFormatting>
  <conditionalFormatting sqref="I273">
    <cfRule type="cellIs" dxfId="1023" priority="66018" stopIfTrue="1" operator="notEqual">
      <formula>"carbon life value- months"</formula>
    </cfRule>
  </conditionalFormatting>
  <conditionalFormatting sqref="J273">
    <cfRule type="cellIs" dxfId="1022" priority="66019" stopIfTrue="1" operator="notEqual">
      <formula>12</formula>
    </cfRule>
  </conditionalFormatting>
  <conditionalFormatting sqref="K273">
    <cfRule type="expression" dxfId="1021" priority="66020" stopIfTrue="1">
      <formula>NOT(ISBLANK($K$273))</formula>
    </cfRule>
  </conditionalFormatting>
  <conditionalFormatting sqref="L273">
    <cfRule type="expression" dxfId="1020" priority="66021" stopIfTrue="1">
      <formula>NOT(ISBLANK($L$273))</formula>
    </cfRule>
  </conditionalFormatting>
  <conditionalFormatting sqref="M273">
    <cfRule type="expression" dxfId="1019" priority="66022" stopIfTrue="1">
      <formula>NOT(ISBLANK($M$273))</formula>
    </cfRule>
  </conditionalFormatting>
  <conditionalFormatting sqref="N273">
    <cfRule type="cellIs" dxfId="1018" priority="66023" stopIfTrue="1" operator="notEqual">
      <formula>"EBCT"</formula>
    </cfRule>
  </conditionalFormatting>
  <conditionalFormatting sqref="O273">
    <cfRule type="cellIs" dxfId="1017" priority="66024" stopIfTrue="1" operator="notEqual">
      <formula>4</formula>
    </cfRule>
  </conditionalFormatting>
  <conditionalFormatting sqref="P273">
    <cfRule type="expression" dxfId="1016" priority="66025" stopIfTrue="1">
      <formula>NOT(ISBLANK($P$273))</formula>
    </cfRule>
  </conditionalFormatting>
  <conditionalFormatting sqref="Q273">
    <cfRule type="expression" dxfId="1015" priority="66026" stopIfTrue="1">
      <formula>NOT(ISBLANK($Q$273))</formula>
    </cfRule>
  </conditionalFormatting>
  <conditionalFormatting sqref="R273">
    <cfRule type="expression" dxfId="1014" priority="66027" stopIfTrue="1">
      <formula>NOT(ISBLANK($R$273))</formula>
    </cfRule>
  </conditionalFormatting>
  <conditionalFormatting sqref="S273">
    <cfRule type="expression" dxfId="1013" priority="66028" stopIfTrue="1">
      <formula>NOT(ISBLANK($S$273))</formula>
    </cfRule>
  </conditionalFormatting>
  <conditionalFormatting sqref="T273">
    <cfRule type="expression" dxfId="1012" priority="66029" stopIfTrue="1">
      <formula>NOT(ISBLANK($T$273))</formula>
    </cfRule>
  </conditionalFormatting>
  <conditionalFormatting sqref="U273">
    <cfRule type="expression" dxfId="1011" priority="66030" stopIfTrue="1">
      <formula>NOT(ISBLANK($U$273))</formula>
    </cfRule>
  </conditionalFormatting>
  <conditionalFormatting sqref="V273">
    <cfRule type="expression" dxfId="1010" priority="66031" stopIfTrue="1">
      <formula>NOT(ISBLANK($V$273))</formula>
    </cfRule>
  </conditionalFormatting>
  <conditionalFormatting sqref="W273">
    <cfRule type="cellIs" dxfId="1009" priority="66032" stopIfTrue="1" operator="notEqual">
      <formula>6</formula>
    </cfRule>
  </conditionalFormatting>
  <conditionalFormatting sqref="X273">
    <cfRule type="cellIs" dxfId="1008" priority="66033" stopIfTrue="1" operator="notEqual">
      <formula>6</formula>
    </cfRule>
  </conditionalFormatting>
  <conditionalFormatting sqref="Y273">
    <cfRule type="cellIs" dxfId="1007" priority="66034" stopIfTrue="1" operator="notEqual">
      <formula>3</formula>
    </cfRule>
  </conditionalFormatting>
  <conditionalFormatting sqref="Z273">
    <cfRule type="cellIs" dxfId="1006" priority="66035" stopIfTrue="1" operator="notEqual">
      <formula>168</formula>
    </cfRule>
  </conditionalFormatting>
  <conditionalFormatting sqref="AA273">
    <cfRule type="cellIs" dxfId="1005" priority="66036" stopIfTrue="1" operator="notEqual">
      <formula>"POTW"</formula>
    </cfRule>
  </conditionalFormatting>
  <conditionalFormatting sqref="AB273">
    <cfRule type="cellIs" dxfId="1004" priority="66037" stopIfTrue="1" operator="notEqual">
      <formula>"none"</formula>
    </cfRule>
  </conditionalFormatting>
  <conditionalFormatting sqref="AC273">
    <cfRule type="cellIs" dxfId="1003" priority="66038" stopIfTrue="1" operator="notEqual">
      <formula>"manual transfer"</formula>
    </cfRule>
  </conditionalFormatting>
  <conditionalFormatting sqref="AD273">
    <cfRule type="expression" dxfId="1002" priority="66039" stopIfTrue="1">
      <formula>NOT(ISBLANK($AD$273))</formula>
    </cfRule>
  </conditionalFormatting>
  <conditionalFormatting sqref="AE273">
    <cfRule type="cellIs" dxfId="1001" priority="66040" stopIfTrue="1" operator="notEqual">
      <formula>0</formula>
    </cfRule>
  </conditionalFormatting>
  <conditionalFormatting sqref="AF273">
    <cfRule type="cellIs" dxfId="1000" priority="66041" stopIfTrue="1" operator="notEqual">
      <formula>0</formula>
    </cfRule>
  </conditionalFormatting>
  <conditionalFormatting sqref="AG273">
    <cfRule type="cellIs" dxfId="999" priority="66042" stopIfTrue="1" operator="notEqual">
      <formula>"existing pumps"</formula>
    </cfRule>
  </conditionalFormatting>
  <conditionalFormatting sqref="AH273">
    <cfRule type="cellIs" dxfId="998" priority="66043" stopIfTrue="1" operator="notEqual">
      <formula>"existing storage"</formula>
    </cfRule>
  </conditionalFormatting>
  <conditionalFormatting sqref="AI273">
    <cfRule type="cellIs" dxfId="997" priority="66044" stopIfTrue="1" operator="notEqual">
      <formula>"fully automated"</formula>
    </cfRule>
  </conditionalFormatting>
  <conditionalFormatting sqref="AJ273">
    <cfRule type="expression" dxfId="996" priority="66045" stopIfTrue="1">
      <formula>NOT(ISBLANK($AJ$273))</formula>
    </cfRule>
  </conditionalFormatting>
  <conditionalFormatting sqref="AK273">
    <cfRule type="cellIs" dxfId="995" priority="66046" stopIfTrue="1" operator="notEqual">
      <formula>"add-on"</formula>
    </cfRule>
  </conditionalFormatting>
  <conditionalFormatting sqref="AL273">
    <cfRule type="expression" dxfId="994" priority="66047" stopIfTrue="1">
      <formula>NOT(ISBLANK($AL$273))</formula>
    </cfRule>
  </conditionalFormatting>
  <conditionalFormatting sqref="AM273">
    <cfRule type="expression" dxfId="993" priority="66048" stopIfTrue="1">
      <formula>NOT(ISBLANK($AM$273))</formula>
    </cfRule>
  </conditionalFormatting>
  <conditionalFormatting sqref="AN273">
    <cfRule type="expression" dxfId="992" priority="66049" stopIfTrue="1">
      <formula>NOT(ISBLANK($AN$273))</formula>
    </cfRule>
  </conditionalFormatting>
  <conditionalFormatting sqref="AO273">
    <cfRule type="expression" dxfId="991" priority="66050" stopIfTrue="1">
      <formula>NOT(ISBLANK($AO$273))</formula>
    </cfRule>
  </conditionalFormatting>
  <conditionalFormatting sqref="AP273">
    <cfRule type="expression" dxfId="990" priority="66051" stopIfTrue="1">
      <formula>NOT(ISBLANK($AP$273))</formula>
    </cfRule>
  </conditionalFormatting>
  <conditionalFormatting sqref="AQ273">
    <cfRule type="expression" dxfId="989" priority="66052" stopIfTrue="1">
      <formula>NOT(ISBLANK($AQ$273))</formula>
    </cfRule>
  </conditionalFormatting>
  <conditionalFormatting sqref="A274">
    <cfRule type="cellIs" dxfId="988" priority="66053" stopIfTrue="1" operator="notEqual">
      <formula>17</formula>
    </cfRule>
  </conditionalFormatting>
  <conditionalFormatting sqref="B274">
    <cfRule type="cellIs" dxfId="987" priority="66054" stopIfTrue="1" operator="notEqual">
      <formula>2</formula>
    </cfRule>
  </conditionalFormatting>
  <conditionalFormatting sqref="C274">
    <cfRule type="cellIs" dxfId="986" priority="66055" stopIfTrue="1" operator="notEqual">
      <formula>2</formula>
    </cfRule>
  </conditionalFormatting>
  <conditionalFormatting sqref="D274">
    <cfRule type="cellIs" dxfId="985" priority="66056" stopIfTrue="1" operator="notEqual">
      <formula>0.124</formula>
    </cfRule>
  </conditionalFormatting>
  <conditionalFormatting sqref="E274">
    <cfRule type="cellIs" dxfId="984" priority="66057" stopIfTrue="1" operator="notEqual">
      <formula>"MGD"</formula>
    </cfRule>
  </conditionalFormatting>
  <conditionalFormatting sqref="F274">
    <cfRule type="cellIs" dxfId="983" priority="66058" stopIfTrue="1" operator="notEqual">
      <formula>0.035</formula>
    </cfRule>
  </conditionalFormatting>
  <conditionalFormatting sqref="G274">
    <cfRule type="cellIs" dxfId="982" priority="66059" stopIfTrue="1" operator="notEqual">
      <formula>"MGD"</formula>
    </cfRule>
  </conditionalFormatting>
  <conditionalFormatting sqref="H274">
    <cfRule type="cellIs" dxfId="981" priority="66060" stopIfTrue="1" operator="notEqual">
      <formula>"regeneration off-site (non-hazardous)"</formula>
    </cfRule>
  </conditionalFormatting>
  <conditionalFormatting sqref="I274">
    <cfRule type="cellIs" dxfId="980" priority="66061" stopIfTrue="1" operator="notEqual">
      <formula>"carbon life value- months"</formula>
    </cfRule>
  </conditionalFormatting>
  <conditionalFormatting sqref="J274">
    <cfRule type="cellIs" dxfId="979" priority="66062" stopIfTrue="1" operator="notEqual">
      <formula>12</formula>
    </cfRule>
  </conditionalFormatting>
  <conditionalFormatting sqref="K274">
    <cfRule type="expression" dxfId="978" priority="66063" stopIfTrue="1">
      <formula>NOT(ISBLANK($K$274))</formula>
    </cfRule>
  </conditionalFormatting>
  <conditionalFormatting sqref="L274">
    <cfRule type="expression" dxfId="977" priority="66064" stopIfTrue="1">
      <formula>NOT(ISBLANK($L$274))</formula>
    </cfRule>
  </conditionalFormatting>
  <conditionalFormatting sqref="M274">
    <cfRule type="expression" dxfId="976" priority="66065" stopIfTrue="1">
      <formula>NOT(ISBLANK($M$274))</formula>
    </cfRule>
  </conditionalFormatting>
  <conditionalFormatting sqref="N274">
    <cfRule type="cellIs" dxfId="975" priority="66066" stopIfTrue="1" operator="notEqual">
      <formula>"EBCT"</formula>
    </cfRule>
  </conditionalFormatting>
  <conditionalFormatting sqref="O274">
    <cfRule type="cellIs" dxfId="974" priority="66067" stopIfTrue="1" operator="notEqual">
      <formula>4</formula>
    </cfRule>
  </conditionalFormatting>
  <conditionalFormatting sqref="P274">
    <cfRule type="expression" dxfId="973" priority="66068" stopIfTrue="1">
      <formula>NOT(ISBLANK($P$274))</formula>
    </cfRule>
  </conditionalFormatting>
  <conditionalFormatting sqref="Q274">
    <cfRule type="expression" dxfId="972" priority="66069" stopIfTrue="1">
      <formula>NOT(ISBLANK($Q$274))</formula>
    </cfRule>
  </conditionalFormatting>
  <conditionalFormatting sqref="R274">
    <cfRule type="expression" dxfId="971" priority="66070" stopIfTrue="1">
      <formula>NOT(ISBLANK($R$274))</formula>
    </cfRule>
  </conditionalFormatting>
  <conditionalFormatting sqref="S274">
    <cfRule type="expression" dxfId="970" priority="66071" stopIfTrue="1">
      <formula>NOT(ISBLANK($S$274))</formula>
    </cfRule>
  </conditionalFormatting>
  <conditionalFormatting sqref="T274">
    <cfRule type="expression" dxfId="969" priority="66072" stopIfTrue="1">
      <formula>NOT(ISBLANK($T$274))</formula>
    </cfRule>
  </conditionalFormatting>
  <conditionalFormatting sqref="U274">
    <cfRule type="expression" dxfId="968" priority="66073" stopIfTrue="1">
      <formula>NOT(ISBLANK($U$274))</formula>
    </cfRule>
  </conditionalFormatting>
  <conditionalFormatting sqref="V274">
    <cfRule type="expression" dxfId="967" priority="66074" stopIfTrue="1">
      <formula>NOT(ISBLANK($V$274))</formula>
    </cfRule>
  </conditionalFormatting>
  <conditionalFormatting sqref="W274">
    <cfRule type="cellIs" dxfId="966" priority="66075" stopIfTrue="1" operator="notEqual">
      <formula>6</formula>
    </cfRule>
  </conditionalFormatting>
  <conditionalFormatting sqref="X274">
    <cfRule type="cellIs" dxfId="965" priority="66076" stopIfTrue="1" operator="notEqual">
      <formula>6</formula>
    </cfRule>
  </conditionalFormatting>
  <conditionalFormatting sqref="Y274">
    <cfRule type="cellIs" dxfId="964" priority="66077" stopIfTrue="1" operator="notEqual">
      <formula>3</formula>
    </cfRule>
  </conditionalFormatting>
  <conditionalFormatting sqref="Z274">
    <cfRule type="cellIs" dxfId="963" priority="66078" stopIfTrue="1" operator="notEqual">
      <formula>168</formula>
    </cfRule>
  </conditionalFormatting>
  <conditionalFormatting sqref="AA274">
    <cfRule type="cellIs" dxfId="962" priority="66079" stopIfTrue="1" operator="notEqual">
      <formula>"POTW"</formula>
    </cfRule>
  </conditionalFormatting>
  <conditionalFormatting sqref="AB274">
    <cfRule type="cellIs" dxfId="961" priority="66080" stopIfTrue="1" operator="notEqual">
      <formula>"none"</formula>
    </cfRule>
  </conditionalFormatting>
  <conditionalFormatting sqref="AC274">
    <cfRule type="cellIs" dxfId="960" priority="66081" stopIfTrue="1" operator="notEqual">
      <formula>"manual transfer"</formula>
    </cfRule>
  </conditionalFormatting>
  <conditionalFormatting sqref="AD274">
    <cfRule type="expression" dxfId="959" priority="66082" stopIfTrue="1">
      <formula>NOT(ISBLANK($AD$274))</formula>
    </cfRule>
  </conditionalFormatting>
  <conditionalFormatting sqref="AE274">
    <cfRule type="cellIs" dxfId="958" priority="66083" stopIfTrue="1" operator="notEqual">
      <formula>0</formula>
    </cfRule>
  </conditionalFormatting>
  <conditionalFormatting sqref="AF274">
    <cfRule type="cellIs" dxfId="957" priority="66084" stopIfTrue="1" operator="notEqual">
      <formula>0</formula>
    </cfRule>
  </conditionalFormatting>
  <conditionalFormatting sqref="AG274">
    <cfRule type="cellIs" dxfId="956" priority="66085" stopIfTrue="1" operator="notEqual">
      <formula>"existing pumps"</formula>
    </cfRule>
  </conditionalFormatting>
  <conditionalFormatting sqref="AH274">
    <cfRule type="cellIs" dxfId="955" priority="66086" stopIfTrue="1" operator="notEqual">
      <formula>"existing storage"</formula>
    </cfRule>
  </conditionalFormatting>
  <conditionalFormatting sqref="AI274">
    <cfRule type="cellIs" dxfId="954" priority="66087" stopIfTrue="1" operator="notEqual">
      <formula>"fully automated"</formula>
    </cfRule>
  </conditionalFormatting>
  <conditionalFormatting sqref="AJ274">
    <cfRule type="expression" dxfId="953" priority="66088" stopIfTrue="1">
      <formula>NOT(ISBLANK($AJ$274))</formula>
    </cfRule>
  </conditionalFormatting>
  <conditionalFormatting sqref="AK274">
    <cfRule type="cellIs" dxfId="952" priority="66089" stopIfTrue="1" operator="notEqual">
      <formula>"add-on"</formula>
    </cfRule>
  </conditionalFormatting>
  <conditionalFormatting sqref="AL274">
    <cfRule type="expression" dxfId="951" priority="66090" stopIfTrue="1">
      <formula>NOT(ISBLANK($AL$274))</formula>
    </cfRule>
  </conditionalFormatting>
  <conditionalFormatting sqref="AM274">
    <cfRule type="expression" dxfId="950" priority="66091" stopIfTrue="1">
      <formula>NOT(ISBLANK($AM$274))</formula>
    </cfRule>
  </conditionalFormatting>
  <conditionalFormatting sqref="AN274">
    <cfRule type="expression" dxfId="949" priority="66092" stopIfTrue="1">
      <formula>NOT(ISBLANK($AN$274))</formula>
    </cfRule>
  </conditionalFormatting>
  <conditionalFormatting sqref="AO274">
    <cfRule type="expression" dxfId="948" priority="66093" stopIfTrue="1">
      <formula>NOT(ISBLANK($AO$274))</formula>
    </cfRule>
  </conditionalFormatting>
  <conditionalFormatting sqref="AP274">
    <cfRule type="expression" dxfId="947" priority="66094" stopIfTrue="1">
      <formula>NOT(ISBLANK($AP$274))</formula>
    </cfRule>
  </conditionalFormatting>
  <conditionalFormatting sqref="AQ274">
    <cfRule type="expression" dxfId="946" priority="66095" stopIfTrue="1">
      <formula>NOT(ISBLANK($AQ$274))</formula>
    </cfRule>
  </conditionalFormatting>
  <conditionalFormatting sqref="A275">
    <cfRule type="cellIs" dxfId="945" priority="66096" stopIfTrue="1" operator="notEqual">
      <formula>17</formula>
    </cfRule>
  </conditionalFormatting>
  <conditionalFormatting sqref="B275">
    <cfRule type="cellIs" dxfId="944" priority="66097" stopIfTrue="1" operator="notEqual">
      <formula>2</formula>
    </cfRule>
  </conditionalFormatting>
  <conditionalFormatting sqref="C275">
    <cfRule type="cellIs" dxfId="943" priority="66098" stopIfTrue="1" operator="notEqual">
      <formula>3</formula>
    </cfRule>
  </conditionalFormatting>
  <conditionalFormatting sqref="D275">
    <cfRule type="cellIs" dxfId="942" priority="66099" stopIfTrue="1" operator="notEqual">
      <formula>0.305</formula>
    </cfRule>
  </conditionalFormatting>
  <conditionalFormatting sqref="E275">
    <cfRule type="cellIs" dxfId="941" priority="66100" stopIfTrue="1" operator="notEqual">
      <formula>"MGD"</formula>
    </cfRule>
  </conditionalFormatting>
  <conditionalFormatting sqref="F275">
    <cfRule type="cellIs" dxfId="940" priority="66101" stopIfTrue="1" operator="notEqual">
      <formula>0.094</formula>
    </cfRule>
  </conditionalFormatting>
  <conditionalFormatting sqref="G275">
    <cfRule type="cellIs" dxfId="939" priority="66102" stopIfTrue="1" operator="notEqual">
      <formula>"MGD"</formula>
    </cfRule>
  </conditionalFormatting>
  <conditionalFormatting sqref="H275">
    <cfRule type="cellIs" dxfId="938" priority="66103" stopIfTrue="1" operator="notEqual">
      <formula>"regeneration off-site (non-hazardous)"</formula>
    </cfRule>
  </conditionalFormatting>
  <conditionalFormatting sqref="I275">
    <cfRule type="cellIs" dxfId="937" priority="66104" stopIfTrue="1" operator="notEqual">
      <formula>"carbon life value- months"</formula>
    </cfRule>
  </conditionalFormatting>
  <conditionalFormatting sqref="J275">
    <cfRule type="cellIs" dxfId="936" priority="66105" stopIfTrue="1" operator="notEqual">
      <formula>12</formula>
    </cfRule>
  </conditionalFormatting>
  <conditionalFormatting sqref="K275">
    <cfRule type="expression" dxfId="935" priority="66106" stopIfTrue="1">
      <formula>NOT(ISBLANK($K$275))</formula>
    </cfRule>
  </conditionalFormatting>
  <conditionalFormatting sqref="L275">
    <cfRule type="expression" dxfId="934" priority="66107" stopIfTrue="1">
      <formula>NOT(ISBLANK($L$275))</formula>
    </cfRule>
  </conditionalFormatting>
  <conditionalFormatting sqref="M275">
    <cfRule type="expression" dxfId="933" priority="66108" stopIfTrue="1">
      <formula>NOT(ISBLANK($M$275))</formula>
    </cfRule>
  </conditionalFormatting>
  <conditionalFormatting sqref="N275">
    <cfRule type="cellIs" dxfId="932" priority="66109" stopIfTrue="1" operator="notEqual">
      <formula>"EBCT"</formula>
    </cfRule>
  </conditionalFormatting>
  <conditionalFormatting sqref="O275">
    <cfRule type="cellIs" dxfId="931" priority="66110" stopIfTrue="1" operator="notEqual">
      <formula>4</formula>
    </cfRule>
  </conditionalFormatting>
  <conditionalFormatting sqref="P275">
    <cfRule type="expression" dxfId="930" priority="66111" stopIfTrue="1">
      <formula>NOT(ISBLANK($P$275))</formula>
    </cfRule>
  </conditionalFormatting>
  <conditionalFormatting sqref="Q275">
    <cfRule type="expression" dxfId="929" priority="66112" stopIfTrue="1">
      <formula>NOT(ISBLANK($Q$275))</formula>
    </cfRule>
  </conditionalFormatting>
  <conditionalFormatting sqref="R275">
    <cfRule type="expression" dxfId="928" priority="66113" stopIfTrue="1">
      <formula>NOT(ISBLANK($R$275))</formula>
    </cfRule>
  </conditionalFormatting>
  <conditionalFormatting sqref="S275">
    <cfRule type="expression" dxfId="927" priority="66114" stopIfTrue="1">
      <formula>NOT(ISBLANK($S$275))</formula>
    </cfRule>
  </conditionalFormatting>
  <conditionalFormatting sqref="T275">
    <cfRule type="expression" dxfId="926" priority="66115" stopIfTrue="1">
      <formula>NOT(ISBLANK($T$275))</formula>
    </cfRule>
  </conditionalFormatting>
  <conditionalFormatting sqref="U275">
    <cfRule type="expression" dxfId="925" priority="66116" stopIfTrue="1">
      <formula>NOT(ISBLANK($U$275))</formula>
    </cfRule>
  </conditionalFormatting>
  <conditionalFormatting sqref="V275">
    <cfRule type="expression" dxfId="924" priority="66117" stopIfTrue="1">
      <formula>NOT(ISBLANK($V$275))</formula>
    </cfRule>
  </conditionalFormatting>
  <conditionalFormatting sqref="W275">
    <cfRule type="cellIs" dxfId="923" priority="66118" stopIfTrue="1" operator="notEqual">
      <formula>6</formula>
    </cfRule>
  </conditionalFormatting>
  <conditionalFormatting sqref="X275">
    <cfRule type="cellIs" dxfId="922" priority="66119" stopIfTrue="1" operator="notEqual">
      <formula>6</formula>
    </cfRule>
  </conditionalFormatting>
  <conditionalFormatting sqref="Y275">
    <cfRule type="cellIs" dxfId="921" priority="66120" stopIfTrue="1" operator="notEqual">
      <formula>3.2</formula>
    </cfRule>
  </conditionalFormatting>
  <conditionalFormatting sqref="Z275">
    <cfRule type="cellIs" dxfId="920" priority="66121" stopIfTrue="1" operator="notEqual">
      <formula>168</formula>
    </cfRule>
  </conditionalFormatting>
  <conditionalFormatting sqref="AA275">
    <cfRule type="cellIs" dxfId="919" priority="66122" stopIfTrue="1" operator="notEqual">
      <formula>"POTW"</formula>
    </cfRule>
  </conditionalFormatting>
  <conditionalFormatting sqref="AB275">
    <cfRule type="cellIs" dxfId="918" priority="66123" stopIfTrue="1" operator="notEqual">
      <formula>"none"</formula>
    </cfRule>
  </conditionalFormatting>
  <conditionalFormatting sqref="AC275">
    <cfRule type="cellIs" dxfId="917" priority="66124" stopIfTrue="1" operator="notEqual">
      <formula>"manual transfer"</formula>
    </cfRule>
  </conditionalFormatting>
  <conditionalFormatting sqref="AD275">
    <cfRule type="expression" dxfId="916" priority="66125" stopIfTrue="1">
      <formula>NOT(ISBLANK($AD$275))</formula>
    </cfRule>
  </conditionalFormatting>
  <conditionalFormatting sqref="AE275">
    <cfRule type="cellIs" dxfId="915" priority="66126" stopIfTrue="1" operator="notEqual">
      <formula>0</formula>
    </cfRule>
  </conditionalFormatting>
  <conditionalFormatting sqref="AF275">
    <cfRule type="cellIs" dxfId="914" priority="66127" stopIfTrue="1" operator="notEqual">
      <formula>0</formula>
    </cfRule>
  </conditionalFormatting>
  <conditionalFormatting sqref="AG275">
    <cfRule type="cellIs" dxfId="913" priority="66128" stopIfTrue="1" operator="notEqual">
      <formula>"existing pumps"</formula>
    </cfRule>
  </conditionalFormatting>
  <conditionalFormatting sqref="AH275">
    <cfRule type="cellIs" dxfId="912" priority="66129" stopIfTrue="1" operator="notEqual">
      <formula>"existing storage"</formula>
    </cfRule>
  </conditionalFormatting>
  <conditionalFormatting sqref="AI275">
    <cfRule type="cellIs" dxfId="911" priority="66130" stopIfTrue="1" operator="notEqual">
      <formula>"fully automated"</formula>
    </cfRule>
  </conditionalFormatting>
  <conditionalFormatting sqref="AJ275">
    <cfRule type="expression" dxfId="910" priority="66131" stopIfTrue="1">
      <formula>NOT(ISBLANK($AJ$275))</formula>
    </cfRule>
  </conditionalFormatting>
  <conditionalFormatting sqref="AK275">
    <cfRule type="cellIs" dxfId="909" priority="66132" stopIfTrue="1" operator="notEqual">
      <formula>"add-on"</formula>
    </cfRule>
  </conditionalFormatting>
  <conditionalFormatting sqref="AL275">
    <cfRule type="expression" dxfId="908" priority="66133" stopIfTrue="1">
      <formula>NOT(ISBLANK($AL$275))</formula>
    </cfRule>
  </conditionalFormatting>
  <conditionalFormatting sqref="AM275">
    <cfRule type="expression" dxfId="907" priority="66134" stopIfTrue="1">
      <formula>NOT(ISBLANK($AM$275))</formula>
    </cfRule>
  </conditionalFormatting>
  <conditionalFormatting sqref="AN275">
    <cfRule type="expression" dxfId="906" priority="66135" stopIfTrue="1">
      <formula>NOT(ISBLANK($AN$275))</formula>
    </cfRule>
  </conditionalFormatting>
  <conditionalFormatting sqref="AO275">
    <cfRule type="expression" dxfId="905" priority="66136" stopIfTrue="1">
      <formula>NOT(ISBLANK($AO$275))</formula>
    </cfRule>
  </conditionalFormatting>
  <conditionalFormatting sqref="AP275">
    <cfRule type="expression" dxfId="904" priority="66137" stopIfTrue="1">
      <formula>NOT(ISBLANK($AP$275))</formula>
    </cfRule>
  </conditionalFormatting>
  <conditionalFormatting sqref="AQ275">
    <cfRule type="expression" dxfId="903" priority="66138" stopIfTrue="1">
      <formula>NOT(ISBLANK($AQ$275))</formula>
    </cfRule>
  </conditionalFormatting>
  <conditionalFormatting sqref="A276">
    <cfRule type="cellIs" dxfId="902" priority="66139" stopIfTrue="1" operator="notEqual">
      <formula>17</formula>
    </cfRule>
  </conditionalFormatting>
  <conditionalFormatting sqref="B276">
    <cfRule type="cellIs" dxfId="901" priority="66140" stopIfTrue="1" operator="notEqual">
      <formula>2</formula>
    </cfRule>
  </conditionalFormatting>
  <conditionalFormatting sqref="C276">
    <cfRule type="cellIs" dxfId="900" priority="66141" stopIfTrue="1" operator="notEqual">
      <formula>4</formula>
    </cfRule>
  </conditionalFormatting>
  <conditionalFormatting sqref="D276">
    <cfRule type="cellIs" dxfId="899" priority="66142" stopIfTrue="1" operator="notEqual">
      <formula>0.74</formula>
    </cfRule>
  </conditionalFormatting>
  <conditionalFormatting sqref="E276">
    <cfRule type="cellIs" dxfId="898" priority="66143" stopIfTrue="1" operator="notEqual">
      <formula>"MGD"</formula>
    </cfRule>
  </conditionalFormatting>
  <conditionalFormatting sqref="F276">
    <cfRule type="cellIs" dxfId="897" priority="66144" stopIfTrue="1" operator="notEqual">
      <formula>0.251</formula>
    </cfRule>
  </conditionalFormatting>
  <conditionalFormatting sqref="G276">
    <cfRule type="cellIs" dxfId="896" priority="66145" stopIfTrue="1" operator="notEqual">
      <formula>"MGD"</formula>
    </cfRule>
  </conditionalFormatting>
  <conditionalFormatting sqref="H276">
    <cfRule type="cellIs" dxfId="895" priority="66146" stopIfTrue="1" operator="notEqual">
      <formula>"regeneration off-site (non-hazardous)"</formula>
    </cfRule>
  </conditionalFormatting>
  <conditionalFormatting sqref="I276">
    <cfRule type="cellIs" dxfId="894" priority="66147" stopIfTrue="1" operator="notEqual">
      <formula>"carbon life value- months"</formula>
    </cfRule>
  </conditionalFormatting>
  <conditionalFormatting sqref="J276">
    <cfRule type="cellIs" dxfId="893" priority="66148" stopIfTrue="1" operator="notEqual">
      <formula>12</formula>
    </cfRule>
  </conditionalFormatting>
  <conditionalFormatting sqref="K276">
    <cfRule type="expression" dxfId="892" priority="66149" stopIfTrue="1">
      <formula>NOT(ISBLANK($K$276))</formula>
    </cfRule>
  </conditionalFormatting>
  <conditionalFormatting sqref="L276">
    <cfRule type="expression" dxfId="891" priority="66150" stopIfTrue="1">
      <formula>NOT(ISBLANK($L$276))</formula>
    </cfRule>
  </conditionalFormatting>
  <conditionalFormatting sqref="M276">
    <cfRule type="expression" dxfId="890" priority="66151" stopIfTrue="1">
      <formula>NOT(ISBLANK($M$276))</formula>
    </cfRule>
  </conditionalFormatting>
  <conditionalFormatting sqref="N276">
    <cfRule type="cellIs" dxfId="889" priority="66152" stopIfTrue="1" operator="notEqual">
      <formula>"EBCT"</formula>
    </cfRule>
  </conditionalFormatting>
  <conditionalFormatting sqref="O276">
    <cfRule type="cellIs" dxfId="888" priority="66153" stopIfTrue="1" operator="notEqual">
      <formula>4</formula>
    </cfRule>
  </conditionalFormatting>
  <conditionalFormatting sqref="P276">
    <cfRule type="expression" dxfId="887" priority="66154" stopIfTrue="1">
      <formula>NOT(ISBLANK($P$276))</formula>
    </cfRule>
  </conditionalFormatting>
  <conditionalFormatting sqref="Q276">
    <cfRule type="expression" dxfId="886" priority="66155" stopIfTrue="1">
      <formula>NOT(ISBLANK($Q$276))</formula>
    </cfRule>
  </conditionalFormatting>
  <conditionalFormatting sqref="R276">
    <cfRule type="expression" dxfId="885" priority="66156" stopIfTrue="1">
      <formula>NOT(ISBLANK($R$276))</formula>
    </cfRule>
  </conditionalFormatting>
  <conditionalFormatting sqref="S276">
    <cfRule type="expression" dxfId="884" priority="66157" stopIfTrue="1">
      <formula>NOT(ISBLANK($S$276))</formula>
    </cfRule>
  </conditionalFormatting>
  <conditionalFormatting sqref="T276">
    <cfRule type="expression" dxfId="883" priority="66158" stopIfTrue="1">
      <formula>NOT(ISBLANK($T$276))</formula>
    </cfRule>
  </conditionalFormatting>
  <conditionalFormatting sqref="U276">
    <cfRule type="expression" dxfId="882" priority="66159" stopIfTrue="1">
      <formula>NOT(ISBLANK($U$276))</formula>
    </cfRule>
  </conditionalFormatting>
  <conditionalFormatting sqref="V276">
    <cfRule type="expression" dxfId="881" priority="66160" stopIfTrue="1">
      <formula>NOT(ISBLANK($V$276))</formula>
    </cfRule>
  </conditionalFormatting>
  <conditionalFormatting sqref="W276">
    <cfRule type="cellIs" dxfId="880" priority="66161" stopIfTrue="1" operator="notEqual">
      <formula>7.5</formula>
    </cfRule>
  </conditionalFormatting>
  <conditionalFormatting sqref="X276">
    <cfRule type="cellIs" dxfId="879" priority="66162" stopIfTrue="1" operator="notEqual">
      <formula>7.5</formula>
    </cfRule>
  </conditionalFormatting>
  <conditionalFormatting sqref="Y276">
    <cfRule type="cellIs" dxfId="878" priority="66163" stopIfTrue="1" operator="notEqual">
      <formula>4.9</formula>
    </cfRule>
  </conditionalFormatting>
  <conditionalFormatting sqref="Z276">
    <cfRule type="cellIs" dxfId="877" priority="66164" stopIfTrue="1" operator="notEqual">
      <formula>168</formula>
    </cfRule>
  </conditionalFormatting>
  <conditionalFormatting sqref="AA276">
    <cfRule type="cellIs" dxfId="876" priority="66165" stopIfTrue="1" operator="notEqual">
      <formula>"POTW"</formula>
    </cfRule>
  </conditionalFormatting>
  <conditionalFormatting sqref="AB276">
    <cfRule type="cellIs" dxfId="875" priority="66166" stopIfTrue="1" operator="notEqual">
      <formula>"none"</formula>
    </cfRule>
  </conditionalFormatting>
  <conditionalFormatting sqref="AC276">
    <cfRule type="cellIs" dxfId="874" priority="66167" stopIfTrue="1" operator="notEqual">
      <formula>"manual transfer"</formula>
    </cfRule>
  </conditionalFormatting>
  <conditionalFormatting sqref="AD276">
    <cfRule type="expression" dxfId="873" priority="66168" stopIfTrue="1">
      <formula>NOT(ISBLANK($AD$276))</formula>
    </cfRule>
  </conditionalFormatting>
  <conditionalFormatting sqref="AE276">
    <cfRule type="cellIs" dxfId="872" priority="66169" stopIfTrue="1" operator="notEqual">
      <formula>0</formula>
    </cfRule>
  </conditionalFormatting>
  <conditionalFormatting sqref="AF276">
    <cfRule type="cellIs" dxfId="871" priority="66170" stopIfTrue="1" operator="notEqual">
      <formula>0</formula>
    </cfRule>
  </conditionalFormatting>
  <conditionalFormatting sqref="AG276">
    <cfRule type="cellIs" dxfId="870" priority="66171" stopIfTrue="1" operator="notEqual">
      <formula>"existing pumps"</formula>
    </cfRule>
  </conditionalFormatting>
  <conditionalFormatting sqref="AH276">
    <cfRule type="cellIs" dxfId="869" priority="66172" stopIfTrue="1" operator="notEqual">
      <formula>"existing storage"</formula>
    </cfRule>
  </conditionalFormatting>
  <conditionalFormatting sqref="AI276">
    <cfRule type="cellIs" dxfId="868" priority="66173" stopIfTrue="1" operator="notEqual">
      <formula>"fully automated"</formula>
    </cfRule>
  </conditionalFormatting>
  <conditionalFormatting sqref="AJ276">
    <cfRule type="expression" dxfId="867" priority="66174" stopIfTrue="1">
      <formula>NOT(ISBLANK($AJ$276))</formula>
    </cfRule>
  </conditionalFormatting>
  <conditionalFormatting sqref="AK276">
    <cfRule type="cellIs" dxfId="866" priority="66175" stopIfTrue="1" operator="notEqual">
      <formula>"add-on"</formula>
    </cfRule>
  </conditionalFormatting>
  <conditionalFormatting sqref="AL276">
    <cfRule type="expression" dxfId="865" priority="66176" stopIfTrue="1">
      <formula>NOT(ISBLANK($AL$276))</formula>
    </cfRule>
  </conditionalFormatting>
  <conditionalFormatting sqref="AM276">
    <cfRule type="expression" dxfId="864" priority="66177" stopIfTrue="1">
      <formula>NOT(ISBLANK($AM$276))</formula>
    </cfRule>
  </conditionalFormatting>
  <conditionalFormatting sqref="AN276">
    <cfRule type="expression" dxfId="863" priority="66178" stopIfTrue="1">
      <formula>NOT(ISBLANK($AN$276))</formula>
    </cfRule>
  </conditionalFormatting>
  <conditionalFormatting sqref="AO276">
    <cfRule type="expression" dxfId="862" priority="66179" stopIfTrue="1">
      <formula>NOT(ISBLANK($AO$276))</formula>
    </cfRule>
  </conditionalFormatting>
  <conditionalFormatting sqref="AP276">
    <cfRule type="expression" dxfId="861" priority="66180" stopIfTrue="1">
      <formula>NOT(ISBLANK($AP$276))</formula>
    </cfRule>
  </conditionalFormatting>
  <conditionalFormatting sqref="AQ276">
    <cfRule type="expression" dxfId="860" priority="66181" stopIfTrue="1">
      <formula>NOT(ISBLANK($AQ$276))</formula>
    </cfRule>
  </conditionalFormatting>
  <conditionalFormatting sqref="A277">
    <cfRule type="cellIs" dxfId="859" priority="66182" stopIfTrue="1" operator="notEqual">
      <formula>17</formula>
    </cfRule>
  </conditionalFormatting>
  <conditionalFormatting sqref="B277">
    <cfRule type="cellIs" dxfId="858" priority="66183" stopIfTrue="1" operator="notEqual">
      <formula>2</formula>
    </cfRule>
  </conditionalFormatting>
  <conditionalFormatting sqref="C277">
    <cfRule type="cellIs" dxfId="857" priority="66184" stopIfTrue="1" operator="notEqual">
      <formula>5</formula>
    </cfRule>
  </conditionalFormatting>
  <conditionalFormatting sqref="D277">
    <cfRule type="cellIs" dxfId="856" priority="66185" stopIfTrue="1" operator="notEqual">
      <formula>2.152</formula>
    </cfRule>
  </conditionalFormatting>
  <conditionalFormatting sqref="E277">
    <cfRule type="cellIs" dxfId="855" priority="66186" stopIfTrue="1" operator="notEqual">
      <formula>"MGD"</formula>
    </cfRule>
  </conditionalFormatting>
  <conditionalFormatting sqref="F277">
    <cfRule type="cellIs" dxfId="854" priority="66187" stopIfTrue="1" operator="notEqual">
      <formula>0.819</formula>
    </cfRule>
  </conditionalFormatting>
  <conditionalFormatting sqref="G277">
    <cfRule type="cellIs" dxfId="853" priority="66188" stopIfTrue="1" operator="notEqual">
      <formula>"MGD"</formula>
    </cfRule>
  </conditionalFormatting>
  <conditionalFormatting sqref="H277">
    <cfRule type="cellIs" dxfId="852" priority="66189" stopIfTrue="1" operator="notEqual">
      <formula>"regeneration off-site (non-hazardous)"</formula>
    </cfRule>
  </conditionalFormatting>
  <conditionalFormatting sqref="I277">
    <cfRule type="cellIs" dxfId="851" priority="66190" stopIfTrue="1" operator="notEqual">
      <formula>"carbon life value- months"</formula>
    </cfRule>
  </conditionalFormatting>
  <conditionalFormatting sqref="J277">
    <cfRule type="cellIs" dxfId="850" priority="66191" stopIfTrue="1" operator="notEqual">
      <formula>12</formula>
    </cfRule>
  </conditionalFormatting>
  <conditionalFormatting sqref="K277">
    <cfRule type="expression" dxfId="849" priority="66192" stopIfTrue="1">
      <formula>NOT(ISBLANK($K$277))</formula>
    </cfRule>
  </conditionalFormatting>
  <conditionalFormatting sqref="L277">
    <cfRule type="expression" dxfId="848" priority="66193" stopIfTrue="1">
      <formula>NOT(ISBLANK($L$277))</formula>
    </cfRule>
  </conditionalFormatting>
  <conditionalFormatting sqref="M277">
    <cfRule type="expression" dxfId="847" priority="66194" stopIfTrue="1">
      <formula>NOT(ISBLANK($M$277))</formula>
    </cfRule>
  </conditionalFormatting>
  <conditionalFormatting sqref="N277">
    <cfRule type="cellIs" dxfId="846" priority="66195" stopIfTrue="1" operator="notEqual">
      <formula>"EBCT"</formula>
    </cfRule>
  </conditionalFormatting>
  <conditionalFormatting sqref="O277">
    <cfRule type="cellIs" dxfId="845" priority="66196" stopIfTrue="1" operator="notEqual">
      <formula>4</formula>
    </cfRule>
  </conditionalFormatting>
  <conditionalFormatting sqref="P277">
    <cfRule type="expression" dxfId="844" priority="66197" stopIfTrue="1">
      <formula>NOT(ISBLANK($P$277))</formula>
    </cfRule>
  </conditionalFormatting>
  <conditionalFormatting sqref="Q277">
    <cfRule type="expression" dxfId="843" priority="66198" stopIfTrue="1">
      <formula>NOT(ISBLANK($Q$277))</formula>
    </cfRule>
  </conditionalFormatting>
  <conditionalFormatting sqref="R277">
    <cfRule type="expression" dxfId="842" priority="66199" stopIfTrue="1">
      <formula>NOT(ISBLANK($R$277))</formula>
    </cfRule>
  </conditionalFormatting>
  <conditionalFormatting sqref="S277">
    <cfRule type="expression" dxfId="841" priority="66200" stopIfTrue="1">
      <formula>NOT(ISBLANK($S$277))</formula>
    </cfRule>
  </conditionalFormatting>
  <conditionalFormatting sqref="T277">
    <cfRule type="expression" dxfId="840" priority="66201" stopIfTrue="1">
      <formula>NOT(ISBLANK($T$277))</formula>
    </cfRule>
  </conditionalFormatting>
  <conditionalFormatting sqref="U277">
    <cfRule type="expression" dxfId="839" priority="66202" stopIfTrue="1">
      <formula>NOT(ISBLANK($U$277))</formula>
    </cfRule>
  </conditionalFormatting>
  <conditionalFormatting sqref="V277">
    <cfRule type="expression" dxfId="838" priority="66203" stopIfTrue="1">
      <formula>NOT(ISBLANK($V$277))</formula>
    </cfRule>
  </conditionalFormatting>
  <conditionalFormatting sqref="W277">
    <cfRule type="cellIs" dxfId="837" priority="66204" stopIfTrue="1" operator="notEqual">
      <formula>12.5</formula>
    </cfRule>
  </conditionalFormatting>
  <conditionalFormatting sqref="X277">
    <cfRule type="cellIs" dxfId="836" priority="66205" stopIfTrue="1" operator="notEqual">
      <formula>12.5</formula>
    </cfRule>
  </conditionalFormatting>
  <conditionalFormatting sqref="Y277">
    <cfRule type="cellIs" dxfId="835" priority="66206" stopIfTrue="1" operator="notEqual">
      <formula>5.2</formula>
    </cfRule>
  </conditionalFormatting>
  <conditionalFormatting sqref="Z277">
    <cfRule type="cellIs" dxfId="834" priority="66207" stopIfTrue="1" operator="notEqual">
      <formula>168</formula>
    </cfRule>
  </conditionalFormatting>
  <conditionalFormatting sqref="AA277">
    <cfRule type="cellIs" dxfId="833" priority="66208" stopIfTrue="1" operator="notEqual">
      <formula>"POTW"</formula>
    </cfRule>
  </conditionalFormatting>
  <conditionalFormatting sqref="AB277">
    <cfRule type="cellIs" dxfId="832" priority="66209" stopIfTrue="1" operator="notEqual">
      <formula>"none"</formula>
    </cfRule>
  </conditionalFormatting>
  <conditionalFormatting sqref="AC277">
    <cfRule type="cellIs" dxfId="831" priority="66210" stopIfTrue="1" operator="notEqual">
      <formula>"manual transfer"</formula>
    </cfRule>
  </conditionalFormatting>
  <conditionalFormatting sqref="AD277">
    <cfRule type="expression" dxfId="830" priority="66211" stopIfTrue="1">
      <formula>NOT(ISBLANK($AD$277))</formula>
    </cfRule>
  </conditionalFormatting>
  <conditionalFormatting sqref="AE277">
    <cfRule type="cellIs" dxfId="829" priority="66212" stopIfTrue="1" operator="notEqual">
      <formula>0</formula>
    </cfRule>
  </conditionalFormatting>
  <conditionalFormatting sqref="AF277">
    <cfRule type="cellIs" dxfId="828" priority="66213" stopIfTrue="1" operator="notEqual">
      <formula>0</formula>
    </cfRule>
  </conditionalFormatting>
  <conditionalFormatting sqref="AG277">
    <cfRule type="cellIs" dxfId="827" priority="66214" stopIfTrue="1" operator="notEqual">
      <formula>"existing pumps"</formula>
    </cfRule>
  </conditionalFormatting>
  <conditionalFormatting sqref="AH277">
    <cfRule type="cellIs" dxfId="826" priority="66215" stopIfTrue="1" operator="notEqual">
      <formula>"existing storage"</formula>
    </cfRule>
  </conditionalFormatting>
  <conditionalFormatting sqref="AI277">
    <cfRule type="cellIs" dxfId="825" priority="66216" stopIfTrue="1" operator="notEqual">
      <formula>"fully automated"</formula>
    </cfRule>
  </conditionalFormatting>
  <conditionalFormatting sqref="AJ277">
    <cfRule type="expression" dxfId="824" priority="66217" stopIfTrue="1">
      <formula>NOT(ISBLANK($AJ$277))</formula>
    </cfRule>
  </conditionalFormatting>
  <conditionalFormatting sqref="AK277">
    <cfRule type="cellIs" dxfId="823" priority="66218" stopIfTrue="1" operator="notEqual">
      <formula>"add-on"</formula>
    </cfRule>
  </conditionalFormatting>
  <conditionalFormatting sqref="AL277">
    <cfRule type="expression" dxfId="822" priority="66219" stopIfTrue="1">
      <formula>NOT(ISBLANK($AL$277))</formula>
    </cfRule>
  </conditionalFormatting>
  <conditionalFormatting sqref="AM277">
    <cfRule type="expression" dxfId="821" priority="66220" stopIfTrue="1">
      <formula>NOT(ISBLANK($AM$277))</formula>
    </cfRule>
  </conditionalFormatting>
  <conditionalFormatting sqref="AN277">
    <cfRule type="expression" dxfId="820" priority="66221" stopIfTrue="1">
      <formula>NOT(ISBLANK($AN$277))</formula>
    </cfRule>
  </conditionalFormatting>
  <conditionalFormatting sqref="AO277">
    <cfRule type="expression" dxfId="819" priority="66222" stopIfTrue="1">
      <formula>NOT(ISBLANK($AO$277))</formula>
    </cfRule>
  </conditionalFormatting>
  <conditionalFormatting sqref="AP277">
    <cfRule type="expression" dxfId="818" priority="66223" stopIfTrue="1">
      <formula>NOT(ISBLANK($AP$277))</formula>
    </cfRule>
  </conditionalFormatting>
  <conditionalFormatting sqref="AQ277">
    <cfRule type="expression" dxfId="817" priority="66224" stopIfTrue="1">
      <formula>NOT(ISBLANK($AQ$277))</formula>
    </cfRule>
  </conditionalFormatting>
  <conditionalFormatting sqref="A278">
    <cfRule type="cellIs" dxfId="816" priority="66225" stopIfTrue="1" operator="notEqual">
      <formula>17</formula>
    </cfRule>
  </conditionalFormatting>
  <conditionalFormatting sqref="B278">
    <cfRule type="cellIs" dxfId="815" priority="66226" stopIfTrue="1" operator="notEqual">
      <formula>2</formula>
    </cfRule>
  </conditionalFormatting>
  <conditionalFormatting sqref="C278">
    <cfRule type="cellIs" dxfId="814" priority="66227" stopIfTrue="1" operator="notEqual">
      <formula>6</formula>
    </cfRule>
  </conditionalFormatting>
  <conditionalFormatting sqref="D278">
    <cfRule type="cellIs" dxfId="813" priority="66228" stopIfTrue="1" operator="notEqual">
      <formula>7.365</formula>
    </cfRule>
  </conditionalFormatting>
  <conditionalFormatting sqref="E278">
    <cfRule type="cellIs" dxfId="812" priority="66229" stopIfTrue="1" operator="notEqual">
      <formula>"MGD"</formula>
    </cfRule>
  </conditionalFormatting>
  <conditionalFormatting sqref="F278">
    <cfRule type="cellIs" dxfId="811" priority="66230" stopIfTrue="1" operator="notEqual">
      <formula>3.2</formula>
    </cfRule>
  </conditionalFormatting>
  <conditionalFormatting sqref="G278">
    <cfRule type="cellIs" dxfId="810" priority="66231" stopIfTrue="1" operator="notEqual">
      <formula>"MGD"</formula>
    </cfRule>
  </conditionalFormatting>
  <conditionalFormatting sqref="H278">
    <cfRule type="cellIs" dxfId="809" priority="66232" stopIfTrue="1" operator="notEqual">
      <formula>"regeneration off-site (non-hazardous)"</formula>
    </cfRule>
  </conditionalFormatting>
  <conditionalFormatting sqref="I278">
    <cfRule type="cellIs" dxfId="808" priority="66233" stopIfTrue="1" operator="notEqual">
      <formula>"carbon life value- months"</formula>
    </cfRule>
  </conditionalFormatting>
  <conditionalFormatting sqref="J278">
    <cfRule type="cellIs" dxfId="807" priority="66234" stopIfTrue="1" operator="notEqual">
      <formula>12</formula>
    </cfRule>
  </conditionalFormatting>
  <conditionalFormatting sqref="K278">
    <cfRule type="expression" dxfId="806" priority="66235" stopIfTrue="1">
      <formula>NOT(ISBLANK($K$278))</formula>
    </cfRule>
  </conditionalFormatting>
  <conditionalFormatting sqref="L278">
    <cfRule type="expression" dxfId="805" priority="66236" stopIfTrue="1">
      <formula>NOT(ISBLANK($L$278))</formula>
    </cfRule>
  </conditionalFormatting>
  <conditionalFormatting sqref="M278">
    <cfRule type="expression" dxfId="804" priority="66237" stopIfTrue="1">
      <formula>NOT(ISBLANK($M$278))</formula>
    </cfRule>
  </conditionalFormatting>
  <conditionalFormatting sqref="N278">
    <cfRule type="cellIs" dxfId="803" priority="66238" stopIfTrue="1" operator="notEqual">
      <formula>"EBCT"</formula>
    </cfRule>
  </conditionalFormatting>
  <conditionalFormatting sqref="O278">
    <cfRule type="cellIs" dxfId="802" priority="66239" stopIfTrue="1" operator="notEqual">
      <formula>4</formula>
    </cfRule>
  </conditionalFormatting>
  <conditionalFormatting sqref="P278">
    <cfRule type="expression" dxfId="801" priority="66240" stopIfTrue="1">
      <formula>NOT(ISBLANK($P$278))</formula>
    </cfRule>
  </conditionalFormatting>
  <conditionalFormatting sqref="Q278">
    <cfRule type="expression" dxfId="800" priority="66241" stopIfTrue="1">
      <formula>NOT(ISBLANK($Q$278))</formula>
    </cfRule>
  </conditionalFormatting>
  <conditionalFormatting sqref="R278">
    <cfRule type="expression" dxfId="799" priority="66242" stopIfTrue="1">
      <formula>NOT(ISBLANK($R$278))</formula>
    </cfRule>
  </conditionalFormatting>
  <conditionalFormatting sqref="S278">
    <cfRule type="expression" dxfId="798" priority="66243" stopIfTrue="1">
      <formula>NOT(ISBLANK($S$278))</formula>
    </cfRule>
  </conditionalFormatting>
  <conditionalFormatting sqref="T278">
    <cfRule type="expression" dxfId="797" priority="66244" stopIfTrue="1">
      <formula>NOT(ISBLANK($T$278))</formula>
    </cfRule>
  </conditionalFormatting>
  <conditionalFormatting sqref="U278">
    <cfRule type="expression" dxfId="796" priority="66245" stopIfTrue="1">
      <formula>NOT(ISBLANK($U$278))</formula>
    </cfRule>
  </conditionalFormatting>
  <conditionalFormatting sqref="V278">
    <cfRule type="expression" dxfId="795" priority="66246" stopIfTrue="1">
      <formula>NOT(ISBLANK($V$278))</formula>
    </cfRule>
  </conditionalFormatting>
  <conditionalFormatting sqref="W278">
    <cfRule type="cellIs" dxfId="794" priority="66247" stopIfTrue="1" operator="notEqual">
      <formula>23</formula>
    </cfRule>
  </conditionalFormatting>
  <conditionalFormatting sqref="X278">
    <cfRule type="cellIs" dxfId="793" priority="66248" stopIfTrue="1" operator="notEqual">
      <formula>23</formula>
    </cfRule>
  </conditionalFormatting>
  <conditionalFormatting sqref="Y278">
    <cfRule type="cellIs" dxfId="792" priority="66249" stopIfTrue="1" operator="notEqual">
      <formula>5.2</formula>
    </cfRule>
  </conditionalFormatting>
  <conditionalFormatting sqref="Z278">
    <cfRule type="cellIs" dxfId="791" priority="66250" stopIfTrue="1" operator="notEqual">
      <formula>168</formula>
    </cfRule>
  </conditionalFormatting>
  <conditionalFormatting sqref="AA278">
    <cfRule type="cellIs" dxfId="790" priority="66251" stopIfTrue="1" operator="notEqual">
      <formula>"POTW"</formula>
    </cfRule>
  </conditionalFormatting>
  <conditionalFormatting sqref="AB278">
    <cfRule type="cellIs" dxfId="789" priority="66252" stopIfTrue="1" operator="notEqual">
      <formula>"none"</formula>
    </cfRule>
  </conditionalFormatting>
  <conditionalFormatting sqref="AC278">
    <cfRule type="cellIs" dxfId="788" priority="66253" stopIfTrue="1" operator="notEqual">
      <formula>"manual transfer"</formula>
    </cfRule>
  </conditionalFormatting>
  <conditionalFormatting sqref="AD278">
    <cfRule type="expression" dxfId="787" priority="66254" stopIfTrue="1">
      <formula>NOT(ISBLANK($AD$278))</formula>
    </cfRule>
  </conditionalFormatting>
  <conditionalFormatting sqref="AE278">
    <cfRule type="cellIs" dxfId="786" priority="66255" stopIfTrue="1" operator="notEqual">
      <formula>0</formula>
    </cfRule>
  </conditionalFormatting>
  <conditionalFormatting sqref="AF278">
    <cfRule type="cellIs" dxfId="785" priority="66256" stopIfTrue="1" operator="notEqual">
      <formula>0</formula>
    </cfRule>
  </conditionalFormatting>
  <conditionalFormatting sqref="AG278">
    <cfRule type="cellIs" dxfId="784" priority="66257" stopIfTrue="1" operator="notEqual">
      <formula>"existing pumps"</formula>
    </cfRule>
  </conditionalFormatting>
  <conditionalFormatting sqref="AH278">
    <cfRule type="cellIs" dxfId="783" priority="66258" stopIfTrue="1" operator="notEqual">
      <formula>"existing storage"</formula>
    </cfRule>
  </conditionalFormatting>
  <conditionalFormatting sqref="AI278">
    <cfRule type="cellIs" dxfId="782" priority="66259" stopIfTrue="1" operator="notEqual">
      <formula>"fully automated"</formula>
    </cfRule>
  </conditionalFormatting>
  <conditionalFormatting sqref="AJ278">
    <cfRule type="expression" dxfId="781" priority="66260" stopIfTrue="1">
      <formula>NOT(ISBLANK($AJ$278))</formula>
    </cfRule>
  </conditionalFormatting>
  <conditionalFormatting sqref="AK278">
    <cfRule type="cellIs" dxfId="780" priority="66261" stopIfTrue="1" operator="notEqual">
      <formula>"add-on"</formula>
    </cfRule>
  </conditionalFormatting>
  <conditionalFormatting sqref="AL278">
    <cfRule type="expression" dxfId="779" priority="66262" stopIfTrue="1">
      <formula>NOT(ISBLANK($AL$278))</formula>
    </cfRule>
  </conditionalFormatting>
  <conditionalFormatting sqref="AM278">
    <cfRule type="expression" dxfId="778" priority="66263" stopIfTrue="1">
      <formula>NOT(ISBLANK($AM$278))</formula>
    </cfRule>
  </conditionalFormatting>
  <conditionalFormatting sqref="AN278">
    <cfRule type="expression" dxfId="777" priority="66264" stopIfTrue="1">
      <formula>NOT(ISBLANK($AN$278))</formula>
    </cfRule>
  </conditionalFormatting>
  <conditionalFormatting sqref="AO278">
    <cfRule type="expression" dxfId="776" priority="66265" stopIfTrue="1">
      <formula>NOT(ISBLANK($AO$278))</formula>
    </cfRule>
  </conditionalFormatting>
  <conditionalFormatting sqref="AP278">
    <cfRule type="expression" dxfId="775" priority="66266" stopIfTrue="1">
      <formula>NOT(ISBLANK($AP$278))</formula>
    </cfRule>
  </conditionalFormatting>
  <conditionalFormatting sqref="AQ278">
    <cfRule type="expression" dxfId="774" priority="66267" stopIfTrue="1">
      <formula>NOT(ISBLANK($AQ$278))</formula>
    </cfRule>
  </conditionalFormatting>
  <conditionalFormatting sqref="A279">
    <cfRule type="cellIs" dxfId="773" priority="66268" stopIfTrue="1" operator="notEqual">
      <formula>17</formula>
    </cfRule>
  </conditionalFormatting>
  <conditionalFormatting sqref="B279">
    <cfRule type="cellIs" dxfId="772" priority="66269" stopIfTrue="1" operator="notEqual">
      <formula>2</formula>
    </cfRule>
  </conditionalFormatting>
  <conditionalFormatting sqref="C279">
    <cfRule type="cellIs" dxfId="771" priority="66270" stopIfTrue="1" operator="notEqual">
      <formula>7</formula>
    </cfRule>
  </conditionalFormatting>
  <conditionalFormatting sqref="D279">
    <cfRule type="cellIs" dxfId="770" priority="66271" stopIfTrue="1" operator="notEqual">
      <formula>22.614</formula>
    </cfRule>
  </conditionalFormatting>
  <conditionalFormatting sqref="E279">
    <cfRule type="cellIs" dxfId="769" priority="66272" stopIfTrue="1" operator="notEqual">
      <formula>"MGD"</formula>
    </cfRule>
  </conditionalFormatting>
  <conditionalFormatting sqref="F279">
    <cfRule type="cellIs" dxfId="768" priority="66273" stopIfTrue="1" operator="notEqual">
      <formula>11.066</formula>
    </cfRule>
  </conditionalFormatting>
  <conditionalFormatting sqref="G279">
    <cfRule type="cellIs" dxfId="767" priority="66274" stopIfTrue="1" operator="notEqual">
      <formula>"MGD"</formula>
    </cfRule>
  </conditionalFormatting>
  <conditionalFormatting sqref="H279">
    <cfRule type="cellIs" dxfId="766" priority="66275" stopIfTrue="1" operator="notEqual">
      <formula>"regeneration off-site (non-hazardous)"</formula>
    </cfRule>
  </conditionalFormatting>
  <conditionalFormatting sqref="I279">
    <cfRule type="cellIs" dxfId="765" priority="66276" stopIfTrue="1" operator="notEqual">
      <formula>"carbon life value- months"</formula>
    </cfRule>
  </conditionalFormatting>
  <conditionalFormatting sqref="J279">
    <cfRule type="cellIs" dxfId="764" priority="66277" stopIfTrue="1" operator="notEqual">
      <formula>12</formula>
    </cfRule>
  </conditionalFormatting>
  <conditionalFormatting sqref="K279">
    <cfRule type="expression" dxfId="763" priority="66278" stopIfTrue="1">
      <formula>NOT(ISBLANK($K$279))</formula>
    </cfRule>
  </conditionalFormatting>
  <conditionalFormatting sqref="L279">
    <cfRule type="expression" dxfId="762" priority="66279" stopIfTrue="1">
      <formula>NOT(ISBLANK($L$279))</formula>
    </cfRule>
  </conditionalFormatting>
  <conditionalFormatting sqref="M279">
    <cfRule type="expression" dxfId="761" priority="66280" stopIfTrue="1">
      <formula>NOT(ISBLANK($M$279))</formula>
    </cfRule>
  </conditionalFormatting>
  <conditionalFormatting sqref="N279">
    <cfRule type="cellIs" dxfId="760" priority="66281" stopIfTrue="1" operator="notEqual">
      <formula>"EBCT"</formula>
    </cfRule>
  </conditionalFormatting>
  <conditionalFormatting sqref="O279">
    <cfRule type="cellIs" dxfId="759" priority="66282" stopIfTrue="1" operator="notEqual">
      <formula>4</formula>
    </cfRule>
  </conditionalFormatting>
  <conditionalFormatting sqref="P279">
    <cfRule type="expression" dxfId="758" priority="66283" stopIfTrue="1">
      <formula>NOT(ISBLANK($P$279))</formula>
    </cfRule>
  </conditionalFormatting>
  <conditionalFormatting sqref="Q279">
    <cfRule type="expression" dxfId="757" priority="66284" stopIfTrue="1">
      <formula>NOT(ISBLANK($Q$279))</formula>
    </cfRule>
  </conditionalFormatting>
  <conditionalFormatting sqref="R279">
    <cfRule type="expression" dxfId="756" priority="66285" stopIfTrue="1">
      <formula>NOT(ISBLANK($R$279))</formula>
    </cfRule>
  </conditionalFormatting>
  <conditionalFormatting sqref="S279">
    <cfRule type="expression" dxfId="755" priority="66286" stopIfTrue="1">
      <formula>NOT(ISBLANK($S$279))</formula>
    </cfRule>
  </conditionalFormatting>
  <conditionalFormatting sqref="T279">
    <cfRule type="expression" dxfId="754" priority="66287" stopIfTrue="1">
      <formula>NOT(ISBLANK($T$279))</formula>
    </cfRule>
  </conditionalFormatting>
  <conditionalFormatting sqref="U279">
    <cfRule type="expression" dxfId="753" priority="66288" stopIfTrue="1">
      <formula>NOT(ISBLANK($U$279))</formula>
    </cfRule>
  </conditionalFormatting>
  <conditionalFormatting sqref="V279">
    <cfRule type="expression" dxfId="752" priority="66289" stopIfTrue="1">
      <formula>NOT(ISBLANK($V$279))</formula>
    </cfRule>
  </conditionalFormatting>
  <conditionalFormatting sqref="W279">
    <cfRule type="cellIs" dxfId="751" priority="66290" stopIfTrue="1" operator="notEqual">
      <formula>23</formula>
    </cfRule>
  </conditionalFormatting>
  <conditionalFormatting sqref="X279">
    <cfRule type="cellIs" dxfId="750" priority="66291" stopIfTrue="1" operator="notEqual">
      <formula>23</formula>
    </cfRule>
  </conditionalFormatting>
  <conditionalFormatting sqref="Y279">
    <cfRule type="cellIs" dxfId="749" priority="66292" stopIfTrue="1" operator="notEqual">
      <formula>5.3</formula>
    </cfRule>
  </conditionalFormatting>
  <conditionalFormatting sqref="Z279">
    <cfRule type="cellIs" dxfId="748" priority="66293" stopIfTrue="1" operator="notEqual">
      <formula>168</formula>
    </cfRule>
  </conditionalFormatting>
  <conditionalFormatting sqref="AA279">
    <cfRule type="cellIs" dxfId="747" priority="66294" stopIfTrue="1" operator="notEqual">
      <formula>"POTW"</formula>
    </cfRule>
  </conditionalFormatting>
  <conditionalFormatting sqref="AB279">
    <cfRule type="cellIs" dxfId="746" priority="66295" stopIfTrue="1" operator="notEqual">
      <formula>"none"</formula>
    </cfRule>
  </conditionalFormatting>
  <conditionalFormatting sqref="AC279">
    <cfRule type="cellIs" dxfId="745" priority="66296" stopIfTrue="1" operator="notEqual">
      <formula>"manual transfer"</formula>
    </cfRule>
  </conditionalFormatting>
  <conditionalFormatting sqref="AD279">
    <cfRule type="expression" dxfId="744" priority="66297" stopIfTrue="1">
      <formula>NOT(ISBLANK($AD$279))</formula>
    </cfRule>
  </conditionalFormatting>
  <conditionalFormatting sqref="AE279">
    <cfRule type="cellIs" dxfId="743" priority="66298" stopIfTrue="1" operator="notEqual">
      <formula>0</formula>
    </cfRule>
  </conditionalFormatting>
  <conditionalFormatting sqref="AF279">
    <cfRule type="cellIs" dxfId="742" priority="66299" stopIfTrue="1" operator="notEqual">
      <formula>0</formula>
    </cfRule>
  </conditionalFormatting>
  <conditionalFormatting sqref="AG279">
    <cfRule type="cellIs" dxfId="741" priority="66300" stopIfTrue="1" operator="notEqual">
      <formula>"existing pumps"</formula>
    </cfRule>
  </conditionalFormatting>
  <conditionalFormatting sqref="AH279">
    <cfRule type="cellIs" dxfId="740" priority="66301" stopIfTrue="1" operator="notEqual">
      <formula>"existing storage"</formula>
    </cfRule>
  </conditionalFormatting>
  <conditionalFormatting sqref="AI279">
    <cfRule type="cellIs" dxfId="739" priority="66302" stopIfTrue="1" operator="notEqual">
      <formula>"fully automated"</formula>
    </cfRule>
  </conditionalFormatting>
  <conditionalFormatting sqref="AJ279">
    <cfRule type="expression" dxfId="738" priority="66303" stopIfTrue="1">
      <formula>NOT(ISBLANK($AJ$279))</formula>
    </cfRule>
  </conditionalFormatting>
  <conditionalFormatting sqref="AK279">
    <cfRule type="cellIs" dxfId="737" priority="66304" stopIfTrue="1" operator="notEqual">
      <formula>"add-on"</formula>
    </cfRule>
  </conditionalFormatting>
  <conditionalFormatting sqref="AL279">
    <cfRule type="expression" dxfId="736" priority="66305" stopIfTrue="1">
      <formula>NOT(ISBLANK($AL$279))</formula>
    </cfRule>
  </conditionalFormatting>
  <conditionalFormatting sqref="AM279">
    <cfRule type="expression" dxfId="735" priority="66306" stopIfTrue="1">
      <formula>NOT(ISBLANK($AM$279))</formula>
    </cfRule>
  </conditionalFormatting>
  <conditionalFormatting sqref="AN279">
    <cfRule type="expression" dxfId="734" priority="66307" stopIfTrue="1">
      <formula>NOT(ISBLANK($AN$279))</formula>
    </cfRule>
  </conditionalFormatting>
  <conditionalFormatting sqref="AO279">
    <cfRule type="expression" dxfId="733" priority="66308" stopIfTrue="1">
      <formula>NOT(ISBLANK($AO$279))</formula>
    </cfRule>
  </conditionalFormatting>
  <conditionalFormatting sqref="AP279">
    <cfRule type="expression" dxfId="732" priority="66309" stopIfTrue="1">
      <formula>NOT(ISBLANK($AP$279))</formula>
    </cfRule>
  </conditionalFormatting>
  <conditionalFormatting sqref="AQ279">
    <cfRule type="expression" dxfId="731" priority="66310" stopIfTrue="1">
      <formula>NOT(ISBLANK($AQ$279))</formula>
    </cfRule>
  </conditionalFormatting>
  <conditionalFormatting sqref="A280">
    <cfRule type="cellIs" dxfId="730" priority="66311" stopIfTrue="1" operator="notEqual">
      <formula>17</formula>
    </cfRule>
  </conditionalFormatting>
  <conditionalFormatting sqref="B280">
    <cfRule type="cellIs" dxfId="729" priority="66312" stopIfTrue="1" operator="notEqual">
      <formula>2</formula>
    </cfRule>
  </conditionalFormatting>
  <conditionalFormatting sqref="C280">
    <cfRule type="cellIs" dxfId="728" priority="66313" stopIfTrue="1" operator="notEqual">
      <formula>8</formula>
    </cfRule>
  </conditionalFormatting>
  <conditionalFormatting sqref="D280">
    <cfRule type="cellIs" dxfId="727" priority="66314" stopIfTrue="1" operator="notEqual">
      <formula>75.072</formula>
    </cfRule>
  </conditionalFormatting>
  <conditionalFormatting sqref="E280">
    <cfRule type="cellIs" dxfId="726" priority="66315" stopIfTrue="1" operator="notEqual">
      <formula>"MGD"</formula>
    </cfRule>
  </conditionalFormatting>
  <conditionalFormatting sqref="F280">
    <cfRule type="cellIs" dxfId="725" priority="66316" stopIfTrue="1" operator="notEqual">
      <formula>37.536</formula>
    </cfRule>
  </conditionalFormatting>
  <conditionalFormatting sqref="G280">
    <cfRule type="cellIs" dxfId="724" priority="66317" stopIfTrue="1" operator="notEqual">
      <formula>"MGD"</formula>
    </cfRule>
  </conditionalFormatting>
  <conditionalFormatting sqref="H280">
    <cfRule type="cellIs" dxfId="723" priority="66318" stopIfTrue="1" operator="notEqual">
      <formula>"regeneration off-site (non-hazardous)"</formula>
    </cfRule>
  </conditionalFormatting>
  <conditionalFormatting sqref="I280">
    <cfRule type="cellIs" dxfId="722" priority="66319" stopIfTrue="1" operator="notEqual">
      <formula>"carbon life value- months"</formula>
    </cfRule>
  </conditionalFormatting>
  <conditionalFormatting sqref="J280">
    <cfRule type="cellIs" dxfId="721" priority="66320" stopIfTrue="1" operator="notEqual">
      <formula>12</formula>
    </cfRule>
  </conditionalFormatting>
  <conditionalFormatting sqref="K280">
    <cfRule type="expression" dxfId="720" priority="66321" stopIfTrue="1">
      <formula>NOT(ISBLANK($K$280))</formula>
    </cfRule>
  </conditionalFormatting>
  <conditionalFormatting sqref="L280">
    <cfRule type="expression" dxfId="719" priority="66322" stopIfTrue="1">
      <formula>NOT(ISBLANK($L$280))</formula>
    </cfRule>
  </conditionalFormatting>
  <conditionalFormatting sqref="M280">
    <cfRule type="expression" dxfId="718" priority="66323" stopIfTrue="1">
      <formula>NOT(ISBLANK($M$280))</formula>
    </cfRule>
  </conditionalFormatting>
  <conditionalFormatting sqref="N280">
    <cfRule type="cellIs" dxfId="717" priority="66324" stopIfTrue="1" operator="notEqual">
      <formula>"EBCT"</formula>
    </cfRule>
  </conditionalFormatting>
  <conditionalFormatting sqref="O280">
    <cfRule type="cellIs" dxfId="716" priority="66325" stopIfTrue="1" operator="notEqual">
      <formula>4</formula>
    </cfRule>
  </conditionalFormatting>
  <conditionalFormatting sqref="P280">
    <cfRule type="expression" dxfId="715" priority="66326" stopIfTrue="1">
      <formula>NOT(ISBLANK($P$280))</formula>
    </cfRule>
  </conditionalFormatting>
  <conditionalFormatting sqref="Q280">
    <cfRule type="expression" dxfId="714" priority="66327" stopIfTrue="1">
      <formula>NOT(ISBLANK($Q$280))</formula>
    </cfRule>
  </conditionalFormatting>
  <conditionalFormatting sqref="R280">
    <cfRule type="expression" dxfId="713" priority="66328" stopIfTrue="1">
      <formula>NOT(ISBLANK($R$280))</formula>
    </cfRule>
  </conditionalFormatting>
  <conditionalFormatting sqref="S280">
    <cfRule type="expression" dxfId="712" priority="66329" stopIfTrue="1">
      <formula>NOT(ISBLANK($S$280))</formula>
    </cfRule>
  </conditionalFormatting>
  <conditionalFormatting sqref="T280">
    <cfRule type="expression" dxfId="711" priority="66330" stopIfTrue="1">
      <formula>NOT(ISBLANK($T$280))</formula>
    </cfRule>
  </conditionalFormatting>
  <conditionalFormatting sqref="U280">
    <cfRule type="expression" dxfId="710" priority="66331" stopIfTrue="1">
      <formula>NOT(ISBLANK($U$280))</formula>
    </cfRule>
  </conditionalFormatting>
  <conditionalFormatting sqref="V280">
    <cfRule type="expression" dxfId="709" priority="66332" stopIfTrue="1">
      <formula>NOT(ISBLANK($V$280))</formula>
    </cfRule>
  </conditionalFormatting>
  <conditionalFormatting sqref="W280">
    <cfRule type="cellIs" dxfId="708" priority="66333" stopIfTrue="1" operator="notEqual">
      <formula>29.5</formula>
    </cfRule>
  </conditionalFormatting>
  <conditionalFormatting sqref="X280">
    <cfRule type="cellIs" dxfId="707" priority="66334" stopIfTrue="1" operator="notEqual">
      <formula>29.5</formula>
    </cfRule>
  </conditionalFormatting>
  <conditionalFormatting sqref="Y280">
    <cfRule type="cellIs" dxfId="706" priority="66335" stopIfTrue="1" operator="notEqual">
      <formula>5.4</formula>
    </cfRule>
  </conditionalFormatting>
  <conditionalFormatting sqref="Z280">
    <cfRule type="cellIs" dxfId="705" priority="66336" stopIfTrue="1" operator="notEqual">
      <formula>168</formula>
    </cfRule>
  </conditionalFormatting>
  <conditionalFormatting sqref="AA280">
    <cfRule type="cellIs" dxfId="704" priority="66337" stopIfTrue="1" operator="notEqual">
      <formula>"POTW"</formula>
    </cfRule>
  </conditionalFormatting>
  <conditionalFormatting sqref="AB280">
    <cfRule type="cellIs" dxfId="703" priority="66338" stopIfTrue="1" operator="notEqual">
      <formula>"none"</formula>
    </cfRule>
  </conditionalFormatting>
  <conditionalFormatting sqref="AC280">
    <cfRule type="cellIs" dxfId="702" priority="66339" stopIfTrue="1" operator="notEqual">
      <formula>"manual transfer"</formula>
    </cfRule>
  </conditionalFormatting>
  <conditionalFormatting sqref="AD280">
    <cfRule type="expression" dxfId="701" priority="66340" stopIfTrue="1">
      <formula>NOT(ISBLANK($AD$280))</formula>
    </cfRule>
  </conditionalFormatting>
  <conditionalFormatting sqref="AE280">
    <cfRule type="cellIs" dxfId="700" priority="66341" stopIfTrue="1" operator="notEqual">
      <formula>0</formula>
    </cfRule>
  </conditionalFormatting>
  <conditionalFormatting sqref="AF280">
    <cfRule type="cellIs" dxfId="699" priority="66342" stopIfTrue="1" operator="notEqual">
      <formula>0</formula>
    </cfRule>
  </conditionalFormatting>
  <conditionalFormatting sqref="AG280">
    <cfRule type="cellIs" dxfId="698" priority="66343" stopIfTrue="1" operator="notEqual">
      <formula>"existing pumps"</formula>
    </cfRule>
  </conditionalFormatting>
  <conditionalFormatting sqref="AH280">
    <cfRule type="cellIs" dxfId="697" priority="66344" stopIfTrue="1" operator="notEqual">
      <formula>"existing storage"</formula>
    </cfRule>
  </conditionalFormatting>
  <conditionalFormatting sqref="AI280">
    <cfRule type="cellIs" dxfId="696" priority="66345" stopIfTrue="1" operator="notEqual">
      <formula>"fully automated"</formula>
    </cfRule>
  </conditionalFormatting>
  <conditionalFormatting sqref="AJ280">
    <cfRule type="expression" dxfId="695" priority="66346" stopIfTrue="1">
      <formula>NOT(ISBLANK($AJ$280))</formula>
    </cfRule>
  </conditionalFormatting>
  <conditionalFormatting sqref="AK280">
    <cfRule type="cellIs" dxfId="694" priority="66347" stopIfTrue="1" operator="notEqual">
      <formula>"add-on"</formula>
    </cfRule>
  </conditionalFormatting>
  <conditionalFormatting sqref="AL280">
    <cfRule type="expression" dxfId="693" priority="66348" stopIfTrue="1">
      <formula>NOT(ISBLANK($AL$280))</formula>
    </cfRule>
  </conditionalFormatting>
  <conditionalFormatting sqref="AM280">
    <cfRule type="expression" dxfId="692" priority="66349" stopIfTrue="1">
      <formula>NOT(ISBLANK($AM$280))</formula>
    </cfRule>
  </conditionalFormatting>
  <conditionalFormatting sqref="AN280">
    <cfRule type="expression" dxfId="691" priority="66350" stopIfTrue="1">
      <formula>NOT(ISBLANK($AN$280))</formula>
    </cfRule>
  </conditionalFormatting>
  <conditionalFormatting sqref="AO280">
    <cfRule type="expression" dxfId="690" priority="66351" stopIfTrue="1">
      <formula>NOT(ISBLANK($AO$280))</formula>
    </cfRule>
  </conditionalFormatting>
  <conditionalFormatting sqref="AP280">
    <cfRule type="expression" dxfId="689" priority="66352" stopIfTrue="1">
      <formula>NOT(ISBLANK($AP$280))</formula>
    </cfRule>
  </conditionalFormatting>
  <conditionalFormatting sqref="AQ280">
    <cfRule type="expression" dxfId="688" priority="66353" stopIfTrue="1">
      <formula>NOT(ISBLANK($AQ$280))</formula>
    </cfRule>
  </conditionalFormatting>
  <conditionalFormatting sqref="A281">
    <cfRule type="cellIs" dxfId="687" priority="66354" stopIfTrue="1" operator="notEqual">
      <formula>18</formula>
    </cfRule>
  </conditionalFormatting>
  <conditionalFormatting sqref="B281">
    <cfRule type="cellIs" dxfId="686" priority="66355" stopIfTrue="1" operator="notEqual">
      <formula>1</formula>
    </cfRule>
  </conditionalFormatting>
  <conditionalFormatting sqref="C281">
    <cfRule type="cellIs" dxfId="685" priority="66356" stopIfTrue="1" operator="notEqual">
      <formula>1</formula>
    </cfRule>
  </conditionalFormatting>
  <conditionalFormatting sqref="D281">
    <cfRule type="cellIs" dxfId="684" priority="66357" stopIfTrue="1" operator="notEqual">
      <formula>0.03</formula>
    </cfRule>
  </conditionalFormatting>
  <conditionalFormatting sqref="E281">
    <cfRule type="cellIs" dxfId="683" priority="66358" stopIfTrue="1" operator="notEqual">
      <formula>"MGD"</formula>
    </cfRule>
  </conditionalFormatting>
  <conditionalFormatting sqref="F281">
    <cfRule type="cellIs" dxfId="682" priority="66359" stopIfTrue="1" operator="notEqual">
      <formula>0.007</formula>
    </cfRule>
  </conditionalFormatting>
  <conditionalFormatting sqref="G281">
    <cfRule type="cellIs" dxfId="681" priority="66360" stopIfTrue="1" operator="notEqual">
      <formula>"MGD"</formula>
    </cfRule>
  </conditionalFormatting>
  <conditionalFormatting sqref="H281">
    <cfRule type="expression" dxfId="680" priority="66361" stopIfTrue="1">
      <formula>NOT(ISBLANK($H$281))</formula>
    </cfRule>
  </conditionalFormatting>
  <conditionalFormatting sqref="I281">
    <cfRule type="expression" dxfId="679" priority="66362" stopIfTrue="1">
      <formula>NOT(ISBLANK($I$281))</formula>
    </cfRule>
  </conditionalFormatting>
  <conditionalFormatting sqref="J281">
    <cfRule type="expression" dxfId="678" priority="66363" stopIfTrue="1">
      <formula>NOT(ISBLANK($J$281))</formula>
    </cfRule>
  </conditionalFormatting>
  <conditionalFormatting sqref="K281">
    <cfRule type="expression" dxfId="677" priority="66364" stopIfTrue="1">
      <formula>NOT(ISBLANK($K$281))</formula>
    </cfRule>
  </conditionalFormatting>
  <conditionalFormatting sqref="L281">
    <cfRule type="expression" dxfId="676" priority="66365" stopIfTrue="1">
      <formula>NOT(ISBLANK($L$281))</formula>
    </cfRule>
  </conditionalFormatting>
  <conditionalFormatting sqref="M281">
    <cfRule type="expression" dxfId="675" priority="66366" stopIfTrue="1">
      <formula>NOT(ISBLANK($M$281))</formula>
    </cfRule>
  </conditionalFormatting>
  <conditionalFormatting sqref="N281">
    <cfRule type="expression" dxfId="674" priority="66367" stopIfTrue="1">
      <formula>NOT(ISBLANK($N$281))</formula>
    </cfRule>
  </conditionalFormatting>
  <conditionalFormatting sqref="O281">
    <cfRule type="expression" dxfId="673" priority="66368" stopIfTrue="1">
      <formula>NOT(ISBLANK($O$281))</formula>
    </cfRule>
  </conditionalFormatting>
  <conditionalFormatting sqref="P281">
    <cfRule type="expression" dxfId="672" priority="66369" stopIfTrue="1">
      <formula>NOT(ISBLANK($P$281))</formula>
    </cfRule>
  </conditionalFormatting>
  <conditionalFormatting sqref="Q281">
    <cfRule type="expression" dxfId="671" priority="66370" stopIfTrue="1">
      <formula>NOT(ISBLANK($Q$281))</formula>
    </cfRule>
  </conditionalFormatting>
  <conditionalFormatting sqref="R281">
    <cfRule type="expression" dxfId="670" priority="66371" stopIfTrue="1">
      <formula>NOT(ISBLANK($R$281))</formula>
    </cfRule>
  </conditionalFormatting>
  <conditionalFormatting sqref="S281">
    <cfRule type="expression" dxfId="669" priority="66372" stopIfTrue="1">
      <formula>NOT(ISBLANK($S$281))</formula>
    </cfRule>
  </conditionalFormatting>
  <conditionalFormatting sqref="T281">
    <cfRule type="expression" dxfId="668" priority="66373" stopIfTrue="1">
      <formula>NOT(ISBLANK($T$281))</formula>
    </cfRule>
  </conditionalFormatting>
  <conditionalFormatting sqref="U281">
    <cfRule type="expression" dxfId="667" priority="66374" stopIfTrue="1">
      <formula>NOT(ISBLANK($U$281))</formula>
    </cfRule>
  </conditionalFormatting>
  <conditionalFormatting sqref="V281">
    <cfRule type="expression" dxfId="666" priority="66375" stopIfTrue="1">
      <formula>NOT(ISBLANK($V$281))</formula>
    </cfRule>
  </conditionalFormatting>
  <conditionalFormatting sqref="W281">
    <cfRule type="expression" dxfId="665" priority="66376" stopIfTrue="1">
      <formula>NOT(ISBLANK($W$281))</formula>
    </cfRule>
  </conditionalFormatting>
  <conditionalFormatting sqref="X281">
    <cfRule type="expression" dxfId="664" priority="66377" stopIfTrue="1">
      <formula>NOT(ISBLANK($X$281))</formula>
    </cfRule>
  </conditionalFormatting>
  <conditionalFormatting sqref="Y281">
    <cfRule type="expression" dxfId="663" priority="66378" stopIfTrue="1">
      <formula>NOT(ISBLANK($Y$281))</formula>
    </cfRule>
  </conditionalFormatting>
  <conditionalFormatting sqref="Z281">
    <cfRule type="expression" dxfId="662" priority="66379" stopIfTrue="1">
      <formula>NOT(ISBLANK($Z$281))</formula>
    </cfRule>
  </conditionalFormatting>
  <conditionalFormatting sqref="AA281">
    <cfRule type="expression" dxfId="661" priority="66380" stopIfTrue="1">
      <formula>NOT(ISBLANK($AA$281))</formula>
    </cfRule>
  </conditionalFormatting>
  <conditionalFormatting sqref="AB281">
    <cfRule type="expression" dxfId="660" priority="66381" stopIfTrue="1">
      <formula>NOT(ISBLANK($AB$281))</formula>
    </cfRule>
  </conditionalFormatting>
  <conditionalFormatting sqref="AC281">
    <cfRule type="expression" dxfId="659" priority="66382" stopIfTrue="1">
      <formula>NOT(ISBLANK($AC$281))</formula>
    </cfRule>
  </conditionalFormatting>
  <conditionalFormatting sqref="AD281">
    <cfRule type="expression" dxfId="658" priority="66383" stopIfTrue="1">
      <formula>NOT(ISBLANK($AD$281))</formula>
    </cfRule>
  </conditionalFormatting>
  <conditionalFormatting sqref="AE281">
    <cfRule type="expression" dxfId="657" priority="66384" stopIfTrue="1">
      <formula>NOT(ISBLANK($AE$281))</formula>
    </cfRule>
  </conditionalFormatting>
  <conditionalFormatting sqref="AF281">
    <cfRule type="expression" dxfId="656" priority="66385" stopIfTrue="1">
      <formula>NOT(ISBLANK($AF$281))</formula>
    </cfRule>
  </conditionalFormatting>
  <conditionalFormatting sqref="AG281">
    <cfRule type="expression" dxfId="655" priority="66386" stopIfTrue="1">
      <formula>NOT(ISBLANK($AG$281))</formula>
    </cfRule>
  </conditionalFormatting>
  <conditionalFormatting sqref="AH281">
    <cfRule type="expression" dxfId="654" priority="66387" stopIfTrue="1">
      <formula>NOT(ISBLANK($AH$281))</formula>
    </cfRule>
  </conditionalFormatting>
  <conditionalFormatting sqref="AI281">
    <cfRule type="expression" dxfId="653" priority="66388" stopIfTrue="1">
      <formula>NOT(ISBLANK($AI$281))</formula>
    </cfRule>
  </conditionalFormatting>
  <conditionalFormatting sqref="AJ281">
    <cfRule type="expression" dxfId="652" priority="66389" stopIfTrue="1">
      <formula>NOT(ISBLANK($AJ$281))</formula>
    </cfRule>
  </conditionalFormatting>
  <conditionalFormatting sqref="AK281">
    <cfRule type="expression" dxfId="651" priority="66390" stopIfTrue="1">
      <formula>NOT(ISBLANK($AK$281))</formula>
    </cfRule>
  </conditionalFormatting>
  <conditionalFormatting sqref="AL281">
    <cfRule type="expression" dxfId="650" priority="66391" stopIfTrue="1">
      <formula>NOT(ISBLANK($AL$281))</formula>
    </cfRule>
  </conditionalFormatting>
  <conditionalFormatting sqref="AM281">
    <cfRule type="expression" dxfId="649" priority="66392" stopIfTrue="1">
      <formula>NOT(ISBLANK($AM$281))</formula>
    </cfRule>
  </conditionalFormatting>
  <conditionalFormatting sqref="AN281">
    <cfRule type="expression" dxfId="648" priority="66393" stopIfTrue="1">
      <formula>NOT(ISBLANK($AN$281))</formula>
    </cfRule>
  </conditionalFormatting>
  <conditionalFormatting sqref="AO281">
    <cfRule type="expression" dxfId="647" priority="66394" stopIfTrue="1">
      <formula>NOT(ISBLANK($AO$281))</formula>
    </cfRule>
  </conditionalFormatting>
  <conditionalFormatting sqref="AP281">
    <cfRule type="expression" dxfId="646" priority="66395" stopIfTrue="1">
      <formula>NOT(ISBLANK($AP$281))</formula>
    </cfRule>
  </conditionalFormatting>
  <conditionalFormatting sqref="AQ281">
    <cfRule type="expression" dxfId="645" priority="66396" stopIfTrue="1">
      <formula>NOT(ISBLANK($AQ$281))</formula>
    </cfRule>
  </conditionalFormatting>
  <conditionalFormatting sqref="A282">
    <cfRule type="cellIs" dxfId="644" priority="66397" stopIfTrue="1" operator="notEqual">
      <formula>18</formula>
    </cfRule>
  </conditionalFormatting>
  <conditionalFormatting sqref="B282">
    <cfRule type="cellIs" dxfId="643" priority="66398" stopIfTrue="1" operator="notEqual">
      <formula>1</formula>
    </cfRule>
  </conditionalFormatting>
  <conditionalFormatting sqref="C282">
    <cfRule type="cellIs" dxfId="642" priority="66399" stopIfTrue="1" operator="notEqual">
      <formula>2</formula>
    </cfRule>
  </conditionalFormatting>
  <conditionalFormatting sqref="D282">
    <cfRule type="cellIs" dxfId="641" priority="66400" stopIfTrue="1" operator="notEqual">
      <formula>0.124</formula>
    </cfRule>
  </conditionalFormatting>
  <conditionalFormatting sqref="E282">
    <cfRule type="cellIs" dxfId="640" priority="66401" stopIfTrue="1" operator="notEqual">
      <formula>"MGD"</formula>
    </cfRule>
  </conditionalFormatting>
  <conditionalFormatting sqref="F282">
    <cfRule type="cellIs" dxfId="639" priority="66402" stopIfTrue="1" operator="notEqual">
      <formula>0.035</formula>
    </cfRule>
  </conditionalFormatting>
  <conditionalFormatting sqref="G282">
    <cfRule type="cellIs" dxfId="638" priority="66403" stopIfTrue="1" operator="notEqual">
      <formula>"MGD"</formula>
    </cfRule>
  </conditionalFormatting>
  <conditionalFormatting sqref="H282">
    <cfRule type="expression" dxfId="637" priority="66404" stopIfTrue="1">
      <formula>NOT(ISBLANK($H$282))</formula>
    </cfRule>
  </conditionalFormatting>
  <conditionalFormatting sqref="I282">
    <cfRule type="expression" dxfId="636" priority="66405" stopIfTrue="1">
      <formula>NOT(ISBLANK($I$282))</formula>
    </cfRule>
  </conditionalFormatting>
  <conditionalFormatting sqref="J282">
    <cfRule type="expression" dxfId="635" priority="66406" stopIfTrue="1">
      <formula>NOT(ISBLANK($J$282))</formula>
    </cfRule>
  </conditionalFormatting>
  <conditionalFormatting sqref="K282">
    <cfRule type="expression" dxfId="634" priority="66407" stopIfTrue="1">
      <formula>NOT(ISBLANK($K$282))</formula>
    </cfRule>
  </conditionalFormatting>
  <conditionalFormatting sqref="L282">
    <cfRule type="expression" dxfId="633" priority="66408" stopIfTrue="1">
      <formula>NOT(ISBLANK($L$282))</formula>
    </cfRule>
  </conditionalFormatting>
  <conditionalFormatting sqref="M282">
    <cfRule type="expression" dxfId="632" priority="66409" stopIfTrue="1">
      <formula>NOT(ISBLANK($M$282))</formula>
    </cfRule>
  </conditionalFormatting>
  <conditionalFormatting sqref="N282">
    <cfRule type="expression" dxfId="631" priority="66410" stopIfTrue="1">
      <formula>NOT(ISBLANK($N$282))</formula>
    </cfRule>
  </conditionalFormatting>
  <conditionalFormatting sqref="O282">
    <cfRule type="expression" dxfId="630" priority="66411" stopIfTrue="1">
      <formula>NOT(ISBLANK($O$282))</formula>
    </cfRule>
  </conditionalFormatting>
  <conditionalFormatting sqref="P282">
    <cfRule type="expression" dxfId="629" priority="66412" stopIfTrue="1">
      <formula>NOT(ISBLANK($P$282))</formula>
    </cfRule>
  </conditionalFormatting>
  <conditionalFormatting sqref="Q282">
    <cfRule type="expression" dxfId="628" priority="66413" stopIfTrue="1">
      <formula>NOT(ISBLANK($Q$282))</formula>
    </cfRule>
  </conditionalFormatting>
  <conditionalFormatting sqref="R282">
    <cfRule type="expression" dxfId="627" priority="66414" stopIfTrue="1">
      <formula>NOT(ISBLANK($R$282))</formula>
    </cfRule>
  </conditionalFormatting>
  <conditionalFormatting sqref="S282">
    <cfRule type="expression" dxfId="626" priority="66415" stopIfTrue="1">
      <formula>NOT(ISBLANK($S$282))</formula>
    </cfRule>
  </conditionalFormatting>
  <conditionalFormatting sqref="T282">
    <cfRule type="expression" dxfId="625" priority="66416" stopIfTrue="1">
      <formula>NOT(ISBLANK($T$282))</formula>
    </cfRule>
  </conditionalFormatting>
  <conditionalFormatting sqref="U282">
    <cfRule type="expression" dxfId="624" priority="66417" stopIfTrue="1">
      <formula>NOT(ISBLANK($U$282))</formula>
    </cfRule>
  </conditionalFormatting>
  <conditionalFormatting sqref="V282">
    <cfRule type="expression" dxfId="623" priority="66418" stopIfTrue="1">
      <formula>NOT(ISBLANK($V$282))</formula>
    </cfRule>
  </conditionalFormatting>
  <conditionalFormatting sqref="W282">
    <cfRule type="expression" dxfId="622" priority="66419" stopIfTrue="1">
      <formula>NOT(ISBLANK($W$282))</formula>
    </cfRule>
  </conditionalFormatting>
  <conditionalFormatting sqref="X282">
    <cfRule type="expression" dxfId="621" priority="66420" stopIfTrue="1">
      <formula>NOT(ISBLANK($X$282))</formula>
    </cfRule>
  </conditionalFormatting>
  <conditionalFormatting sqref="Y282">
    <cfRule type="expression" dxfId="620" priority="66421" stopIfTrue="1">
      <formula>NOT(ISBLANK($Y$282))</formula>
    </cfRule>
  </conditionalFormatting>
  <conditionalFormatting sqref="Z282">
    <cfRule type="expression" dxfId="619" priority="66422" stopIfTrue="1">
      <formula>NOT(ISBLANK($Z$282))</formula>
    </cfRule>
  </conditionalFormatting>
  <conditionalFormatting sqref="AA282">
    <cfRule type="expression" dxfId="618" priority="66423" stopIfTrue="1">
      <formula>NOT(ISBLANK($AA$282))</formula>
    </cfRule>
  </conditionalFormatting>
  <conditionalFormatting sqref="AB282">
    <cfRule type="expression" dxfId="617" priority="66424" stopIfTrue="1">
      <formula>NOT(ISBLANK($AB$282))</formula>
    </cfRule>
  </conditionalFormatting>
  <conditionalFormatting sqref="AC282">
    <cfRule type="expression" dxfId="616" priority="66425" stopIfTrue="1">
      <formula>NOT(ISBLANK($AC$282))</formula>
    </cfRule>
  </conditionalFormatting>
  <conditionalFormatting sqref="AD282">
    <cfRule type="expression" dxfId="615" priority="66426" stopIfTrue="1">
      <formula>NOT(ISBLANK($AD$282))</formula>
    </cfRule>
  </conditionalFormatting>
  <conditionalFormatting sqref="AE282">
    <cfRule type="expression" dxfId="614" priority="66427" stopIfTrue="1">
      <formula>NOT(ISBLANK($AE$282))</formula>
    </cfRule>
  </conditionalFormatting>
  <conditionalFormatting sqref="AF282">
    <cfRule type="expression" dxfId="613" priority="66428" stopIfTrue="1">
      <formula>NOT(ISBLANK($AF$282))</formula>
    </cfRule>
  </conditionalFormatting>
  <conditionalFormatting sqref="AG282">
    <cfRule type="expression" dxfId="612" priority="66429" stopIfTrue="1">
      <formula>NOT(ISBLANK($AG$282))</formula>
    </cfRule>
  </conditionalFormatting>
  <conditionalFormatting sqref="AH282">
    <cfRule type="expression" dxfId="611" priority="66430" stopIfTrue="1">
      <formula>NOT(ISBLANK($AH$282))</formula>
    </cfRule>
  </conditionalFormatting>
  <conditionalFormatting sqref="AI282">
    <cfRule type="expression" dxfId="610" priority="66431" stopIfTrue="1">
      <formula>NOT(ISBLANK($AI$282))</formula>
    </cfRule>
  </conditionalFormatting>
  <conditionalFormatting sqref="AJ282">
    <cfRule type="expression" dxfId="609" priority="66432" stopIfTrue="1">
      <formula>NOT(ISBLANK($AJ$282))</formula>
    </cfRule>
  </conditionalFormatting>
  <conditionalFormatting sqref="AK282">
    <cfRule type="expression" dxfId="608" priority="66433" stopIfTrue="1">
      <formula>NOT(ISBLANK($AK$282))</formula>
    </cfRule>
  </conditionalFormatting>
  <conditionalFormatting sqref="AL282">
    <cfRule type="expression" dxfId="607" priority="66434" stopIfTrue="1">
      <formula>NOT(ISBLANK($AL$282))</formula>
    </cfRule>
  </conditionalFormatting>
  <conditionalFormatting sqref="AM282">
    <cfRule type="expression" dxfId="606" priority="66435" stopIfTrue="1">
      <formula>NOT(ISBLANK($AM$282))</formula>
    </cfRule>
  </conditionalFormatting>
  <conditionalFormatting sqref="AN282">
    <cfRule type="expression" dxfId="605" priority="66436" stopIfTrue="1">
      <formula>NOT(ISBLANK($AN$282))</formula>
    </cfRule>
  </conditionalFormatting>
  <conditionalFormatting sqref="AO282">
    <cfRule type="expression" dxfId="604" priority="66437" stopIfTrue="1">
      <formula>NOT(ISBLANK($AO$282))</formula>
    </cfRule>
  </conditionalFormatting>
  <conditionalFormatting sqref="AP282">
    <cfRule type="expression" dxfId="603" priority="66438" stopIfTrue="1">
      <formula>NOT(ISBLANK($AP$282))</formula>
    </cfRule>
  </conditionalFormatting>
  <conditionalFormatting sqref="AQ282">
    <cfRule type="expression" dxfId="602" priority="66439" stopIfTrue="1">
      <formula>NOT(ISBLANK($AQ$282))</formula>
    </cfRule>
  </conditionalFormatting>
  <conditionalFormatting sqref="A283">
    <cfRule type="cellIs" dxfId="601" priority="66440" stopIfTrue="1" operator="notEqual">
      <formula>18</formula>
    </cfRule>
  </conditionalFormatting>
  <conditionalFormatting sqref="B283">
    <cfRule type="cellIs" dxfId="600" priority="66441" stopIfTrue="1" operator="notEqual">
      <formula>1</formula>
    </cfRule>
  </conditionalFormatting>
  <conditionalFormatting sqref="C283">
    <cfRule type="cellIs" dxfId="599" priority="66442" stopIfTrue="1" operator="notEqual">
      <formula>3</formula>
    </cfRule>
  </conditionalFormatting>
  <conditionalFormatting sqref="D283">
    <cfRule type="cellIs" dxfId="598" priority="66443" stopIfTrue="1" operator="notEqual">
      <formula>0.305</formula>
    </cfRule>
  </conditionalFormatting>
  <conditionalFormatting sqref="E283">
    <cfRule type="cellIs" dxfId="597" priority="66444" stopIfTrue="1" operator="notEqual">
      <formula>"MGD"</formula>
    </cfRule>
  </conditionalFormatting>
  <conditionalFormatting sqref="F283">
    <cfRule type="cellIs" dxfId="596" priority="66445" stopIfTrue="1" operator="notEqual">
      <formula>0.094</formula>
    </cfRule>
  </conditionalFormatting>
  <conditionalFormatting sqref="G283">
    <cfRule type="cellIs" dxfId="595" priority="66446" stopIfTrue="1" operator="notEqual">
      <formula>"MGD"</formula>
    </cfRule>
  </conditionalFormatting>
  <conditionalFormatting sqref="H283">
    <cfRule type="expression" dxfId="594" priority="66447" stopIfTrue="1">
      <formula>NOT(ISBLANK($H$283))</formula>
    </cfRule>
  </conditionalFormatting>
  <conditionalFormatting sqref="I283">
    <cfRule type="expression" dxfId="593" priority="66448" stopIfTrue="1">
      <formula>NOT(ISBLANK($I$283))</formula>
    </cfRule>
  </conditionalFormatting>
  <conditionalFormatting sqref="J283">
    <cfRule type="expression" dxfId="592" priority="66449" stopIfTrue="1">
      <formula>NOT(ISBLANK($J$283))</formula>
    </cfRule>
  </conditionalFormatting>
  <conditionalFormatting sqref="K283">
    <cfRule type="expression" dxfId="591" priority="66450" stopIfTrue="1">
      <formula>NOT(ISBLANK($K$283))</formula>
    </cfRule>
  </conditionalFormatting>
  <conditionalFormatting sqref="L283">
    <cfRule type="expression" dxfId="590" priority="66451" stopIfTrue="1">
      <formula>NOT(ISBLANK($L$283))</formula>
    </cfRule>
  </conditionalFormatting>
  <conditionalFormatting sqref="M283">
    <cfRule type="expression" dxfId="589" priority="66452" stopIfTrue="1">
      <formula>NOT(ISBLANK($M$283))</formula>
    </cfRule>
  </conditionalFormatting>
  <conditionalFormatting sqref="N283">
    <cfRule type="expression" dxfId="588" priority="66453" stopIfTrue="1">
      <formula>NOT(ISBLANK($N$283))</formula>
    </cfRule>
  </conditionalFormatting>
  <conditionalFormatting sqref="O283">
    <cfRule type="expression" dxfId="587" priority="66454" stopIfTrue="1">
      <formula>NOT(ISBLANK($O$283))</formula>
    </cfRule>
  </conditionalFormatting>
  <conditionalFormatting sqref="P283">
    <cfRule type="expression" dxfId="586" priority="66455" stopIfTrue="1">
      <formula>NOT(ISBLANK($P$283))</formula>
    </cfRule>
  </conditionalFormatting>
  <conditionalFormatting sqref="Q283">
    <cfRule type="expression" dxfId="585" priority="66456" stopIfTrue="1">
      <formula>NOT(ISBLANK($Q$283))</formula>
    </cfRule>
  </conditionalFormatting>
  <conditionalFormatting sqref="R283">
    <cfRule type="expression" dxfId="584" priority="66457" stopIfTrue="1">
      <formula>NOT(ISBLANK($R$283))</formula>
    </cfRule>
  </conditionalFormatting>
  <conditionalFormatting sqref="S283">
    <cfRule type="expression" dxfId="583" priority="66458" stopIfTrue="1">
      <formula>NOT(ISBLANK($S$283))</formula>
    </cfRule>
  </conditionalFormatting>
  <conditionalFormatting sqref="T283">
    <cfRule type="expression" dxfId="582" priority="66459" stopIfTrue="1">
      <formula>NOT(ISBLANK($T$283))</formula>
    </cfRule>
  </conditionalFormatting>
  <conditionalFormatting sqref="U283">
    <cfRule type="expression" dxfId="581" priority="66460" stopIfTrue="1">
      <formula>NOT(ISBLANK($U$283))</formula>
    </cfRule>
  </conditionalFormatting>
  <conditionalFormatting sqref="V283">
    <cfRule type="expression" dxfId="580" priority="66461" stopIfTrue="1">
      <formula>NOT(ISBLANK($V$283))</formula>
    </cfRule>
  </conditionalFormatting>
  <conditionalFormatting sqref="W283">
    <cfRule type="expression" dxfId="579" priority="66462" stopIfTrue="1">
      <formula>NOT(ISBLANK($W$283))</formula>
    </cfRule>
  </conditionalFormatting>
  <conditionalFormatting sqref="X283">
    <cfRule type="expression" dxfId="578" priority="66463" stopIfTrue="1">
      <formula>NOT(ISBLANK($X$283))</formula>
    </cfRule>
  </conditionalFormatting>
  <conditionalFormatting sqref="Y283">
    <cfRule type="expression" dxfId="577" priority="66464" stopIfTrue="1">
      <formula>NOT(ISBLANK($Y$283))</formula>
    </cfRule>
  </conditionalFormatting>
  <conditionalFormatting sqref="Z283">
    <cfRule type="expression" dxfId="576" priority="66465" stopIfTrue="1">
      <formula>NOT(ISBLANK($Z$283))</formula>
    </cfRule>
  </conditionalFormatting>
  <conditionalFormatting sqref="AA283">
    <cfRule type="expression" dxfId="575" priority="66466" stopIfTrue="1">
      <formula>NOT(ISBLANK($AA$283))</formula>
    </cfRule>
  </conditionalFormatting>
  <conditionalFormatting sqref="AB283">
    <cfRule type="expression" dxfId="574" priority="66467" stopIfTrue="1">
      <formula>NOT(ISBLANK($AB$283))</formula>
    </cfRule>
  </conditionalFormatting>
  <conditionalFormatting sqref="AC283">
    <cfRule type="expression" dxfId="573" priority="66468" stopIfTrue="1">
      <formula>NOT(ISBLANK($AC$283))</formula>
    </cfRule>
  </conditionalFormatting>
  <conditionalFormatting sqref="AD283">
    <cfRule type="expression" dxfId="572" priority="66469" stopIfTrue="1">
      <formula>NOT(ISBLANK($AD$283))</formula>
    </cfRule>
  </conditionalFormatting>
  <conditionalFormatting sqref="AE283">
    <cfRule type="expression" dxfId="571" priority="66470" stopIfTrue="1">
      <formula>NOT(ISBLANK($AE$283))</formula>
    </cfRule>
  </conditionalFormatting>
  <conditionalFormatting sqref="AF283">
    <cfRule type="expression" dxfId="570" priority="66471" stopIfTrue="1">
      <formula>NOT(ISBLANK($AF$283))</formula>
    </cfRule>
  </conditionalFormatting>
  <conditionalFormatting sqref="AG283">
    <cfRule type="expression" dxfId="569" priority="66472" stopIfTrue="1">
      <formula>NOT(ISBLANK($AG$283))</formula>
    </cfRule>
  </conditionalFormatting>
  <conditionalFormatting sqref="AH283">
    <cfRule type="expression" dxfId="568" priority="66473" stopIfTrue="1">
      <formula>NOT(ISBLANK($AH$283))</formula>
    </cfRule>
  </conditionalFormatting>
  <conditionalFormatting sqref="AI283">
    <cfRule type="expression" dxfId="567" priority="66474" stopIfTrue="1">
      <formula>NOT(ISBLANK($AI$283))</formula>
    </cfRule>
  </conditionalFormatting>
  <conditionalFormatting sqref="AJ283">
    <cfRule type="expression" dxfId="566" priority="66475" stopIfTrue="1">
      <formula>NOT(ISBLANK($AJ$283))</formula>
    </cfRule>
  </conditionalFormatting>
  <conditionalFormatting sqref="AK283">
    <cfRule type="expression" dxfId="565" priority="66476" stopIfTrue="1">
      <formula>NOT(ISBLANK($AK$283))</formula>
    </cfRule>
  </conditionalFormatting>
  <conditionalFormatting sqref="AL283">
    <cfRule type="expression" dxfId="564" priority="66477" stopIfTrue="1">
      <formula>NOT(ISBLANK($AL$283))</formula>
    </cfRule>
  </conditionalFormatting>
  <conditionalFormatting sqref="AM283">
    <cfRule type="expression" dxfId="563" priority="66478" stopIfTrue="1">
      <formula>NOT(ISBLANK($AM$283))</formula>
    </cfRule>
  </conditionalFormatting>
  <conditionalFormatting sqref="AN283">
    <cfRule type="expression" dxfId="562" priority="66479" stopIfTrue="1">
      <formula>NOT(ISBLANK($AN$283))</formula>
    </cfRule>
  </conditionalFormatting>
  <conditionalFormatting sqref="AO283">
    <cfRule type="expression" dxfId="561" priority="66480" stopIfTrue="1">
      <formula>NOT(ISBLANK($AO$283))</formula>
    </cfRule>
  </conditionalFormatting>
  <conditionalFormatting sqref="AP283">
    <cfRule type="expression" dxfId="560" priority="66481" stopIfTrue="1">
      <formula>NOT(ISBLANK($AP$283))</formula>
    </cfRule>
  </conditionalFormatting>
  <conditionalFormatting sqref="AQ283">
    <cfRule type="expression" dxfId="559" priority="66482" stopIfTrue="1">
      <formula>NOT(ISBLANK($AQ$283))</formula>
    </cfRule>
  </conditionalFormatting>
  <conditionalFormatting sqref="A284">
    <cfRule type="cellIs" dxfId="558" priority="66483" stopIfTrue="1" operator="notEqual">
      <formula>18</formula>
    </cfRule>
  </conditionalFormatting>
  <conditionalFormatting sqref="B284">
    <cfRule type="cellIs" dxfId="557" priority="66484" stopIfTrue="1" operator="notEqual">
      <formula>1</formula>
    </cfRule>
  </conditionalFormatting>
  <conditionalFormatting sqref="C284">
    <cfRule type="cellIs" dxfId="556" priority="66485" stopIfTrue="1" operator="notEqual">
      <formula>4</formula>
    </cfRule>
  </conditionalFormatting>
  <conditionalFormatting sqref="D284">
    <cfRule type="cellIs" dxfId="555" priority="66486" stopIfTrue="1" operator="notEqual">
      <formula>0.74</formula>
    </cfRule>
  </conditionalFormatting>
  <conditionalFormatting sqref="E284">
    <cfRule type="cellIs" dxfId="554" priority="66487" stopIfTrue="1" operator="notEqual">
      <formula>"MGD"</formula>
    </cfRule>
  </conditionalFormatting>
  <conditionalFormatting sqref="F284">
    <cfRule type="cellIs" dxfId="553" priority="66488" stopIfTrue="1" operator="notEqual">
      <formula>0.251</formula>
    </cfRule>
  </conditionalFormatting>
  <conditionalFormatting sqref="G284">
    <cfRule type="cellIs" dxfId="552" priority="66489" stopIfTrue="1" operator="notEqual">
      <formula>"MGD"</formula>
    </cfRule>
  </conditionalFormatting>
  <conditionalFormatting sqref="H284">
    <cfRule type="expression" dxfId="551" priority="66490" stopIfTrue="1">
      <formula>NOT(ISBLANK($H$284))</formula>
    </cfRule>
  </conditionalFormatting>
  <conditionalFormatting sqref="I284">
    <cfRule type="expression" dxfId="550" priority="66491" stopIfTrue="1">
      <formula>NOT(ISBLANK($I$284))</formula>
    </cfRule>
  </conditionalFormatting>
  <conditionalFormatting sqref="J284">
    <cfRule type="expression" dxfId="549" priority="66492" stopIfTrue="1">
      <formula>NOT(ISBLANK($J$284))</formula>
    </cfRule>
  </conditionalFormatting>
  <conditionalFormatting sqref="K284">
    <cfRule type="expression" dxfId="548" priority="66493" stopIfTrue="1">
      <formula>NOT(ISBLANK($K$284))</formula>
    </cfRule>
  </conditionalFormatting>
  <conditionalFormatting sqref="L284">
    <cfRule type="expression" dxfId="547" priority="66494" stopIfTrue="1">
      <formula>NOT(ISBLANK($L$284))</formula>
    </cfRule>
  </conditionalFormatting>
  <conditionalFormatting sqref="M284">
    <cfRule type="expression" dxfId="546" priority="66495" stopIfTrue="1">
      <formula>NOT(ISBLANK($M$284))</formula>
    </cfRule>
  </conditionalFormatting>
  <conditionalFormatting sqref="N284">
    <cfRule type="expression" dxfId="545" priority="66496" stopIfTrue="1">
      <formula>NOT(ISBLANK($N$284))</formula>
    </cfRule>
  </conditionalFormatting>
  <conditionalFormatting sqref="O284">
    <cfRule type="expression" dxfId="544" priority="66497" stopIfTrue="1">
      <formula>NOT(ISBLANK($O$284))</formula>
    </cfRule>
  </conditionalFormatting>
  <conditionalFormatting sqref="P284">
    <cfRule type="expression" dxfId="543" priority="66498" stopIfTrue="1">
      <formula>NOT(ISBLANK($P$284))</formula>
    </cfRule>
  </conditionalFormatting>
  <conditionalFormatting sqref="Q284">
    <cfRule type="expression" dxfId="542" priority="66499" stopIfTrue="1">
      <formula>NOT(ISBLANK($Q$284))</formula>
    </cfRule>
  </conditionalFormatting>
  <conditionalFormatting sqref="R284">
    <cfRule type="expression" dxfId="541" priority="66500" stopIfTrue="1">
      <formula>NOT(ISBLANK($R$284))</formula>
    </cfRule>
  </conditionalFormatting>
  <conditionalFormatting sqref="S284">
    <cfRule type="expression" dxfId="540" priority="66501" stopIfTrue="1">
      <formula>NOT(ISBLANK($S$284))</formula>
    </cfRule>
  </conditionalFormatting>
  <conditionalFormatting sqref="T284">
    <cfRule type="expression" dxfId="539" priority="66502" stopIfTrue="1">
      <formula>NOT(ISBLANK($T$284))</formula>
    </cfRule>
  </conditionalFormatting>
  <conditionalFormatting sqref="U284">
    <cfRule type="expression" dxfId="538" priority="66503" stopIfTrue="1">
      <formula>NOT(ISBLANK($U$284))</formula>
    </cfRule>
  </conditionalFormatting>
  <conditionalFormatting sqref="V284">
    <cfRule type="expression" dxfId="537" priority="66504" stopIfTrue="1">
      <formula>NOT(ISBLANK($V$284))</formula>
    </cfRule>
  </conditionalFormatting>
  <conditionalFormatting sqref="W284">
    <cfRule type="expression" dxfId="536" priority="66505" stopIfTrue="1">
      <formula>NOT(ISBLANK($W$284))</formula>
    </cfRule>
  </conditionalFormatting>
  <conditionalFormatting sqref="X284">
    <cfRule type="expression" dxfId="535" priority="66506" stopIfTrue="1">
      <formula>NOT(ISBLANK($X$284))</formula>
    </cfRule>
  </conditionalFormatting>
  <conditionalFormatting sqref="Y284">
    <cfRule type="expression" dxfId="534" priority="66507" stopIfTrue="1">
      <formula>NOT(ISBLANK($Y$284))</formula>
    </cfRule>
  </conditionalFormatting>
  <conditionalFormatting sqref="Z284">
    <cfRule type="expression" dxfId="533" priority="66508" stopIfTrue="1">
      <formula>NOT(ISBLANK($Z$284))</formula>
    </cfRule>
  </conditionalFormatting>
  <conditionalFormatting sqref="AA284">
    <cfRule type="expression" dxfId="532" priority="66509" stopIfTrue="1">
      <formula>NOT(ISBLANK($AA$284))</formula>
    </cfRule>
  </conditionalFormatting>
  <conditionalFormatting sqref="AB284">
    <cfRule type="expression" dxfId="531" priority="66510" stopIfTrue="1">
      <formula>NOT(ISBLANK($AB$284))</formula>
    </cfRule>
  </conditionalFormatting>
  <conditionalFormatting sqref="AC284">
    <cfRule type="expression" dxfId="530" priority="66511" stopIfTrue="1">
      <formula>NOT(ISBLANK($AC$284))</formula>
    </cfRule>
  </conditionalFormatting>
  <conditionalFormatting sqref="AD284">
    <cfRule type="expression" dxfId="529" priority="66512" stopIfTrue="1">
      <formula>NOT(ISBLANK($AD$284))</formula>
    </cfRule>
  </conditionalFormatting>
  <conditionalFormatting sqref="AE284">
    <cfRule type="expression" dxfId="528" priority="66513" stopIfTrue="1">
      <formula>NOT(ISBLANK($AE$284))</formula>
    </cfRule>
  </conditionalFormatting>
  <conditionalFormatting sqref="AF284">
    <cfRule type="expression" dxfId="527" priority="66514" stopIfTrue="1">
      <formula>NOT(ISBLANK($AF$284))</formula>
    </cfRule>
  </conditionalFormatting>
  <conditionalFormatting sqref="AG284">
    <cfRule type="expression" dxfId="526" priority="66515" stopIfTrue="1">
      <formula>NOT(ISBLANK($AG$284))</formula>
    </cfRule>
  </conditionalFormatting>
  <conditionalFormatting sqref="AH284">
    <cfRule type="expression" dxfId="525" priority="66516" stopIfTrue="1">
      <formula>NOT(ISBLANK($AH$284))</formula>
    </cfRule>
  </conditionalFormatting>
  <conditionalFormatting sqref="AI284">
    <cfRule type="expression" dxfId="524" priority="66517" stopIfTrue="1">
      <formula>NOT(ISBLANK($AI$284))</formula>
    </cfRule>
  </conditionalFormatting>
  <conditionalFormatting sqref="AJ284">
    <cfRule type="expression" dxfId="523" priority="66518" stopIfTrue="1">
      <formula>NOT(ISBLANK($AJ$284))</formula>
    </cfRule>
  </conditionalFormatting>
  <conditionalFormatting sqref="AK284">
    <cfRule type="expression" dxfId="522" priority="66519" stopIfTrue="1">
      <formula>NOT(ISBLANK($AK$284))</formula>
    </cfRule>
  </conditionalFormatting>
  <conditionalFormatting sqref="AL284">
    <cfRule type="expression" dxfId="521" priority="66520" stopIfTrue="1">
      <formula>NOT(ISBLANK($AL$284))</formula>
    </cfRule>
  </conditionalFormatting>
  <conditionalFormatting sqref="AM284">
    <cfRule type="expression" dxfId="520" priority="66521" stopIfTrue="1">
      <formula>NOT(ISBLANK($AM$284))</formula>
    </cfRule>
  </conditionalFormatting>
  <conditionalFormatting sqref="AN284">
    <cfRule type="expression" dxfId="519" priority="66522" stopIfTrue="1">
      <formula>NOT(ISBLANK($AN$284))</formula>
    </cfRule>
  </conditionalFormatting>
  <conditionalFormatting sqref="AO284">
    <cfRule type="expression" dxfId="518" priority="66523" stopIfTrue="1">
      <formula>NOT(ISBLANK($AO$284))</formula>
    </cfRule>
  </conditionalFormatting>
  <conditionalFormatting sqref="AP284">
    <cfRule type="expression" dxfId="517" priority="66524" stopIfTrue="1">
      <formula>NOT(ISBLANK($AP$284))</formula>
    </cfRule>
  </conditionalFormatting>
  <conditionalFormatting sqref="AQ284">
    <cfRule type="expression" dxfId="516" priority="66525" stopIfTrue="1">
      <formula>NOT(ISBLANK($AQ$284))</formula>
    </cfRule>
  </conditionalFormatting>
  <conditionalFormatting sqref="A285">
    <cfRule type="cellIs" dxfId="515" priority="66526" stopIfTrue="1" operator="notEqual">
      <formula>18</formula>
    </cfRule>
  </conditionalFormatting>
  <conditionalFormatting sqref="B285">
    <cfRule type="cellIs" dxfId="514" priority="66527" stopIfTrue="1" operator="notEqual">
      <formula>1</formula>
    </cfRule>
  </conditionalFormatting>
  <conditionalFormatting sqref="C285">
    <cfRule type="cellIs" dxfId="513" priority="66528" stopIfTrue="1" operator="notEqual">
      <formula>5</formula>
    </cfRule>
  </conditionalFormatting>
  <conditionalFormatting sqref="D285">
    <cfRule type="cellIs" dxfId="512" priority="66529" stopIfTrue="1" operator="notEqual">
      <formula>2.152</formula>
    </cfRule>
  </conditionalFormatting>
  <conditionalFormatting sqref="E285">
    <cfRule type="cellIs" dxfId="511" priority="66530" stopIfTrue="1" operator="notEqual">
      <formula>"MGD"</formula>
    </cfRule>
  </conditionalFormatting>
  <conditionalFormatting sqref="F285">
    <cfRule type="cellIs" dxfId="510" priority="66531" stopIfTrue="1" operator="notEqual">
      <formula>0.819</formula>
    </cfRule>
  </conditionalFormatting>
  <conditionalFormatting sqref="G285">
    <cfRule type="cellIs" dxfId="509" priority="66532" stopIfTrue="1" operator="notEqual">
      <formula>"MGD"</formula>
    </cfRule>
  </conditionalFormatting>
  <conditionalFormatting sqref="H285">
    <cfRule type="expression" dxfId="508" priority="66533" stopIfTrue="1">
      <formula>NOT(ISBLANK($H$285))</formula>
    </cfRule>
  </conditionalFormatting>
  <conditionalFormatting sqref="I285">
    <cfRule type="expression" dxfId="507" priority="66534" stopIfTrue="1">
      <formula>NOT(ISBLANK($I$285))</formula>
    </cfRule>
  </conditionalFormatting>
  <conditionalFormatting sqref="J285">
    <cfRule type="expression" dxfId="506" priority="66535" stopIfTrue="1">
      <formula>NOT(ISBLANK($J$285))</formula>
    </cfRule>
  </conditionalFormatting>
  <conditionalFormatting sqref="K285">
    <cfRule type="expression" dxfId="505" priority="66536" stopIfTrue="1">
      <formula>NOT(ISBLANK($K$285))</formula>
    </cfRule>
  </conditionalFormatting>
  <conditionalFormatting sqref="L285">
    <cfRule type="expression" dxfId="504" priority="66537" stopIfTrue="1">
      <formula>NOT(ISBLANK($L$285))</formula>
    </cfRule>
  </conditionalFormatting>
  <conditionalFormatting sqref="M285">
    <cfRule type="expression" dxfId="503" priority="66538" stopIfTrue="1">
      <formula>NOT(ISBLANK($M$285))</formula>
    </cfRule>
  </conditionalFormatting>
  <conditionalFormatting sqref="N285">
    <cfRule type="expression" dxfId="502" priority="66539" stopIfTrue="1">
      <formula>NOT(ISBLANK($N$285))</formula>
    </cfRule>
  </conditionalFormatting>
  <conditionalFormatting sqref="O285">
    <cfRule type="expression" dxfId="501" priority="66540" stopIfTrue="1">
      <formula>NOT(ISBLANK($O$285))</formula>
    </cfRule>
  </conditionalFormatting>
  <conditionalFormatting sqref="P285">
    <cfRule type="expression" dxfId="500" priority="66541" stopIfTrue="1">
      <formula>NOT(ISBLANK($P$285))</formula>
    </cfRule>
  </conditionalFormatting>
  <conditionalFormatting sqref="Q285">
    <cfRule type="expression" dxfId="499" priority="66542" stopIfTrue="1">
      <formula>NOT(ISBLANK($Q$285))</formula>
    </cfRule>
  </conditionalFormatting>
  <conditionalFormatting sqref="R285">
    <cfRule type="expression" dxfId="498" priority="66543" stopIfTrue="1">
      <formula>NOT(ISBLANK($R$285))</formula>
    </cfRule>
  </conditionalFormatting>
  <conditionalFormatting sqref="S285">
    <cfRule type="expression" dxfId="497" priority="66544" stopIfTrue="1">
      <formula>NOT(ISBLANK($S$285))</formula>
    </cfRule>
  </conditionalFormatting>
  <conditionalFormatting sqref="T285">
    <cfRule type="expression" dxfId="496" priority="66545" stopIfTrue="1">
      <formula>NOT(ISBLANK($T$285))</formula>
    </cfRule>
  </conditionalFormatting>
  <conditionalFormatting sqref="U285">
    <cfRule type="expression" dxfId="495" priority="66546" stopIfTrue="1">
      <formula>NOT(ISBLANK($U$285))</formula>
    </cfRule>
  </conditionalFormatting>
  <conditionalFormatting sqref="V285">
    <cfRule type="expression" dxfId="494" priority="66547" stopIfTrue="1">
      <formula>NOT(ISBLANK($V$285))</formula>
    </cfRule>
  </conditionalFormatting>
  <conditionalFormatting sqref="W285">
    <cfRule type="expression" dxfId="493" priority="66548" stopIfTrue="1">
      <formula>NOT(ISBLANK($W$285))</formula>
    </cfRule>
  </conditionalFormatting>
  <conditionalFormatting sqref="X285">
    <cfRule type="expression" dxfId="492" priority="66549" stopIfTrue="1">
      <formula>NOT(ISBLANK($X$285))</formula>
    </cfRule>
  </conditionalFormatting>
  <conditionalFormatting sqref="Y285">
    <cfRule type="expression" dxfId="491" priority="66550" stopIfTrue="1">
      <formula>NOT(ISBLANK($Y$285))</formula>
    </cfRule>
  </conditionalFormatting>
  <conditionalFormatting sqref="Z285">
    <cfRule type="expression" dxfId="490" priority="66551" stopIfTrue="1">
      <formula>NOT(ISBLANK($Z$285))</formula>
    </cfRule>
  </conditionalFormatting>
  <conditionalFormatting sqref="AA285">
    <cfRule type="expression" dxfId="489" priority="66552" stopIfTrue="1">
      <formula>NOT(ISBLANK($AA$285))</formula>
    </cfRule>
  </conditionalFormatting>
  <conditionalFormatting sqref="AB285">
    <cfRule type="expression" dxfId="488" priority="66553" stopIfTrue="1">
      <formula>NOT(ISBLANK($AB$285))</formula>
    </cfRule>
  </conditionalFormatting>
  <conditionalFormatting sqref="AC285">
    <cfRule type="expression" dxfId="487" priority="66554" stopIfTrue="1">
      <formula>NOT(ISBLANK($AC$285))</formula>
    </cfRule>
  </conditionalFormatting>
  <conditionalFormatting sqref="AD285">
    <cfRule type="expression" dxfId="486" priority="66555" stopIfTrue="1">
      <formula>NOT(ISBLANK($AD$285))</formula>
    </cfRule>
  </conditionalFormatting>
  <conditionalFormatting sqref="AE285">
    <cfRule type="expression" dxfId="485" priority="66556" stopIfTrue="1">
      <formula>NOT(ISBLANK($AE$285))</formula>
    </cfRule>
  </conditionalFormatting>
  <conditionalFormatting sqref="AF285">
    <cfRule type="expression" dxfId="484" priority="66557" stopIfTrue="1">
      <formula>NOT(ISBLANK($AF$285))</formula>
    </cfRule>
  </conditionalFormatting>
  <conditionalFormatting sqref="AG285">
    <cfRule type="expression" dxfId="483" priority="66558" stopIfTrue="1">
      <formula>NOT(ISBLANK($AG$285))</formula>
    </cfRule>
  </conditionalFormatting>
  <conditionalFormatting sqref="AH285">
    <cfRule type="expression" dxfId="482" priority="66559" stopIfTrue="1">
      <formula>NOT(ISBLANK($AH$285))</formula>
    </cfRule>
  </conditionalFormatting>
  <conditionalFormatting sqref="AI285">
    <cfRule type="expression" dxfId="481" priority="66560" stopIfTrue="1">
      <formula>NOT(ISBLANK($AI$285))</formula>
    </cfRule>
  </conditionalFormatting>
  <conditionalFormatting sqref="AJ285">
    <cfRule type="expression" dxfId="480" priority="66561" stopIfTrue="1">
      <formula>NOT(ISBLANK($AJ$285))</formula>
    </cfRule>
  </conditionalFormatting>
  <conditionalFormatting sqref="AK285">
    <cfRule type="expression" dxfId="479" priority="66562" stopIfTrue="1">
      <formula>NOT(ISBLANK($AK$285))</formula>
    </cfRule>
  </conditionalFormatting>
  <conditionalFormatting sqref="AL285">
    <cfRule type="expression" dxfId="478" priority="66563" stopIfTrue="1">
      <formula>NOT(ISBLANK($AL$285))</formula>
    </cfRule>
  </conditionalFormatting>
  <conditionalFormatting sqref="AM285">
    <cfRule type="expression" dxfId="477" priority="66564" stopIfTrue="1">
      <formula>NOT(ISBLANK($AM$285))</formula>
    </cfRule>
  </conditionalFormatting>
  <conditionalFormatting sqref="AN285">
    <cfRule type="expression" dxfId="476" priority="66565" stopIfTrue="1">
      <formula>NOT(ISBLANK($AN$285))</formula>
    </cfRule>
  </conditionalFormatting>
  <conditionalFormatting sqref="AO285">
    <cfRule type="expression" dxfId="475" priority="66566" stopIfTrue="1">
      <formula>NOT(ISBLANK($AO$285))</formula>
    </cfRule>
  </conditionalFormatting>
  <conditionalFormatting sqref="AP285">
    <cfRule type="expression" dxfId="474" priority="66567" stopIfTrue="1">
      <formula>NOT(ISBLANK($AP$285))</formula>
    </cfRule>
  </conditionalFormatting>
  <conditionalFormatting sqref="AQ285">
    <cfRule type="expression" dxfId="473" priority="66568" stopIfTrue="1">
      <formula>NOT(ISBLANK($AQ$285))</formula>
    </cfRule>
  </conditionalFormatting>
  <conditionalFormatting sqref="A286">
    <cfRule type="cellIs" dxfId="472" priority="66569" stopIfTrue="1" operator="notEqual">
      <formula>18</formula>
    </cfRule>
  </conditionalFormatting>
  <conditionalFormatting sqref="B286">
    <cfRule type="cellIs" dxfId="471" priority="66570" stopIfTrue="1" operator="notEqual">
      <formula>1</formula>
    </cfRule>
  </conditionalFormatting>
  <conditionalFormatting sqref="C286">
    <cfRule type="cellIs" dxfId="470" priority="66571" stopIfTrue="1" operator="notEqual">
      <formula>6</formula>
    </cfRule>
  </conditionalFormatting>
  <conditionalFormatting sqref="D286">
    <cfRule type="cellIs" dxfId="469" priority="66572" stopIfTrue="1" operator="notEqual">
      <formula>7.365</formula>
    </cfRule>
  </conditionalFormatting>
  <conditionalFormatting sqref="E286">
    <cfRule type="cellIs" dxfId="468" priority="66573" stopIfTrue="1" operator="notEqual">
      <formula>"MGD"</formula>
    </cfRule>
  </conditionalFormatting>
  <conditionalFormatting sqref="F286">
    <cfRule type="cellIs" dxfId="467" priority="66574" stopIfTrue="1" operator="notEqual">
      <formula>3.2</formula>
    </cfRule>
  </conditionalFormatting>
  <conditionalFormatting sqref="G286">
    <cfRule type="cellIs" dxfId="466" priority="66575" stopIfTrue="1" operator="notEqual">
      <formula>"MGD"</formula>
    </cfRule>
  </conditionalFormatting>
  <conditionalFormatting sqref="H286">
    <cfRule type="expression" dxfId="465" priority="66576" stopIfTrue="1">
      <formula>NOT(ISBLANK($H$286))</formula>
    </cfRule>
  </conditionalFormatting>
  <conditionalFormatting sqref="I286">
    <cfRule type="expression" dxfId="464" priority="66577" stopIfTrue="1">
      <formula>NOT(ISBLANK($I$286))</formula>
    </cfRule>
  </conditionalFormatting>
  <conditionalFormatting sqref="J286">
    <cfRule type="expression" dxfId="463" priority="66578" stopIfTrue="1">
      <formula>NOT(ISBLANK($J$286))</formula>
    </cfRule>
  </conditionalFormatting>
  <conditionalFormatting sqref="K286">
    <cfRule type="expression" dxfId="462" priority="66579" stopIfTrue="1">
      <formula>NOT(ISBLANK($K$286))</formula>
    </cfRule>
  </conditionalFormatting>
  <conditionalFormatting sqref="L286">
    <cfRule type="expression" dxfId="461" priority="66580" stopIfTrue="1">
      <formula>NOT(ISBLANK($L$286))</formula>
    </cfRule>
  </conditionalFormatting>
  <conditionalFormatting sqref="M286">
    <cfRule type="expression" dxfId="460" priority="66581" stopIfTrue="1">
      <formula>NOT(ISBLANK($M$286))</formula>
    </cfRule>
  </conditionalFormatting>
  <conditionalFormatting sqref="N286">
    <cfRule type="expression" dxfId="459" priority="66582" stopIfTrue="1">
      <formula>NOT(ISBLANK($N$286))</formula>
    </cfRule>
  </conditionalFormatting>
  <conditionalFormatting sqref="O286">
    <cfRule type="expression" dxfId="458" priority="66583" stopIfTrue="1">
      <formula>NOT(ISBLANK($O$286))</formula>
    </cfRule>
  </conditionalFormatting>
  <conditionalFormatting sqref="P286">
    <cfRule type="expression" dxfId="457" priority="66584" stopIfTrue="1">
      <formula>NOT(ISBLANK($P$286))</formula>
    </cfRule>
  </conditionalFormatting>
  <conditionalFormatting sqref="Q286">
    <cfRule type="expression" dxfId="456" priority="66585" stopIfTrue="1">
      <formula>NOT(ISBLANK($Q$286))</formula>
    </cfRule>
  </conditionalFormatting>
  <conditionalFormatting sqref="R286">
    <cfRule type="expression" dxfId="455" priority="66586" stopIfTrue="1">
      <formula>NOT(ISBLANK($R$286))</formula>
    </cfRule>
  </conditionalFormatting>
  <conditionalFormatting sqref="S286">
    <cfRule type="expression" dxfId="454" priority="66587" stopIfTrue="1">
      <formula>NOT(ISBLANK($S$286))</formula>
    </cfRule>
  </conditionalFormatting>
  <conditionalFormatting sqref="T286">
    <cfRule type="expression" dxfId="453" priority="66588" stopIfTrue="1">
      <formula>NOT(ISBLANK($T$286))</formula>
    </cfRule>
  </conditionalFormatting>
  <conditionalFormatting sqref="U286">
    <cfRule type="expression" dxfId="452" priority="66589" stopIfTrue="1">
      <formula>NOT(ISBLANK($U$286))</formula>
    </cfRule>
  </conditionalFormatting>
  <conditionalFormatting sqref="V286">
    <cfRule type="expression" dxfId="451" priority="66590" stopIfTrue="1">
      <formula>NOT(ISBLANK($V$286))</formula>
    </cfRule>
  </conditionalFormatting>
  <conditionalFormatting sqref="W286">
    <cfRule type="expression" dxfId="450" priority="66591" stopIfTrue="1">
      <formula>NOT(ISBLANK($W$286))</formula>
    </cfRule>
  </conditionalFormatting>
  <conditionalFormatting sqref="X286">
    <cfRule type="expression" dxfId="449" priority="66592" stopIfTrue="1">
      <formula>NOT(ISBLANK($X$286))</formula>
    </cfRule>
  </conditionalFormatting>
  <conditionalFormatting sqref="Y286">
    <cfRule type="expression" dxfId="448" priority="66593" stopIfTrue="1">
      <formula>NOT(ISBLANK($Y$286))</formula>
    </cfRule>
  </conditionalFormatting>
  <conditionalFormatting sqref="Z286">
    <cfRule type="expression" dxfId="447" priority="66594" stopIfTrue="1">
      <formula>NOT(ISBLANK($Z$286))</formula>
    </cfRule>
  </conditionalFormatting>
  <conditionalFormatting sqref="AA286">
    <cfRule type="expression" dxfId="446" priority="66595" stopIfTrue="1">
      <formula>NOT(ISBLANK($AA$286))</formula>
    </cfRule>
  </conditionalFormatting>
  <conditionalFormatting sqref="AB286">
    <cfRule type="expression" dxfId="445" priority="66596" stopIfTrue="1">
      <formula>NOT(ISBLANK($AB$286))</formula>
    </cfRule>
  </conditionalFormatting>
  <conditionalFormatting sqref="AC286">
    <cfRule type="expression" dxfId="444" priority="66597" stopIfTrue="1">
      <formula>NOT(ISBLANK($AC$286))</formula>
    </cfRule>
  </conditionalFormatting>
  <conditionalFormatting sqref="AD286">
    <cfRule type="expression" dxfId="443" priority="66598" stopIfTrue="1">
      <formula>NOT(ISBLANK($AD$286))</formula>
    </cfRule>
  </conditionalFormatting>
  <conditionalFormatting sqref="AE286">
    <cfRule type="expression" dxfId="442" priority="66599" stopIfTrue="1">
      <formula>NOT(ISBLANK($AE$286))</formula>
    </cfRule>
  </conditionalFormatting>
  <conditionalFormatting sqref="AF286">
    <cfRule type="expression" dxfId="441" priority="66600" stopIfTrue="1">
      <formula>NOT(ISBLANK($AF$286))</formula>
    </cfRule>
  </conditionalFormatting>
  <conditionalFormatting sqref="AG286">
    <cfRule type="expression" dxfId="440" priority="66601" stopIfTrue="1">
      <formula>NOT(ISBLANK($AG$286))</formula>
    </cfRule>
  </conditionalFormatting>
  <conditionalFormatting sqref="AH286">
    <cfRule type="expression" dxfId="439" priority="66602" stopIfTrue="1">
      <formula>NOT(ISBLANK($AH$286))</formula>
    </cfRule>
  </conditionalFormatting>
  <conditionalFormatting sqref="AI286">
    <cfRule type="expression" dxfId="438" priority="66603" stopIfTrue="1">
      <formula>NOT(ISBLANK($AI$286))</formula>
    </cfRule>
  </conditionalFormatting>
  <conditionalFormatting sqref="AJ286">
    <cfRule type="expression" dxfId="437" priority="66604" stopIfTrue="1">
      <formula>NOT(ISBLANK($AJ$286))</formula>
    </cfRule>
  </conditionalFormatting>
  <conditionalFormatting sqref="AK286">
    <cfRule type="expression" dxfId="436" priority="66605" stopIfTrue="1">
      <formula>NOT(ISBLANK($AK$286))</formula>
    </cfRule>
  </conditionalFormatting>
  <conditionalFormatting sqref="AL286">
    <cfRule type="expression" dxfId="435" priority="66606" stopIfTrue="1">
      <formula>NOT(ISBLANK($AL$286))</formula>
    </cfRule>
  </conditionalFormatting>
  <conditionalFormatting sqref="AM286">
    <cfRule type="expression" dxfId="434" priority="66607" stopIfTrue="1">
      <formula>NOT(ISBLANK($AM$286))</formula>
    </cfRule>
  </conditionalFormatting>
  <conditionalFormatting sqref="AN286">
    <cfRule type="expression" dxfId="433" priority="66608" stopIfTrue="1">
      <formula>NOT(ISBLANK($AN$286))</formula>
    </cfRule>
  </conditionalFormatting>
  <conditionalFormatting sqref="AO286">
    <cfRule type="expression" dxfId="432" priority="66609" stopIfTrue="1">
      <formula>NOT(ISBLANK($AO$286))</formula>
    </cfRule>
  </conditionalFormatting>
  <conditionalFormatting sqref="AP286">
    <cfRule type="expression" dxfId="431" priority="66610" stopIfTrue="1">
      <formula>NOT(ISBLANK($AP$286))</formula>
    </cfRule>
  </conditionalFormatting>
  <conditionalFormatting sqref="AQ286">
    <cfRule type="expression" dxfId="430" priority="66611" stopIfTrue="1">
      <formula>NOT(ISBLANK($AQ$286))</formula>
    </cfRule>
  </conditionalFormatting>
  <conditionalFormatting sqref="A287">
    <cfRule type="cellIs" dxfId="429" priority="66612" stopIfTrue="1" operator="notEqual">
      <formula>18</formula>
    </cfRule>
  </conditionalFormatting>
  <conditionalFormatting sqref="B287">
    <cfRule type="cellIs" dxfId="428" priority="66613" stopIfTrue="1" operator="notEqual">
      <formula>1</formula>
    </cfRule>
  </conditionalFormatting>
  <conditionalFormatting sqref="C287">
    <cfRule type="cellIs" dxfId="427" priority="66614" stopIfTrue="1" operator="notEqual">
      <formula>7</formula>
    </cfRule>
  </conditionalFormatting>
  <conditionalFormatting sqref="D287">
    <cfRule type="cellIs" dxfId="426" priority="66615" stopIfTrue="1" operator="notEqual">
      <formula>22.614</formula>
    </cfRule>
  </conditionalFormatting>
  <conditionalFormatting sqref="E287">
    <cfRule type="cellIs" dxfId="425" priority="66616" stopIfTrue="1" operator="notEqual">
      <formula>"MGD"</formula>
    </cfRule>
  </conditionalFormatting>
  <conditionalFormatting sqref="F287">
    <cfRule type="cellIs" dxfId="424" priority="66617" stopIfTrue="1" operator="notEqual">
      <formula>11.066</formula>
    </cfRule>
  </conditionalFormatting>
  <conditionalFormatting sqref="G287">
    <cfRule type="cellIs" dxfId="423" priority="66618" stopIfTrue="1" operator="notEqual">
      <formula>"MGD"</formula>
    </cfRule>
  </conditionalFormatting>
  <conditionalFormatting sqref="H287">
    <cfRule type="expression" dxfId="422" priority="66619" stopIfTrue="1">
      <formula>NOT(ISBLANK($H$287))</formula>
    </cfRule>
  </conditionalFormatting>
  <conditionalFormatting sqref="I287">
    <cfRule type="expression" dxfId="421" priority="66620" stopIfTrue="1">
      <formula>NOT(ISBLANK($I$287))</formula>
    </cfRule>
  </conditionalFormatting>
  <conditionalFormatting sqref="J287">
    <cfRule type="expression" dxfId="420" priority="66621" stopIfTrue="1">
      <formula>NOT(ISBLANK($J$287))</formula>
    </cfRule>
  </conditionalFormatting>
  <conditionalFormatting sqref="K287">
    <cfRule type="expression" dxfId="419" priority="66622" stopIfTrue="1">
      <formula>NOT(ISBLANK($K$287))</formula>
    </cfRule>
  </conditionalFormatting>
  <conditionalFormatting sqref="L287">
    <cfRule type="expression" dxfId="418" priority="66623" stopIfTrue="1">
      <formula>NOT(ISBLANK($L$287))</formula>
    </cfRule>
  </conditionalFormatting>
  <conditionalFormatting sqref="M287">
    <cfRule type="expression" dxfId="417" priority="66624" stopIfTrue="1">
      <formula>NOT(ISBLANK($M$287))</formula>
    </cfRule>
  </conditionalFormatting>
  <conditionalFormatting sqref="N287">
    <cfRule type="expression" dxfId="416" priority="66625" stopIfTrue="1">
      <formula>NOT(ISBLANK($N$287))</formula>
    </cfRule>
  </conditionalFormatting>
  <conditionalFormatting sqref="O287">
    <cfRule type="expression" dxfId="415" priority="66626" stopIfTrue="1">
      <formula>NOT(ISBLANK($O$287))</formula>
    </cfRule>
  </conditionalFormatting>
  <conditionalFormatting sqref="P287">
    <cfRule type="expression" dxfId="414" priority="66627" stopIfTrue="1">
      <formula>NOT(ISBLANK($P$287))</formula>
    </cfRule>
  </conditionalFormatting>
  <conditionalFormatting sqref="Q287">
    <cfRule type="expression" dxfId="413" priority="66628" stopIfTrue="1">
      <formula>NOT(ISBLANK($Q$287))</formula>
    </cfRule>
  </conditionalFormatting>
  <conditionalFormatting sqref="R287">
    <cfRule type="expression" dxfId="412" priority="66629" stopIfTrue="1">
      <formula>NOT(ISBLANK($R$287))</formula>
    </cfRule>
  </conditionalFormatting>
  <conditionalFormatting sqref="S287">
    <cfRule type="expression" dxfId="411" priority="66630" stopIfTrue="1">
      <formula>NOT(ISBLANK($S$287))</formula>
    </cfRule>
  </conditionalFormatting>
  <conditionalFormatting sqref="T287">
    <cfRule type="expression" dxfId="410" priority="66631" stopIfTrue="1">
      <formula>NOT(ISBLANK($T$287))</formula>
    </cfRule>
  </conditionalFormatting>
  <conditionalFormatting sqref="U287">
    <cfRule type="expression" dxfId="409" priority="66632" stopIfTrue="1">
      <formula>NOT(ISBLANK($U$287))</formula>
    </cfRule>
  </conditionalFormatting>
  <conditionalFormatting sqref="V287">
    <cfRule type="expression" dxfId="408" priority="66633" stopIfTrue="1">
      <formula>NOT(ISBLANK($V$287))</formula>
    </cfRule>
  </conditionalFormatting>
  <conditionalFormatting sqref="W287">
    <cfRule type="expression" dxfId="407" priority="66634" stopIfTrue="1">
      <formula>NOT(ISBLANK($W$287))</formula>
    </cfRule>
  </conditionalFormatting>
  <conditionalFormatting sqref="X287">
    <cfRule type="expression" dxfId="406" priority="66635" stopIfTrue="1">
      <formula>NOT(ISBLANK($X$287))</formula>
    </cfRule>
  </conditionalFormatting>
  <conditionalFormatting sqref="Y287">
    <cfRule type="expression" dxfId="405" priority="66636" stopIfTrue="1">
      <formula>NOT(ISBLANK($Y$287))</formula>
    </cfRule>
  </conditionalFormatting>
  <conditionalFormatting sqref="Z287">
    <cfRule type="expression" dxfId="404" priority="66637" stopIfTrue="1">
      <formula>NOT(ISBLANK($Z$287))</formula>
    </cfRule>
  </conditionalFormatting>
  <conditionalFormatting sqref="AA287">
    <cfRule type="expression" dxfId="403" priority="66638" stopIfTrue="1">
      <formula>NOT(ISBLANK($AA$287))</formula>
    </cfRule>
  </conditionalFormatting>
  <conditionalFormatting sqref="AB287">
    <cfRule type="expression" dxfId="402" priority="66639" stopIfTrue="1">
      <formula>NOT(ISBLANK($AB$287))</formula>
    </cfRule>
  </conditionalFormatting>
  <conditionalFormatting sqref="AC287">
    <cfRule type="expression" dxfId="401" priority="66640" stopIfTrue="1">
      <formula>NOT(ISBLANK($AC$287))</formula>
    </cfRule>
  </conditionalFormatting>
  <conditionalFormatting sqref="AD287">
    <cfRule type="expression" dxfId="400" priority="66641" stopIfTrue="1">
      <formula>NOT(ISBLANK($AD$287))</formula>
    </cfRule>
  </conditionalFormatting>
  <conditionalFormatting sqref="AE287">
    <cfRule type="expression" dxfId="399" priority="66642" stopIfTrue="1">
      <formula>NOT(ISBLANK($AE$287))</formula>
    </cfRule>
  </conditionalFormatting>
  <conditionalFormatting sqref="AF287">
    <cfRule type="expression" dxfId="398" priority="66643" stopIfTrue="1">
      <formula>NOT(ISBLANK($AF$287))</formula>
    </cfRule>
  </conditionalFormatting>
  <conditionalFormatting sqref="AG287">
    <cfRule type="expression" dxfId="397" priority="66644" stopIfTrue="1">
      <formula>NOT(ISBLANK($AG$287))</formula>
    </cfRule>
  </conditionalFormatting>
  <conditionalFormatting sqref="AH287">
    <cfRule type="expression" dxfId="396" priority="66645" stopIfTrue="1">
      <formula>NOT(ISBLANK($AH$287))</formula>
    </cfRule>
  </conditionalFormatting>
  <conditionalFormatting sqref="AI287">
    <cfRule type="expression" dxfId="395" priority="66646" stopIfTrue="1">
      <formula>NOT(ISBLANK($AI$287))</formula>
    </cfRule>
  </conditionalFormatting>
  <conditionalFormatting sqref="AJ287">
    <cfRule type="expression" dxfId="394" priority="66647" stopIfTrue="1">
      <formula>NOT(ISBLANK($AJ$287))</formula>
    </cfRule>
  </conditionalFormatting>
  <conditionalFormatting sqref="AK287">
    <cfRule type="expression" dxfId="393" priority="66648" stopIfTrue="1">
      <formula>NOT(ISBLANK($AK$287))</formula>
    </cfRule>
  </conditionalFormatting>
  <conditionalFormatting sqref="AL287">
    <cfRule type="expression" dxfId="392" priority="66649" stopIfTrue="1">
      <formula>NOT(ISBLANK($AL$287))</formula>
    </cfRule>
  </conditionalFormatting>
  <conditionalFormatting sqref="AM287">
    <cfRule type="expression" dxfId="391" priority="66650" stopIfTrue="1">
      <formula>NOT(ISBLANK($AM$287))</formula>
    </cfRule>
  </conditionalFormatting>
  <conditionalFormatting sqref="AN287">
    <cfRule type="expression" dxfId="390" priority="66651" stopIfTrue="1">
      <formula>NOT(ISBLANK($AN$287))</formula>
    </cfRule>
  </conditionalFormatting>
  <conditionalFormatting sqref="AO287">
    <cfRule type="expression" dxfId="389" priority="66652" stopIfTrue="1">
      <formula>NOT(ISBLANK($AO$287))</formula>
    </cfRule>
  </conditionalFormatting>
  <conditionalFormatting sqref="AP287">
    <cfRule type="expression" dxfId="388" priority="66653" stopIfTrue="1">
      <formula>NOT(ISBLANK($AP$287))</formula>
    </cfRule>
  </conditionalFormatting>
  <conditionalFormatting sqref="AQ287">
    <cfRule type="expression" dxfId="387" priority="66654" stopIfTrue="1">
      <formula>NOT(ISBLANK($AQ$287))</formula>
    </cfRule>
  </conditionalFormatting>
  <conditionalFormatting sqref="A288">
    <cfRule type="cellIs" dxfId="386" priority="66655" stopIfTrue="1" operator="notEqual">
      <formula>18</formula>
    </cfRule>
  </conditionalFormatting>
  <conditionalFormatting sqref="B288">
    <cfRule type="cellIs" dxfId="385" priority="66656" stopIfTrue="1" operator="notEqual">
      <formula>1</formula>
    </cfRule>
  </conditionalFormatting>
  <conditionalFormatting sqref="C288">
    <cfRule type="cellIs" dxfId="384" priority="66657" stopIfTrue="1" operator="notEqual">
      <formula>8</formula>
    </cfRule>
  </conditionalFormatting>
  <conditionalFormatting sqref="D288">
    <cfRule type="cellIs" dxfId="383" priority="66658" stopIfTrue="1" operator="notEqual">
      <formula>75.072</formula>
    </cfRule>
  </conditionalFormatting>
  <conditionalFormatting sqref="E288">
    <cfRule type="cellIs" dxfId="382" priority="66659" stopIfTrue="1" operator="notEqual">
      <formula>"MGD"</formula>
    </cfRule>
  </conditionalFormatting>
  <conditionalFormatting sqref="F288">
    <cfRule type="cellIs" dxfId="381" priority="66660" stopIfTrue="1" operator="notEqual">
      <formula>37.536</formula>
    </cfRule>
  </conditionalFormatting>
  <conditionalFormatting sqref="G288">
    <cfRule type="cellIs" dxfId="380" priority="66661" stopIfTrue="1" operator="notEqual">
      <formula>"MGD"</formula>
    </cfRule>
  </conditionalFormatting>
  <conditionalFormatting sqref="H288">
    <cfRule type="expression" dxfId="379" priority="66662" stopIfTrue="1">
      <formula>NOT(ISBLANK($H$288))</formula>
    </cfRule>
  </conditionalFormatting>
  <conditionalFormatting sqref="I288">
    <cfRule type="expression" dxfId="378" priority="66663" stopIfTrue="1">
      <formula>NOT(ISBLANK($I$288))</formula>
    </cfRule>
  </conditionalFormatting>
  <conditionalFormatting sqref="J288">
    <cfRule type="expression" dxfId="377" priority="66664" stopIfTrue="1">
      <formula>NOT(ISBLANK($J$288))</formula>
    </cfRule>
  </conditionalFormatting>
  <conditionalFormatting sqref="K288">
    <cfRule type="expression" dxfId="376" priority="66665" stopIfTrue="1">
      <formula>NOT(ISBLANK($K$288))</formula>
    </cfRule>
  </conditionalFormatting>
  <conditionalFormatting sqref="L288">
    <cfRule type="expression" dxfId="375" priority="66666" stopIfTrue="1">
      <formula>NOT(ISBLANK($L$288))</formula>
    </cfRule>
  </conditionalFormatting>
  <conditionalFormatting sqref="M288">
    <cfRule type="expression" dxfId="374" priority="66667" stopIfTrue="1">
      <formula>NOT(ISBLANK($M$288))</formula>
    </cfRule>
  </conditionalFormatting>
  <conditionalFormatting sqref="N288">
    <cfRule type="expression" dxfId="373" priority="66668" stopIfTrue="1">
      <formula>NOT(ISBLANK($N$288))</formula>
    </cfRule>
  </conditionalFormatting>
  <conditionalFormatting sqref="O288">
    <cfRule type="expression" dxfId="372" priority="66669" stopIfTrue="1">
      <formula>NOT(ISBLANK($O$288))</formula>
    </cfRule>
  </conditionalFormatting>
  <conditionalFormatting sqref="P288">
    <cfRule type="expression" dxfId="371" priority="66670" stopIfTrue="1">
      <formula>NOT(ISBLANK($P$288))</formula>
    </cfRule>
  </conditionalFormatting>
  <conditionalFormatting sqref="Q288">
    <cfRule type="expression" dxfId="370" priority="66671" stopIfTrue="1">
      <formula>NOT(ISBLANK($Q$288))</formula>
    </cfRule>
  </conditionalFormatting>
  <conditionalFormatting sqref="R288">
    <cfRule type="expression" dxfId="369" priority="66672" stopIfTrue="1">
      <formula>NOT(ISBLANK($R$288))</formula>
    </cfRule>
  </conditionalFormatting>
  <conditionalFormatting sqref="S288">
    <cfRule type="expression" dxfId="368" priority="66673" stopIfTrue="1">
      <formula>NOT(ISBLANK($S$288))</formula>
    </cfRule>
  </conditionalFormatting>
  <conditionalFormatting sqref="T288">
    <cfRule type="expression" dxfId="367" priority="66674" stopIfTrue="1">
      <formula>NOT(ISBLANK($T$288))</formula>
    </cfRule>
  </conditionalFormatting>
  <conditionalFormatting sqref="U288">
    <cfRule type="expression" dxfId="366" priority="66675" stopIfTrue="1">
      <formula>NOT(ISBLANK($U$288))</formula>
    </cfRule>
  </conditionalFormatting>
  <conditionalFormatting sqref="V288">
    <cfRule type="expression" dxfId="365" priority="66676" stopIfTrue="1">
      <formula>NOT(ISBLANK($V$288))</formula>
    </cfRule>
  </conditionalFormatting>
  <conditionalFormatting sqref="W288">
    <cfRule type="expression" dxfId="364" priority="66677" stopIfTrue="1">
      <formula>NOT(ISBLANK($W$288))</formula>
    </cfRule>
  </conditionalFormatting>
  <conditionalFormatting sqref="X288">
    <cfRule type="expression" dxfId="363" priority="66678" stopIfTrue="1">
      <formula>NOT(ISBLANK($X$288))</formula>
    </cfRule>
  </conditionalFormatting>
  <conditionalFormatting sqref="Y288">
    <cfRule type="expression" dxfId="362" priority="66679" stopIfTrue="1">
      <formula>NOT(ISBLANK($Y$288))</formula>
    </cfRule>
  </conditionalFormatting>
  <conditionalFormatting sqref="Z288">
    <cfRule type="expression" dxfId="361" priority="66680" stopIfTrue="1">
      <formula>NOT(ISBLANK($Z$288))</formula>
    </cfRule>
  </conditionalFormatting>
  <conditionalFormatting sqref="AA288">
    <cfRule type="expression" dxfId="360" priority="66681" stopIfTrue="1">
      <formula>NOT(ISBLANK($AA$288))</formula>
    </cfRule>
  </conditionalFormatting>
  <conditionalFormatting sqref="AB288">
    <cfRule type="expression" dxfId="359" priority="66682" stopIfTrue="1">
      <formula>NOT(ISBLANK($AB$288))</formula>
    </cfRule>
  </conditionalFormatting>
  <conditionalFormatting sqref="AC288">
    <cfRule type="expression" dxfId="358" priority="66683" stopIfTrue="1">
      <formula>NOT(ISBLANK($AC$288))</formula>
    </cfRule>
  </conditionalFormatting>
  <conditionalFormatting sqref="AD288">
    <cfRule type="expression" dxfId="357" priority="66684" stopIfTrue="1">
      <formula>NOT(ISBLANK($AD$288))</formula>
    </cfRule>
  </conditionalFormatting>
  <conditionalFormatting sqref="AE288">
    <cfRule type="expression" dxfId="356" priority="66685" stopIfTrue="1">
      <formula>NOT(ISBLANK($AE$288))</formula>
    </cfRule>
  </conditionalFormatting>
  <conditionalFormatting sqref="AF288">
    <cfRule type="expression" dxfId="355" priority="66686" stopIfTrue="1">
      <formula>NOT(ISBLANK($AF$288))</formula>
    </cfRule>
  </conditionalFormatting>
  <conditionalFormatting sqref="AG288">
    <cfRule type="expression" dxfId="354" priority="66687" stopIfTrue="1">
      <formula>NOT(ISBLANK($AG$288))</formula>
    </cfRule>
  </conditionalFormatting>
  <conditionalFormatting sqref="AH288">
    <cfRule type="expression" dxfId="353" priority="66688" stopIfTrue="1">
      <formula>NOT(ISBLANK($AH$288))</formula>
    </cfRule>
  </conditionalFormatting>
  <conditionalFormatting sqref="AI288">
    <cfRule type="expression" dxfId="352" priority="66689" stopIfTrue="1">
      <formula>NOT(ISBLANK($AI$288))</formula>
    </cfRule>
  </conditionalFormatting>
  <conditionalFormatting sqref="AJ288">
    <cfRule type="expression" dxfId="351" priority="66690" stopIfTrue="1">
      <formula>NOT(ISBLANK($AJ$288))</formula>
    </cfRule>
  </conditionalFormatting>
  <conditionalFormatting sqref="AK288">
    <cfRule type="expression" dxfId="350" priority="66691" stopIfTrue="1">
      <formula>NOT(ISBLANK($AK$288))</formula>
    </cfRule>
  </conditionalFormatting>
  <conditionalFormatting sqref="AL288">
    <cfRule type="expression" dxfId="349" priority="66692" stopIfTrue="1">
      <formula>NOT(ISBLANK($AL$288))</formula>
    </cfRule>
  </conditionalFormatting>
  <conditionalFormatting sqref="AM288">
    <cfRule type="expression" dxfId="348" priority="66693" stopIfTrue="1">
      <formula>NOT(ISBLANK($AM$288))</formula>
    </cfRule>
  </conditionalFormatting>
  <conditionalFormatting sqref="AN288">
    <cfRule type="expression" dxfId="347" priority="66694" stopIfTrue="1">
      <formula>NOT(ISBLANK($AN$288))</formula>
    </cfRule>
  </conditionalFormatting>
  <conditionalFormatting sqref="AO288">
    <cfRule type="expression" dxfId="346" priority="66695" stopIfTrue="1">
      <formula>NOT(ISBLANK($AO$288))</formula>
    </cfRule>
  </conditionalFormatting>
  <conditionalFormatting sqref="AP288">
    <cfRule type="expression" dxfId="345" priority="66696" stopIfTrue="1">
      <formula>NOT(ISBLANK($AP$288))</formula>
    </cfRule>
  </conditionalFormatting>
  <conditionalFormatting sqref="AQ288">
    <cfRule type="expression" dxfId="344" priority="66697" stopIfTrue="1">
      <formula>NOT(ISBLANK($AQ$288))</formula>
    </cfRule>
  </conditionalFormatting>
  <conditionalFormatting sqref="A289">
    <cfRule type="cellIs" dxfId="343" priority="66698" stopIfTrue="1" operator="notEqual">
      <formula>18</formula>
    </cfRule>
  </conditionalFormatting>
  <conditionalFormatting sqref="B289">
    <cfRule type="cellIs" dxfId="342" priority="66699" stopIfTrue="1" operator="notEqual">
      <formula>2</formula>
    </cfRule>
  </conditionalFormatting>
  <conditionalFormatting sqref="C289">
    <cfRule type="cellIs" dxfId="341" priority="66700" stopIfTrue="1" operator="notEqual">
      <formula>1</formula>
    </cfRule>
  </conditionalFormatting>
  <conditionalFormatting sqref="D289">
    <cfRule type="cellIs" dxfId="340" priority="66701" stopIfTrue="1" operator="notEqual">
      <formula>0.03</formula>
    </cfRule>
  </conditionalFormatting>
  <conditionalFormatting sqref="E289">
    <cfRule type="cellIs" dxfId="339" priority="66702" stopIfTrue="1" operator="notEqual">
      <formula>"MGD"</formula>
    </cfRule>
  </conditionalFormatting>
  <conditionalFormatting sqref="F289">
    <cfRule type="cellIs" dxfId="338" priority="66703" stopIfTrue="1" operator="notEqual">
      <formula>0.007</formula>
    </cfRule>
  </conditionalFormatting>
  <conditionalFormatting sqref="G289">
    <cfRule type="cellIs" dxfId="337" priority="66704" stopIfTrue="1" operator="notEqual">
      <formula>"MGD"</formula>
    </cfRule>
  </conditionalFormatting>
  <conditionalFormatting sqref="H289">
    <cfRule type="expression" dxfId="336" priority="66705" stopIfTrue="1">
      <formula>NOT(ISBLANK($H$289))</formula>
    </cfRule>
  </conditionalFormatting>
  <conditionalFormatting sqref="I289">
    <cfRule type="expression" dxfId="335" priority="66706" stopIfTrue="1">
      <formula>NOT(ISBLANK($I$289))</formula>
    </cfRule>
  </conditionalFormatting>
  <conditionalFormatting sqref="J289">
    <cfRule type="expression" dxfId="334" priority="66707" stopIfTrue="1">
      <formula>NOT(ISBLANK($J$289))</formula>
    </cfRule>
  </conditionalFormatting>
  <conditionalFormatting sqref="K289">
    <cfRule type="expression" dxfId="333" priority="66708" stopIfTrue="1">
      <formula>NOT(ISBLANK($K$289))</formula>
    </cfRule>
  </conditionalFormatting>
  <conditionalFormatting sqref="L289">
    <cfRule type="expression" dxfId="332" priority="66709" stopIfTrue="1">
      <formula>NOT(ISBLANK($L$289))</formula>
    </cfRule>
  </conditionalFormatting>
  <conditionalFormatting sqref="M289">
    <cfRule type="expression" dxfId="331" priority="66710" stopIfTrue="1">
      <formula>NOT(ISBLANK($M$289))</formula>
    </cfRule>
  </conditionalFormatting>
  <conditionalFormatting sqref="N289">
    <cfRule type="expression" dxfId="330" priority="66711" stopIfTrue="1">
      <formula>NOT(ISBLANK($N$289))</formula>
    </cfRule>
  </conditionalFormatting>
  <conditionalFormatting sqref="O289">
    <cfRule type="expression" dxfId="329" priority="66712" stopIfTrue="1">
      <formula>NOT(ISBLANK($O$289))</formula>
    </cfRule>
  </conditionalFormatting>
  <conditionalFormatting sqref="P289">
    <cfRule type="expression" dxfId="328" priority="66713" stopIfTrue="1">
      <formula>NOT(ISBLANK($P$289))</formula>
    </cfRule>
  </conditionalFormatting>
  <conditionalFormatting sqref="Q289">
    <cfRule type="expression" dxfId="327" priority="66714" stopIfTrue="1">
      <formula>NOT(ISBLANK($Q$289))</formula>
    </cfRule>
  </conditionalFormatting>
  <conditionalFormatting sqref="R289">
    <cfRule type="expression" dxfId="326" priority="66715" stopIfTrue="1">
      <formula>NOT(ISBLANK($R$289))</formula>
    </cfRule>
  </conditionalFormatting>
  <conditionalFormatting sqref="S289">
    <cfRule type="expression" dxfId="325" priority="66716" stopIfTrue="1">
      <formula>NOT(ISBLANK($S$289))</formula>
    </cfRule>
  </conditionalFormatting>
  <conditionalFormatting sqref="T289">
    <cfRule type="expression" dxfId="324" priority="66717" stopIfTrue="1">
      <formula>NOT(ISBLANK($T$289))</formula>
    </cfRule>
  </conditionalFormatting>
  <conditionalFormatting sqref="U289">
    <cfRule type="expression" dxfId="323" priority="66718" stopIfTrue="1">
      <formula>NOT(ISBLANK($U$289))</formula>
    </cfRule>
  </conditionalFormatting>
  <conditionalFormatting sqref="V289">
    <cfRule type="expression" dxfId="322" priority="66719" stopIfTrue="1">
      <formula>NOT(ISBLANK($V$289))</formula>
    </cfRule>
  </conditionalFormatting>
  <conditionalFormatting sqref="W289">
    <cfRule type="expression" dxfId="321" priority="66720" stopIfTrue="1">
      <formula>NOT(ISBLANK($W$289))</formula>
    </cfRule>
  </conditionalFormatting>
  <conditionalFormatting sqref="X289">
    <cfRule type="expression" dxfId="320" priority="66721" stopIfTrue="1">
      <formula>NOT(ISBLANK($X$289))</formula>
    </cfRule>
  </conditionalFormatting>
  <conditionalFormatting sqref="Y289">
    <cfRule type="expression" dxfId="319" priority="66722" stopIfTrue="1">
      <formula>NOT(ISBLANK($Y$289))</formula>
    </cfRule>
  </conditionalFormatting>
  <conditionalFormatting sqref="Z289">
    <cfRule type="expression" dxfId="318" priority="66723" stopIfTrue="1">
      <formula>NOT(ISBLANK($Z$289))</formula>
    </cfRule>
  </conditionalFormatting>
  <conditionalFormatting sqref="AA289">
    <cfRule type="expression" dxfId="317" priority="66724" stopIfTrue="1">
      <formula>NOT(ISBLANK($AA$289))</formula>
    </cfRule>
  </conditionalFormatting>
  <conditionalFormatting sqref="AB289">
    <cfRule type="expression" dxfId="316" priority="66725" stopIfTrue="1">
      <formula>NOT(ISBLANK($AB$289))</formula>
    </cfRule>
  </conditionalFormatting>
  <conditionalFormatting sqref="AC289">
    <cfRule type="expression" dxfId="315" priority="66726" stopIfTrue="1">
      <formula>NOT(ISBLANK($AC$289))</formula>
    </cfRule>
  </conditionalFormatting>
  <conditionalFormatting sqref="AD289">
    <cfRule type="expression" dxfId="314" priority="66727" stopIfTrue="1">
      <formula>NOT(ISBLANK($AD$289))</formula>
    </cfRule>
  </conditionalFormatting>
  <conditionalFormatting sqref="AE289">
    <cfRule type="expression" dxfId="313" priority="66728" stopIfTrue="1">
      <formula>NOT(ISBLANK($AE$289))</formula>
    </cfRule>
  </conditionalFormatting>
  <conditionalFormatting sqref="AF289">
    <cfRule type="expression" dxfId="312" priority="66729" stopIfTrue="1">
      <formula>NOT(ISBLANK($AF$289))</formula>
    </cfRule>
  </conditionalFormatting>
  <conditionalFormatting sqref="AG289">
    <cfRule type="expression" dxfId="311" priority="66730" stopIfTrue="1">
      <formula>NOT(ISBLANK($AG$289))</formula>
    </cfRule>
  </conditionalFormatting>
  <conditionalFormatting sqref="AH289">
    <cfRule type="expression" dxfId="310" priority="66731" stopIfTrue="1">
      <formula>NOT(ISBLANK($AH$289))</formula>
    </cfRule>
  </conditionalFormatting>
  <conditionalFormatting sqref="AI289">
    <cfRule type="expression" dxfId="309" priority="66732" stopIfTrue="1">
      <formula>NOT(ISBLANK($AI$289))</formula>
    </cfRule>
  </conditionalFormatting>
  <conditionalFormatting sqref="AJ289">
    <cfRule type="expression" dxfId="308" priority="66733" stopIfTrue="1">
      <formula>NOT(ISBLANK($AJ$289))</formula>
    </cfRule>
  </conditionalFormatting>
  <conditionalFormatting sqref="AK289">
    <cfRule type="expression" dxfId="307" priority="66734" stopIfTrue="1">
      <formula>NOT(ISBLANK($AK$289))</formula>
    </cfRule>
  </conditionalFormatting>
  <conditionalFormatting sqref="AL289">
    <cfRule type="expression" dxfId="306" priority="66735" stopIfTrue="1">
      <formula>NOT(ISBLANK($AL$289))</formula>
    </cfRule>
  </conditionalFormatting>
  <conditionalFormatting sqref="AM289">
    <cfRule type="expression" dxfId="305" priority="66736" stopIfTrue="1">
      <formula>NOT(ISBLANK($AM$289))</formula>
    </cfRule>
  </conditionalFormatting>
  <conditionalFormatting sqref="AN289">
    <cfRule type="expression" dxfId="304" priority="66737" stopIfTrue="1">
      <formula>NOT(ISBLANK($AN$289))</formula>
    </cfRule>
  </conditionalFormatting>
  <conditionalFormatting sqref="AO289">
    <cfRule type="expression" dxfId="303" priority="66738" stopIfTrue="1">
      <formula>NOT(ISBLANK($AO$289))</formula>
    </cfRule>
  </conditionalFormatting>
  <conditionalFormatting sqref="AP289">
    <cfRule type="expression" dxfId="302" priority="66739" stopIfTrue="1">
      <formula>NOT(ISBLANK($AP$289))</formula>
    </cfRule>
  </conditionalFormatting>
  <conditionalFormatting sqref="AQ289">
    <cfRule type="expression" dxfId="301" priority="66740" stopIfTrue="1">
      <formula>NOT(ISBLANK($AQ$289))</formula>
    </cfRule>
  </conditionalFormatting>
  <conditionalFormatting sqref="A290">
    <cfRule type="cellIs" dxfId="300" priority="66741" stopIfTrue="1" operator="notEqual">
      <formula>18</formula>
    </cfRule>
  </conditionalFormatting>
  <conditionalFormatting sqref="B290">
    <cfRule type="cellIs" dxfId="299" priority="66742" stopIfTrue="1" operator="notEqual">
      <formula>2</formula>
    </cfRule>
  </conditionalFormatting>
  <conditionalFormatting sqref="C290">
    <cfRule type="cellIs" dxfId="298" priority="66743" stopIfTrue="1" operator="notEqual">
      <formula>2</formula>
    </cfRule>
  </conditionalFormatting>
  <conditionalFormatting sqref="D290">
    <cfRule type="cellIs" dxfId="297" priority="66744" stopIfTrue="1" operator="notEqual">
      <formula>0.124</formula>
    </cfRule>
  </conditionalFormatting>
  <conditionalFormatting sqref="E290">
    <cfRule type="cellIs" dxfId="296" priority="66745" stopIfTrue="1" operator="notEqual">
      <formula>"MGD"</formula>
    </cfRule>
  </conditionalFormatting>
  <conditionalFormatting sqref="F290">
    <cfRule type="cellIs" dxfId="295" priority="66746" stopIfTrue="1" operator="notEqual">
      <formula>0.035</formula>
    </cfRule>
  </conditionalFormatting>
  <conditionalFormatting sqref="G290">
    <cfRule type="cellIs" dxfId="294" priority="66747" stopIfTrue="1" operator="notEqual">
      <formula>"MGD"</formula>
    </cfRule>
  </conditionalFormatting>
  <conditionalFormatting sqref="H290">
    <cfRule type="expression" dxfId="293" priority="66748" stopIfTrue="1">
      <formula>NOT(ISBLANK($H$290))</formula>
    </cfRule>
  </conditionalFormatting>
  <conditionalFormatting sqref="I290">
    <cfRule type="expression" dxfId="292" priority="66749" stopIfTrue="1">
      <formula>NOT(ISBLANK($I$290))</formula>
    </cfRule>
  </conditionalFormatting>
  <conditionalFormatting sqref="J290">
    <cfRule type="expression" dxfId="291" priority="66750" stopIfTrue="1">
      <formula>NOT(ISBLANK($J$290))</formula>
    </cfRule>
  </conditionalFormatting>
  <conditionalFormatting sqref="K290">
    <cfRule type="expression" dxfId="290" priority="66751" stopIfTrue="1">
      <formula>NOT(ISBLANK($K$290))</formula>
    </cfRule>
  </conditionalFormatting>
  <conditionalFormatting sqref="L290">
    <cfRule type="expression" dxfId="289" priority="66752" stopIfTrue="1">
      <formula>NOT(ISBLANK($L$290))</formula>
    </cfRule>
  </conditionalFormatting>
  <conditionalFormatting sqref="M290">
    <cfRule type="expression" dxfId="288" priority="66753" stopIfTrue="1">
      <formula>NOT(ISBLANK($M$290))</formula>
    </cfRule>
  </conditionalFormatting>
  <conditionalFormatting sqref="N290">
    <cfRule type="expression" dxfId="287" priority="66754" stopIfTrue="1">
      <formula>NOT(ISBLANK($N$290))</formula>
    </cfRule>
  </conditionalFormatting>
  <conditionalFormatting sqref="O290">
    <cfRule type="expression" dxfId="286" priority="66755" stopIfTrue="1">
      <formula>NOT(ISBLANK($O$290))</formula>
    </cfRule>
  </conditionalFormatting>
  <conditionalFormatting sqref="P290">
    <cfRule type="expression" dxfId="285" priority="66756" stopIfTrue="1">
      <formula>NOT(ISBLANK($P$290))</formula>
    </cfRule>
  </conditionalFormatting>
  <conditionalFormatting sqref="Q290">
    <cfRule type="expression" dxfId="284" priority="66757" stopIfTrue="1">
      <formula>NOT(ISBLANK($Q$290))</formula>
    </cfRule>
  </conditionalFormatting>
  <conditionalFormatting sqref="R290">
    <cfRule type="expression" dxfId="283" priority="66758" stopIfTrue="1">
      <formula>NOT(ISBLANK($R$290))</formula>
    </cfRule>
  </conditionalFormatting>
  <conditionalFormatting sqref="S290">
    <cfRule type="expression" dxfId="282" priority="66759" stopIfTrue="1">
      <formula>NOT(ISBLANK($S$290))</formula>
    </cfRule>
  </conditionalFormatting>
  <conditionalFormatting sqref="T290">
    <cfRule type="expression" dxfId="281" priority="66760" stopIfTrue="1">
      <formula>NOT(ISBLANK($T$290))</formula>
    </cfRule>
  </conditionalFormatting>
  <conditionalFormatting sqref="U290">
    <cfRule type="expression" dxfId="280" priority="66761" stopIfTrue="1">
      <formula>NOT(ISBLANK($U$290))</formula>
    </cfRule>
  </conditionalFormatting>
  <conditionalFormatting sqref="V290">
    <cfRule type="expression" dxfId="279" priority="66762" stopIfTrue="1">
      <formula>NOT(ISBLANK($V$290))</formula>
    </cfRule>
  </conditionalFormatting>
  <conditionalFormatting sqref="W290">
    <cfRule type="expression" dxfId="278" priority="66763" stopIfTrue="1">
      <formula>NOT(ISBLANK($W$290))</formula>
    </cfRule>
  </conditionalFormatting>
  <conditionalFormatting sqref="X290">
    <cfRule type="expression" dxfId="277" priority="66764" stopIfTrue="1">
      <formula>NOT(ISBLANK($X$290))</formula>
    </cfRule>
  </conditionalFormatting>
  <conditionalFormatting sqref="Y290">
    <cfRule type="expression" dxfId="276" priority="66765" stopIfTrue="1">
      <formula>NOT(ISBLANK($Y$290))</formula>
    </cfRule>
  </conditionalFormatting>
  <conditionalFormatting sqref="Z290">
    <cfRule type="expression" dxfId="275" priority="66766" stopIfTrue="1">
      <formula>NOT(ISBLANK($Z$290))</formula>
    </cfRule>
  </conditionalFormatting>
  <conditionalFormatting sqref="AA290">
    <cfRule type="expression" dxfId="274" priority="66767" stopIfTrue="1">
      <formula>NOT(ISBLANK($AA$290))</formula>
    </cfRule>
  </conditionalFormatting>
  <conditionalFormatting sqref="AB290">
    <cfRule type="expression" dxfId="273" priority="66768" stopIfTrue="1">
      <formula>NOT(ISBLANK($AB$290))</formula>
    </cfRule>
  </conditionalFormatting>
  <conditionalFormatting sqref="AC290">
    <cfRule type="expression" dxfId="272" priority="66769" stopIfTrue="1">
      <formula>NOT(ISBLANK($AC$290))</formula>
    </cfRule>
  </conditionalFormatting>
  <conditionalFormatting sqref="AD290">
    <cfRule type="expression" dxfId="271" priority="66770" stopIfTrue="1">
      <formula>NOT(ISBLANK($AD$290))</formula>
    </cfRule>
  </conditionalFormatting>
  <conditionalFormatting sqref="AE290">
    <cfRule type="expression" dxfId="270" priority="66771" stopIfTrue="1">
      <formula>NOT(ISBLANK($AE$290))</formula>
    </cfRule>
  </conditionalFormatting>
  <conditionalFormatting sqref="AF290">
    <cfRule type="expression" dxfId="269" priority="66772" stopIfTrue="1">
      <formula>NOT(ISBLANK($AF$290))</formula>
    </cfRule>
  </conditionalFormatting>
  <conditionalFormatting sqref="AG290">
    <cfRule type="expression" dxfId="268" priority="66773" stopIfTrue="1">
      <formula>NOT(ISBLANK($AG$290))</formula>
    </cfRule>
  </conditionalFormatting>
  <conditionalFormatting sqref="AH290">
    <cfRule type="expression" dxfId="267" priority="66774" stopIfTrue="1">
      <formula>NOT(ISBLANK($AH$290))</formula>
    </cfRule>
  </conditionalFormatting>
  <conditionalFormatting sqref="AI290">
    <cfRule type="expression" dxfId="266" priority="66775" stopIfTrue="1">
      <formula>NOT(ISBLANK($AI$290))</formula>
    </cfRule>
  </conditionalFormatting>
  <conditionalFormatting sqref="AJ290">
    <cfRule type="expression" dxfId="265" priority="66776" stopIfTrue="1">
      <formula>NOT(ISBLANK($AJ$290))</formula>
    </cfRule>
  </conditionalFormatting>
  <conditionalFormatting sqref="AK290">
    <cfRule type="expression" dxfId="264" priority="66777" stopIfTrue="1">
      <formula>NOT(ISBLANK($AK$290))</formula>
    </cfRule>
  </conditionalFormatting>
  <conditionalFormatting sqref="AL290">
    <cfRule type="expression" dxfId="263" priority="66778" stopIfTrue="1">
      <formula>NOT(ISBLANK($AL$290))</formula>
    </cfRule>
  </conditionalFormatting>
  <conditionalFormatting sqref="AM290">
    <cfRule type="expression" dxfId="262" priority="66779" stopIfTrue="1">
      <formula>NOT(ISBLANK($AM$290))</formula>
    </cfRule>
  </conditionalFormatting>
  <conditionalFormatting sqref="AN290">
    <cfRule type="expression" dxfId="261" priority="66780" stopIfTrue="1">
      <formula>NOT(ISBLANK($AN$290))</formula>
    </cfRule>
  </conditionalFormatting>
  <conditionalFormatting sqref="AO290">
    <cfRule type="expression" dxfId="260" priority="66781" stopIfTrue="1">
      <formula>NOT(ISBLANK($AO$290))</formula>
    </cfRule>
  </conditionalFormatting>
  <conditionalFormatting sqref="AP290">
    <cfRule type="expression" dxfId="259" priority="66782" stopIfTrue="1">
      <formula>NOT(ISBLANK($AP$290))</formula>
    </cfRule>
  </conditionalFormatting>
  <conditionalFormatting sqref="AQ290">
    <cfRule type="expression" dxfId="258" priority="66783" stopIfTrue="1">
      <formula>NOT(ISBLANK($AQ$290))</formula>
    </cfRule>
  </conditionalFormatting>
  <conditionalFormatting sqref="A291">
    <cfRule type="cellIs" dxfId="257" priority="66784" stopIfTrue="1" operator="notEqual">
      <formula>18</formula>
    </cfRule>
  </conditionalFormatting>
  <conditionalFormatting sqref="B291">
    <cfRule type="cellIs" dxfId="256" priority="66785" stopIfTrue="1" operator="notEqual">
      <formula>2</formula>
    </cfRule>
  </conditionalFormatting>
  <conditionalFormatting sqref="C291">
    <cfRule type="cellIs" dxfId="255" priority="66786" stopIfTrue="1" operator="notEqual">
      <formula>3</formula>
    </cfRule>
  </conditionalFormatting>
  <conditionalFormatting sqref="D291">
    <cfRule type="cellIs" dxfId="254" priority="66787" stopIfTrue="1" operator="notEqual">
      <formula>0.305</formula>
    </cfRule>
  </conditionalFormatting>
  <conditionalFormatting sqref="E291">
    <cfRule type="cellIs" dxfId="253" priority="66788" stopIfTrue="1" operator="notEqual">
      <formula>"MGD"</formula>
    </cfRule>
  </conditionalFormatting>
  <conditionalFormatting sqref="F291">
    <cfRule type="cellIs" dxfId="252" priority="66789" stopIfTrue="1" operator="notEqual">
      <formula>0.094</formula>
    </cfRule>
  </conditionalFormatting>
  <conditionalFormatting sqref="G291">
    <cfRule type="cellIs" dxfId="251" priority="66790" stopIfTrue="1" operator="notEqual">
      <formula>"MGD"</formula>
    </cfRule>
  </conditionalFormatting>
  <conditionalFormatting sqref="H291">
    <cfRule type="expression" dxfId="250" priority="66791" stopIfTrue="1">
      <formula>NOT(ISBLANK($H$291))</formula>
    </cfRule>
  </conditionalFormatting>
  <conditionalFormatting sqref="I291">
    <cfRule type="expression" dxfId="249" priority="66792" stopIfTrue="1">
      <formula>NOT(ISBLANK($I$291))</formula>
    </cfRule>
  </conditionalFormatting>
  <conditionalFormatting sqref="J291">
    <cfRule type="expression" dxfId="248" priority="66793" stopIfTrue="1">
      <formula>NOT(ISBLANK($J$291))</formula>
    </cfRule>
  </conditionalFormatting>
  <conditionalFormatting sqref="K291">
    <cfRule type="expression" dxfId="247" priority="66794" stopIfTrue="1">
      <formula>NOT(ISBLANK($K$291))</formula>
    </cfRule>
  </conditionalFormatting>
  <conditionalFormatting sqref="L291">
    <cfRule type="expression" dxfId="246" priority="66795" stopIfTrue="1">
      <formula>NOT(ISBLANK($L$291))</formula>
    </cfRule>
  </conditionalFormatting>
  <conditionalFormatting sqref="M291">
    <cfRule type="expression" dxfId="245" priority="66796" stopIfTrue="1">
      <formula>NOT(ISBLANK($M$291))</formula>
    </cfRule>
  </conditionalFormatting>
  <conditionalFormatting sqref="N291">
    <cfRule type="expression" dxfId="244" priority="66797" stopIfTrue="1">
      <formula>NOT(ISBLANK($N$291))</formula>
    </cfRule>
  </conditionalFormatting>
  <conditionalFormatting sqref="O291">
    <cfRule type="expression" dxfId="243" priority="66798" stopIfTrue="1">
      <formula>NOT(ISBLANK($O$291))</formula>
    </cfRule>
  </conditionalFormatting>
  <conditionalFormatting sqref="P291">
    <cfRule type="expression" dxfId="242" priority="66799" stopIfTrue="1">
      <formula>NOT(ISBLANK($P$291))</formula>
    </cfRule>
  </conditionalFormatting>
  <conditionalFormatting sqref="Q291">
    <cfRule type="expression" dxfId="241" priority="66800" stopIfTrue="1">
      <formula>NOT(ISBLANK($Q$291))</formula>
    </cfRule>
  </conditionalFormatting>
  <conditionalFormatting sqref="R291">
    <cfRule type="expression" dxfId="240" priority="66801" stopIfTrue="1">
      <formula>NOT(ISBLANK($R$291))</formula>
    </cfRule>
  </conditionalFormatting>
  <conditionalFormatting sqref="S291">
    <cfRule type="expression" dxfId="239" priority="66802" stopIfTrue="1">
      <formula>NOT(ISBLANK($S$291))</formula>
    </cfRule>
  </conditionalFormatting>
  <conditionalFormatting sqref="T291">
    <cfRule type="expression" dxfId="238" priority="66803" stopIfTrue="1">
      <formula>NOT(ISBLANK($T$291))</formula>
    </cfRule>
  </conditionalFormatting>
  <conditionalFormatting sqref="U291">
    <cfRule type="expression" dxfId="237" priority="66804" stopIfTrue="1">
      <formula>NOT(ISBLANK($U$291))</formula>
    </cfRule>
  </conditionalFormatting>
  <conditionalFormatting sqref="V291">
    <cfRule type="expression" dxfId="236" priority="66805" stopIfTrue="1">
      <formula>NOT(ISBLANK($V$291))</formula>
    </cfRule>
  </conditionalFormatting>
  <conditionalFormatting sqref="W291">
    <cfRule type="expression" dxfId="235" priority="66806" stopIfTrue="1">
      <formula>NOT(ISBLANK($W$291))</formula>
    </cfRule>
  </conditionalFormatting>
  <conditionalFormatting sqref="X291">
    <cfRule type="expression" dxfId="234" priority="66807" stopIfTrue="1">
      <formula>NOT(ISBLANK($X$291))</formula>
    </cfRule>
  </conditionalFormatting>
  <conditionalFormatting sqref="Y291">
    <cfRule type="expression" dxfId="233" priority="66808" stopIfTrue="1">
      <formula>NOT(ISBLANK($Y$291))</formula>
    </cfRule>
  </conditionalFormatting>
  <conditionalFormatting sqref="Z291">
    <cfRule type="expression" dxfId="232" priority="66809" stopIfTrue="1">
      <formula>NOT(ISBLANK($Z$291))</formula>
    </cfRule>
  </conditionalFormatting>
  <conditionalFormatting sqref="AA291">
    <cfRule type="expression" dxfId="231" priority="66810" stopIfTrue="1">
      <formula>NOT(ISBLANK($AA$291))</formula>
    </cfRule>
  </conditionalFormatting>
  <conditionalFormatting sqref="AB291">
    <cfRule type="expression" dxfId="230" priority="66811" stopIfTrue="1">
      <formula>NOT(ISBLANK($AB$291))</formula>
    </cfRule>
  </conditionalFormatting>
  <conditionalFormatting sqref="AC291">
    <cfRule type="expression" dxfId="229" priority="66812" stopIfTrue="1">
      <formula>NOT(ISBLANK($AC$291))</formula>
    </cfRule>
  </conditionalFormatting>
  <conditionalFormatting sqref="AD291">
    <cfRule type="expression" dxfId="228" priority="66813" stopIfTrue="1">
      <formula>NOT(ISBLANK($AD$291))</formula>
    </cfRule>
  </conditionalFormatting>
  <conditionalFormatting sqref="AE291">
    <cfRule type="expression" dxfId="227" priority="66814" stopIfTrue="1">
      <formula>NOT(ISBLANK($AE$291))</formula>
    </cfRule>
  </conditionalFormatting>
  <conditionalFormatting sqref="AF291">
    <cfRule type="expression" dxfId="226" priority="66815" stopIfTrue="1">
      <formula>NOT(ISBLANK($AF$291))</formula>
    </cfRule>
  </conditionalFormatting>
  <conditionalFormatting sqref="AG291">
    <cfRule type="expression" dxfId="225" priority="66816" stopIfTrue="1">
      <formula>NOT(ISBLANK($AG$291))</formula>
    </cfRule>
  </conditionalFormatting>
  <conditionalFormatting sqref="AH291">
    <cfRule type="expression" dxfId="224" priority="66817" stopIfTrue="1">
      <formula>NOT(ISBLANK($AH$291))</formula>
    </cfRule>
  </conditionalFormatting>
  <conditionalFormatting sqref="AI291">
    <cfRule type="expression" dxfId="223" priority="66818" stopIfTrue="1">
      <formula>NOT(ISBLANK($AI$291))</formula>
    </cfRule>
  </conditionalFormatting>
  <conditionalFormatting sqref="AJ291">
    <cfRule type="expression" dxfId="222" priority="66819" stopIfTrue="1">
      <formula>NOT(ISBLANK($AJ$291))</formula>
    </cfRule>
  </conditionalFormatting>
  <conditionalFormatting sqref="AK291">
    <cfRule type="expression" dxfId="221" priority="66820" stopIfTrue="1">
      <formula>NOT(ISBLANK($AK$291))</formula>
    </cfRule>
  </conditionalFormatting>
  <conditionalFormatting sqref="AL291">
    <cfRule type="expression" dxfId="220" priority="66821" stopIfTrue="1">
      <formula>NOT(ISBLANK($AL$291))</formula>
    </cfRule>
  </conditionalFormatting>
  <conditionalFormatting sqref="AM291">
    <cfRule type="expression" dxfId="219" priority="66822" stopIfTrue="1">
      <formula>NOT(ISBLANK($AM$291))</formula>
    </cfRule>
  </conditionalFormatting>
  <conditionalFormatting sqref="AN291">
    <cfRule type="expression" dxfId="218" priority="66823" stopIfTrue="1">
      <formula>NOT(ISBLANK($AN$291))</formula>
    </cfRule>
  </conditionalFormatting>
  <conditionalFormatting sqref="AO291">
    <cfRule type="expression" dxfId="217" priority="66824" stopIfTrue="1">
      <formula>NOT(ISBLANK($AO$291))</formula>
    </cfRule>
  </conditionalFormatting>
  <conditionalFormatting sqref="AP291">
    <cfRule type="expression" dxfId="216" priority="66825" stopIfTrue="1">
      <formula>NOT(ISBLANK($AP$291))</formula>
    </cfRule>
  </conditionalFormatting>
  <conditionalFormatting sqref="AQ291">
    <cfRule type="expression" dxfId="215" priority="66826" stopIfTrue="1">
      <formula>NOT(ISBLANK($AQ$291))</formula>
    </cfRule>
  </conditionalFormatting>
  <conditionalFormatting sqref="A292">
    <cfRule type="cellIs" dxfId="214" priority="66827" stopIfTrue="1" operator="notEqual">
      <formula>18</formula>
    </cfRule>
  </conditionalFormatting>
  <conditionalFormatting sqref="B292">
    <cfRule type="cellIs" dxfId="213" priority="66828" stopIfTrue="1" operator="notEqual">
      <formula>2</formula>
    </cfRule>
  </conditionalFormatting>
  <conditionalFormatting sqref="C292">
    <cfRule type="cellIs" dxfId="212" priority="66829" stopIfTrue="1" operator="notEqual">
      <formula>4</formula>
    </cfRule>
  </conditionalFormatting>
  <conditionalFormatting sqref="D292">
    <cfRule type="cellIs" dxfId="211" priority="66830" stopIfTrue="1" operator="notEqual">
      <formula>0.74</formula>
    </cfRule>
  </conditionalFormatting>
  <conditionalFormatting sqref="E292">
    <cfRule type="cellIs" dxfId="210" priority="66831" stopIfTrue="1" operator="notEqual">
      <formula>"MGD"</formula>
    </cfRule>
  </conditionalFormatting>
  <conditionalFormatting sqref="F292">
    <cfRule type="cellIs" dxfId="209" priority="66832" stopIfTrue="1" operator="notEqual">
      <formula>0.251</formula>
    </cfRule>
  </conditionalFormatting>
  <conditionalFormatting sqref="G292">
    <cfRule type="cellIs" dxfId="208" priority="66833" stopIfTrue="1" operator="notEqual">
      <formula>"MGD"</formula>
    </cfRule>
  </conditionalFormatting>
  <conditionalFormatting sqref="H292">
    <cfRule type="expression" dxfId="207" priority="66834" stopIfTrue="1">
      <formula>NOT(ISBLANK($H$292))</formula>
    </cfRule>
  </conditionalFormatting>
  <conditionalFormatting sqref="I292">
    <cfRule type="expression" dxfId="206" priority="66835" stopIfTrue="1">
      <formula>NOT(ISBLANK($I$292))</formula>
    </cfRule>
  </conditionalFormatting>
  <conditionalFormatting sqref="J292">
    <cfRule type="expression" dxfId="205" priority="66836" stopIfTrue="1">
      <formula>NOT(ISBLANK($J$292))</formula>
    </cfRule>
  </conditionalFormatting>
  <conditionalFormatting sqref="K292">
    <cfRule type="expression" dxfId="204" priority="66837" stopIfTrue="1">
      <formula>NOT(ISBLANK($K$292))</formula>
    </cfRule>
  </conditionalFormatting>
  <conditionalFormatting sqref="L292">
    <cfRule type="expression" dxfId="203" priority="66838" stopIfTrue="1">
      <formula>NOT(ISBLANK($L$292))</formula>
    </cfRule>
  </conditionalFormatting>
  <conditionalFormatting sqref="M292">
    <cfRule type="expression" dxfId="202" priority="66839" stopIfTrue="1">
      <formula>NOT(ISBLANK($M$292))</formula>
    </cfRule>
  </conditionalFormatting>
  <conditionalFormatting sqref="N292">
    <cfRule type="expression" dxfId="201" priority="66840" stopIfTrue="1">
      <formula>NOT(ISBLANK($N$292))</formula>
    </cfRule>
  </conditionalFormatting>
  <conditionalFormatting sqref="O292">
    <cfRule type="expression" dxfId="200" priority="66841" stopIfTrue="1">
      <formula>NOT(ISBLANK($O$292))</formula>
    </cfRule>
  </conditionalFormatting>
  <conditionalFormatting sqref="P292">
    <cfRule type="expression" dxfId="199" priority="66842" stopIfTrue="1">
      <formula>NOT(ISBLANK($P$292))</formula>
    </cfRule>
  </conditionalFormatting>
  <conditionalFormatting sqref="Q292">
    <cfRule type="expression" dxfId="198" priority="66843" stopIfTrue="1">
      <formula>NOT(ISBLANK($Q$292))</formula>
    </cfRule>
  </conditionalFormatting>
  <conditionalFormatting sqref="R292">
    <cfRule type="expression" dxfId="197" priority="66844" stopIfTrue="1">
      <formula>NOT(ISBLANK($R$292))</formula>
    </cfRule>
  </conditionalFormatting>
  <conditionalFormatting sqref="S292">
    <cfRule type="expression" dxfId="196" priority="66845" stopIfTrue="1">
      <formula>NOT(ISBLANK($S$292))</formula>
    </cfRule>
  </conditionalFormatting>
  <conditionalFormatting sqref="T292">
    <cfRule type="expression" dxfId="195" priority="66846" stopIfTrue="1">
      <formula>NOT(ISBLANK($T$292))</formula>
    </cfRule>
  </conditionalFormatting>
  <conditionalFormatting sqref="U292">
    <cfRule type="expression" dxfId="194" priority="66847" stopIfTrue="1">
      <formula>NOT(ISBLANK($U$292))</formula>
    </cfRule>
  </conditionalFormatting>
  <conditionalFormatting sqref="V292">
    <cfRule type="expression" dxfId="193" priority="66848" stopIfTrue="1">
      <formula>NOT(ISBLANK($V$292))</formula>
    </cfRule>
  </conditionalFormatting>
  <conditionalFormatting sqref="W292">
    <cfRule type="expression" dxfId="192" priority="66849" stopIfTrue="1">
      <formula>NOT(ISBLANK($W$292))</formula>
    </cfRule>
  </conditionalFormatting>
  <conditionalFormatting sqref="X292">
    <cfRule type="expression" dxfId="191" priority="66850" stopIfTrue="1">
      <formula>NOT(ISBLANK($X$292))</formula>
    </cfRule>
  </conditionalFormatting>
  <conditionalFormatting sqref="Y292">
    <cfRule type="expression" dxfId="190" priority="66851" stopIfTrue="1">
      <formula>NOT(ISBLANK($Y$292))</formula>
    </cfRule>
  </conditionalFormatting>
  <conditionalFormatting sqref="Z292">
    <cfRule type="expression" dxfId="189" priority="66852" stopIfTrue="1">
      <formula>NOT(ISBLANK($Z$292))</formula>
    </cfRule>
  </conditionalFormatting>
  <conditionalFormatting sqref="AA292">
    <cfRule type="expression" dxfId="188" priority="66853" stopIfTrue="1">
      <formula>NOT(ISBLANK($AA$292))</formula>
    </cfRule>
  </conditionalFormatting>
  <conditionalFormatting sqref="AB292">
    <cfRule type="expression" dxfId="187" priority="66854" stopIfTrue="1">
      <formula>NOT(ISBLANK($AB$292))</formula>
    </cfRule>
  </conditionalFormatting>
  <conditionalFormatting sqref="AC292">
    <cfRule type="expression" dxfId="186" priority="66855" stopIfTrue="1">
      <formula>NOT(ISBLANK($AC$292))</formula>
    </cfRule>
  </conditionalFormatting>
  <conditionalFormatting sqref="AD292">
    <cfRule type="expression" dxfId="185" priority="66856" stopIfTrue="1">
      <formula>NOT(ISBLANK($AD$292))</formula>
    </cfRule>
  </conditionalFormatting>
  <conditionalFormatting sqref="AE292">
    <cfRule type="expression" dxfId="184" priority="66857" stopIfTrue="1">
      <formula>NOT(ISBLANK($AE$292))</formula>
    </cfRule>
  </conditionalFormatting>
  <conditionalFormatting sqref="AF292">
    <cfRule type="expression" dxfId="183" priority="66858" stopIfTrue="1">
      <formula>NOT(ISBLANK($AF$292))</formula>
    </cfRule>
  </conditionalFormatting>
  <conditionalFormatting sqref="AG292">
    <cfRule type="expression" dxfId="182" priority="66859" stopIfTrue="1">
      <formula>NOT(ISBLANK($AG$292))</formula>
    </cfRule>
  </conditionalFormatting>
  <conditionalFormatting sqref="AH292">
    <cfRule type="expression" dxfId="181" priority="66860" stopIfTrue="1">
      <formula>NOT(ISBLANK($AH$292))</formula>
    </cfRule>
  </conditionalFormatting>
  <conditionalFormatting sqref="AI292">
    <cfRule type="expression" dxfId="180" priority="66861" stopIfTrue="1">
      <formula>NOT(ISBLANK($AI$292))</formula>
    </cfRule>
  </conditionalFormatting>
  <conditionalFormatting sqref="AJ292">
    <cfRule type="expression" dxfId="179" priority="66862" stopIfTrue="1">
      <formula>NOT(ISBLANK($AJ$292))</formula>
    </cfRule>
  </conditionalFormatting>
  <conditionalFormatting sqref="AK292">
    <cfRule type="expression" dxfId="178" priority="66863" stopIfTrue="1">
      <formula>NOT(ISBLANK($AK$292))</formula>
    </cfRule>
  </conditionalFormatting>
  <conditionalFormatting sqref="AL292">
    <cfRule type="expression" dxfId="177" priority="66864" stopIfTrue="1">
      <formula>NOT(ISBLANK($AL$292))</formula>
    </cfRule>
  </conditionalFormatting>
  <conditionalFormatting sqref="AM292">
    <cfRule type="expression" dxfId="176" priority="66865" stopIfTrue="1">
      <formula>NOT(ISBLANK($AM$292))</formula>
    </cfRule>
  </conditionalFormatting>
  <conditionalFormatting sqref="AN292">
    <cfRule type="expression" dxfId="175" priority="66866" stopIfTrue="1">
      <formula>NOT(ISBLANK($AN$292))</formula>
    </cfRule>
  </conditionalFormatting>
  <conditionalFormatting sqref="AO292">
    <cfRule type="expression" dxfId="174" priority="66867" stopIfTrue="1">
      <formula>NOT(ISBLANK($AO$292))</formula>
    </cfRule>
  </conditionalFormatting>
  <conditionalFormatting sqref="AP292">
    <cfRule type="expression" dxfId="173" priority="66868" stopIfTrue="1">
      <formula>NOT(ISBLANK($AP$292))</formula>
    </cfRule>
  </conditionalFormatting>
  <conditionalFormatting sqref="AQ292">
    <cfRule type="expression" dxfId="172" priority="66869" stopIfTrue="1">
      <formula>NOT(ISBLANK($AQ$292))</formula>
    </cfRule>
  </conditionalFormatting>
  <conditionalFormatting sqref="A293">
    <cfRule type="cellIs" dxfId="171" priority="66870" stopIfTrue="1" operator="notEqual">
      <formula>18</formula>
    </cfRule>
  </conditionalFormatting>
  <conditionalFormatting sqref="B293">
    <cfRule type="cellIs" dxfId="170" priority="66871" stopIfTrue="1" operator="notEqual">
      <formula>2</formula>
    </cfRule>
  </conditionalFormatting>
  <conditionalFormatting sqref="C293">
    <cfRule type="cellIs" dxfId="169" priority="66872" stopIfTrue="1" operator="notEqual">
      <formula>5</formula>
    </cfRule>
  </conditionalFormatting>
  <conditionalFormatting sqref="D293">
    <cfRule type="cellIs" dxfId="168" priority="66873" stopIfTrue="1" operator="notEqual">
      <formula>2.152</formula>
    </cfRule>
  </conditionalFormatting>
  <conditionalFormatting sqref="E293">
    <cfRule type="cellIs" dxfId="167" priority="66874" stopIfTrue="1" operator="notEqual">
      <formula>"MGD"</formula>
    </cfRule>
  </conditionalFormatting>
  <conditionalFormatting sqref="F293">
    <cfRule type="cellIs" dxfId="166" priority="66875" stopIfTrue="1" operator="notEqual">
      <formula>0.819</formula>
    </cfRule>
  </conditionalFormatting>
  <conditionalFormatting sqref="G293">
    <cfRule type="cellIs" dxfId="165" priority="66876" stopIfTrue="1" operator="notEqual">
      <formula>"MGD"</formula>
    </cfRule>
  </conditionalFormatting>
  <conditionalFormatting sqref="H293">
    <cfRule type="expression" dxfId="164" priority="66877" stopIfTrue="1">
      <formula>NOT(ISBLANK($H$293))</formula>
    </cfRule>
  </conditionalFormatting>
  <conditionalFormatting sqref="I293">
    <cfRule type="expression" dxfId="163" priority="66878" stopIfTrue="1">
      <formula>NOT(ISBLANK($I$293))</formula>
    </cfRule>
  </conditionalFormatting>
  <conditionalFormatting sqref="J293">
    <cfRule type="expression" dxfId="162" priority="66879" stopIfTrue="1">
      <formula>NOT(ISBLANK($J$293))</formula>
    </cfRule>
  </conditionalFormatting>
  <conditionalFormatting sqref="K293">
    <cfRule type="expression" dxfId="161" priority="66880" stopIfTrue="1">
      <formula>NOT(ISBLANK($K$293))</formula>
    </cfRule>
  </conditionalFormatting>
  <conditionalFormatting sqref="L293">
    <cfRule type="expression" dxfId="160" priority="66881" stopIfTrue="1">
      <formula>NOT(ISBLANK($L$293))</formula>
    </cfRule>
  </conditionalFormatting>
  <conditionalFormatting sqref="M293">
    <cfRule type="expression" dxfId="159" priority="66882" stopIfTrue="1">
      <formula>NOT(ISBLANK($M$293))</formula>
    </cfRule>
  </conditionalFormatting>
  <conditionalFormatting sqref="N293">
    <cfRule type="expression" dxfId="158" priority="66883" stopIfTrue="1">
      <formula>NOT(ISBLANK($N$293))</formula>
    </cfRule>
  </conditionalFormatting>
  <conditionalFormatting sqref="O293">
    <cfRule type="expression" dxfId="157" priority="66884" stopIfTrue="1">
      <formula>NOT(ISBLANK($O$293))</formula>
    </cfRule>
  </conditionalFormatting>
  <conditionalFormatting sqref="P293">
    <cfRule type="expression" dxfId="156" priority="66885" stopIfTrue="1">
      <formula>NOT(ISBLANK($P$293))</formula>
    </cfRule>
  </conditionalFormatting>
  <conditionalFormatting sqref="Q293">
    <cfRule type="expression" dxfId="155" priority="66886" stopIfTrue="1">
      <formula>NOT(ISBLANK($Q$293))</formula>
    </cfRule>
  </conditionalFormatting>
  <conditionalFormatting sqref="R293">
    <cfRule type="expression" dxfId="154" priority="66887" stopIfTrue="1">
      <formula>NOT(ISBLANK($R$293))</formula>
    </cfRule>
  </conditionalFormatting>
  <conditionalFormatting sqref="S293">
    <cfRule type="expression" dxfId="153" priority="66888" stopIfTrue="1">
      <formula>NOT(ISBLANK($S$293))</formula>
    </cfRule>
  </conditionalFormatting>
  <conditionalFormatting sqref="T293">
    <cfRule type="expression" dxfId="152" priority="66889" stopIfTrue="1">
      <formula>NOT(ISBLANK($T$293))</formula>
    </cfRule>
  </conditionalFormatting>
  <conditionalFormatting sqref="U293">
    <cfRule type="expression" dxfId="151" priority="66890" stopIfTrue="1">
      <formula>NOT(ISBLANK($U$293))</formula>
    </cfRule>
  </conditionalFormatting>
  <conditionalFormatting sqref="V293">
    <cfRule type="expression" dxfId="150" priority="66891" stopIfTrue="1">
      <formula>NOT(ISBLANK($V$293))</formula>
    </cfRule>
  </conditionalFormatting>
  <conditionalFormatting sqref="W293">
    <cfRule type="expression" dxfId="149" priority="66892" stopIfTrue="1">
      <formula>NOT(ISBLANK($W$293))</formula>
    </cfRule>
  </conditionalFormatting>
  <conditionalFormatting sqref="X293">
    <cfRule type="expression" dxfId="148" priority="66893" stopIfTrue="1">
      <formula>NOT(ISBLANK($X$293))</formula>
    </cfRule>
  </conditionalFormatting>
  <conditionalFormatting sqref="Y293">
    <cfRule type="expression" dxfId="147" priority="66894" stopIfTrue="1">
      <formula>NOT(ISBLANK($Y$293))</formula>
    </cfRule>
  </conditionalFormatting>
  <conditionalFormatting sqref="Z293">
    <cfRule type="expression" dxfId="146" priority="66895" stopIfTrue="1">
      <formula>NOT(ISBLANK($Z$293))</formula>
    </cfRule>
  </conditionalFormatting>
  <conditionalFormatting sqref="AA293">
    <cfRule type="expression" dxfId="145" priority="66896" stopIfTrue="1">
      <formula>NOT(ISBLANK($AA$293))</formula>
    </cfRule>
  </conditionalFormatting>
  <conditionalFormatting sqref="AB293">
    <cfRule type="expression" dxfId="144" priority="66897" stopIfTrue="1">
      <formula>NOT(ISBLANK($AB$293))</formula>
    </cfRule>
  </conditionalFormatting>
  <conditionalFormatting sqref="AC293">
    <cfRule type="expression" dxfId="143" priority="66898" stopIfTrue="1">
      <formula>NOT(ISBLANK($AC$293))</formula>
    </cfRule>
  </conditionalFormatting>
  <conditionalFormatting sqref="AD293">
    <cfRule type="expression" dxfId="142" priority="66899" stopIfTrue="1">
      <formula>NOT(ISBLANK($AD$293))</formula>
    </cfRule>
  </conditionalFormatting>
  <conditionalFormatting sqref="AE293">
    <cfRule type="expression" dxfId="141" priority="66900" stopIfTrue="1">
      <formula>NOT(ISBLANK($AE$293))</formula>
    </cfRule>
  </conditionalFormatting>
  <conditionalFormatting sqref="AF293">
    <cfRule type="expression" dxfId="140" priority="66901" stopIfTrue="1">
      <formula>NOT(ISBLANK($AF$293))</formula>
    </cfRule>
  </conditionalFormatting>
  <conditionalFormatting sqref="AG293">
    <cfRule type="expression" dxfId="139" priority="66902" stopIfTrue="1">
      <formula>NOT(ISBLANK($AG$293))</formula>
    </cfRule>
  </conditionalFormatting>
  <conditionalFormatting sqref="AH293">
    <cfRule type="expression" dxfId="138" priority="66903" stopIfTrue="1">
      <formula>NOT(ISBLANK($AH$293))</formula>
    </cfRule>
  </conditionalFormatting>
  <conditionalFormatting sqref="AI293">
    <cfRule type="expression" dxfId="137" priority="66904" stopIfTrue="1">
      <formula>NOT(ISBLANK($AI$293))</formula>
    </cfRule>
  </conditionalFormatting>
  <conditionalFormatting sqref="AJ293">
    <cfRule type="expression" dxfId="136" priority="66905" stopIfTrue="1">
      <formula>NOT(ISBLANK($AJ$293))</formula>
    </cfRule>
  </conditionalFormatting>
  <conditionalFormatting sqref="AK293">
    <cfRule type="expression" dxfId="135" priority="66906" stopIfTrue="1">
      <formula>NOT(ISBLANK($AK$293))</formula>
    </cfRule>
  </conditionalFormatting>
  <conditionalFormatting sqref="AL293">
    <cfRule type="expression" dxfId="134" priority="66907" stopIfTrue="1">
      <formula>NOT(ISBLANK($AL$293))</formula>
    </cfRule>
  </conditionalFormatting>
  <conditionalFormatting sqref="AM293">
    <cfRule type="expression" dxfId="133" priority="66908" stopIfTrue="1">
      <formula>NOT(ISBLANK($AM$293))</formula>
    </cfRule>
  </conditionalFormatting>
  <conditionalFormatting sqref="AN293">
    <cfRule type="expression" dxfId="132" priority="66909" stopIfTrue="1">
      <formula>NOT(ISBLANK($AN$293))</formula>
    </cfRule>
  </conditionalFormatting>
  <conditionalFormatting sqref="AO293">
    <cfRule type="expression" dxfId="131" priority="66910" stopIfTrue="1">
      <formula>NOT(ISBLANK($AO$293))</formula>
    </cfRule>
  </conditionalFormatting>
  <conditionalFormatting sqref="AP293">
    <cfRule type="expression" dxfId="130" priority="66911" stopIfTrue="1">
      <formula>NOT(ISBLANK($AP$293))</formula>
    </cfRule>
  </conditionalFormatting>
  <conditionalFormatting sqref="AQ293">
    <cfRule type="expression" dxfId="129" priority="66912" stopIfTrue="1">
      <formula>NOT(ISBLANK($AQ$293))</formula>
    </cfRule>
  </conditionalFormatting>
  <conditionalFormatting sqref="A294">
    <cfRule type="cellIs" dxfId="128" priority="66913" stopIfTrue="1" operator="notEqual">
      <formula>18</formula>
    </cfRule>
  </conditionalFormatting>
  <conditionalFormatting sqref="B294">
    <cfRule type="cellIs" dxfId="127" priority="66914" stopIfTrue="1" operator="notEqual">
      <formula>2</formula>
    </cfRule>
  </conditionalFormatting>
  <conditionalFormatting sqref="C294">
    <cfRule type="cellIs" dxfId="126" priority="66915" stopIfTrue="1" operator="notEqual">
      <formula>6</formula>
    </cfRule>
  </conditionalFormatting>
  <conditionalFormatting sqref="D294">
    <cfRule type="cellIs" dxfId="125" priority="66916" stopIfTrue="1" operator="notEqual">
      <formula>7.365</formula>
    </cfRule>
  </conditionalFormatting>
  <conditionalFormatting sqref="E294">
    <cfRule type="cellIs" dxfId="124" priority="66917" stopIfTrue="1" operator="notEqual">
      <formula>"MGD"</formula>
    </cfRule>
  </conditionalFormatting>
  <conditionalFormatting sqref="F294">
    <cfRule type="cellIs" dxfId="123" priority="66918" stopIfTrue="1" operator="notEqual">
      <formula>3.2</formula>
    </cfRule>
  </conditionalFormatting>
  <conditionalFormatting sqref="G294">
    <cfRule type="cellIs" dxfId="122" priority="66919" stopIfTrue="1" operator="notEqual">
      <formula>"MGD"</formula>
    </cfRule>
  </conditionalFormatting>
  <conditionalFormatting sqref="H294">
    <cfRule type="expression" dxfId="121" priority="66920" stopIfTrue="1">
      <formula>NOT(ISBLANK($H$294))</formula>
    </cfRule>
  </conditionalFormatting>
  <conditionalFormatting sqref="I294">
    <cfRule type="expression" dxfId="120" priority="66921" stopIfTrue="1">
      <formula>NOT(ISBLANK($I$294))</formula>
    </cfRule>
  </conditionalFormatting>
  <conditionalFormatting sqref="J294">
    <cfRule type="expression" dxfId="119" priority="66922" stopIfTrue="1">
      <formula>NOT(ISBLANK($J$294))</formula>
    </cfRule>
  </conditionalFormatting>
  <conditionalFormatting sqref="K294">
    <cfRule type="expression" dxfId="118" priority="66923" stopIfTrue="1">
      <formula>NOT(ISBLANK($K$294))</formula>
    </cfRule>
  </conditionalFormatting>
  <conditionalFormatting sqref="L294">
    <cfRule type="expression" dxfId="117" priority="66924" stopIfTrue="1">
      <formula>NOT(ISBLANK($L$294))</formula>
    </cfRule>
  </conditionalFormatting>
  <conditionalFormatting sqref="M294">
    <cfRule type="expression" dxfId="116" priority="66925" stopIfTrue="1">
      <formula>NOT(ISBLANK($M$294))</formula>
    </cfRule>
  </conditionalFormatting>
  <conditionalFormatting sqref="N294">
    <cfRule type="expression" dxfId="115" priority="66926" stopIfTrue="1">
      <formula>NOT(ISBLANK($N$294))</formula>
    </cfRule>
  </conditionalFormatting>
  <conditionalFormatting sqref="O294">
    <cfRule type="expression" dxfId="114" priority="66927" stopIfTrue="1">
      <formula>NOT(ISBLANK($O$294))</formula>
    </cfRule>
  </conditionalFormatting>
  <conditionalFormatting sqref="P294">
    <cfRule type="expression" dxfId="113" priority="66928" stopIfTrue="1">
      <formula>NOT(ISBLANK($P$294))</formula>
    </cfRule>
  </conditionalFormatting>
  <conditionalFormatting sqref="Q294">
    <cfRule type="expression" dxfId="112" priority="66929" stopIfTrue="1">
      <formula>NOT(ISBLANK($Q$294))</formula>
    </cfRule>
  </conditionalFormatting>
  <conditionalFormatting sqref="R294">
    <cfRule type="expression" dxfId="111" priority="66930" stopIfTrue="1">
      <formula>NOT(ISBLANK($R$294))</formula>
    </cfRule>
  </conditionalFormatting>
  <conditionalFormatting sqref="S294">
    <cfRule type="expression" dxfId="110" priority="66931" stopIfTrue="1">
      <formula>NOT(ISBLANK($S$294))</formula>
    </cfRule>
  </conditionalFormatting>
  <conditionalFormatting sqref="T294">
    <cfRule type="expression" dxfId="109" priority="66932" stopIfTrue="1">
      <formula>NOT(ISBLANK($T$294))</formula>
    </cfRule>
  </conditionalFormatting>
  <conditionalFormatting sqref="U294">
    <cfRule type="expression" dxfId="108" priority="66933" stopIfTrue="1">
      <formula>NOT(ISBLANK($U$294))</formula>
    </cfRule>
  </conditionalFormatting>
  <conditionalFormatting sqref="V294">
    <cfRule type="expression" dxfId="107" priority="66934" stopIfTrue="1">
      <formula>NOT(ISBLANK($V$294))</formula>
    </cfRule>
  </conditionalFormatting>
  <conditionalFormatting sqref="W294">
    <cfRule type="expression" dxfId="106" priority="66935" stopIfTrue="1">
      <formula>NOT(ISBLANK($W$294))</formula>
    </cfRule>
  </conditionalFormatting>
  <conditionalFormatting sqref="X294">
    <cfRule type="expression" dxfId="105" priority="66936" stopIfTrue="1">
      <formula>NOT(ISBLANK($X$294))</formula>
    </cfRule>
  </conditionalFormatting>
  <conditionalFormatting sqref="Y294">
    <cfRule type="expression" dxfId="104" priority="66937" stopIfTrue="1">
      <formula>NOT(ISBLANK($Y$294))</formula>
    </cfRule>
  </conditionalFormatting>
  <conditionalFormatting sqref="Z294">
    <cfRule type="expression" dxfId="103" priority="66938" stopIfTrue="1">
      <formula>NOT(ISBLANK($Z$294))</formula>
    </cfRule>
  </conditionalFormatting>
  <conditionalFormatting sqref="AA294">
    <cfRule type="expression" dxfId="102" priority="66939" stopIfTrue="1">
      <formula>NOT(ISBLANK($AA$294))</formula>
    </cfRule>
  </conditionalFormatting>
  <conditionalFormatting sqref="AB294">
    <cfRule type="expression" dxfId="101" priority="66940" stopIfTrue="1">
      <formula>NOT(ISBLANK($AB$294))</formula>
    </cfRule>
  </conditionalFormatting>
  <conditionalFormatting sqref="AC294">
    <cfRule type="expression" dxfId="100" priority="66941" stopIfTrue="1">
      <formula>NOT(ISBLANK($AC$294))</formula>
    </cfRule>
  </conditionalFormatting>
  <conditionalFormatting sqref="AD294">
    <cfRule type="expression" dxfId="99" priority="66942" stopIfTrue="1">
      <formula>NOT(ISBLANK($AD$294))</formula>
    </cfRule>
  </conditionalFormatting>
  <conditionalFormatting sqref="AE294">
    <cfRule type="expression" dxfId="98" priority="66943" stopIfTrue="1">
      <formula>NOT(ISBLANK($AE$294))</formula>
    </cfRule>
  </conditionalFormatting>
  <conditionalFormatting sqref="AF294">
    <cfRule type="expression" dxfId="97" priority="66944" stopIfTrue="1">
      <formula>NOT(ISBLANK($AF$294))</formula>
    </cfRule>
  </conditionalFormatting>
  <conditionalFormatting sqref="AG294">
    <cfRule type="expression" dxfId="96" priority="66945" stopIfTrue="1">
      <formula>NOT(ISBLANK($AG$294))</formula>
    </cfRule>
  </conditionalFormatting>
  <conditionalFormatting sqref="AH294">
    <cfRule type="expression" dxfId="95" priority="66946" stopIfTrue="1">
      <formula>NOT(ISBLANK($AH$294))</formula>
    </cfRule>
  </conditionalFormatting>
  <conditionalFormatting sqref="AI294">
    <cfRule type="expression" dxfId="94" priority="66947" stopIfTrue="1">
      <formula>NOT(ISBLANK($AI$294))</formula>
    </cfRule>
  </conditionalFormatting>
  <conditionalFormatting sqref="AJ294">
    <cfRule type="expression" dxfId="93" priority="66948" stopIfTrue="1">
      <formula>NOT(ISBLANK($AJ$294))</formula>
    </cfRule>
  </conditionalFormatting>
  <conditionalFormatting sqref="AK294">
    <cfRule type="expression" dxfId="92" priority="66949" stopIfTrue="1">
      <formula>NOT(ISBLANK($AK$294))</formula>
    </cfRule>
  </conditionalFormatting>
  <conditionalFormatting sqref="AL294">
    <cfRule type="expression" dxfId="91" priority="66950" stopIfTrue="1">
      <formula>NOT(ISBLANK($AL$294))</formula>
    </cfRule>
  </conditionalFormatting>
  <conditionalFormatting sqref="AM294">
    <cfRule type="expression" dxfId="90" priority="66951" stopIfTrue="1">
      <formula>NOT(ISBLANK($AM$294))</formula>
    </cfRule>
  </conditionalFormatting>
  <conditionalFormatting sqref="AN294">
    <cfRule type="expression" dxfId="89" priority="66952" stopIfTrue="1">
      <formula>NOT(ISBLANK($AN$294))</formula>
    </cfRule>
  </conditionalFormatting>
  <conditionalFormatting sqref="AO294">
    <cfRule type="expression" dxfId="88" priority="66953" stopIfTrue="1">
      <formula>NOT(ISBLANK($AO$294))</formula>
    </cfRule>
  </conditionalFormatting>
  <conditionalFormatting sqref="AP294">
    <cfRule type="expression" dxfId="87" priority="66954" stopIfTrue="1">
      <formula>NOT(ISBLANK($AP$294))</formula>
    </cfRule>
  </conditionalFormatting>
  <conditionalFormatting sqref="AQ294">
    <cfRule type="expression" dxfId="86" priority="66955" stopIfTrue="1">
      <formula>NOT(ISBLANK($AQ$294))</formula>
    </cfRule>
  </conditionalFormatting>
  <conditionalFormatting sqref="A295">
    <cfRule type="cellIs" dxfId="85" priority="66956" stopIfTrue="1" operator="notEqual">
      <formula>18</formula>
    </cfRule>
  </conditionalFormatting>
  <conditionalFormatting sqref="B295">
    <cfRule type="cellIs" dxfId="84" priority="66957" stopIfTrue="1" operator="notEqual">
      <formula>2</formula>
    </cfRule>
  </conditionalFormatting>
  <conditionalFormatting sqref="C295">
    <cfRule type="cellIs" dxfId="83" priority="66958" stopIfTrue="1" operator="notEqual">
      <formula>7</formula>
    </cfRule>
  </conditionalFormatting>
  <conditionalFormatting sqref="D295">
    <cfRule type="cellIs" dxfId="82" priority="66959" stopIfTrue="1" operator="notEqual">
      <formula>22.614</formula>
    </cfRule>
  </conditionalFormatting>
  <conditionalFormatting sqref="E295">
    <cfRule type="cellIs" dxfId="81" priority="66960" stopIfTrue="1" operator="notEqual">
      <formula>"MGD"</formula>
    </cfRule>
  </conditionalFormatting>
  <conditionalFormatting sqref="F295">
    <cfRule type="cellIs" dxfId="80" priority="66961" stopIfTrue="1" operator="notEqual">
      <formula>11.066</formula>
    </cfRule>
  </conditionalFormatting>
  <conditionalFormatting sqref="G295">
    <cfRule type="cellIs" dxfId="79" priority="66962" stopIfTrue="1" operator="notEqual">
      <formula>"MGD"</formula>
    </cfRule>
  </conditionalFormatting>
  <conditionalFormatting sqref="H295">
    <cfRule type="expression" dxfId="78" priority="66963" stopIfTrue="1">
      <formula>NOT(ISBLANK($H$295))</formula>
    </cfRule>
  </conditionalFormatting>
  <conditionalFormatting sqref="I295">
    <cfRule type="expression" dxfId="77" priority="66964" stopIfTrue="1">
      <formula>NOT(ISBLANK($I$295))</formula>
    </cfRule>
  </conditionalFormatting>
  <conditionalFormatting sqref="J295">
    <cfRule type="expression" dxfId="76" priority="66965" stopIfTrue="1">
      <formula>NOT(ISBLANK($J$295))</formula>
    </cfRule>
  </conditionalFormatting>
  <conditionalFormatting sqref="K295">
    <cfRule type="expression" dxfId="75" priority="66966" stopIfTrue="1">
      <formula>NOT(ISBLANK($K$295))</formula>
    </cfRule>
  </conditionalFormatting>
  <conditionalFormatting sqref="L295">
    <cfRule type="expression" dxfId="74" priority="66967" stopIfTrue="1">
      <formula>NOT(ISBLANK($L$295))</formula>
    </cfRule>
  </conditionalFormatting>
  <conditionalFormatting sqref="M295">
    <cfRule type="expression" dxfId="73" priority="66968" stopIfTrue="1">
      <formula>NOT(ISBLANK($M$295))</formula>
    </cfRule>
  </conditionalFormatting>
  <conditionalFormatting sqref="N295">
    <cfRule type="expression" dxfId="72" priority="66969" stopIfTrue="1">
      <formula>NOT(ISBLANK($N$295))</formula>
    </cfRule>
  </conditionalFormatting>
  <conditionalFormatting sqref="O295">
    <cfRule type="expression" dxfId="71" priority="66970" stopIfTrue="1">
      <formula>NOT(ISBLANK($O$295))</formula>
    </cfRule>
  </conditionalFormatting>
  <conditionalFormatting sqref="P295">
    <cfRule type="expression" dxfId="70" priority="66971" stopIfTrue="1">
      <formula>NOT(ISBLANK($P$295))</formula>
    </cfRule>
  </conditionalFormatting>
  <conditionalFormatting sqref="Q295">
    <cfRule type="expression" dxfId="69" priority="66972" stopIfTrue="1">
      <formula>NOT(ISBLANK($Q$295))</formula>
    </cfRule>
  </conditionalFormatting>
  <conditionalFormatting sqref="R295">
    <cfRule type="expression" dxfId="68" priority="66973" stopIfTrue="1">
      <formula>NOT(ISBLANK($R$295))</formula>
    </cfRule>
  </conditionalFormatting>
  <conditionalFormatting sqref="S295">
    <cfRule type="expression" dxfId="67" priority="66974" stopIfTrue="1">
      <formula>NOT(ISBLANK($S$295))</formula>
    </cfRule>
  </conditionalFormatting>
  <conditionalFormatting sqref="T295">
    <cfRule type="expression" dxfId="66" priority="66975" stopIfTrue="1">
      <formula>NOT(ISBLANK($T$295))</formula>
    </cfRule>
  </conditionalFormatting>
  <conditionalFormatting sqref="U295">
    <cfRule type="expression" dxfId="65" priority="66976" stopIfTrue="1">
      <formula>NOT(ISBLANK($U$295))</formula>
    </cfRule>
  </conditionalFormatting>
  <conditionalFormatting sqref="V295">
    <cfRule type="expression" dxfId="64" priority="66977" stopIfTrue="1">
      <formula>NOT(ISBLANK($V$295))</formula>
    </cfRule>
  </conditionalFormatting>
  <conditionalFormatting sqref="W295">
    <cfRule type="expression" dxfId="63" priority="66978" stopIfTrue="1">
      <formula>NOT(ISBLANK($W$295))</formula>
    </cfRule>
  </conditionalFormatting>
  <conditionalFormatting sqref="X295">
    <cfRule type="expression" dxfId="62" priority="66979" stopIfTrue="1">
      <formula>NOT(ISBLANK($X$295))</formula>
    </cfRule>
  </conditionalFormatting>
  <conditionalFormatting sqref="Y295">
    <cfRule type="expression" dxfId="61" priority="66980" stopIfTrue="1">
      <formula>NOT(ISBLANK($Y$295))</formula>
    </cfRule>
  </conditionalFormatting>
  <conditionalFormatting sqref="Z295">
    <cfRule type="expression" dxfId="60" priority="66981" stopIfTrue="1">
      <formula>NOT(ISBLANK($Z$295))</formula>
    </cfRule>
  </conditionalFormatting>
  <conditionalFormatting sqref="AA295">
    <cfRule type="expression" dxfId="59" priority="66982" stopIfTrue="1">
      <formula>NOT(ISBLANK($AA$295))</formula>
    </cfRule>
  </conditionalFormatting>
  <conditionalFormatting sqref="AB295">
    <cfRule type="expression" dxfId="58" priority="66983" stopIfTrue="1">
      <formula>NOT(ISBLANK($AB$295))</formula>
    </cfRule>
  </conditionalFormatting>
  <conditionalFormatting sqref="AC295">
    <cfRule type="expression" dxfId="57" priority="66984" stopIfTrue="1">
      <formula>NOT(ISBLANK($AC$295))</formula>
    </cfRule>
  </conditionalFormatting>
  <conditionalFormatting sqref="AD295">
    <cfRule type="expression" dxfId="56" priority="66985" stopIfTrue="1">
      <formula>NOT(ISBLANK($AD$295))</formula>
    </cfRule>
  </conditionalFormatting>
  <conditionalFormatting sqref="AE295">
    <cfRule type="expression" dxfId="55" priority="66986" stopIfTrue="1">
      <formula>NOT(ISBLANK($AE$295))</formula>
    </cfRule>
  </conditionalFormatting>
  <conditionalFormatting sqref="AF295">
    <cfRule type="expression" dxfId="54" priority="66987" stopIfTrue="1">
      <formula>NOT(ISBLANK($AF$295))</formula>
    </cfRule>
  </conditionalFormatting>
  <conditionalFormatting sqref="AG295">
    <cfRule type="expression" dxfId="53" priority="66988" stopIfTrue="1">
      <formula>NOT(ISBLANK($AG$295))</formula>
    </cfRule>
  </conditionalFormatting>
  <conditionalFormatting sqref="AH295">
    <cfRule type="expression" dxfId="52" priority="66989" stopIfTrue="1">
      <formula>NOT(ISBLANK($AH$295))</formula>
    </cfRule>
  </conditionalFormatting>
  <conditionalFormatting sqref="AI295">
    <cfRule type="expression" dxfId="51" priority="66990" stopIfTrue="1">
      <formula>NOT(ISBLANK($AI$295))</formula>
    </cfRule>
  </conditionalFormatting>
  <conditionalFormatting sqref="AJ295">
    <cfRule type="expression" dxfId="50" priority="66991" stopIfTrue="1">
      <formula>NOT(ISBLANK($AJ$295))</formula>
    </cfRule>
  </conditionalFormatting>
  <conditionalFormatting sqref="AK295">
    <cfRule type="expression" dxfId="49" priority="66992" stopIfTrue="1">
      <formula>NOT(ISBLANK($AK$295))</formula>
    </cfRule>
  </conditionalFormatting>
  <conditionalFormatting sqref="AL295">
    <cfRule type="expression" dxfId="48" priority="66993" stopIfTrue="1">
      <formula>NOT(ISBLANK($AL$295))</formula>
    </cfRule>
  </conditionalFormatting>
  <conditionalFormatting sqref="AM295">
    <cfRule type="expression" dxfId="47" priority="66994" stopIfTrue="1">
      <formula>NOT(ISBLANK($AM$295))</formula>
    </cfRule>
  </conditionalFormatting>
  <conditionalFormatting sqref="AN295">
    <cfRule type="expression" dxfId="46" priority="66995" stopIfTrue="1">
      <formula>NOT(ISBLANK($AN$295))</formula>
    </cfRule>
  </conditionalFormatting>
  <conditionalFormatting sqref="AO295">
    <cfRule type="expression" dxfId="45" priority="66996" stopIfTrue="1">
      <formula>NOT(ISBLANK($AO$295))</formula>
    </cfRule>
  </conditionalFormatting>
  <conditionalFormatting sqref="AP295">
    <cfRule type="expression" dxfId="44" priority="66997" stopIfTrue="1">
      <formula>NOT(ISBLANK($AP$295))</formula>
    </cfRule>
  </conditionalFormatting>
  <conditionalFormatting sqref="AQ295">
    <cfRule type="expression" dxfId="43" priority="66998" stopIfTrue="1">
      <formula>NOT(ISBLANK($AQ$295))</formula>
    </cfRule>
  </conditionalFormatting>
  <conditionalFormatting sqref="A296">
    <cfRule type="cellIs" dxfId="42" priority="66999" stopIfTrue="1" operator="notEqual">
      <formula>18</formula>
    </cfRule>
  </conditionalFormatting>
  <conditionalFormatting sqref="B296">
    <cfRule type="cellIs" dxfId="41" priority="67000" stopIfTrue="1" operator="notEqual">
      <formula>2</formula>
    </cfRule>
  </conditionalFormatting>
  <conditionalFormatting sqref="C296">
    <cfRule type="cellIs" dxfId="40" priority="67001" stopIfTrue="1" operator="notEqual">
      <formula>8</formula>
    </cfRule>
  </conditionalFormatting>
  <conditionalFormatting sqref="D296">
    <cfRule type="cellIs" dxfId="39" priority="67002" stopIfTrue="1" operator="notEqual">
      <formula>75.072</formula>
    </cfRule>
  </conditionalFormatting>
  <conditionalFormatting sqref="E296">
    <cfRule type="cellIs" dxfId="38" priority="67003" stopIfTrue="1" operator="notEqual">
      <formula>"MGD"</formula>
    </cfRule>
  </conditionalFormatting>
  <conditionalFormatting sqref="F296">
    <cfRule type="cellIs" dxfId="37" priority="67004" stopIfTrue="1" operator="notEqual">
      <formula>37.536</formula>
    </cfRule>
  </conditionalFormatting>
  <conditionalFormatting sqref="G296">
    <cfRule type="cellIs" dxfId="36" priority="67005" stopIfTrue="1" operator="notEqual">
      <formula>"MGD"</formula>
    </cfRule>
  </conditionalFormatting>
  <conditionalFormatting sqref="H296">
    <cfRule type="expression" dxfId="35" priority="67006" stopIfTrue="1">
      <formula>NOT(ISBLANK($H$296))</formula>
    </cfRule>
  </conditionalFormatting>
  <conditionalFormatting sqref="I296">
    <cfRule type="expression" dxfId="34" priority="67007" stopIfTrue="1">
      <formula>NOT(ISBLANK($I$296))</formula>
    </cfRule>
  </conditionalFormatting>
  <conditionalFormatting sqref="J296">
    <cfRule type="expression" dxfId="33" priority="67008" stopIfTrue="1">
      <formula>NOT(ISBLANK($J$296))</formula>
    </cfRule>
  </conditionalFormatting>
  <conditionalFormatting sqref="K296">
    <cfRule type="expression" dxfId="32" priority="67009" stopIfTrue="1">
      <formula>NOT(ISBLANK($K$296))</formula>
    </cfRule>
  </conditionalFormatting>
  <conditionalFormatting sqref="L296">
    <cfRule type="expression" dxfId="31" priority="67010" stopIfTrue="1">
      <formula>NOT(ISBLANK($L$296))</formula>
    </cfRule>
  </conditionalFormatting>
  <conditionalFormatting sqref="M296">
    <cfRule type="expression" dxfId="30" priority="67011" stopIfTrue="1">
      <formula>NOT(ISBLANK($M$296))</formula>
    </cfRule>
  </conditionalFormatting>
  <conditionalFormatting sqref="N296">
    <cfRule type="expression" dxfId="29" priority="67012" stopIfTrue="1">
      <formula>NOT(ISBLANK($N$296))</formula>
    </cfRule>
  </conditionalFormatting>
  <conditionalFormatting sqref="O296">
    <cfRule type="expression" dxfId="28" priority="67013" stopIfTrue="1">
      <formula>NOT(ISBLANK($O$296))</formula>
    </cfRule>
  </conditionalFormatting>
  <conditionalFormatting sqref="P296">
    <cfRule type="expression" dxfId="27" priority="67014" stopIfTrue="1">
      <formula>NOT(ISBLANK($P$296))</formula>
    </cfRule>
  </conditionalFormatting>
  <conditionalFormatting sqref="Q296">
    <cfRule type="expression" dxfId="26" priority="67015" stopIfTrue="1">
      <formula>NOT(ISBLANK($Q$296))</formula>
    </cfRule>
  </conditionalFormatting>
  <conditionalFormatting sqref="R296">
    <cfRule type="expression" dxfId="25" priority="67016" stopIfTrue="1">
      <formula>NOT(ISBLANK($R$296))</formula>
    </cfRule>
  </conditionalFormatting>
  <conditionalFormatting sqref="S296">
    <cfRule type="expression" dxfId="24" priority="67017" stopIfTrue="1">
      <formula>NOT(ISBLANK($S$296))</formula>
    </cfRule>
  </conditionalFormatting>
  <conditionalFormatting sqref="T296">
    <cfRule type="expression" dxfId="23" priority="67018" stopIfTrue="1">
      <formula>NOT(ISBLANK($T$296))</formula>
    </cfRule>
  </conditionalFormatting>
  <conditionalFormatting sqref="U296">
    <cfRule type="expression" dxfId="22" priority="67019" stopIfTrue="1">
      <formula>NOT(ISBLANK($U$296))</formula>
    </cfRule>
  </conditionalFormatting>
  <conditionalFormatting sqref="V296">
    <cfRule type="expression" dxfId="21" priority="67020" stopIfTrue="1">
      <formula>NOT(ISBLANK($V$296))</formula>
    </cfRule>
  </conditionalFormatting>
  <conditionalFormatting sqref="W296">
    <cfRule type="expression" dxfId="20" priority="67021" stopIfTrue="1">
      <formula>NOT(ISBLANK($W$296))</formula>
    </cfRule>
  </conditionalFormatting>
  <conditionalFormatting sqref="X296">
    <cfRule type="expression" dxfId="19" priority="67022" stopIfTrue="1">
      <formula>NOT(ISBLANK($X$296))</formula>
    </cfRule>
  </conditionalFormatting>
  <conditionalFormatting sqref="Y296">
    <cfRule type="expression" dxfId="18" priority="67023" stopIfTrue="1">
      <formula>NOT(ISBLANK($Y$296))</formula>
    </cfRule>
  </conditionalFormatting>
  <conditionalFormatting sqref="Z296">
    <cfRule type="expression" dxfId="17" priority="67024" stopIfTrue="1">
      <formula>NOT(ISBLANK($Z$296))</formula>
    </cfRule>
  </conditionalFormatting>
  <conditionalFormatting sqref="AA296">
    <cfRule type="expression" dxfId="16" priority="67025" stopIfTrue="1">
      <formula>NOT(ISBLANK($AA$296))</formula>
    </cfRule>
  </conditionalFormatting>
  <conditionalFormatting sqref="AB296">
    <cfRule type="expression" dxfId="15" priority="67026" stopIfTrue="1">
      <formula>NOT(ISBLANK($AB$296))</formula>
    </cfRule>
  </conditionalFormatting>
  <conditionalFormatting sqref="AC296">
    <cfRule type="expression" dxfId="14" priority="67027" stopIfTrue="1">
      <formula>NOT(ISBLANK($AC$296))</formula>
    </cfRule>
  </conditionalFormatting>
  <conditionalFormatting sqref="AD296">
    <cfRule type="expression" dxfId="13" priority="67028" stopIfTrue="1">
      <formula>NOT(ISBLANK($AD$296))</formula>
    </cfRule>
  </conditionalFormatting>
  <conditionalFormatting sqref="AE296">
    <cfRule type="expression" dxfId="12" priority="67029" stopIfTrue="1">
      <formula>NOT(ISBLANK($AE$296))</formula>
    </cfRule>
  </conditionalFormatting>
  <conditionalFormatting sqref="AF296">
    <cfRule type="expression" dxfId="11" priority="67030" stopIfTrue="1">
      <formula>NOT(ISBLANK($AF$296))</formula>
    </cfRule>
  </conditionalFormatting>
  <conditionalFormatting sqref="AG296">
    <cfRule type="expression" dxfId="10" priority="67031" stopIfTrue="1">
      <formula>NOT(ISBLANK($AG$296))</formula>
    </cfRule>
  </conditionalFormatting>
  <conditionalFormatting sqref="AH296">
    <cfRule type="expression" dxfId="9" priority="67032" stopIfTrue="1">
      <formula>NOT(ISBLANK($AH$296))</formula>
    </cfRule>
  </conditionalFormatting>
  <conditionalFormatting sqref="AI296">
    <cfRule type="expression" dxfId="8" priority="67033" stopIfTrue="1">
      <formula>NOT(ISBLANK($AI$296))</formula>
    </cfRule>
  </conditionalFormatting>
  <conditionalFormatting sqref="AJ296">
    <cfRule type="expression" dxfId="7" priority="67034" stopIfTrue="1">
      <formula>NOT(ISBLANK($AJ$296))</formula>
    </cfRule>
  </conditionalFormatting>
  <conditionalFormatting sqref="AK296">
    <cfRule type="expression" dxfId="6" priority="67035" stopIfTrue="1">
      <formula>NOT(ISBLANK($AK$296))</formula>
    </cfRule>
  </conditionalFormatting>
  <conditionalFormatting sqref="AL296">
    <cfRule type="expression" dxfId="5" priority="67036" stopIfTrue="1">
      <formula>NOT(ISBLANK($AL$296))</formula>
    </cfRule>
  </conditionalFormatting>
  <conditionalFormatting sqref="AM296">
    <cfRule type="expression" dxfId="4" priority="67037" stopIfTrue="1">
      <formula>NOT(ISBLANK($AM$296))</formula>
    </cfRule>
  </conditionalFormatting>
  <conditionalFormatting sqref="AN296">
    <cfRule type="expression" dxfId="3" priority="67038" stopIfTrue="1">
      <formula>NOT(ISBLANK($AN$296))</formula>
    </cfRule>
  </conditionalFormatting>
  <conditionalFormatting sqref="AO296">
    <cfRule type="expression" dxfId="2" priority="67039" stopIfTrue="1">
      <formula>NOT(ISBLANK($AO$296))</formula>
    </cfRule>
  </conditionalFormatting>
  <conditionalFormatting sqref="AP296">
    <cfRule type="expression" dxfId="1" priority="67040" stopIfTrue="1">
      <formula>NOT(ISBLANK($AP$296))</formula>
    </cfRule>
  </conditionalFormatting>
  <conditionalFormatting sqref="AQ296">
    <cfRule type="expression" dxfId="0" priority="67041" stopIfTrue="1">
      <formula>NOT(ISBLANK($AQ$296))</formula>
    </cfRule>
  </conditionalFormatting>
  <dataValidations count="19">
    <dataValidation type="list" allowBlank="1" showInputMessage="1" showErrorMessage="1" sqref="T281:T296 T265:T272 T201:T208 T185:T192 T169:T176 T137:T144 T121:T128 T217:T224 T153:T160 T105:T112 T73:T80 T233:T240 T89:T96 T9:T16 T57:T64 T41:T48 T25:T32 T249:T256" xr:uid="{00000000-0002-0000-1100-000000000000}">
      <formula1>"upright,horizontal"</formula1>
    </dataValidation>
    <dataValidation type="list" allowBlank="1" showInputMessage="1" showErrorMessage="1" sqref="AB281:AB296 AB233:AB240 AB217:AB224 AB201:AB208 AB185:AB192 AB169:AB176 AB137:AB144 AB153:AB160 AB121:AB128 AB105:AB112 AB9:AB16 AB89:AB96 AB73:AB80 AB57:AB64 AB41:AB48 AB25:AB32 AB265:AB272 AB249:AB256" xr:uid="{00000000-0002-0000-1100-000001000000}">
      <formula1>res_s1_valid</formula1>
    </dataValidation>
    <dataValidation type="list" allowBlank="1" showInputMessage="1" showErrorMessage="1" sqref="AB273:AB280 AB225:AB232 AB209:AB216 AB193:AB200 AB177:AB184 AB145:AB152 AB161:AB168 AB129:AB136 AB113:AB120 AB17:AB24 AB97:AB104 AB81:AB88 AB65:AB72 AB49:AB56 AB33:AB40 AB241:AB248 AB257:AB264" xr:uid="{00000000-0002-0000-1100-000002000000}">
      <formula1>tank_valid</formula1>
    </dataValidation>
    <dataValidation type="decimal" operator="greaterThan" allowBlank="1" showInputMessage="1" showErrorMessage="1" sqref="F9 D9:D16 D25:D296" xr:uid="{00000000-0002-0000-1100-000003000000}">
      <formula1>0</formula1>
    </dataValidation>
    <dataValidation type="list" allowBlank="1" showInputMessage="1" showErrorMessage="1" error="Invalid selection" sqref="G9:G16 G25:G296 E9:E296" xr:uid="{00000000-0002-0000-1100-000004000000}">
      <formula1>"MGD,gpm"</formula1>
    </dataValidation>
    <dataValidation type="list" allowBlank="1" showInputMessage="1" showErrorMessage="1" sqref="AM9:AM296 I9:I296" xr:uid="{00000000-0002-0000-1100-000005000000}">
      <formula1>"carbon life value- months, calculation from Freundlich isotherm, carbon life value- bed volumes"</formula1>
    </dataValidation>
    <dataValidation type="list" allowBlank="1" showInputMessage="1" showErrorMessage="1" sqref="N9:N296" xr:uid="{00000000-0002-0000-1100-000006000000}">
      <formula1>"contaminant removal %, influent and effluent concentrations, EBCT"</formula1>
    </dataValidation>
    <dataValidation type="list" allowBlank="1" showInputMessage="1" showErrorMessage="1" sqref="AA9:AA296" xr:uid="{00000000-0002-0000-1100-000007000000}">
      <formula1>"surface water, POTW, recycle, septic system"</formula1>
    </dataValidation>
    <dataValidation type="list" allowBlank="1" showInputMessage="1" showErrorMessage="1" sqref="AC9:AC296" xr:uid="{00000000-0002-0000-1100-000008000000}">
      <formula1>"eductors,manual transfer"</formula1>
    </dataValidation>
    <dataValidation type="list" allowBlank="1" showInputMessage="1" showErrorMessage="1" sqref="AJ9:AJ296" xr:uid="{00000000-0002-0000-1100-000009000000}">
      <formula1>"low cost,mid cost,high cost"</formula1>
    </dataValidation>
    <dataValidation type="list" allowBlank="1" showInputMessage="1" showErrorMessage="1" sqref="AI9:AI296" xr:uid="{00000000-0002-0000-1100-00000A000000}">
      <formula1>"manual,semi-automated,fully automated"</formula1>
    </dataValidation>
    <dataValidation type="list" allowBlank="1" showInputMessage="1" showErrorMessage="1" error="Invalid selection" sqref="G17:G24" xr:uid="{00000000-0002-0000-1100-00000B000000}">
      <formula1>"MGD,gpm,fraction of design flow"</formula1>
    </dataValidation>
    <dataValidation type="list" allowBlank="1" showInputMessage="1" showErrorMessage="1" sqref="AG9:AG296" xr:uid="{00000000-0002-0000-1100-00000C000000}">
      <formula1>"existing pumps,new pumps"</formula1>
    </dataValidation>
    <dataValidation type="list" allowBlank="1" showInputMessage="1" showErrorMessage="1" sqref="AH9:AH296" xr:uid="{00000000-0002-0000-1100-00000D000000}">
      <formula1>"existing storage,new storage"</formula1>
    </dataValidation>
    <dataValidation type="decimal" operator="notEqual" allowBlank="1" showInputMessage="1" showErrorMessage="1" sqref="AN9:AQ296" xr:uid="{00000000-0002-0000-1100-00000E000000}">
      <formula1>0</formula1>
    </dataValidation>
    <dataValidation type="list" allowBlank="1" showInputMessage="1" showErrorMessage="1" sqref="AL9:AL296" xr:uid="{00000000-0002-0000-1100-00000F000000}">
      <formula1>"retrofit"</formula1>
    </dataValidation>
    <dataValidation type="list" allowBlank="1" showInputMessage="1" showErrorMessage="1" sqref="AK9:AK296" xr:uid="{00000000-0002-0000-1100-000010000000}">
      <formula1>"add-on"</formula1>
    </dataValidation>
    <dataValidation type="list" allowBlank="1" showInputMessage="1" showErrorMessage="1" sqref="H9:H296" xr:uid="{00000000-0002-0000-1100-000011000000}">
      <formula1>"regeneration on-site, regeneration off-site (non-hazardous), throwaway (non-hazardous), regeneration off-site (hazardous), throwaway (hazardous), throwaway (radioactive), throwaway (radioactive hazardous)"</formula1>
    </dataValidation>
    <dataValidation type="list" allowBlank="1" showInputMessage="1" showErrorMessage="1" sqref="AD9:AD296" xr:uid="{00000000-0002-0000-1100-000012000000}">
      <formula1>res_sol_validation</formula1>
    </dataValidation>
  </dataValidations>
  <pageMargins left="0.75" right="0.75" top="1" bottom="1" header="0.5" footer="0.5"/>
  <pageSetup scale="5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4240" r:id="rId4" name="cmdFactoryDefaults">
              <controlPr defaultSize="0" print="0" autoFill="0" autoPict="0" macro="[0]!Sheet12.cmdFactoryDefaults_Click">
                <anchor moveWithCells="1" sizeWithCells="1">
                  <from>
                    <xdr:col>0</xdr:col>
                    <xdr:colOff>38100</xdr:colOff>
                    <xdr:row>2</xdr:row>
                    <xdr:rowOff>50800</xdr:rowOff>
                  </from>
                  <to>
                    <xdr:col>1</xdr:col>
                    <xdr:colOff>673100</xdr:colOff>
                    <xdr:row>4</xdr:row>
                    <xdr:rowOff>88900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182"/>
  <sheetViews>
    <sheetView workbookViewId="0"/>
  </sheetViews>
  <sheetFormatPr baseColWidth="10" defaultColWidth="8.83203125" defaultRowHeight="13"/>
  <cols>
    <col min="1" max="1" width="26.5" customWidth="1"/>
    <col min="2" max="2" width="27" style="3" bestFit="1" customWidth="1"/>
  </cols>
  <sheetData>
    <row r="1" spans="1:7">
      <c r="A1" s="1" t="s">
        <v>3414</v>
      </c>
    </row>
    <row r="2" spans="1:7">
      <c r="A2" s="53" t="s">
        <v>3412</v>
      </c>
      <c r="B2" s="30"/>
      <c r="C2" s="30"/>
      <c r="D2" s="30"/>
      <c r="E2" s="30"/>
      <c r="F2" s="30"/>
      <c r="G2" s="30"/>
    </row>
    <row r="3" spans="1:7">
      <c r="A3" s="53" t="s">
        <v>3413</v>
      </c>
      <c r="B3" s="30"/>
      <c r="C3" s="30"/>
      <c r="D3" s="30"/>
      <c r="E3" s="30"/>
      <c r="F3" s="30"/>
      <c r="G3" s="30"/>
    </row>
    <row r="4" spans="1:7">
      <c r="A4" s="75" t="s">
        <v>1922</v>
      </c>
      <c r="B4" s="73"/>
      <c r="C4" s="73"/>
      <c r="D4" s="73"/>
    </row>
    <row r="5" spans="1:7">
      <c r="A5" s="48" t="s">
        <v>1020</v>
      </c>
      <c r="B5" s="77"/>
      <c r="C5" s="77"/>
      <c r="D5" s="77"/>
    </row>
    <row r="6" spans="1:7" s="6" customFormat="1">
      <c r="A6" s="88"/>
      <c r="B6" s="7"/>
      <c r="C6" s="7"/>
      <c r="D6" s="7"/>
    </row>
    <row r="7" spans="1:7" s="489" customFormat="1">
      <c r="A7" s="487" t="s">
        <v>2178</v>
      </c>
      <c r="B7" s="488"/>
      <c r="C7" s="488"/>
      <c r="D7" s="488"/>
    </row>
    <row r="8" spans="1:7" s="6" customFormat="1">
      <c r="B8" s="7"/>
    </row>
    <row r="9" spans="1:7">
      <c r="A9" s="76" t="s">
        <v>2605</v>
      </c>
    </row>
    <row r="10" spans="1:7">
      <c r="A10" t="s">
        <v>2111</v>
      </c>
      <c r="C10">
        <f>design_flow_rate</f>
        <v>513.88888888888891</v>
      </c>
      <c r="D10" t="s">
        <v>1831</v>
      </c>
    </row>
    <row r="11" spans="1:7">
      <c r="A11" t="s">
        <v>2247</v>
      </c>
      <c r="C11">
        <f>Num_tanks</f>
        <v>1</v>
      </c>
    </row>
    <row r="12" spans="1:7">
      <c r="A12" t="s">
        <v>2572</v>
      </c>
      <c r="C12">
        <f>EBCT</f>
        <v>4</v>
      </c>
      <c r="D12" t="s">
        <v>2112</v>
      </c>
    </row>
    <row r="13" spans="1:7">
      <c r="A13" t="s">
        <v>3235</v>
      </c>
      <c r="C13">
        <f>EBCT_tank</f>
        <v>4</v>
      </c>
      <c r="D13" t="s">
        <v>2112</v>
      </c>
    </row>
    <row r="14" spans="1:7">
      <c r="A14" t="s">
        <v>2573</v>
      </c>
      <c r="B14" s="3" t="s">
        <v>2574</v>
      </c>
      <c r="C14">
        <f>IF(EBCT_tank="-",0,design_flow_rate*EBCT_tank/7.48)</f>
        <v>274.80689245395126</v>
      </c>
      <c r="D14" t="s">
        <v>2248</v>
      </c>
      <c r="E14" s="43" t="s">
        <v>2580</v>
      </c>
    </row>
    <row r="15" spans="1:7">
      <c r="A15" t="s">
        <v>2814</v>
      </c>
      <c r="B15" s="3" t="s">
        <v>2815</v>
      </c>
      <c r="C15" s="48">
        <v>0</v>
      </c>
      <c r="E15" s="43" t="s">
        <v>742</v>
      </c>
    </row>
    <row r="16" spans="1:7">
      <c r="A16" t="s">
        <v>2575</v>
      </c>
      <c r="B16" s="3" t="s">
        <v>2576</v>
      </c>
      <c r="C16">
        <f>design_flow_rate/load_max</f>
        <v>51.388888888888893</v>
      </c>
      <c r="D16" t="s">
        <v>1916</v>
      </c>
      <c r="E16" s="43" t="s">
        <v>2835</v>
      </c>
    </row>
    <row r="17" spans="1:6">
      <c r="A17" t="s">
        <v>2577</v>
      </c>
      <c r="B17" s="3" t="s">
        <v>2578</v>
      </c>
      <c r="C17">
        <f>design_flow_rate/load_min</f>
        <v>1027.7777777777778</v>
      </c>
      <c r="D17" t="s">
        <v>1916</v>
      </c>
      <c r="E17" s="43" t="s">
        <v>2836</v>
      </c>
    </row>
    <row r="18" spans="1:6">
      <c r="A18" t="s">
        <v>2579</v>
      </c>
      <c r="B18" s="3" t="s">
        <v>2249</v>
      </c>
      <c r="C18">
        <f>design_flow_rate*EBCT/7.481</f>
        <v>274.77015847554549</v>
      </c>
      <c r="D18" t="s">
        <v>2248</v>
      </c>
      <c r="E18" s="43" t="s">
        <v>2837</v>
      </c>
    </row>
    <row r="19" spans="1:6">
      <c r="E19" s="43"/>
    </row>
    <row r="20" spans="1:6">
      <c r="A20" s="2" t="s">
        <v>2838</v>
      </c>
      <c r="E20" s="43"/>
    </row>
    <row r="21" spans="1:6">
      <c r="A21" t="s">
        <v>2839</v>
      </c>
      <c r="B21" s="3" t="s">
        <v>2840</v>
      </c>
      <c r="C21">
        <f>(comp_max_vert_diam/2-Vessel_thickness)*(comp_max_vert_diam/2-Vessel_thickness)*PI()*comp_max_vert_bed_depth</f>
        <v>201.9455027635689</v>
      </c>
      <c r="D21" t="s">
        <v>2248</v>
      </c>
      <c r="E21" s="43" t="s">
        <v>2603</v>
      </c>
    </row>
    <row r="22" spans="1:6">
      <c r="A22" t="s">
        <v>2841</v>
      </c>
      <c r="B22" s="3" t="s">
        <v>2842</v>
      </c>
      <c r="C22">
        <f>IF(max_diam="-",0,(max_diam/2-Vessel_thickness)*(max_diam/2-Vessel_thickness)*PI())</f>
        <v>153.93804002589985</v>
      </c>
      <c r="D22" t="s">
        <v>1916</v>
      </c>
      <c r="E22" s="43" t="s">
        <v>2614</v>
      </c>
    </row>
    <row r="23" spans="1:6">
      <c r="A23" t="s">
        <v>2843</v>
      </c>
      <c r="B23" s="3" t="s">
        <v>2844</v>
      </c>
      <c r="C23">
        <f>IF(design_flow_I&lt;=0.1,target_bed_depth_under,target_bed_depth_over)</f>
        <v>7</v>
      </c>
      <c r="D23" t="s">
        <v>127</v>
      </c>
      <c r="E23" s="43" t="s">
        <v>347</v>
      </c>
    </row>
    <row r="24" spans="1:6">
      <c r="A24" t="s">
        <v>2845</v>
      </c>
      <c r="B24" s="3" t="s">
        <v>2846</v>
      </c>
      <c r="C24">
        <f>comp_vol_required_stg1/comp_target_bed_depth_vert</f>
        <v>39.258127493421611</v>
      </c>
      <c r="D24" t="s">
        <v>1916</v>
      </c>
      <c r="E24" s="43" t="s">
        <v>348</v>
      </c>
    </row>
    <row r="25" spans="1:6">
      <c r="A25" t="s">
        <v>2847</v>
      </c>
      <c r="E25" s="43" t="s">
        <v>349</v>
      </c>
    </row>
    <row r="26" spans="1:6">
      <c r="A26" s="154" t="s">
        <v>2848</v>
      </c>
      <c r="C26">
        <f>IF(comp_vert_max_sa=0,0,comp_sa_min/comp_vert_max_sa)</f>
        <v>0.33382839537415693</v>
      </c>
      <c r="E26" s="43"/>
    </row>
    <row r="27" spans="1:6">
      <c r="A27" s="154" t="s">
        <v>2849</v>
      </c>
      <c r="C27">
        <f>IF(comp_vert_max_sa=0,0,comp_sa_required_vert/comp_vert_max_sa)</f>
        <v>0.25502551212693425</v>
      </c>
      <c r="E27" s="43"/>
    </row>
    <row r="28" spans="1:6">
      <c r="A28" s="154" t="s">
        <v>2850</v>
      </c>
      <c r="C28">
        <f>comp_vol_required_stg1/comp_vert_max_media</f>
        <v>1.3607972878489207</v>
      </c>
      <c r="E28" s="43"/>
    </row>
    <row r="29" spans="1:6">
      <c r="A29" t="s">
        <v>2851</v>
      </c>
      <c r="B29" s="3" t="s">
        <v>2602</v>
      </c>
      <c r="C29">
        <f>MAX(C26:C28)</f>
        <v>1.3607972878489207</v>
      </c>
      <c r="E29" s="43" t="s">
        <v>350</v>
      </c>
    </row>
    <row r="30" spans="1:6">
      <c r="E30" s="43"/>
    </row>
    <row r="31" spans="1:6">
      <c r="A31" s="2" t="s">
        <v>1555</v>
      </c>
      <c r="E31" s="43"/>
    </row>
    <row r="32" spans="1:6">
      <c r="A32" t="s">
        <v>2313</v>
      </c>
      <c r="B32" s="3" t="s">
        <v>1057</v>
      </c>
      <c r="C32">
        <f>MAX(comp_pv_max_sizes)</f>
        <v>27101</v>
      </c>
      <c r="D32" t="s">
        <v>2964</v>
      </c>
      <c r="E32" s="43" t="s">
        <v>2748</v>
      </c>
      <c r="F32" s="43"/>
    </row>
    <row r="33" spans="1:6">
      <c r="A33" t="s">
        <v>2314</v>
      </c>
      <c r="C33">
        <f>comp_max_horiz_diam</f>
        <v>14</v>
      </c>
      <c r="D33" t="s">
        <v>127</v>
      </c>
      <c r="E33" s="43"/>
      <c r="F33" s="43"/>
    </row>
    <row r="34" spans="1:6">
      <c r="A34" t="s">
        <v>2315</v>
      </c>
      <c r="B34" s="3" t="s">
        <v>2316</v>
      </c>
      <c r="C34">
        <f>ROUND(comp_max_vol/7.48/(PI()*comp_max_horiz_diam*comp_max_horiz_diam/4),0)</f>
        <v>24</v>
      </c>
      <c r="D34" t="s">
        <v>127</v>
      </c>
      <c r="E34" s="43" t="s">
        <v>2328</v>
      </c>
      <c r="F34" s="43"/>
    </row>
    <row r="35" spans="1:6">
      <c r="A35" t="s">
        <v>2317</v>
      </c>
      <c r="B35" s="3" t="s">
        <v>2318</v>
      </c>
      <c r="C35">
        <f>IF(comp_round_sa=1,ROUNDUP((comp_max_horiz_diam-2*Vessel_thickness)*comp_max_vol_length,0),(comp_max_horiz_diam-2*Vessel_thickness)*comp_max_vol_length)</f>
        <v>336</v>
      </c>
      <c r="D35" t="s">
        <v>1916</v>
      </c>
      <c r="E35" s="43" t="s">
        <v>2329</v>
      </c>
      <c r="F35" s="43"/>
    </row>
    <row r="36" spans="1:6">
      <c r="A36" t="s">
        <v>2843</v>
      </c>
      <c r="B36" s="3" t="s">
        <v>2319</v>
      </c>
      <c r="C36">
        <f>target_bed_depth_horiz</f>
        <v>8</v>
      </c>
      <c r="D36" t="s">
        <v>127</v>
      </c>
      <c r="E36" s="43" t="s">
        <v>347</v>
      </c>
      <c r="F36" s="43"/>
    </row>
    <row r="37" spans="1:6">
      <c r="A37" t="s">
        <v>2845</v>
      </c>
      <c r="B37" s="3" t="s">
        <v>2320</v>
      </c>
      <c r="C37">
        <f>comp_vol_required_stg1/comp_target_bed_depth_horiz</f>
        <v>34.350861556743908</v>
      </c>
      <c r="D37" t="s">
        <v>1916</v>
      </c>
      <c r="E37" s="43" t="s">
        <v>348</v>
      </c>
      <c r="F37" s="43"/>
    </row>
    <row r="38" spans="1:6">
      <c r="A38" t="s">
        <v>2321</v>
      </c>
      <c r="E38" s="43"/>
      <c r="F38" s="43"/>
    </row>
    <row r="39" spans="1:6">
      <c r="A39" s="154" t="s">
        <v>452</v>
      </c>
      <c r="C39">
        <f>comp_max_vol_length*(comp_max_horiz_diam*comp_max_horiz_diam/2*ASIN(SQRT(free_board/comp_max_horiz_diam))-(comp_max_horiz_diam/2-free_board)*SQRT((comp_max_horiz_diam-free_board)*free_board))</f>
        <v>41.875530099772533</v>
      </c>
      <c r="D39" t="s">
        <v>2248</v>
      </c>
      <c r="E39" s="43" t="s">
        <v>2330</v>
      </c>
      <c r="F39" s="43"/>
    </row>
    <row r="40" spans="1:6">
      <c r="A40" s="154" t="s">
        <v>454</v>
      </c>
      <c r="C40">
        <f>comp_max_vol_length*(comp_max_horiz_diam*comp_max_horiz_diam/2*ASIN(SQRT(horiz_underdrain/comp_max_horiz_diam))-(comp_max_horiz_diam/2-horiz_underdrain)*SQRT((comp_max_horiz_diam-horiz_underdrain)*horiz_underdrain))</f>
        <v>212.75213463857958</v>
      </c>
      <c r="D40" t="s">
        <v>2248</v>
      </c>
      <c r="E40" s="43"/>
      <c r="F40" s="43"/>
    </row>
    <row r="41" spans="1:6">
      <c r="A41" s="155" t="s">
        <v>456</v>
      </c>
      <c r="B41" s="3" t="s">
        <v>2322</v>
      </c>
      <c r="C41">
        <f>SUM(C39:C40)</f>
        <v>254.62766473835211</v>
      </c>
      <c r="D41" t="s">
        <v>2248</v>
      </c>
      <c r="E41" s="43" t="s">
        <v>2771</v>
      </c>
      <c r="F41" s="43"/>
    </row>
    <row r="42" spans="1:6">
      <c r="A42" s="66" t="s">
        <v>2323</v>
      </c>
      <c r="B42" s="3" t="s">
        <v>2324</v>
      </c>
      <c r="C42">
        <f>(comp_max_vol/7.481-comp_horiz_void_required)/(1+bed_expansion)</f>
        <v>2245.3442445388218</v>
      </c>
      <c r="D42" t="s">
        <v>2248</v>
      </c>
      <c r="E42" s="43" t="s">
        <v>2772</v>
      </c>
      <c r="F42" s="43"/>
    </row>
    <row r="43" spans="1:6">
      <c r="A43" t="s">
        <v>2325</v>
      </c>
      <c r="E43" s="43"/>
      <c r="F43" s="43"/>
    </row>
    <row r="44" spans="1:6">
      <c r="A44" s="154" t="s">
        <v>2848</v>
      </c>
      <c r="C44">
        <f>comp_sa_min/comp_max_horiz_sa</f>
        <v>0.15294312169312171</v>
      </c>
      <c r="E44" s="43"/>
      <c r="F44" s="43"/>
    </row>
    <row r="45" spans="1:6">
      <c r="A45" s="154" t="s">
        <v>2849</v>
      </c>
      <c r="C45">
        <f>comp_sa_required_horiz/comp_max_horiz_sa</f>
        <v>0.10223470701411877</v>
      </c>
      <c r="E45" s="43"/>
      <c r="F45" s="43"/>
    </row>
    <row r="46" spans="1:6">
      <c r="A46" s="154" t="s">
        <v>2850</v>
      </c>
      <c r="C46">
        <f>comp_vol_required_stg1/comp_horiz_max_media</f>
        <v>0.12238964832334416</v>
      </c>
      <c r="E46" s="43"/>
    </row>
    <row r="47" spans="1:6">
      <c r="A47" t="s">
        <v>2326</v>
      </c>
      <c r="B47" s="3" t="s">
        <v>2327</v>
      </c>
      <c r="C47">
        <f>MAX(C44:C46)</f>
        <v>0.15294312169312171</v>
      </c>
      <c r="E47" s="43" t="s">
        <v>350</v>
      </c>
      <c r="F47" s="43"/>
    </row>
    <row r="48" spans="1:6">
      <c r="D48" s="43"/>
      <c r="E48" s="43"/>
    </row>
    <row r="49" spans="1:9">
      <c r="D49" s="43"/>
      <c r="E49" s="43"/>
    </row>
    <row r="50" spans="1:9">
      <c r="A50" t="s">
        <v>2773</v>
      </c>
      <c r="B50" s="3" t="s">
        <v>2774</v>
      </c>
      <c r="C50" s="48">
        <v>5</v>
      </c>
      <c r="E50" s="43" t="s">
        <v>2775</v>
      </c>
    </row>
    <row r="51" spans="1:9">
      <c r="A51" t="s">
        <v>2855</v>
      </c>
      <c r="B51" s="3" t="s">
        <v>1052</v>
      </c>
      <c r="C51" s="48">
        <v>37</v>
      </c>
      <c r="E51" s="43" t="s">
        <v>2613</v>
      </c>
    </row>
    <row r="53" spans="1:9" s="5" customFormat="1">
      <c r="A53" s="76" t="s">
        <v>853</v>
      </c>
      <c r="B53" s="3"/>
    </row>
    <row r="54" spans="1:9">
      <c r="A54" s="1" t="s">
        <v>2604</v>
      </c>
      <c r="C54" s="1"/>
    </row>
    <row r="55" spans="1:9">
      <c r="A55" t="s">
        <v>2113</v>
      </c>
      <c r="B55" s="3" t="s">
        <v>1056</v>
      </c>
      <c r="C55" s="75" t="str">
        <f>IF(comp_in_nlines&gt;=comp_vert_min_number,"upright","horizontal")</f>
        <v>upright</v>
      </c>
      <c r="E55" s="43" t="s">
        <v>747</v>
      </c>
      <c r="I55" s="9"/>
    </row>
    <row r="57" spans="1:9">
      <c r="A57" s="1" t="s">
        <v>3243</v>
      </c>
      <c r="B57" s="21"/>
    </row>
    <row r="58" spans="1:9">
      <c r="A58" t="s">
        <v>3239</v>
      </c>
      <c r="B58" s="3" t="s">
        <v>1054</v>
      </c>
      <c r="C58">
        <f>2*(SQRT(comp_sa_required_vert/comp_in_nlines/PI())+Vessel_thickness)</f>
        <v>1.1623020072820436</v>
      </c>
      <c r="D58" t="s">
        <v>127</v>
      </c>
      <c r="E58" s="75">
        <f>IF(C58&lt;comp_min_vert_diam,comp_min_vert_diam,IF(C58&gt;comp_max_vert_diam,comp_max_vert_diam,ROUNDUP(2*C58,0)/2))</f>
        <v>1.5</v>
      </c>
      <c r="F58" t="s">
        <v>2746</v>
      </c>
    </row>
    <row r="59" spans="1:9">
      <c r="A59" t="s">
        <v>2776</v>
      </c>
      <c r="C59">
        <f>(comp_vert_diam-2*Vessel_thickness)*(comp_vert_diam-2*Vessel_thickness)*PI()/4</f>
        <v>1.7671458676442586</v>
      </c>
      <c r="D59" t="s">
        <v>1916</v>
      </c>
      <c r="E59" s="88"/>
    </row>
    <row r="60" spans="1:9">
      <c r="A60" t="s">
        <v>2777</v>
      </c>
      <c r="C60">
        <f>comp_in_nlines*C59</f>
        <v>65.384397102837568</v>
      </c>
      <c r="D60" t="s">
        <v>1916</v>
      </c>
      <c r="E60" s="88"/>
    </row>
    <row r="61" spans="1:9">
      <c r="A61" t="s">
        <v>2110</v>
      </c>
      <c r="B61" s="3" t="s">
        <v>2250</v>
      </c>
      <c r="C61">
        <f>comp_vol_required/Num_tanks/IF(comp_round_sa=1,ROUND(C59,0)*comp_in_nlines,C60)</f>
        <v>4.2023811589695139</v>
      </c>
      <c r="D61" t="s">
        <v>127</v>
      </c>
      <c r="E61" s="88">
        <f>IF(comp_min_vert_bed_depth&lt;=comp_max_vert_bed_depth,IF(C61&lt;comp_min_vert_bed_depth, comp_min_vert_bed_depth, IF(C61&gt;comp_max_vert_bed_depth, comp_max_vert_bed_depth, ROUNDUP(C61,1))),-1)</f>
        <v>4.3</v>
      </c>
      <c r="F61" t="s">
        <v>3310</v>
      </c>
    </row>
    <row r="62" spans="1:9">
      <c r="A62" t="s">
        <v>3242</v>
      </c>
      <c r="B62" s="3" t="s">
        <v>1055</v>
      </c>
      <c r="C62">
        <f>(1+bed_expansion)*comp_vert_bed_depth+free_board</f>
        <v>6.9499999999999993</v>
      </c>
      <c r="D62" t="s">
        <v>127</v>
      </c>
      <c r="E62" s="75">
        <f>IF(comp_min_vert_height&gt;comp_max_vert_height,-1,IF(C62&gt;comp_max_vert_height,comp_max_vert_height,IF(C62&lt;comp_min_vert_height,comp_min_vert_height,ROUNDUP(2*C62,0)/2)))</f>
        <v>6</v>
      </c>
      <c r="F62" t="s">
        <v>3311</v>
      </c>
    </row>
    <row r="64" spans="1:9">
      <c r="A64" s="1" t="s">
        <v>748</v>
      </c>
      <c r="B64" s="21"/>
    </row>
    <row r="65" spans="1:6">
      <c r="A65" s="5" t="s">
        <v>749</v>
      </c>
      <c r="B65" s="3" t="s">
        <v>750</v>
      </c>
      <c r="C65">
        <f>comp_horiz_void_required/comp_max_vol_length</f>
        <v>10.609486030764671</v>
      </c>
      <c r="D65" s="5" t="s">
        <v>1916</v>
      </c>
      <c r="E65" s="88"/>
      <c r="F65" s="5"/>
    </row>
    <row r="66" spans="1:6">
      <c r="A66" s="5" t="s">
        <v>751</v>
      </c>
      <c r="B66" s="3" t="s">
        <v>752</v>
      </c>
      <c r="C66">
        <f>comp_target_bed_depth_horiz*(1+bed_expansion)</f>
        <v>12</v>
      </c>
      <c r="D66" s="5" t="s">
        <v>127</v>
      </c>
      <c r="E66" s="88"/>
      <c r="F66" s="5"/>
    </row>
    <row r="67" spans="1:6">
      <c r="A67" s="5" t="s">
        <v>3239</v>
      </c>
      <c r="B67" s="3" t="s">
        <v>753</v>
      </c>
      <c r="C67">
        <f>(comp_horiz_expanded_bd+SQRT(comp_horiz_expanded_bd*comp_horiz_expanded_bd+PI()*comp_horiz_void_area))/(PI()/2)</f>
        <v>16.117020588064722</v>
      </c>
      <c r="D67" s="5" t="s">
        <v>127</v>
      </c>
      <c r="E67" s="290">
        <f>IF(comp_min_horiz_diam&lt;=comp_max_horiz_diam,IF(C67&lt;comp_min_horiz_diam,comp_min_horiz_diam,IF(C67&gt;comp_max_horiz_diam,comp_max_horiz_diam,ROUNDUP(2*C67,0)/2)),-1)</f>
        <v>14</v>
      </c>
      <c r="F67" t="s">
        <v>2746</v>
      </c>
    </row>
    <row r="68" spans="1:6">
      <c r="A68" s="537" t="s">
        <v>754</v>
      </c>
      <c r="C68" s="537">
        <f>SQRT(comp_sa_required_horiz/comp_in_nlines/length_diam_ratio)</f>
        <v>0.60939368677260886</v>
      </c>
      <c r="D68" s="537" t="s">
        <v>127</v>
      </c>
      <c r="E68" s="88"/>
      <c r="F68" s="23"/>
    </row>
    <row r="69" spans="1:6">
      <c r="A69" t="s">
        <v>3240</v>
      </c>
      <c r="B69" s="3" t="s">
        <v>755</v>
      </c>
      <c r="C69">
        <f>comp_sa_required_horiz/(comp_horiz_diam-2*Vessel_thickness)/comp_in_nlines</f>
        <v>6.6314404549698669E-2</v>
      </c>
      <c r="D69" t="s">
        <v>127</v>
      </c>
      <c r="E69" s="75">
        <f>IF(comp_min_horiz_length&lt;=comp_max_horiz_length,IF(C69&lt;comp_min_horiz_length,comp_min_horiz_length,IF(C69&gt;comp_max_horiz_length,comp_max_horiz_length,ROUNDUP(C69,0))),-1)</f>
        <v>20</v>
      </c>
      <c r="F69" t="s">
        <v>2747</v>
      </c>
    </row>
    <row r="70" spans="1:6">
      <c r="A70" t="s">
        <v>2777</v>
      </c>
      <c r="C70">
        <f>comp_in_nlines*(comp_horiz_diam-2*Vessel_thickness)*comp_horiz_length</f>
        <v>10360</v>
      </c>
      <c r="D70" t="s">
        <v>1916</v>
      </c>
      <c r="E70" s="88"/>
    </row>
    <row r="71" spans="1:6">
      <c r="A71" t="s">
        <v>2110</v>
      </c>
      <c r="B71" s="3" t="s">
        <v>756</v>
      </c>
      <c r="C71" s="88">
        <f>comp_vol_required/Num_tanks/IF(comp_round_sa=1,ROUND(C70,0),C70)</f>
        <v>2.6522216069068096E-2</v>
      </c>
      <c r="D71" t="s">
        <v>127</v>
      </c>
      <c r="E71">
        <f>IF(comp_min_horiz_bed_depth&lt;=comp_max_horiz_bed_depth,IF(C71&lt;comp_min_horiz_bed_depth, comp_min_horiz_bed_depth, IF(C71&gt;comp_max_horiz_bed_depth, comp_max_horiz_bed_depth, ROUNDUP(C71,1))),-1)</f>
        <v>2</v>
      </c>
      <c r="F71" t="s">
        <v>3310</v>
      </c>
    </row>
    <row r="72" spans="1:6">
      <c r="C72" s="88"/>
    </row>
    <row r="73" spans="1:6">
      <c r="A73" s="1" t="s">
        <v>2604</v>
      </c>
      <c r="B73"/>
      <c r="C73" s="88"/>
    </row>
    <row r="74" spans="1:6">
      <c r="A74" t="s">
        <v>3341</v>
      </c>
      <c r="B74" s="3" t="s">
        <v>1053</v>
      </c>
      <c r="C74" s="75">
        <f>IF(comp_tank_geom="upright",comp_vert_bed_depth,IF(comp_tank_geom="horizontal",comp_horiz_bed_depth,-1))</f>
        <v>4.3</v>
      </c>
      <c r="D74" t="s">
        <v>127</v>
      </c>
    </row>
    <row r="76" spans="1:6">
      <c r="A76" s="76" t="s">
        <v>2335</v>
      </c>
      <c r="B76" s="21"/>
    </row>
    <row r="77" spans="1:6">
      <c r="A77" s="1" t="s">
        <v>1527</v>
      </c>
      <c r="E77" s="43"/>
    </row>
    <row r="78" spans="1:6">
      <c r="A78" t="s">
        <v>2112</v>
      </c>
      <c r="B78" s="3" t="s">
        <v>1528</v>
      </c>
      <c r="C78">
        <f>comp_sa_min/comp_in_nlines</f>
        <v>1.3888888888888891</v>
      </c>
      <c r="D78" t="s">
        <v>1916</v>
      </c>
      <c r="E78" s="43" t="s">
        <v>352</v>
      </c>
    </row>
    <row r="79" spans="1:6">
      <c r="A79" t="s">
        <v>1915</v>
      </c>
      <c r="B79" s="3" t="s">
        <v>1529</v>
      </c>
      <c r="C79">
        <f>comp_sa_max/comp_in_nlines</f>
        <v>27.777777777777779</v>
      </c>
      <c r="D79" t="s">
        <v>1916</v>
      </c>
      <c r="E79" s="43" t="s">
        <v>856</v>
      </c>
    </row>
    <row r="81" spans="1:5">
      <c r="A81" s="1" t="s">
        <v>1917</v>
      </c>
    </row>
    <row r="82" spans="1:5">
      <c r="A82" s="5" t="s">
        <v>2112</v>
      </c>
      <c r="B82" s="3" t="s">
        <v>1513</v>
      </c>
      <c r="C82">
        <f>VLOOKUP(comp_vert_diam,vessel_size_table_cl,2)</f>
        <v>3</v>
      </c>
      <c r="D82" t="s">
        <v>127</v>
      </c>
      <c r="E82" s="43" t="s">
        <v>857</v>
      </c>
    </row>
    <row r="83" spans="1:5">
      <c r="A83" s="74" t="s">
        <v>1915</v>
      </c>
      <c r="C83">
        <f>VLOOKUP(comp_vert_diam,vessel_size_table_cl,3)</f>
        <v>6</v>
      </c>
      <c r="D83" t="s">
        <v>127</v>
      </c>
      <c r="E83" s="43" t="s">
        <v>857</v>
      </c>
    </row>
    <row r="84" spans="1:5">
      <c r="A84" s="74" t="s">
        <v>1915</v>
      </c>
      <c r="C84">
        <f>max_height</f>
        <v>14</v>
      </c>
      <c r="D84" t="s">
        <v>127</v>
      </c>
      <c r="E84" s="43" t="s">
        <v>3309</v>
      </c>
    </row>
    <row r="85" spans="1:5">
      <c r="A85" t="s">
        <v>1915</v>
      </c>
      <c r="B85" s="3" t="s">
        <v>1059</v>
      </c>
      <c r="C85">
        <f>MIN(C83:C84)</f>
        <v>6</v>
      </c>
      <c r="D85" t="s">
        <v>127</v>
      </c>
      <c r="E85" s="43" t="s">
        <v>858</v>
      </c>
    </row>
    <row r="86" spans="1:5">
      <c r="E86" s="43"/>
    </row>
    <row r="87" spans="1:5">
      <c r="A87" s="1" t="s">
        <v>1918</v>
      </c>
      <c r="E87" s="43"/>
    </row>
    <row r="88" spans="1:5">
      <c r="A88" s="74" t="s">
        <v>2112</v>
      </c>
      <c r="C88">
        <f>2*(SQRT(comp_vol_required/Num_tanks/PI()/comp_max_vert_bed_depth/comp_in_nlines)+Vessel_thickness)</f>
        <v>1.0547013855439846</v>
      </c>
      <c r="D88" t="s">
        <v>127</v>
      </c>
      <c r="E88" s="43" t="s">
        <v>859</v>
      </c>
    </row>
    <row r="89" spans="1:5">
      <c r="A89" s="74" t="s">
        <v>2112</v>
      </c>
      <c r="C89">
        <f>2*(SQRT(comp_min_sa_vessel/PI())+Vessel_thickness)</f>
        <v>1.329807601338109</v>
      </c>
      <c r="D89" t="s">
        <v>127</v>
      </c>
      <c r="E89" s="43" t="s">
        <v>860</v>
      </c>
    </row>
    <row r="90" spans="1:5">
      <c r="A90" s="74" t="s">
        <v>2112</v>
      </c>
      <c r="C90">
        <f>min_diam</f>
        <v>1.5</v>
      </c>
      <c r="D90" t="s">
        <v>127</v>
      </c>
      <c r="E90" s="43" t="s">
        <v>857</v>
      </c>
    </row>
    <row r="91" spans="1:5">
      <c r="A91" t="s">
        <v>2112</v>
      </c>
      <c r="B91" s="3" t="s">
        <v>1919</v>
      </c>
      <c r="C91">
        <f>ROUNDUP(2*MAX(C88:C90),0)/2</f>
        <v>1.5</v>
      </c>
      <c r="D91" t="s">
        <v>127</v>
      </c>
      <c r="E91" s="43" t="s">
        <v>743</v>
      </c>
    </row>
    <row r="92" spans="1:5">
      <c r="A92" s="74" t="s">
        <v>1915</v>
      </c>
      <c r="C92">
        <f>max_diam</f>
        <v>14</v>
      </c>
      <c r="D92" t="s">
        <v>127</v>
      </c>
      <c r="E92" s="43" t="s">
        <v>1920</v>
      </c>
    </row>
    <row r="93" spans="1:5">
      <c r="A93" s="74" t="s">
        <v>1915</v>
      </c>
      <c r="C93">
        <f>2*(SQRT(comp_max_sa_vessel/PI())+Vessel_thickness)</f>
        <v>5.9470803871759044</v>
      </c>
      <c r="D93" t="s">
        <v>127</v>
      </c>
      <c r="E93" s="43" t="s">
        <v>1482</v>
      </c>
    </row>
    <row r="94" spans="1:5">
      <c r="A94" s="74" t="s">
        <v>1915</v>
      </c>
      <c r="C94">
        <f>max_diam</f>
        <v>14</v>
      </c>
      <c r="D94" t="s">
        <v>127</v>
      </c>
      <c r="E94" s="43" t="s">
        <v>857</v>
      </c>
    </row>
    <row r="95" spans="1:5">
      <c r="A95" t="s">
        <v>1915</v>
      </c>
      <c r="B95" s="3" t="s">
        <v>1058</v>
      </c>
      <c r="C95">
        <f>MAX(0.5,ROUNDDOWN(2*MIN(C92:C94),0)/2)</f>
        <v>5.5</v>
      </c>
      <c r="D95" t="s">
        <v>127</v>
      </c>
      <c r="E95" s="43" t="s">
        <v>1878</v>
      </c>
    </row>
    <row r="96" spans="1:5">
      <c r="E96" s="43"/>
    </row>
    <row r="97" spans="1:5">
      <c r="A97" s="1" t="s">
        <v>2251</v>
      </c>
      <c r="B97" s="21"/>
    </row>
    <row r="98" spans="1:5">
      <c r="A98" s="74" t="s">
        <v>2112</v>
      </c>
      <c r="B98" s="21"/>
      <c r="C98">
        <f>IF(comp_round_sa=1,comp_vol_required/Num_tanks/C60,0)</f>
        <v>0</v>
      </c>
      <c r="D98" t="s">
        <v>127</v>
      </c>
      <c r="E98" s="43" t="s">
        <v>342</v>
      </c>
    </row>
    <row r="99" spans="1:5">
      <c r="A99" s="74" t="s">
        <v>2112</v>
      </c>
      <c r="B99" s="21"/>
      <c r="C99">
        <f>min_bed_depth</f>
        <v>2</v>
      </c>
      <c r="D99" t="s">
        <v>127</v>
      </c>
      <c r="E99" s="43" t="s">
        <v>3241</v>
      </c>
    </row>
    <row r="100" spans="1:5">
      <c r="A100" t="s">
        <v>2112</v>
      </c>
      <c r="B100" s="3" t="s">
        <v>2252</v>
      </c>
      <c r="C100">
        <f>ROUNDUP(MAX(C98:C99),1)</f>
        <v>2</v>
      </c>
      <c r="D100" t="s">
        <v>127</v>
      </c>
      <c r="E100" s="43" t="s">
        <v>743</v>
      </c>
    </row>
    <row r="101" spans="1:5">
      <c r="A101" s="74" t="s">
        <v>1915</v>
      </c>
      <c r="C101">
        <f>(max_height-free_board)/(1+bed_expansion)</f>
        <v>9</v>
      </c>
      <c r="D101" t="s">
        <v>127</v>
      </c>
      <c r="E101" s="43" t="s">
        <v>1483</v>
      </c>
    </row>
    <row r="102" spans="1:5">
      <c r="A102" s="74" t="s">
        <v>1915</v>
      </c>
      <c r="C102">
        <f>max_bed_depth</f>
        <v>8.5</v>
      </c>
      <c r="D102" t="s">
        <v>127</v>
      </c>
      <c r="E102" s="43" t="s">
        <v>3241</v>
      </c>
    </row>
    <row r="103" spans="1:5">
      <c r="A103" t="s">
        <v>1915</v>
      </c>
      <c r="B103" s="3" t="s">
        <v>2253</v>
      </c>
      <c r="C103">
        <f>ROUNDDOWN(MIN(C101:C102),1)</f>
        <v>8.5</v>
      </c>
      <c r="D103" t="s">
        <v>127</v>
      </c>
      <c r="E103" s="43" t="s">
        <v>2333</v>
      </c>
    </row>
    <row r="104" spans="1:5">
      <c r="E104" s="43"/>
    </row>
    <row r="105" spans="1:5">
      <c r="A105" s="1" t="s">
        <v>546</v>
      </c>
      <c r="E105" s="43"/>
    </row>
    <row r="106" spans="1:5">
      <c r="A106" t="s">
        <v>2112</v>
      </c>
      <c r="B106" s="3" t="s">
        <v>547</v>
      </c>
      <c r="C106">
        <v>8</v>
      </c>
      <c r="D106" t="s">
        <v>127</v>
      </c>
      <c r="E106" s="43" t="s">
        <v>1484</v>
      </c>
    </row>
    <row r="107" spans="1:5">
      <c r="A107" s="74" t="s">
        <v>1915</v>
      </c>
      <c r="C107">
        <f>max_height</f>
        <v>14</v>
      </c>
      <c r="D107" t="s">
        <v>127</v>
      </c>
      <c r="E107" s="43" t="s">
        <v>3309</v>
      </c>
    </row>
    <row r="108" spans="1:5">
      <c r="A108" s="74" t="s">
        <v>1915</v>
      </c>
      <c r="C108">
        <f>max_diam</f>
        <v>14</v>
      </c>
      <c r="D108" t="s">
        <v>127</v>
      </c>
      <c r="E108" s="43" t="s">
        <v>1923</v>
      </c>
    </row>
    <row r="109" spans="1:5">
      <c r="A109" s="5" t="s">
        <v>1915</v>
      </c>
      <c r="B109" s="3" t="s">
        <v>548</v>
      </c>
      <c r="C109">
        <f>ROUNDDOWN(MIN(C107:C108),1)</f>
        <v>14</v>
      </c>
      <c r="D109" s="5" t="s">
        <v>127</v>
      </c>
      <c r="E109" s="43" t="s">
        <v>1921</v>
      </c>
    </row>
    <row r="110" spans="1:5">
      <c r="A110" s="5"/>
      <c r="D110" s="5"/>
      <c r="E110" s="43"/>
    </row>
    <row r="111" spans="1:5">
      <c r="A111" s="1" t="s">
        <v>549</v>
      </c>
      <c r="D111" s="5"/>
      <c r="E111" s="43"/>
    </row>
    <row r="112" spans="1:5">
      <c r="A112" s="74" t="s">
        <v>2112</v>
      </c>
      <c r="C112">
        <f>comp_min_sa_vessel/(comp_horiz_diam-2*Vessel_thickness)</f>
        <v>9.9206349206349215E-2</v>
      </c>
      <c r="D112" s="5" t="s">
        <v>127</v>
      </c>
      <c r="E112" s="43" t="s">
        <v>1485</v>
      </c>
    </row>
    <row r="113" spans="1:5">
      <c r="A113" s="74" t="s">
        <v>2112</v>
      </c>
      <c r="C113">
        <v>20</v>
      </c>
      <c r="D113" s="5" t="s">
        <v>127</v>
      </c>
      <c r="E113" s="152"/>
    </row>
    <row r="114" spans="1:5">
      <c r="A114" t="s">
        <v>2112</v>
      </c>
      <c r="B114" s="3" t="s">
        <v>550</v>
      </c>
      <c r="C114">
        <f>ROUNDUP(MAX(C112:C113),0)</f>
        <v>20</v>
      </c>
      <c r="D114" s="5" t="s">
        <v>127</v>
      </c>
      <c r="E114" s="43" t="s">
        <v>2334</v>
      </c>
    </row>
    <row r="115" spans="1:5">
      <c r="A115" s="74" t="s">
        <v>1915</v>
      </c>
      <c r="C115">
        <f>max_length</f>
        <v>53</v>
      </c>
      <c r="D115" t="s">
        <v>127</v>
      </c>
      <c r="E115" s="43" t="s">
        <v>1924</v>
      </c>
    </row>
    <row r="116" spans="1:5">
      <c r="A116" s="74" t="s">
        <v>1915</v>
      </c>
      <c r="C116">
        <f>comp_max_vol/(comp_horiz_diam*comp_horiz_diam*PI()/4)/7.48</f>
        <v>23.536276943869126</v>
      </c>
      <c r="D116" t="s">
        <v>127</v>
      </c>
      <c r="E116" s="43" t="s">
        <v>1925</v>
      </c>
    </row>
    <row r="117" spans="1:5">
      <c r="A117" t="s">
        <v>1915</v>
      </c>
      <c r="B117" s="3" t="s">
        <v>551</v>
      </c>
      <c r="C117">
        <f>ROUNDDOWN(MIN(C115:C116),0)</f>
        <v>23</v>
      </c>
      <c r="D117" t="s">
        <v>127</v>
      </c>
      <c r="E117" s="43" t="s">
        <v>2333</v>
      </c>
    </row>
    <row r="118" spans="1:5">
      <c r="E118" s="43"/>
    </row>
    <row r="119" spans="1:5">
      <c r="A119" s="1" t="s">
        <v>552</v>
      </c>
      <c r="B119" s="21"/>
    </row>
    <row r="120" spans="1:5">
      <c r="A120" s="74" t="s">
        <v>2112</v>
      </c>
      <c r="B120" s="21"/>
      <c r="C120">
        <f>IF(comp_round_sa=1,comp_vol_required/Num_tanks/C70,0)</f>
        <v>0</v>
      </c>
      <c r="D120" t="s">
        <v>127</v>
      </c>
      <c r="E120" s="43" t="s">
        <v>1486</v>
      </c>
    </row>
    <row r="121" spans="1:5">
      <c r="A121" s="74" t="s">
        <v>2112</v>
      </c>
      <c r="B121" s="21"/>
      <c r="C121">
        <f>min_bed_depth</f>
        <v>2</v>
      </c>
      <c r="D121" t="s">
        <v>127</v>
      </c>
      <c r="E121" s="43" t="s">
        <v>1511</v>
      </c>
    </row>
    <row r="122" spans="1:5">
      <c r="A122" t="s">
        <v>2112</v>
      </c>
      <c r="B122" s="3" t="s">
        <v>553</v>
      </c>
      <c r="C122">
        <f>ROUNDUP(MAX(C120:C121),1)</f>
        <v>2</v>
      </c>
      <c r="D122" t="s">
        <v>127</v>
      </c>
      <c r="E122" s="43" t="s">
        <v>2334</v>
      </c>
    </row>
    <row r="123" spans="1:5">
      <c r="A123" s="74" t="s">
        <v>1915</v>
      </c>
      <c r="C123">
        <f>(MIN(max_height,max_diam)-free_board)/(1+bed_expansion)</f>
        <v>9</v>
      </c>
      <c r="D123" t="s">
        <v>127</v>
      </c>
      <c r="E123" s="43" t="s">
        <v>1512</v>
      </c>
    </row>
    <row r="124" spans="1:5">
      <c r="A124" s="74" t="s">
        <v>1915</v>
      </c>
      <c r="C124">
        <f>max_bed_depth</f>
        <v>8.5</v>
      </c>
      <c r="D124" t="s">
        <v>127</v>
      </c>
      <c r="E124" s="43" t="s">
        <v>1511</v>
      </c>
    </row>
    <row r="125" spans="1:5">
      <c r="A125" t="s">
        <v>1915</v>
      </c>
      <c r="B125" s="3" t="s">
        <v>554</v>
      </c>
      <c r="C125">
        <f>ROUNDDOWN(MIN(C123:C124),1)</f>
        <v>8.5</v>
      </c>
      <c r="D125" t="s">
        <v>127</v>
      </c>
      <c r="E125" s="43" t="s">
        <v>2333</v>
      </c>
    </row>
    <row r="127" spans="1:5">
      <c r="A127" s="76" t="s">
        <v>832</v>
      </c>
    </row>
    <row r="128" spans="1:5">
      <c r="A128" t="s">
        <v>833</v>
      </c>
      <c r="B128" s="3" t="s">
        <v>834</v>
      </c>
      <c r="C128" t="b">
        <v>1</v>
      </c>
      <c r="E128" s="43" t="s">
        <v>225</v>
      </c>
    </row>
    <row r="130" spans="1:5" s="489" customFormat="1">
      <c r="A130" s="487" t="s">
        <v>442</v>
      </c>
      <c r="B130" s="488"/>
    </row>
    <row r="132" spans="1:5">
      <c r="A132" s="76" t="s">
        <v>2605</v>
      </c>
    </row>
    <row r="133" spans="1:5">
      <c r="A133" t="s">
        <v>2111</v>
      </c>
      <c r="C133">
        <f>design_flow_rate</f>
        <v>513.88888888888891</v>
      </c>
      <c r="D133" t="s">
        <v>1831</v>
      </c>
    </row>
    <row r="134" spans="1:5">
      <c r="A134" t="s">
        <v>232</v>
      </c>
      <c r="C134">
        <f>EBCT</f>
        <v>4</v>
      </c>
      <c r="D134" t="s">
        <v>2112</v>
      </c>
    </row>
    <row r="135" spans="1:5">
      <c r="A135" t="s">
        <v>2814</v>
      </c>
      <c r="B135" s="3" t="s">
        <v>443</v>
      </c>
      <c r="C135" s="27">
        <v>0</v>
      </c>
      <c r="E135" s="43" t="s">
        <v>742</v>
      </c>
    </row>
    <row r="136" spans="1:5">
      <c r="A136" t="s">
        <v>2579</v>
      </c>
      <c r="B136" s="3" t="s">
        <v>444</v>
      </c>
      <c r="C136">
        <f>design_flow_rate*EBCT/7.481</f>
        <v>274.77015847554549</v>
      </c>
      <c r="D136" t="s">
        <v>2248</v>
      </c>
      <c r="E136" s="43" t="s">
        <v>2837</v>
      </c>
    </row>
    <row r="137" spans="1:5">
      <c r="E137" s="43"/>
    </row>
    <row r="138" spans="1:5">
      <c r="A138" s="2" t="s">
        <v>445</v>
      </c>
      <c r="E138" s="43"/>
    </row>
    <row r="139" spans="1:5">
      <c r="A139" t="s">
        <v>2323</v>
      </c>
      <c r="B139" s="3" t="s">
        <v>446</v>
      </c>
      <c r="C139">
        <f>comp_max_bed_depth_a*comp_max_length_a*comp_max_width_a</f>
        <v>9000</v>
      </c>
      <c r="D139" t="s">
        <v>2248</v>
      </c>
      <c r="E139" s="43" t="s">
        <v>2603</v>
      </c>
    </row>
    <row r="140" spans="1:5">
      <c r="A140" t="s">
        <v>2575</v>
      </c>
      <c r="B140" s="3" t="s">
        <v>447</v>
      </c>
      <c r="C140">
        <f>design_flow_rate/load_max</f>
        <v>51.388888888888893</v>
      </c>
      <c r="D140" t="s">
        <v>1916</v>
      </c>
      <c r="E140" s="43" t="s">
        <v>2835</v>
      </c>
    </row>
    <row r="141" spans="1:5">
      <c r="A141" t="s">
        <v>2577</v>
      </c>
      <c r="B141" s="3" t="s">
        <v>448</v>
      </c>
      <c r="C141">
        <f>design_flow_rate/load_min</f>
        <v>1027.7777777777778</v>
      </c>
      <c r="D141" t="s">
        <v>1916</v>
      </c>
      <c r="E141" s="43" t="s">
        <v>2836</v>
      </c>
    </row>
    <row r="142" spans="1:5">
      <c r="A142" t="s">
        <v>2843</v>
      </c>
      <c r="B142" s="3" t="s">
        <v>449</v>
      </c>
      <c r="C142">
        <f>IF(design_flow&lt;=1,IF(contam_type=17,target_bed_depth_under_g_UVAOP,target_bed_depth_under_g),IF(contam_type=17,target_bed_depth_over_g_UVAOP,target_bed_depth_over_g))</f>
        <v>5.4</v>
      </c>
      <c r="D142" t="s">
        <v>127</v>
      </c>
      <c r="E142" s="43" t="s">
        <v>1310</v>
      </c>
    </row>
    <row r="143" spans="1:5">
      <c r="A143" t="s">
        <v>2845</v>
      </c>
      <c r="B143" s="3" t="s">
        <v>450</v>
      </c>
      <c r="C143">
        <f>comp_vol_required_a/comp_target_bed_depth_vert_a</f>
        <v>50.883362680656568</v>
      </c>
      <c r="D143" t="s">
        <v>1916</v>
      </c>
      <c r="E143" s="43" t="s">
        <v>348</v>
      </c>
    </row>
    <row r="144" spans="1:5">
      <c r="A144" t="s">
        <v>451</v>
      </c>
      <c r="E144" s="43" t="s">
        <v>349</v>
      </c>
    </row>
    <row r="145" spans="1:5">
      <c r="A145" s="154" t="s">
        <v>2848</v>
      </c>
      <c r="C145">
        <f>comp_min_sa_a/comp_sa_max_a</f>
        <v>0.05</v>
      </c>
      <c r="E145" s="43"/>
    </row>
    <row r="146" spans="1:5">
      <c r="A146" s="154" t="s">
        <v>2849</v>
      </c>
      <c r="C146">
        <f>comp_sa_required_vert_a/comp_sa_max_a</f>
        <v>4.9508136662260442E-2</v>
      </c>
      <c r="E146" s="43"/>
    </row>
    <row r="147" spans="1:5">
      <c r="A147" s="154" t="s">
        <v>2850</v>
      </c>
      <c r="C147">
        <f>comp_vol_required_a/comp_vert_max_media_a</f>
        <v>3.0530017608393942E-2</v>
      </c>
      <c r="E147" s="43"/>
    </row>
    <row r="148" spans="1:5">
      <c r="A148" t="s">
        <v>2851</v>
      </c>
      <c r="B148" s="3" t="s">
        <v>39</v>
      </c>
      <c r="C148">
        <f>MAX(C145:C147)</f>
        <v>0.05</v>
      </c>
      <c r="E148" s="43" t="s">
        <v>350</v>
      </c>
    </row>
    <row r="149" spans="1:5">
      <c r="E149" s="43"/>
    </row>
    <row r="150" spans="1:5">
      <c r="E150" s="43"/>
    </row>
    <row r="151" spans="1:5">
      <c r="A151" t="s">
        <v>2773</v>
      </c>
      <c r="B151" s="3" t="s">
        <v>40</v>
      </c>
      <c r="C151" s="48">
        <v>5</v>
      </c>
      <c r="E151" s="43" t="s">
        <v>2775</v>
      </c>
    </row>
    <row r="152" spans="1:5">
      <c r="A152" t="s">
        <v>2855</v>
      </c>
      <c r="B152" s="3" t="s">
        <v>41</v>
      </c>
      <c r="C152">
        <v>1</v>
      </c>
      <c r="E152" s="43" t="s">
        <v>2613</v>
      </c>
    </row>
    <row r="154" spans="1:5">
      <c r="A154" s="76" t="s">
        <v>853</v>
      </c>
      <c r="D154" s="5"/>
    </row>
    <row r="156" spans="1:5">
      <c r="A156" s="1" t="s">
        <v>3243</v>
      </c>
      <c r="B156" s="21"/>
    </row>
    <row r="157" spans="1:5">
      <c r="A157" t="s">
        <v>42</v>
      </c>
      <c r="B157" s="3" t="s">
        <v>43</v>
      </c>
      <c r="C157">
        <f>SQRT(comp_sa_required_vert_a/comp_in_nlines_a)</f>
        <v>7.133257508365765</v>
      </c>
      <c r="D157" t="s">
        <v>127</v>
      </c>
      <c r="E157" s="490">
        <f>IF(C157&lt;comp_min_length_a,comp_min_length_a,IF(C157&gt;comp_max_length_a,comp_max_length_a,ROUNDUP(2*C157,0)/2))</f>
        <v>7.5</v>
      </c>
    </row>
    <row r="158" spans="1:5">
      <c r="A158" t="s">
        <v>2776</v>
      </c>
      <c r="C158">
        <f>comp_length_width_a^2</f>
        <v>56.25</v>
      </c>
      <c r="D158" t="s">
        <v>1916</v>
      </c>
    </row>
    <row r="159" spans="1:5">
      <c r="A159" t="s">
        <v>2777</v>
      </c>
      <c r="C159">
        <f>comp_in_nlines_a*C158</f>
        <v>56.25</v>
      </c>
      <c r="D159" t="s">
        <v>1916</v>
      </c>
    </row>
    <row r="160" spans="1:5">
      <c r="A160" t="s">
        <v>2110</v>
      </c>
      <c r="B160" s="3" t="s">
        <v>44</v>
      </c>
      <c r="C160">
        <f>comp_vol_required_a/Num_tanks/IF(comp_round_sa_a=1,ROUND(C158,0)*comp_in_nlines_a,C159)</f>
        <v>4.8848028173430311</v>
      </c>
      <c r="D160" t="s">
        <v>127</v>
      </c>
      <c r="E160" s="490">
        <f>IF(comp_min_bed_depth_a&lt;=comp_max_bed_depth_a,IF(C160&lt;comp_min_bed_depth_a, ROUNDUP(comp_min_bed_depth_a,1), IF(C160&gt;comp_max_bed_depth_a, comp_max_bed_depth_a, ROUNDUP(C160,1))),-1)</f>
        <v>4.8999999999999995</v>
      </c>
    </row>
    <row r="162" spans="1:5">
      <c r="A162" s="76" t="s">
        <v>1296</v>
      </c>
      <c r="B162"/>
    </row>
    <row r="163" spans="1:5">
      <c r="A163" s="1" t="s">
        <v>1297</v>
      </c>
      <c r="B163"/>
    </row>
    <row r="164" spans="1:5">
      <c r="A164" s="74" t="s">
        <v>2112</v>
      </c>
      <c r="B164" s="21"/>
      <c r="C164">
        <f>min_depth</f>
        <v>3</v>
      </c>
      <c r="D164" t="s">
        <v>127</v>
      </c>
      <c r="E164" s="43" t="s">
        <v>1311</v>
      </c>
    </row>
    <row r="165" spans="1:5">
      <c r="A165" s="74" t="s">
        <v>2112</v>
      </c>
      <c r="B165" s="21"/>
      <c r="C165">
        <f>design_flow_rate*EBCT/(comp_in_nlines_a*max_length_g*max_width)/7.48</f>
        <v>0.30534099161550138</v>
      </c>
      <c r="D165" t="s">
        <v>127</v>
      </c>
      <c r="E165" s="43" t="s">
        <v>1312</v>
      </c>
    </row>
    <row r="166" spans="1:5">
      <c r="A166" t="s">
        <v>2112</v>
      </c>
      <c r="B166" s="3" t="s">
        <v>1298</v>
      </c>
      <c r="C166">
        <f>MAX(C164:C165)</f>
        <v>3</v>
      </c>
      <c r="D166" t="s">
        <v>127</v>
      </c>
      <c r="E166" s="43" t="s">
        <v>743</v>
      </c>
    </row>
    <row r="167" spans="1:5">
      <c r="A167" t="s">
        <v>1915</v>
      </c>
      <c r="B167" s="3" t="s">
        <v>1299</v>
      </c>
      <c r="C167">
        <f>max_depth</f>
        <v>10</v>
      </c>
      <c r="D167" t="s">
        <v>127</v>
      </c>
      <c r="E167" s="43" t="s">
        <v>1313</v>
      </c>
    </row>
    <row r="168" spans="1:5">
      <c r="A168" s="1"/>
      <c r="B168" s="21"/>
    </row>
    <row r="169" spans="1:5">
      <c r="A169" s="1" t="s">
        <v>1300</v>
      </c>
      <c r="E169" s="43"/>
    </row>
    <row r="170" spans="1:5">
      <c r="A170" t="s">
        <v>2112</v>
      </c>
      <c r="B170" s="3" t="s">
        <v>1301</v>
      </c>
      <c r="C170">
        <f>design_flow_rate/comp_in_nlines_a/load_max</f>
        <v>51.388888888888893</v>
      </c>
      <c r="D170" t="s">
        <v>1916</v>
      </c>
      <c r="E170" s="43" t="s">
        <v>1314</v>
      </c>
    </row>
    <row r="171" spans="1:5">
      <c r="A171" t="s">
        <v>1915</v>
      </c>
      <c r="B171" s="3" t="s">
        <v>1302</v>
      </c>
      <c r="C171">
        <f>design_flow_rate/comp_in_nlines_a/load_min</f>
        <v>1027.7777777777778</v>
      </c>
      <c r="D171" t="s">
        <v>1916</v>
      </c>
      <c r="E171" s="43" t="s">
        <v>1315</v>
      </c>
    </row>
    <row r="172" spans="1:5">
      <c r="E172" s="43"/>
    </row>
    <row r="173" spans="1:5">
      <c r="A173" s="1" t="s">
        <v>1303</v>
      </c>
      <c r="E173" s="43"/>
    </row>
    <row r="174" spans="1:5">
      <c r="A174" t="s">
        <v>2112</v>
      </c>
      <c r="B174" s="3" t="s">
        <v>1304</v>
      </c>
      <c r="C174">
        <f>min_length_g</f>
        <v>6</v>
      </c>
      <c r="D174" t="s">
        <v>127</v>
      </c>
      <c r="E174" s="43" t="s">
        <v>1316</v>
      </c>
    </row>
    <row r="175" spans="1:5">
      <c r="A175" s="5" t="s">
        <v>1915</v>
      </c>
      <c r="B175" s="3" t="s">
        <v>1305</v>
      </c>
      <c r="C175">
        <f>max_length_g</f>
        <v>30</v>
      </c>
      <c r="D175" s="5" t="s">
        <v>127</v>
      </c>
      <c r="E175" s="43" t="s">
        <v>1317</v>
      </c>
    </row>
    <row r="176" spans="1:5">
      <c r="E176" s="43"/>
    </row>
    <row r="177" spans="1:5">
      <c r="A177" s="1" t="s">
        <v>1306</v>
      </c>
      <c r="E177" s="43"/>
    </row>
    <row r="178" spans="1:5">
      <c r="A178" t="s">
        <v>2112</v>
      </c>
      <c r="B178" s="3" t="s">
        <v>1307</v>
      </c>
      <c r="C178">
        <f>min_width</f>
        <v>6</v>
      </c>
      <c r="D178" t="s">
        <v>127</v>
      </c>
      <c r="E178" s="43" t="s">
        <v>1318</v>
      </c>
    </row>
    <row r="179" spans="1:5">
      <c r="A179" s="5" t="s">
        <v>1915</v>
      </c>
      <c r="B179" s="3" t="s">
        <v>1308</v>
      </c>
      <c r="C179">
        <f>max_width</f>
        <v>30</v>
      </c>
      <c r="D179" s="5" t="s">
        <v>127</v>
      </c>
      <c r="E179" s="43" t="s">
        <v>1319</v>
      </c>
    </row>
    <row r="181" spans="1:5">
      <c r="A181" s="76" t="s">
        <v>832</v>
      </c>
    </row>
    <row r="182" spans="1:5">
      <c r="A182" t="s">
        <v>833</v>
      </c>
      <c r="B182" s="3" t="s">
        <v>1309</v>
      </c>
      <c r="C182" t="b">
        <v>1</v>
      </c>
      <c r="E182" s="43" t="s">
        <v>225</v>
      </c>
    </row>
  </sheetData>
  <phoneticPr fontId="0" type="noConversion"/>
  <pageMargins left="0.75" right="0.75" top="1" bottom="1" header="0.5" footer="0.5"/>
  <pageSetup orientation="portrait" horizontalDpi="200" verticalDpi="200"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Q222"/>
  <sheetViews>
    <sheetView workbookViewId="0">
      <pane ySplit="4" topLeftCell="A145" activePane="bottomLeft" state="frozen"/>
      <selection pane="bottomLeft"/>
    </sheetView>
  </sheetViews>
  <sheetFormatPr baseColWidth="10" defaultColWidth="8.83203125" defaultRowHeight="13"/>
  <cols>
    <col min="1" max="1" width="24" customWidth="1"/>
    <col min="2" max="2" width="19.83203125" customWidth="1"/>
    <col min="3" max="3" width="11.5" customWidth="1"/>
    <col min="4" max="4" width="9.5" bestFit="1" customWidth="1"/>
    <col min="6" max="11" width="9.5" bestFit="1" customWidth="1"/>
    <col min="12" max="12" width="12" bestFit="1" customWidth="1"/>
    <col min="13" max="13" width="13.33203125" bestFit="1" customWidth="1"/>
    <col min="14" max="14" width="9.5" bestFit="1" customWidth="1"/>
    <col min="15" max="17" width="9.33203125" bestFit="1" customWidth="1"/>
  </cols>
  <sheetData>
    <row r="1" spans="1:17">
      <c r="A1" s="1" t="s">
        <v>3411</v>
      </c>
    </row>
    <row r="2" spans="1:17">
      <c r="A2" s="825" t="s">
        <v>3415</v>
      </c>
    </row>
    <row r="4" spans="1:17">
      <c r="A4" s="1" t="s">
        <v>3410</v>
      </c>
      <c r="B4" s="1"/>
      <c r="C4" s="1" t="s">
        <v>634</v>
      </c>
      <c r="D4" s="1" t="s">
        <v>635</v>
      </c>
      <c r="E4" s="1"/>
      <c r="F4" s="1">
        <v>2</v>
      </c>
      <c r="G4" s="1">
        <v>3</v>
      </c>
      <c r="H4" s="1">
        <v>4</v>
      </c>
      <c r="I4" s="1">
        <v>5</v>
      </c>
      <c r="J4" s="1">
        <v>6</v>
      </c>
      <c r="K4" s="1">
        <v>7</v>
      </c>
      <c r="L4" s="1">
        <v>8</v>
      </c>
      <c r="M4" s="1">
        <v>9</v>
      </c>
      <c r="N4" s="1">
        <v>10</v>
      </c>
      <c r="O4" s="1">
        <v>11</v>
      </c>
      <c r="P4" s="1">
        <v>16</v>
      </c>
      <c r="Q4" s="1">
        <v>17</v>
      </c>
    </row>
    <row r="5" spans="1:17">
      <c r="A5" s="19" t="s">
        <v>2994</v>
      </c>
    </row>
    <row r="6" spans="1:17">
      <c r="A6" s="16" t="s">
        <v>17</v>
      </c>
      <c r="B6" s="5"/>
    </row>
    <row r="7" spans="1:17">
      <c r="A7" s="8" t="s">
        <v>18</v>
      </c>
      <c r="B7" t="s">
        <v>637</v>
      </c>
      <c r="C7" s="45">
        <f>IF(D7=0,0,IF(OR(D7&gt;P7,D7&lt;Q7),"contact vendor",F7*D7^G7+H7*LN(D7)+I7+J7*EXP(K7*D7)+L7*D7^3+M7*D7^2+N7*D7+O7))</f>
        <v>67158.853406936862</v>
      </c>
      <c r="D7">
        <f>comm_vol_gal</f>
        <v>3395.621835559064</v>
      </c>
      <c r="E7" t="s">
        <v>637</v>
      </c>
      <c r="F7">
        <f t="shared" ref="F7:Q10" si="0">VLOOKUP($E7,eq_table_cl,F$4,FALSE)</f>
        <v>0</v>
      </c>
      <c r="G7">
        <f t="shared" si="0"/>
        <v>0</v>
      </c>
      <c r="H7">
        <f t="shared" si="0"/>
        <v>0</v>
      </c>
      <c r="I7">
        <f t="shared" si="0"/>
        <v>0</v>
      </c>
      <c r="J7">
        <f t="shared" si="0"/>
        <v>0</v>
      </c>
      <c r="K7">
        <f t="shared" si="0"/>
        <v>0</v>
      </c>
      <c r="L7">
        <f t="shared" si="0"/>
        <v>0</v>
      </c>
      <c r="M7">
        <f t="shared" si="0"/>
        <v>-7.6737999999999996E-5</v>
      </c>
      <c r="N7">
        <f t="shared" si="0"/>
        <v>15.444158594999999</v>
      </c>
      <c r="O7">
        <f t="shared" si="0"/>
        <v>15601.139394092999</v>
      </c>
      <c r="P7">
        <f t="shared" si="0"/>
        <v>27101</v>
      </c>
      <c r="Q7">
        <f t="shared" si="0"/>
        <v>0</v>
      </c>
    </row>
    <row r="8" spans="1:17">
      <c r="A8" s="8" t="s">
        <v>1767</v>
      </c>
      <c r="B8" t="s">
        <v>1149</v>
      </c>
      <c r="C8" s="45">
        <f t="shared" ref="C8:C10" si="1">IF(D8=0,0,IF(OR(D8&gt;P8,D8&lt;Q8),"contact vendor",F8*D8^G8+H8*LN(D8)+I8+J8*EXP(K8*D8)+L8*D8^3+M8*D8^2+N8*D8+O8))</f>
        <v>49740.798081032954</v>
      </c>
      <c r="D8">
        <f>comm_vol_gal</f>
        <v>3395.621835559064</v>
      </c>
      <c r="E8" t="s">
        <v>1149</v>
      </c>
      <c r="F8">
        <f t="shared" si="0"/>
        <v>0</v>
      </c>
      <c r="G8">
        <f t="shared" si="0"/>
        <v>0</v>
      </c>
      <c r="H8">
        <f t="shared" si="0"/>
        <v>0</v>
      </c>
      <c r="I8">
        <f t="shared" si="0"/>
        <v>0</v>
      </c>
      <c r="J8">
        <f t="shared" si="0"/>
        <v>0</v>
      </c>
      <c r="K8">
        <f t="shared" si="0"/>
        <v>0</v>
      </c>
      <c r="L8">
        <f t="shared" si="0"/>
        <v>0</v>
      </c>
      <c r="M8">
        <f t="shared" si="0"/>
        <v>-5.872E-5</v>
      </c>
      <c r="N8">
        <f t="shared" si="0"/>
        <v>10.510938614000001</v>
      </c>
      <c r="O8">
        <f t="shared" si="0"/>
        <v>14726.681553128999</v>
      </c>
      <c r="P8">
        <f t="shared" si="0"/>
        <v>27101</v>
      </c>
      <c r="Q8">
        <f t="shared" si="0"/>
        <v>0</v>
      </c>
    </row>
    <row r="9" spans="1:17">
      <c r="A9" s="8" t="s">
        <v>268</v>
      </c>
      <c r="B9" t="s">
        <v>1150</v>
      </c>
      <c r="C9" s="45">
        <f t="shared" si="1"/>
        <v>30570.707435532913</v>
      </c>
      <c r="D9">
        <f>comm_vol_gal</f>
        <v>3395.621835559064</v>
      </c>
      <c r="E9" t="s">
        <v>1150</v>
      </c>
      <c r="F9">
        <f t="shared" si="0"/>
        <v>0</v>
      </c>
      <c r="G9">
        <f t="shared" si="0"/>
        <v>0</v>
      </c>
      <c r="H9">
        <f t="shared" si="0"/>
        <v>0</v>
      </c>
      <c r="I9">
        <f t="shared" si="0"/>
        <v>0</v>
      </c>
      <c r="J9">
        <f t="shared" si="0"/>
        <v>0</v>
      </c>
      <c r="K9">
        <f t="shared" si="0"/>
        <v>0</v>
      </c>
      <c r="L9">
        <f t="shared" si="0"/>
        <v>5.0000000000000001E-9</v>
      </c>
      <c r="M9">
        <f t="shared" si="0"/>
        <v>-1.5907200000000001E-4</v>
      </c>
      <c r="N9">
        <f t="shared" si="0"/>
        <v>6.5680481459999998</v>
      </c>
      <c r="O9">
        <f t="shared" si="0"/>
        <v>9906.4774847219996</v>
      </c>
      <c r="P9">
        <f t="shared" si="0"/>
        <v>27101</v>
      </c>
      <c r="Q9">
        <f t="shared" si="0"/>
        <v>0</v>
      </c>
    </row>
    <row r="10" spans="1:17">
      <c r="A10" s="8" t="s">
        <v>2621</v>
      </c>
      <c r="B10" t="s">
        <v>638</v>
      </c>
      <c r="C10" s="45" t="str">
        <f t="shared" si="1"/>
        <v>contact vendor</v>
      </c>
      <c r="D10">
        <f>comm_vol_gal</f>
        <v>3395.621835559064</v>
      </c>
      <c r="E10" t="s">
        <v>638</v>
      </c>
      <c r="F10">
        <f t="shared" si="0"/>
        <v>0</v>
      </c>
      <c r="G10">
        <f t="shared" si="0"/>
        <v>0</v>
      </c>
      <c r="H10">
        <f t="shared" si="0"/>
        <v>0</v>
      </c>
      <c r="I10">
        <f t="shared" si="0"/>
        <v>0</v>
      </c>
      <c r="J10">
        <f t="shared" si="0"/>
        <v>0</v>
      </c>
      <c r="K10">
        <f t="shared" si="0"/>
        <v>0</v>
      </c>
      <c r="L10">
        <f t="shared" si="0"/>
        <v>0</v>
      </c>
      <c r="M10">
        <f t="shared" si="0"/>
        <v>-5.7213999999999995E-4</v>
      </c>
      <c r="N10">
        <f t="shared" si="0"/>
        <v>18.639575937</v>
      </c>
      <c r="O10">
        <f t="shared" si="0"/>
        <v>756.34544690600001</v>
      </c>
      <c r="P10">
        <f t="shared" si="0"/>
        <v>901</v>
      </c>
      <c r="Q10">
        <f t="shared" si="0"/>
        <v>0</v>
      </c>
    </row>
    <row r="11" spans="1:17">
      <c r="A11" s="97" t="s">
        <v>1323</v>
      </c>
      <c r="C11" s="45"/>
    </row>
    <row r="12" spans="1:17">
      <c r="A12" s="29" t="s">
        <v>3054</v>
      </c>
      <c r="B12" t="s">
        <v>3257</v>
      </c>
      <c r="C12" s="45"/>
    </row>
    <row r="13" spans="1:17">
      <c r="A13" s="29" t="s">
        <v>3343</v>
      </c>
      <c r="C13" s="45" t="str">
        <f t="shared" ref="C13:C15" si="2">IF(D13=0,0,IF(OR(D13&gt;P13,D13&lt;Q13),"contact vendor",F13*D13^G13+H13*LN(D13)+I13+J13*EXP(K13*D13)+L13*D13^3+M13*D13^2+N13*D13+O13))</f>
        <v>contact vendor</v>
      </c>
      <c r="D13" t="str">
        <f>basin_area</f>
        <v>-</v>
      </c>
      <c r="E13" t="s">
        <v>3346</v>
      </c>
      <c r="F13">
        <f t="shared" ref="F13:Q15" si="3">VLOOKUP($E13,eq_table_cl,F$4,FALSE)</f>
        <v>0</v>
      </c>
      <c r="G13">
        <f t="shared" si="3"/>
        <v>0</v>
      </c>
      <c r="H13">
        <f t="shared" si="3"/>
        <v>0</v>
      </c>
      <c r="I13">
        <f t="shared" si="3"/>
        <v>0</v>
      </c>
      <c r="J13">
        <f t="shared" si="3"/>
        <v>0</v>
      </c>
      <c r="K13">
        <f t="shared" si="3"/>
        <v>0</v>
      </c>
      <c r="L13">
        <f t="shared" si="3"/>
        <v>-4.3819999999999997E-6</v>
      </c>
      <c r="M13">
        <f t="shared" si="3"/>
        <v>1.083286E-2</v>
      </c>
      <c r="N13">
        <f t="shared" si="3"/>
        <v>40.549529735999997</v>
      </c>
      <c r="O13">
        <f t="shared" si="3"/>
        <v>36589.052814520001</v>
      </c>
      <c r="P13">
        <f t="shared" si="3"/>
        <v>1001</v>
      </c>
      <c r="Q13">
        <f t="shared" si="3"/>
        <v>0</v>
      </c>
    </row>
    <row r="14" spans="1:17">
      <c r="A14" s="29" t="s">
        <v>3344</v>
      </c>
      <c r="C14" s="45" t="str">
        <f t="shared" si="2"/>
        <v>contact vendor</v>
      </c>
      <c r="D14" t="str">
        <f>basin_area</f>
        <v>-</v>
      </c>
      <c r="E14" t="s">
        <v>3347</v>
      </c>
      <c r="F14">
        <f t="shared" si="3"/>
        <v>0</v>
      </c>
      <c r="G14">
        <f t="shared" si="3"/>
        <v>0</v>
      </c>
      <c r="H14">
        <f t="shared" si="3"/>
        <v>0</v>
      </c>
      <c r="I14">
        <f t="shared" si="3"/>
        <v>0</v>
      </c>
      <c r="J14">
        <f t="shared" si="3"/>
        <v>0</v>
      </c>
      <c r="K14">
        <f t="shared" si="3"/>
        <v>0</v>
      </c>
      <c r="L14">
        <f t="shared" si="3"/>
        <v>1.9979999999999998E-5</v>
      </c>
      <c r="M14">
        <f t="shared" si="3"/>
        <v>-2.4614654E-2</v>
      </c>
      <c r="N14">
        <f t="shared" si="3"/>
        <v>51.968156825999998</v>
      </c>
      <c r="O14">
        <f t="shared" si="3"/>
        <v>1470.452247771</v>
      </c>
      <c r="P14">
        <f t="shared" si="3"/>
        <v>1001</v>
      </c>
      <c r="Q14">
        <f t="shared" si="3"/>
        <v>0</v>
      </c>
    </row>
    <row r="15" spans="1:17">
      <c r="A15" s="29" t="s">
        <v>3345</v>
      </c>
      <c r="C15" s="45">
        <f t="shared" si="2"/>
        <v>0</v>
      </c>
      <c r="D15">
        <f>basin_length</f>
        <v>0</v>
      </c>
      <c r="E15" t="s">
        <v>3348</v>
      </c>
      <c r="F15">
        <f t="shared" si="3"/>
        <v>0</v>
      </c>
      <c r="G15">
        <f t="shared" si="3"/>
        <v>0</v>
      </c>
      <c r="H15">
        <f t="shared" si="3"/>
        <v>0</v>
      </c>
      <c r="I15">
        <f t="shared" si="3"/>
        <v>0</v>
      </c>
      <c r="J15">
        <f t="shared" si="3"/>
        <v>24952.400661711999</v>
      </c>
      <c r="K15">
        <f t="shared" si="3"/>
        <v>5.9381778000000003E-2</v>
      </c>
      <c r="L15">
        <f t="shared" si="3"/>
        <v>0</v>
      </c>
      <c r="M15">
        <f t="shared" si="3"/>
        <v>0</v>
      </c>
      <c r="N15">
        <f t="shared" si="3"/>
        <v>0</v>
      </c>
      <c r="O15">
        <f t="shared" si="3"/>
        <v>0</v>
      </c>
      <c r="P15">
        <f t="shared" si="3"/>
        <v>31</v>
      </c>
      <c r="Q15">
        <f t="shared" si="3"/>
        <v>0</v>
      </c>
    </row>
    <row r="16" spans="1:17">
      <c r="A16" s="29" t="s">
        <v>3349</v>
      </c>
      <c r="B16" t="s">
        <v>3350</v>
      </c>
      <c r="C16" s="45">
        <f>IF(total_num_basins=0,0,IF(OR(C13="contact vendor",C14="contact vendor",C15="contact vendor"),"contact vendor",C13+(total_num_basins-1)*C14+total_num_basins*C15))</f>
        <v>0</v>
      </c>
    </row>
    <row r="17" spans="1:17">
      <c r="A17" s="29" t="s">
        <v>1324</v>
      </c>
      <c r="B17" t="s">
        <v>3257</v>
      </c>
      <c r="C17" s="45"/>
    </row>
    <row r="18" spans="1:17">
      <c r="A18" s="29" t="s">
        <v>1325</v>
      </c>
      <c r="B18" t="s">
        <v>3257</v>
      </c>
      <c r="C18" s="45"/>
    </row>
    <row r="19" spans="1:17">
      <c r="A19" s="29" t="s">
        <v>1326</v>
      </c>
      <c r="B19" t="s">
        <v>3257</v>
      </c>
      <c r="C19" s="45"/>
    </row>
    <row r="20" spans="1:17">
      <c r="A20" s="29" t="s">
        <v>1327</v>
      </c>
      <c r="B20" t="s">
        <v>3257</v>
      </c>
      <c r="C20" s="45"/>
    </row>
    <row r="21" spans="1:17">
      <c r="A21" s="19" t="s">
        <v>21</v>
      </c>
    </row>
    <row r="22" spans="1:17">
      <c r="A22" s="97" t="s">
        <v>2995</v>
      </c>
    </row>
    <row r="23" spans="1:17">
      <c r="A23" s="29" t="s">
        <v>3253</v>
      </c>
      <c r="B23" t="s">
        <v>3257</v>
      </c>
    </row>
    <row r="24" spans="1:17">
      <c r="A24" s="8" t="s">
        <v>2629</v>
      </c>
      <c r="B24" t="s">
        <v>639</v>
      </c>
      <c r="C24" s="45">
        <f t="shared" ref="C24:C26" si="4">IF(D24=0,0,IF(OR(D24&gt;P24,D24&lt;Q24),"contact vendor",F24*D24^G24+H24*LN(D24)+I24+J24*EXP(K24*D24)+L24*D24^3+M24*D24^2+N24*D24+O24))</f>
        <v>0</v>
      </c>
      <c r="D24">
        <f>back_tank_vol</f>
        <v>0</v>
      </c>
      <c r="E24" t="s">
        <v>639</v>
      </c>
      <c r="F24">
        <f t="shared" ref="F24:Q26" si="5">VLOOKUP($E24,eq_table_cl,F$4,FALSE)</f>
        <v>355.93975004200001</v>
      </c>
      <c r="G24">
        <f t="shared" si="5"/>
        <v>0.52211620700000005</v>
      </c>
      <c r="H24">
        <f t="shared" si="5"/>
        <v>0</v>
      </c>
      <c r="I24">
        <f t="shared" si="5"/>
        <v>0</v>
      </c>
      <c r="J24">
        <f t="shared" si="5"/>
        <v>0</v>
      </c>
      <c r="K24">
        <f t="shared" si="5"/>
        <v>0</v>
      </c>
      <c r="L24">
        <f t="shared" si="5"/>
        <v>0</v>
      </c>
      <c r="M24">
        <f t="shared" si="5"/>
        <v>0</v>
      </c>
      <c r="N24">
        <f t="shared" si="5"/>
        <v>0</v>
      </c>
      <c r="O24">
        <f t="shared" si="5"/>
        <v>0</v>
      </c>
      <c r="P24">
        <f t="shared" si="5"/>
        <v>282095</v>
      </c>
      <c r="Q24">
        <f t="shared" si="5"/>
        <v>0</v>
      </c>
    </row>
    <row r="25" spans="1:17">
      <c r="A25" s="8" t="s">
        <v>2621</v>
      </c>
      <c r="B25" t="s">
        <v>1151</v>
      </c>
      <c r="C25" s="45">
        <f t="shared" si="4"/>
        <v>0</v>
      </c>
      <c r="D25">
        <f>back_tank_vol</f>
        <v>0</v>
      </c>
      <c r="E25" t="s">
        <v>1151</v>
      </c>
      <c r="F25">
        <f t="shared" si="5"/>
        <v>0</v>
      </c>
      <c r="G25">
        <f t="shared" si="5"/>
        <v>0</v>
      </c>
      <c r="H25">
        <f t="shared" si="5"/>
        <v>0</v>
      </c>
      <c r="I25">
        <f t="shared" si="5"/>
        <v>0</v>
      </c>
      <c r="J25">
        <f t="shared" si="5"/>
        <v>0</v>
      </c>
      <c r="K25">
        <f t="shared" si="5"/>
        <v>0</v>
      </c>
      <c r="L25">
        <f t="shared" si="5"/>
        <v>0</v>
      </c>
      <c r="M25">
        <f t="shared" si="5"/>
        <v>-8.8950000000000004E-6</v>
      </c>
      <c r="N25">
        <f t="shared" si="5"/>
        <v>1.587245247</v>
      </c>
      <c r="O25">
        <f t="shared" si="5"/>
        <v>5286.1358956780005</v>
      </c>
      <c r="P25">
        <f t="shared" si="5"/>
        <v>50001</v>
      </c>
      <c r="Q25">
        <f t="shared" si="5"/>
        <v>0</v>
      </c>
    </row>
    <row r="26" spans="1:17">
      <c r="A26" s="8" t="s">
        <v>723</v>
      </c>
      <c r="B26" t="s">
        <v>1152</v>
      </c>
      <c r="C26" s="45">
        <f t="shared" si="4"/>
        <v>0</v>
      </c>
      <c r="D26">
        <f>back_tank_vol</f>
        <v>0</v>
      </c>
      <c r="E26" t="s">
        <v>1152</v>
      </c>
      <c r="F26">
        <f t="shared" si="5"/>
        <v>0</v>
      </c>
      <c r="G26">
        <f t="shared" si="5"/>
        <v>0</v>
      </c>
      <c r="H26">
        <f t="shared" si="5"/>
        <v>0</v>
      </c>
      <c r="I26">
        <f t="shared" si="5"/>
        <v>0</v>
      </c>
      <c r="J26">
        <f t="shared" si="5"/>
        <v>0</v>
      </c>
      <c r="K26">
        <f t="shared" si="5"/>
        <v>0</v>
      </c>
      <c r="L26">
        <f t="shared" si="5"/>
        <v>0</v>
      </c>
      <c r="M26">
        <f t="shared" si="5"/>
        <v>-7.0820000000000001E-6</v>
      </c>
      <c r="N26">
        <f t="shared" si="5"/>
        <v>1.020527551</v>
      </c>
      <c r="O26">
        <f t="shared" si="5"/>
        <v>1185.3612831999999</v>
      </c>
      <c r="P26">
        <f t="shared" si="5"/>
        <v>15001</v>
      </c>
      <c r="Q26">
        <f t="shared" si="5"/>
        <v>0</v>
      </c>
    </row>
    <row r="27" spans="1:17">
      <c r="A27" s="97" t="s">
        <v>414</v>
      </c>
      <c r="C27" s="45"/>
    </row>
    <row r="28" spans="1:17">
      <c r="A28" s="8" t="s">
        <v>3254</v>
      </c>
      <c r="B28" t="s">
        <v>415</v>
      </c>
      <c r="C28" s="45">
        <f t="shared" ref="C28:C30" si="6">IF(D28=0,0,IF(OR(D28&gt;P28,D28&lt;Q28),"contact vendor",F28*D28^G28+H28*LN(D28)+I28+J28*EXP(K28*D28)+L28*D28^3+M28*D28^2+N28*D28+O28))</f>
        <v>0</v>
      </c>
      <c r="D28">
        <f>htank_vol</f>
        <v>0</v>
      </c>
      <c r="E28" t="s">
        <v>639</v>
      </c>
      <c r="F28">
        <f t="shared" ref="F28:Q30" si="7">VLOOKUP($E28,eq_table_cl,F$4,FALSE)</f>
        <v>355.93975004200001</v>
      </c>
      <c r="G28">
        <f t="shared" si="7"/>
        <v>0.52211620700000005</v>
      </c>
      <c r="H28">
        <f t="shared" si="7"/>
        <v>0</v>
      </c>
      <c r="I28">
        <f t="shared" si="7"/>
        <v>0</v>
      </c>
      <c r="J28">
        <f t="shared" si="7"/>
        <v>0</v>
      </c>
      <c r="K28">
        <f t="shared" si="7"/>
        <v>0</v>
      </c>
      <c r="L28">
        <f t="shared" si="7"/>
        <v>0</v>
      </c>
      <c r="M28">
        <f t="shared" si="7"/>
        <v>0</v>
      </c>
      <c r="N28">
        <f t="shared" si="7"/>
        <v>0</v>
      </c>
      <c r="O28">
        <f t="shared" si="7"/>
        <v>0</v>
      </c>
      <c r="P28">
        <f t="shared" si="7"/>
        <v>282095</v>
      </c>
      <c r="Q28">
        <f t="shared" si="7"/>
        <v>0</v>
      </c>
    </row>
    <row r="29" spans="1:17">
      <c r="A29" s="8" t="s">
        <v>416</v>
      </c>
      <c r="B29" t="s">
        <v>417</v>
      </c>
      <c r="C29" s="45">
        <f t="shared" si="6"/>
        <v>0</v>
      </c>
      <c r="D29">
        <f>htank_vol</f>
        <v>0</v>
      </c>
      <c r="E29" t="s">
        <v>1151</v>
      </c>
      <c r="F29">
        <f t="shared" si="7"/>
        <v>0</v>
      </c>
      <c r="G29">
        <f t="shared" si="7"/>
        <v>0</v>
      </c>
      <c r="H29">
        <f t="shared" si="7"/>
        <v>0</v>
      </c>
      <c r="I29">
        <f t="shared" si="7"/>
        <v>0</v>
      </c>
      <c r="J29">
        <f t="shared" si="7"/>
        <v>0</v>
      </c>
      <c r="K29">
        <f t="shared" si="7"/>
        <v>0</v>
      </c>
      <c r="L29">
        <f t="shared" si="7"/>
        <v>0</v>
      </c>
      <c r="M29">
        <f t="shared" si="7"/>
        <v>-8.8950000000000004E-6</v>
      </c>
      <c r="N29">
        <f t="shared" si="7"/>
        <v>1.587245247</v>
      </c>
      <c r="O29">
        <f t="shared" si="7"/>
        <v>5286.1358956780005</v>
      </c>
      <c r="P29">
        <f t="shared" si="7"/>
        <v>50001</v>
      </c>
      <c r="Q29">
        <f t="shared" si="7"/>
        <v>0</v>
      </c>
    </row>
    <row r="30" spans="1:17">
      <c r="A30" s="8" t="s">
        <v>418</v>
      </c>
      <c r="B30" t="s">
        <v>419</v>
      </c>
      <c r="C30" s="45">
        <f t="shared" si="6"/>
        <v>0</v>
      </c>
      <c r="D30">
        <f>htank_vol</f>
        <v>0</v>
      </c>
      <c r="E30" t="s">
        <v>1152</v>
      </c>
      <c r="F30">
        <f t="shared" si="7"/>
        <v>0</v>
      </c>
      <c r="G30">
        <f t="shared" si="7"/>
        <v>0</v>
      </c>
      <c r="H30">
        <f t="shared" si="7"/>
        <v>0</v>
      </c>
      <c r="I30">
        <f t="shared" si="7"/>
        <v>0</v>
      </c>
      <c r="J30">
        <f t="shared" si="7"/>
        <v>0</v>
      </c>
      <c r="K30">
        <f t="shared" si="7"/>
        <v>0</v>
      </c>
      <c r="L30">
        <f t="shared" si="7"/>
        <v>0</v>
      </c>
      <c r="M30">
        <f t="shared" si="7"/>
        <v>-7.0820000000000001E-6</v>
      </c>
      <c r="N30">
        <f t="shared" si="7"/>
        <v>1.020527551</v>
      </c>
      <c r="O30">
        <f t="shared" si="7"/>
        <v>1185.3612831999999</v>
      </c>
      <c r="P30">
        <f t="shared" si="7"/>
        <v>15001</v>
      </c>
      <c r="Q30">
        <f t="shared" si="7"/>
        <v>0</v>
      </c>
    </row>
    <row r="31" spans="1:17">
      <c r="A31" s="16" t="s">
        <v>2383</v>
      </c>
      <c r="C31" s="605"/>
    </row>
    <row r="32" spans="1:17">
      <c r="A32" s="538" t="s">
        <v>3607</v>
      </c>
      <c r="B32" s="5" t="s">
        <v>2384</v>
      </c>
      <c r="C32" s="45">
        <f>IF(D32=0,0,IF(OR(D32&gt;P32,D32&lt;Q32),"contact vendor",F32*D32^G32+H32*LN(D32)+I32+J32*EXP(K32*D32)+L32*D32^3+M32*D32^2+N32*D32+O32))</f>
        <v>0</v>
      </c>
      <c r="D32">
        <f>polymer_tank_vol</f>
        <v>0</v>
      </c>
      <c r="E32" t="s">
        <v>2385</v>
      </c>
      <c r="F32">
        <f t="shared" ref="F32:Q34" si="8">VLOOKUP($E32,eq_table_cl,F$4,FALSE)</f>
        <v>0</v>
      </c>
      <c r="G32">
        <f t="shared" si="8"/>
        <v>0</v>
      </c>
      <c r="H32">
        <f t="shared" si="8"/>
        <v>0</v>
      </c>
      <c r="I32">
        <f t="shared" si="8"/>
        <v>0</v>
      </c>
      <c r="J32">
        <f t="shared" si="8"/>
        <v>0</v>
      </c>
      <c r="K32">
        <f t="shared" si="8"/>
        <v>0</v>
      </c>
      <c r="L32">
        <f t="shared" si="8"/>
        <v>0</v>
      </c>
      <c r="M32">
        <f t="shared" si="8"/>
        <v>2.8623999999999999E-5</v>
      </c>
      <c r="N32">
        <f t="shared" si="8"/>
        <v>1.5428855189999999</v>
      </c>
      <c r="O32">
        <f t="shared" si="8"/>
        <v>773.82851457200002</v>
      </c>
      <c r="P32">
        <f t="shared" si="8"/>
        <v>6601</v>
      </c>
      <c r="Q32">
        <f t="shared" si="8"/>
        <v>0</v>
      </c>
    </row>
    <row r="33" spans="1:17">
      <c r="A33" s="8" t="s">
        <v>2621</v>
      </c>
      <c r="B33" s="5" t="s">
        <v>2386</v>
      </c>
      <c r="C33" s="45">
        <f>IF(D33=0,0,IF(OR(D33&gt;P33,D33&lt;Q33),"contact vendor",F33*D33^G33+H33*LN(D33)+I33+J33*EXP(K33*D33)+L33*D33^3+M33*D33^2+N33*D33+O33))</f>
        <v>0</v>
      </c>
      <c r="D33">
        <f>polymer_tank_vol</f>
        <v>0</v>
      </c>
      <c r="E33" t="s">
        <v>2387</v>
      </c>
      <c r="F33">
        <f t="shared" si="8"/>
        <v>0</v>
      </c>
      <c r="G33">
        <f t="shared" si="8"/>
        <v>0</v>
      </c>
      <c r="H33">
        <f t="shared" si="8"/>
        <v>0</v>
      </c>
      <c r="I33">
        <f t="shared" si="8"/>
        <v>0</v>
      </c>
      <c r="J33">
        <f t="shared" si="8"/>
        <v>0</v>
      </c>
      <c r="K33">
        <f t="shared" si="8"/>
        <v>0</v>
      </c>
      <c r="L33">
        <f t="shared" si="8"/>
        <v>0</v>
      </c>
      <c r="M33">
        <f t="shared" si="8"/>
        <v>-2.3101000000000001E-5</v>
      </c>
      <c r="N33">
        <f t="shared" si="8"/>
        <v>1.7413752899999999</v>
      </c>
      <c r="O33">
        <f t="shared" si="8"/>
        <v>4585.4835849519995</v>
      </c>
      <c r="P33">
        <f t="shared" si="8"/>
        <v>30001</v>
      </c>
      <c r="Q33">
        <f t="shared" si="8"/>
        <v>0</v>
      </c>
    </row>
    <row r="34" spans="1:17">
      <c r="A34" s="8" t="s">
        <v>18</v>
      </c>
      <c r="B34" s="5" t="s">
        <v>3352</v>
      </c>
      <c r="C34" s="45">
        <f>IF(D34=0,0,IF(OR(D34&gt;P34,D34&lt;Q34),"contact vendor",F34*D34^G34+H34*LN(D34)+I34+J34*EXP(K34*D34)+L34*D34^3+M34*D34^2+N34*D34+O34))</f>
        <v>0</v>
      </c>
      <c r="D34">
        <f>polymer_tank_vol</f>
        <v>0</v>
      </c>
      <c r="E34" s="5" t="s">
        <v>3353</v>
      </c>
      <c r="F34">
        <f t="shared" si="8"/>
        <v>0</v>
      </c>
      <c r="G34">
        <f t="shared" si="8"/>
        <v>0</v>
      </c>
      <c r="H34">
        <f t="shared" si="8"/>
        <v>0</v>
      </c>
      <c r="I34">
        <f t="shared" si="8"/>
        <v>0</v>
      </c>
      <c r="J34">
        <f t="shared" si="8"/>
        <v>0</v>
      </c>
      <c r="K34">
        <f t="shared" si="8"/>
        <v>0</v>
      </c>
      <c r="L34">
        <f t="shared" si="8"/>
        <v>0</v>
      </c>
      <c r="M34">
        <f t="shared" si="8"/>
        <v>-8.3860000000000007E-6</v>
      </c>
      <c r="N34">
        <f t="shared" si="8"/>
        <v>2.8629391329999998</v>
      </c>
      <c r="O34">
        <f t="shared" si="8"/>
        <v>4567.3541617090004</v>
      </c>
      <c r="P34">
        <f t="shared" si="8"/>
        <v>30001</v>
      </c>
      <c r="Q34">
        <f t="shared" si="8"/>
        <v>0</v>
      </c>
    </row>
    <row r="35" spans="1:17">
      <c r="A35" s="19" t="s">
        <v>2623</v>
      </c>
    </row>
    <row r="36" spans="1:17">
      <c r="A36" s="16" t="s">
        <v>2624</v>
      </c>
    </row>
    <row r="37" spans="1:17">
      <c r="A37" s="5" t="s">
        <v>2346</v>
      </c>
      <c r="B37" t="s">
        <v>1678</v>
      </c>
      <c r="C37" s="45">
        <f t="shared" ref="C37:C41" si="9">IF(D37=0,0,IF(OR(D37&gt;P37,D37&lt;Q37),"contact vendor",F37*D37^G37+H37*LN(D37)+I37+J37*EXP(K37*D37)+L37*D37^3+M37*D37^2+N37*D37+O37))</f>
        <v>43.882418579000003</v>
      </c>
      <c r="D37">
        <f>proc_pipe_diam</f>
        <v>6</v>
      </c>
      <c r="E37" t="s">
        <v>640</v>
      </c>
      <c r="F37">
        <f t="shared" ref="F37:Q41" si="10">VLOOKUP($E37,eq_table_cl,F$4,FALSE)</f>
        <v>0</v>
      </c>
      <c r="G37">
        <f t="shared" si="10"/>
        <v>0</v>
      </c>
      <c r="H37">
        <f t="shared" si="10"/>
        <v>0</v>
      </c>
      <c r="I37">
        <f t="shared" si="10"/>
        <v>0</v>
      </c>
      <c r="J37">
        <f t="shared" si="10"/>
        <v>0</v>
      </c>
      <c r="K37">
        <f t="shared" si="10"/>
        <v>0</v>
      </c>
      <c r="L37">
        <f t="shared" si="10"/>
        <v>0</v>
      </c>
      <c r="M37">
        <f t="shared" si="10"/>
        <v>9.4775899999999996E-2</v>
      </c>
      <c r="N37">
        <f t="shared" si="10"/>
        <v>4.7903279550000004</v>
      </c>
      <c r="O37">
        <f t="shared" si="10"/>
        <v>11.728518448999999</v>
      </c>
      <c r="P37">
        <f t="shared" si="10"/>
        <v>48.1</v>
      </c>
      <c r="Q37">
        <f t="shared" si="10"/>
        <v>4</v>
      </c>
    </row>
    <row r="38" spans="1:17">
      <c r="A38" s="5" t="s">
        <v>2627</v>
      </c>
      <c r="B38" t="s">
        <v>1679</v>
      </c>
      <c r="C38" s="45">
        <f t="shared" si="9"/>
        <v>40.646131743000005</v>
      </c>
      <c r="D38">
        <f>proc_pipe_diam</f>
        <v>6</v>
      </c>
      <c r="E38" t="s">
        <v>641</v>
      </c>
      <c r="F38">
        <f t="shared" si="10"/>
        <v>0</v>
      </c>
      <c r="G38">
        <f t="shared" si="10"/>
        <v>0</v>
      </c>
      <c r="H38">
        <f t="shared" si="10"/>
        <v>0</v>
      </c>
      <c r="I38">
        <f t="shared" si="10"/>
        <v>0</v>
      </c>
      <c r="J38">
        <f t="shared" si="10"/>
        <v>0</v>
      </c>
      <c r="K38">
        <f t="shared" si="10"/>
        <v>0</v>
      </c>
      <c r="L38">
        <f t="shared" si="10"/>
        <v>9.2529199999999995E-3</v>
      </c>
      <c r="M38">
        <f t="shared" si="10"/>
        <v>0.54323701800000002</v>
      </c>
      <c r="N38">
        <f t="shared" si="10"/>
        <v>3.0243661820000001</v>
      </c>
      <c r="O38">
        <f t="shared" si="10"/>
        <v>0.94477128300000002</v>
      </c>
      <c r="P38">
        <f t="shared" si="10"/>
        <v>18.100000000000001</v>
      </c>
      <c r="Q38">
        <f t="shared" si="10"/>
        <v>0</v>
      </c>
    </row>
    <row r="39" spans="1:17">
      <c r="A39" s="8" t="s">
        <v>2628</v>
      </c>
      <c r="B39" t="s">
        <v>1680</v>
      </c>
      <c r="C39" s="45">
        <f t="shared" si="9"/>
        <v>7.3073758130000002</v>
      </c>
      <c r="D39">
        <f>proc_pipe_diam</f>
        <v>6</v>
      </c>
      <c r="E39" t="s">
        <v>642</v>
      </c>
      <c r="F39">
        <f t="shared" si="10"/>
        <v>0</v>
      </c>
      <c r="G39">
        <f t="shared" si="10"/>
        <v>0</v>
      </c>
      <c r="H39">
        <f t="shared" si="10"/>
        <v>0</v>
      </c>
      <c r="I39">
        <f t="shared" si="10"/>
        <v>0</v>
      </c>
      <c r="J39">
        <f t="shared" si="10"/>
        <v>0</v>
      </c>
      <c r="K39">
        <f t="shared" si="10"/>
        <v>0</v>
      </c>
      <c r="L39">
        <f t="shared" si="10"/>
        <v>0</v>
      </c>
      <c r="M39">
        <f t="shared" si="10"/>
        <v>0.104376414</v>
      </c>
      <c r="N39">
        <f t="shared" si="10"/>
        <v>0.21217371199999999</v>
      </c>
      <c r="O39">
        <f t="shared" si="10"/>
        <v>2.2767826370000002</v>
      </c>
      <c r="P39">
        <f t="shared" si="10"/>
        <v>48.1</v>
      </c>
      <c r="Q39">
        <f t="shared" si="10"/>
        <v>0</v>
      </c>
    </row>
    <row r="40" spans="1:17">
      <c r="A40" s="5" t="s">
        <v>18</v>
      </c>
      <c r="B40" t="s">
        <v>1681</v>
      </c>
      <c r="C40" s="45">
        <f t="shared" si="9"/>
        <v>177.21033949655089</v>
      </c>
      <c r="D40">
        <f>proc_pipe_diam</f>
        <v>6</v>
      </c>
      <c r="E40" t="s">
        <v>643</v>
      </c>
      <c r="F40">
        <f t="shared" si="10"/>
        <v>30.645488513</v>
      </c>
      <c r="G40">
        <f t="shared" si="10"/>
        <v>0.979401509</v>
      </c>
      <c r="H40">
        <f t="shared" si="10"/>
        <v>0</v>
      </c>
      <c r="I40">
        <f t="shared" si="10"/>
        <v>0</v>
      </c>
      <c r="J40">
        <f t="shared" si="10"/>
        <v>0</v>
      </c>
      <c r="K40">
        <f t="shared" si="10"/>
        <v>0</v>
      </c>
      <c r="L40">
        <f t="shared" si="10"/>
        <v>0</v>
      </c>
      <c r="M40">
        <f t="shared" si="10"/>
        <v>0</v>
      </c>
      <c r="N40">
        <f t="shared" si="10"/>
        <v>0</v>
      </c>
      <c r="O40">
        <f t="shared" si="10"/>
        <v>0</v>
      </c>
      <c r="P40">
        <f t="shared" si="10"/>
        <v>48.1</v>
      </c>
      <c r="Q40">
        <f t="shared" si="10"/>
        <v>0</v>
      </c>
    </row>
    <row r="41" spans="1:17">
      <c r="A41" s="5" t="s">
        <v>2629</v>
      </c>
      <c r="B41" t="s">
        <v>1682</v>
      </c>
      <c r="C41" s="45">
        <f t="shared" si="9"/>
        <v>99.694517153000007</v>
      </c>
      <c r="D41">
        <f>proc_pipe_diam</f>
        <v>6</v>
      </c>
      <c r="E41" t="s">
        <v>644</v>
      </c>
      <c r="F41">
        <f t="shared" si="10"/>
        <v>0</v>
      </c>
      <c r="G41">
        <f t="shared" si="10"/>
        <v>0</v>
      </c>
      <c r="H41">
        <f t="shared" si="10"/>
        <v>0</v>
      </c>
      <c r="I41">
        <f t="shared" si="10"/>
        <v>0</v>
      </c>
      <c r="J41">
        <f t="shared" si="10"/>
        <v>0</v>
      </c>
      <c r="K41">
        <f t="shared" si="10"/>
        <v>0</v>
      </c>
      <c r="L41">
        <f t="shared" si="10"/>
        <v>6.6341309999999997E-3</v>
      </c>
      <c r="M41">
        <f t="shared" si="10"/>
        <v>-0.638131479</v>
      </c>
      <c r="N41">
        <f t="shared" si="10"/>
        <v>21.062710183</v>
      </c>
      <c r="O41">
        <f t="shared" si="10"/>
        <v>-5.1419829970000004</v>
      </c>
      <c r="P41">
        <f t="shared" si="10"/>
        <v>48.1</v>
      </c>
      <c r="Q41">
        <f t="shared" si="10"/>
        <v>1</v>
      </c>
    </row>
    <row r="42" spans="1:17">
      <c r="A42" s="16" t="s">
        <v>778</v>
      </c>
    </row>
    <row r="43" spans="1:17">
      <c r="A43" s="5" t="s">
        <v>2627</v>
      </c>
      <c r="B43" t="s">
        <v>2824</v>
      </c>
      <c r="C43" s="45">
        <f t="shared" ref="C43:C46" si="11">IF(D43=0,0,IF(OR(D43&gt;P43,D43&lt;Q43),"contact vendor",F43*D43^G43+H43*LN(D43)+I43+J43*EXP(K43*D43)+L43*D43^3+M43*D43^2+N43*D43+O43))</f>
        <v>40.646131743000005</v>
      </c>
      <c r="D43">
        <f>back_pipe_diam</f>
        <v>6</v>
      </c>
      <c r="E43" t="s">
        <v>641</v>
      </c>
      <c r="F43">
        <f t="shared" ref="F43:Q46" si="12">VLOOKUP($E43,eq_table_cl,F$4,FALSE)</f>
        <v>0</v>
      </c>
      <c r="G43">
        <f t="shared" si="12"/>
        <v>0</v>
      </c>
      <c r="H43">
        <f t="shared" si="12"/>
        <v>0</v>
      </c>
      <c r="I43">
        <f t="shared" si="12"/>
        <v>0</v>
      </c>
      <c r="J43">
        <f t="shared" si="12"/>
        <v>0</v>
      </c>
      <c r="K43">
        <f t="shared" si="12"/>
        <v>0</v>
      </c>
      <c r="L43">
        <f t="shared" si="12"/>
        <v>9.2529199999999995E-3</v>
      </c>
      <c r="M43">
        <f t="shared" si="12"/>
        <v>0.54323701800000002</v>
      </c>
      <c r="N43">
        <f t="shared" si="12"/>
        <v>3.0243661820000001</v>
      </c>
      <c r="O43">
        <f t="shared" si="12"/>
        <v>0.94477128300000002</v>
      </c>
      <c r="P43">
        <f t="shared" si="12"/>
        <v>18.100000000000001</v>
      </c>
      <c r="Q43">
        <f t="shared" si="12"/>
        <v>0</v>
      </c>
    </row>
    <row r="44" spans="1:17">
      <c r="A44" s="8" t="s">
        <v>2628</v>
      </c>
      <c r="B44" t="s">
        <v>2825</v>
      </c>
      <c r="C44" s="45">
        <f t="shared" si="11"/>
        <v>7.3073758130000002</v>
      </c>
      <c r="D44">
        <f>back_pipe_diam</f>
        <v>6</v>
      </c>
      <c r="E44" t="s">
        <v>642</v>
      </c>
      <c r="F44">
        <f t="shared" si="12"/>
        <v>0</v>
      </c>
      <c r="G44">
        <f t="shared" si="12"/>
        <v>0</v>
      </c>
      <c r="H44">
        <f t="shared" si="12"/>
        <v>0</v>
      </c>
      <c r="I44">
        <f t="shared" si="12"/>
        <v>0</v>
      </c>
      <c r="J44">
        <f t="shared" si="12"/>
        <v>0</v>
      </c>
      <c r="K44">
        <f t="shared" si="12"/>
        <v>0</v>
      </c>
      <c r="L44">
        <f t="shared" si="12"/>
        <v>0</v>
      </c>
      <c r="M44">
        <f t="shared" si="12"/>
        <v>0.104376414</v>
      </c>
      <c r="N44">
        <f t="shared" si="12"/>
        <v>0.21217371199999999</v>
      </c>
      <c r="O44">
        <f t="shared" si="12"/>
        <v>2.2767826370000002</v>
      </c>
      <c r="P44">
        <f t="shared" si="12"/>
        <v>48.1</v>
      </c>
      <c r="Q44">
        <f t="shared" si="12"/>
        <v>0</v>
      </c>
    </row>
    <row r="45" spans="1:17">
      <c r="A45" s="5" t="s">
        <v>18</v>
      </c>
      <c r="B45" t="s">
        <v>2826</v>
      </c>
      <c r="C45" s="45">
        <f t="shared" si="11"/>
        <v>177.21033949655089</v>
      </c>
      <c r="D45">
        <f>back_pipe_diam</f>
        <v>6</v>
      </c>
      <c r="E45" t="s">
        <v>643</v>
      </c>
      <c r="F45">
        <f t="shared" si="12"/>
        <v>30.645488513</v>
      </c>
      <c r="G45">
        <f t="shared" si="12"/>
        <v>0.979401509</v>
      </c>
      <c r="H45">
        <f t="shared" si="12"/>
        <v>0</v>
      </c>
      <c r="I45">
        <f t="shared" si="12"/>
        <v>0</v>
      </c>
      <c r="J45">
        <f t="shared" si="12"/>
        <v>0</v>
      </c>
      <c r="K45">
        <f t="shared" si="12"/>
        <v>0</v>
      </c>
      <c r="L45">
        <f t="shared" si="12"/>
        <v>0</v>
      </c>
      <c r="M45">
        <f t="shared" si="12"/>
        <v>0</v>
      </c>
      <c r="N45">
        <f t="shared" si="12"/>
        <v>0</v>
      </c>
      <c r="O45">
        <f t="shared" si="12"/>
        <v>0</v>
      </c>
      <c r="P45">
        <f t="shared" si="12"/>
        <v>48.1</v>
      </c>
      <c r="Q45">
        <f t="shared" si="12"/>
        <v>0</v>
      </c>
    </row>
    <row r="46" spans="1:17">
      <c r="A46" s="5" t="s">
        <v>2629</v>
      </c>
      <c r="B46" t="s">
        <v>2827</v>
      </c>
      <c r="C46" s="45">
        <f t="shared" si="11"/>
        <v>99.694517153000007</v>
      </c>
      <c r="D46">
        <f>back_pipe_diam</f>
        <v>6</v>
      </c>
      <c r="E46" t="s">
        <v>644</v>
      </c>
      <c r="F46">
        <f t="shared" si="12"/>
        <v>0</v>
      </c>
      <c r="G46">
        <f t="shared" si="12"/>
        <v>0</v>
      </c>
      <c r="H46">
        <f t="shared" si="12"/>
        <v>0</v>
      </c>
      <c r="I46">
        <f t="shared" si="12"/>
        <v>0</v>
      </c>
      <c r="J46">
        <f t="shared" si="12"/>
        <v>0</v>
      </c>
      <c r="K46">
        <f t="shared" si="12"/>
        <v>0</v>
      </c>
      <c r="L46">
        <f t="shared" si="12"/>
        <v>6.6341309999999997E-3</v>
      </c>
      <c r="M46">
        <f t="shared" si="12"/>
        <v>-0.638131479</v>
      </c>
      <c r="N46">
        <f t="shared" si="12"/>
        <v>21.062710183</v>
      </c>
      <c r="O46">
        <f t="shared" si="12"/>
        <v>-5.1419829970000004</v>
      </c>
      <c r="P46">
        <f t="shared" si="12"/>
        <v>48.1</v>
      </c>
      <c r="Q46">
        <f t="shared" si="12"/>
        <v>1</v>
      </c>
    </row>
    <row r="47" spans="1:17">
      <c r="A47" s="16" t="s">
        <v>2343</v>
      </c>
    </row>
    <row r="48" spans="1:17">
      <c r="A48" s="5" t="s">
        <v>2346</v>
      </c>
      <c r="B48" t="s">
        <v>1764</v>
      </c>
      <c r="C48" s="45">
        <f t="shared" ref="C48:C52" si="13">IF(D48=0,0,IF(OR(D48&gt;P48,D48&lt;Q48),"contact vendor",F48*D48^G48+H48*LN(D48)+I48+J48*EXP(K48*D48)+L48*D48^3+M48*D48^2+N48*D48+O48))</f>
        <v>43.882418579000003</v>
      </c>
      <c r="D48">
        <f>in_out_pipe_diam</f>
        <v>6</v>
      </c>
      <c r="E48" t="s">
        <v>640</v>
      </c>
      <c r="F48">
        <f t="shared" ref="F48:Q52" si="14">VLOOKUP($E48,eq_table_cl,F$4,FALSE)</f>
        <v>0</v>
      </c>
      <c r="G48">
        <f t="shared" si="14"/>
        <v>0</v>
      </c>
      <c r="H48">
        <f t="shared" si="14"/>
        <v>0</v>
      </c>
      <c r="I48">
        <f t="shared" si="14"/>
        <v>0</v>
      </c>
      <c r="J48">
        <f t="shared" si="14"/>
        <v>0</v>
      </c>
      <c r="K48">
        <f t="shared" si="14"/>
        <v>0</v>
      </c>
      <c r="L48">
        <f t="shared" si="14"/>
        <v>0</v>
      </c>
      <c r="M48">
        <f t="shared" si="14"/>
        <v>9.4775899999999996E-2</v>
      </c>
      <c r="N48">
        <f t="shared" si="14"/>
        <v>4.7903279550000004</v>
      </c>
      <c r="O48">
        <f t="shared" si="14"/>
        <v>11.728518448999999</v>
      </c>
      <c r="P48">
        <f t="shared" si="14"/>
        <v>48.1</v>
      </c>
      <c r="Q48">
        <f t="shared" si="14"/>
        <v>4</v>
      </c>
    </row>
    <row r="49" spans="1:17">
      <c r="A49" s="5" t="s">
        <v>2627</v>
      </c>
      <c r="B49" t="s">
        <v>1760</v>
      </c>
      <c r="C49" s="45">
        <f t="shared" si="13"/>
        <v>40.646131743000005</v>
      </c>
      <c r="D49">
        <f>in_out_pipe_diam</f>
        <v>6</v>
      </c>
      <c r="E49" t="s">
        <v>641</v>
      </c>
      <c r="F49">
        <f t="shared" si="14"/>
        <v>0</v>
      </c>
      <c r="G49">
        <f t="shared" si="14"/>
        <v>0</v>
      </c>
      <c r="H49">
        <f t="shared" si="14"/>
        <v>0</v>
      </c>
      <c r="I49">
        <f t="shared" si="14"/>
        <v>0</v>
      </c>
      <c r="J49">
        <f t="shared" si="14"/>
        <v>0</v>
      </c>
      <c r="K49">
        <f t="shared" si="14"/>
        <v>0</v>
      </c>
      <c r="L49">
        <f t="shared" si="14"/>
        <v>9.2529199999999995E-3</v>
      </c>
      <c r="M49">
        <f t="shared" si="14"/>
        <v>0.54323701800000002</v>
      </c>
      <c r="N49">
        <f t="shared" si="14"/>
        <v>3.0243661820000001</v>
      </c>
      <c r="O49">
        <f t="shared" si="14"/>
        <v>0.94477128300000002</v>
      </c>
      <c r="P49">
        <f t="shared" si="14"/>
        <v>18.100000000000001</v>
      </c>
      <c r="Q49">
        <f t="shared" si="14"/>
        <v>0</v>
      </c>
    </row>
    <row r="50" spans="1:17">
      <c r="A50" s="8" t="s">
        <v>2628</v>
      </c>
      <c r="B50" t="s">
        <v>1761</v>
      </c>
      <c r="C50" s="45">
        <f t="shared" si="13"/>
        <v>7.3073758130000002</v>
      </c>
      <c r="D50">
        <f>in_out_pipe_diam</f>
        <v>6</v>
      </c>
      <c r="E50" t="s">
        <v>642</v>
      </c>
      <c r="F50">
        <f t="shared" si="14"/>
        <v>0</v>
      </c>
      <c r="G50">
        <f t="shared" si="14"/>
        <v>0</v>
      </c>
      <c r="H50">
        <f t="shared" si="14"/>
        <v>0</v>
      </c>
      <c r="I50">
        <f t="shared" si="14"/>
        <v>0</v>
      </c>
      <c r="J50">
        <f t="shared" si="14"/>
        <v>0</v>
      </c>
      <c r="K50">
        <f t="shared" si="14"/>
        <v>0</v>
      </c>
      <c r="L50">
        <f t="shared" si="14"/>
        <v>0</v>
      </c>
      <c r="M50">
        <f t="shared" si="14"/>
        <v>0.104376414</v>
      </c>
      <c r="N50">
        <f t="shared" si="14"/>
        <v>0.21217371199999999</v>
      </c>
      <c r="O50">
        <f t="shared" si="14"/>
        <v>2.2767826370000002</v>
      </c>
      <c r="P50">
        <f t="shared" si="14"/>
        <v>48.1</v>
      </c>
      <c r="Q50">
        <f t="shared" si="14"/>
        <v>0</v>
      </c>
    </row>
    <row r="51" spans="1:17">
      <c r="A51" s="5" t="s">
        <v>18</v>
      </c>
      <c r="B51" t="s">
        <v>1762</v>
      </c>
      <c r="C51" s="45">
        <f t="shared" si="13"/>
        <v>177.21033949655089</v>
      </c>
      <c r="D51">
        <f>in_out_pipe_diam</f>
        <v>6</v>
      </c>
      <c r="E51" t="s">
        <v>643</v>
      </c>
      <c r="F51">
        <f t="shared" si="14"/>
        <v>30.645488513</v>
      </c>
      <c r="G51">
        <f t="shared" si="14"/>
        <v>0.979401509</v>
      </c>
      <c r="H51">
        <f t="shared" si="14"/>
        <v>0</v>
      </c>
      <c r="I51">
        <f t="shared" si="14"/>
        <v>0</v>
      </c>
      <c r="J51">
        <f t="shared" si="14"/>
        <v>0</v>
      </c>
      <c r="K51">
        <f t="shared" si="14"/>
        <v>0</v>
      </c>
      <c r="L51">
        <f t="shared" si="14"/>
        <v>0</v>
      </c>
      <c r="M51">
        <f t="shared" si="14"/>
        <v>0</v>
      </c>
      <c r="N51">
        <f t="shared" si="14"/>
        <v>0</v>
      </c>
      <c r="O51">
        <f t="shared" si="14"/>
        <v>0</v>
      </c>
      <c r="P51">
        <f t="shared" si="14"/>
        <v>48.1</v>
      </c>
      <c r="Q51">
        <f t="shared" si="14"/>
        <v>0</v>
      </c>
    </row>
    <row r="52" spans="1:17">
      <c r="A52" s="5" t="s">
        <v>2629</v>
      </c>
      <c r="B52" t="s">
        <v>1763</v>
      </c>
      <c r="C52" s="45">
        <f t="shared" si="13"/>
        <v>99.694517153000007</v>
      </c>
      <c r="D52">
        <f>in_out_pipe_diam</f>
        <v>6</v>
      </c>
      <c r="E52" t="s">
        <v>644</v>
      </c>
      <c r="F52">
        <f t="shared" si="14"/>
        <v>0</v>
      </c>
      <c r="G52">
        <f t="shared" si="14"/>
        <v>0</v>
      </c>
      <c r="H52">
        <f t="shared" si="14"/>
        <v>0</v>
      </c>
      <c r="I52">
        <f t="shared" si="14"/>
        <v>0</v>
      </c>
      <c r="J52">
        <f t="shared" si="14"/>
        <v>0</v>
      </c>
      <c r="K52">
        <f t="shared" si="14"/>
        <v>0</v>
      </c>
      <c r="L52">
        <f t="shared" si="14"/>
        <v>6.6341309999999997E-3</v>
      </c>
      <c r="M52">
        <f t="shared" si="14"/>
        <v>-0.638131479</v>
      </c>
      <c r="N52">
        <f t="shared" si="14"/>
        <v>21.062710183</v>
      </c>
      <c r="O52">
        <f t="shared" si="14"/>
        <v>-5.1419829970000004</v>
      </c>
      <c r="P52">
        <f t="shared" si="14"/>
        <v>48.1</v>
      </c>
      <c r="Q52">
        <f t="shared" si="14"/>
        <v>1</v>
      </c>
    </row>
    <row r="53" spans="1:17">
      <c r="A53" s="97" t="s">
        <v>420</v>
      </c>
    </row>
    <row r="54" spans="1:17">
      <c r="A54" s="98" t="s">
        <v>2627</v>
      </c>
      <c r="B54" t="s">
        <v>421</v>
      </c>
      <c r="C54" s="45">
        <f t="shared" ref="C54:C57" si="15">IF(D54=0,0,IF(OR(D54&gt;P54,D54&lt;Q54),"contact vendor",F54*D54^G54+H54*LN(D54)+I54+J54*EXP(K54*D54)+L54*D54^3+M54*D54^2+N54*D54+O54))</f>
        <v>40.646131743000005</v>
      </c>
      <c r="D54">
        <f>res_pipe_diam</f>
        <v>6</v>
      </c>
      <c r="E54" t="s">
        <v>641</v>
      </c>
      <c r="F54">
        <f t="shared" ref="F54:Q57" si="16">VLOOKUP($E54,eq_table_cl,F$4,FALSE)</f>
        <v>0</v>
      </c>
      <c r="G54">
        <f t="shared" si="16"/>
        <v>0</v>
      </c>
      <c r="H54">
        <f t="shared" si="16"/>
        <v>0</v>
      </c>
      <c r="I54">
        <f t="shared" si="16"/>
        <v>0</v>
      </c>
      <c r="J54">
        <f t="shared" si="16"/>
        <v>0</v>
      </c>
      <c r="K54">
        <f t="shared" si="16"/>
        <v>0</v>
      </c>
      <c r="L54">
        <f t="shared" si="16"/>
        <v>9.2529199999999995E-3</v>
      </c>
      <c r="M54">
        <f t="shared" si="16"/>
        <v>0.54323701800000002</v>
      </c>
      <c r="N54">
        <f t="shared" si="16"/>
        <v>3.0243661820000001</v>
      </c>
      <c r="O54">
        <f t="shared" si="16"/>
        <v>0.94477128300000002</v>
      </c>
      <c r="P54">
        <f t="shared" si="16"/>
        <v>18.100000000000001</v>
      </c>
      <c r="Q54">
        <f t="shared" si="16"/>
        <v>0</v>
      </c>
    </row>
    <row r="55" spans="1:17">
      <c r="A55" s="98" t="s">
        <v>2628</v>
      </c>
      <c r="B55" t="s">
        <v>422</v>
      </c>
      <c r="C55" s="45">
        <f t="shared" si="15"/>
        <v>7.3073758130000002</v>
      </c>
      <c r="D55">
        <f>res_pipe_diam</f>
        <v>6</v>
      </c>
      <c r="E55" t="s">
        <v>642</v>
      </c>
      <c r="F55">
        <f t="shared" si="16"/>
        <v>0</v>
      </c>
      <c r="G55">
        <f t="shared" si="16"/>
        <v>0</v>
      </c>
      <c r="H55">
        <f t="shared" si="16"/>
        <v>0</v>
      </c>
      <c r="I55">
        <f t="shared" si="16"/>
        <v>0</v>
      </c>
      <c r="J55">
        <f t="shared" si="16"/>
        <v>0</v>
      </c>
      <c r="K55">
        <f t="shared" si="16"/>
        <v>0</v>
      </c>
      <c r="L55">
        <f t="shared" si="16"/>
        <v>0</v>
      </c>
      <c r="M55">
        <f t="shared" si="16"/>
        <v>0.104376414</v>
      </c>
      <c r="N55">
        <f t="shared" si="16"/>
        <v>0.21217371199999999</v>
      </c>
      <c r="O55">
        <f t="shared" si="16"/>
        <v>2.2767826370000002</v>
      </c>
      <c r="P55">
        <f t="shared" si="16"/>
        <v>48.1</v>
      </c>
      <c r="Q55">
        <f t="shared" si="16"/>
        <v>0</v>
      </c>
    </row>
    <row r="56" spans="1:17">
      <c r="A56" s="98" t="s">
        <v>18</v>
      </c>
      <c r="B56" t="s">
        <v>423</v>
      </c>
      <c r="C56" s="45">
        <f t="shared" si="15"/>
        <v>177.21033949655089</v>
      </c>
      <c r="D56">
        <f>res_pipe_diam</f>
        <v>6</v>
      </c>
      <c r="E56" t="s">
        <v>643</v>
      </c>
      <c r="F56">
        <f t="shared" si="16"/>
        <v>30.645488513</v>
      </c>
      <c r="G56">
        <f t="shared" si="16"/>
        <v>0.979401509</v>
      </c>
      <c r="H56">
        <f t="shared" si="16"/>
        <v>0</v>
      </c>
      <c r="I56">
        <f t="shared" si="16"/>
        <v>0</v>
      </c>
      <c r="J56">
        <f t="shared" si="16"/>
        <v>0</v>
      </c>
      <c r="K56">
        <f t="shared" si="16"/>
        <v>0</v>
      </c>
      <c r="L56">
        <f t="shared" si="16"/>
        <v>0</v>
      </c>
      <c r="M56">
        <f t="shared" si="16"/>
        <v>0</v>
      </c>
      <c r="N56">
        <f t="shared" si="16"/>
        <v>0</v>
      </c>
      <c r="O56">
        <f t="shared" si="16"/>
        <v>0</v>
      </c>
      <c r="P56">
        <f t="shared" si="16"/>
        <v>48.1</v>
      </c>
      <c r="Q56">
        <f t="shared" si="16"/>
        <v>0</v>
      </c>
    </row>
    <row r="57" spans="1:17">
      <c r="A57" s="98" t="s">
        <v>2629</v>
      </c>
      <c r="B57" t="s">
        <v>424</v>
      </c>
      <c r="C57" s="45">
        <f t="shared" si="15"/>
        <v>99.694517153000007</v>
      </c>
      <c r="D57">
        <f>res_pipe_diam</f>
        <v>6</v>
      </c>
      <c r="E57" t="s">
        <v>644</v>
      </c>
      <c r="F57">
        <f t="shared" si="16"/>
        <v>0</v>
      </c>
      <c r="G57">
        <f t="shared" si="16"/>
        <v>0</v>
      </c>
      <c r="H57">
        <f t="shared" si="16"/>
        <v>0</v>
      </c>
      <c r="I57">
        <f t="shared" si="16"/>
        <v>0</v>
      </c>
      <c r="J57">
        <f t="shared" si="16"/>
        <v>0</v>
      </c>
      <c r="K57">
        <f t="shared" si="16"/>
        <v>0</v>
      </c>
      <c r="L57">
        <f t="shared" si="16"/>
        <v>6.6341309999999997E-3</v>
      </c>
      <c r="M57">
        <f t="shared" si="16"/>
        <v>-0.638131479</v>
      </c>
      <c r="N57">
        <f t="shared" si="16"/>
        <v>21.062710183</v>
      </c>
      <c r="O57">
        <f t="shared" si="16"/>
        <v>-5.1419829970000004</v>
      </c>
      <c r="P57">
        <f t="shared" si="16"/>
        <v>48.1</v>
      </c>
      <c r="Q57">
        <f t="shared" si="16"/>
        <v>1</v>
      </c>
    </row>
    <row r="58" spans="1:17">
      <c r="A58" s="16" t="s">
        <v>2388</v>
      </c>
      <c r="B58" s="8"/>
      <c r="C58" s="605"/>
    </row>
    <row r="59" spans="1:17">
      <c r="A59" s="5" t="s">
        <v>2627</v>
      </c>
      <c r="B59" s="5" t="s">
        <v>2389</v>
      </c>
      <c r="C59" s="45">
        <f t="shared" ref="C59:C62" si="17">IF(D59=0,0,IF(OR(D59&gt;P59,D59&lt;Q59),"contact vendor",F59*D59^G59+H59*LN(D59)+I59+J59*EXP(K59*D59)+L59*D59^3+M59*D59^2+N59*D59+O59))</f>
        <v>0</v>
      </c>
      <c r="D59">
        <f>polymer_pipe_diam</f>
        <v>0</v>
      </c>
      <c r="E59" t="s">
        <v>641</v>
      </c>
      <c r="F59">
        <f t="shared" ref="F59:Q62" si="18">VLOOKUP($E59,eq_table_cl,F$4,FALSE)</f>
        <v>0</v>
      </c>
      <c r="G59">
        <f t="shared" si="18"/>
        <v>0</v>
      </c>
      <c r="H59">
        <f t="shared" si="18"/>
        <v>0</v>
      </c>
      <c r="I59">
        <f t="shared" si="18"/>
        <v>0</v>
      </c>
      <c r="J59">
        <f t="shared" si="18"/>
        <v>0</v>
      </c>
      <c r="K59">
        <f t="shared" si="18"/>
        <v>0</v>
      </c>
      <c r="L59">
        <f t="shared" si="18"/>
        <v>9.2529199999999995E-3</v>
      </c>
      <c r="M59">
        <f t="shared" si="18"/>
        <v>0.54323701800000002</v>
      </c>
      <c r="N59">
        <f t="shared" si="18"/>
        <v>3.0243661820000001</v>
      </c>
      <c r="O59">
        <f t="shared" si="18"/>
        <v>0.94477128300000002</v>
      </c>
      <c r="P59">
        <f t="shared" si="18"/>
        <v>18.100000000000001</v>
      </c>
      <c r="Q59">
        <f t="shared" si="18"/>
        <v>0</v>
      </c>
    </row>
    <row r="60" spans="1:17">
      <c r="A60" s="5" t="s">
        <v>2628</v>
      </c>
      <c r="B60" s="5" t="s">
        <v>2390</v>
      </c>
      <c r="C60" s="45">
        <f t="shared" si="17"/>
        <v>0</v>
      </c>
      <c r="D60">
        <f>polymer_pipe_diam</f>
        <v>0</v>
      </c>
      <c r="E60" t="s">
        <v>642</v>
      </c>
      <c r="F60">
        <f t="shared" si="18"/>
        <v>0</v>
      </c>
      <c r="G60">
        <f t="shared" si="18"/>
        <v>0</v>
      </c>
      <c r="H60">
        <f t="shared" si="18"/>
        <v>0</v>
      </c>
      <c r="I60">
        <f t="shared" si="18"/>
        <v>0</v>
      </c>
      <c r="J60">
        <f t="shared" si="18"/>
        <v>0</v>
      </c>
      <c r="K60">
        <f t="shared" si="18"/>
        <v>0</v>
      </c>
      <c r="L60">
        <f t="shared" si="18"/>
        <v>0</v>
      </c>
      <c r="M60">
        <f t="shared" si="18"/>
        <v>0.104376414</v>
      </c>
      <c r="N60">
        <f t="shared" si="18"/>
        <v>0.21217371199999999</v>
      </c>
      <c r="O60">
        <f t="shared" si="18"/>
        <v>2.2767826370000002</v>
      </c>
      <c r="P60">
        <f t="shared" si="18"/>
        <v>48.1</v>
      </c>
      <c r="Q60">
        <f t="shared" si="18"/>
        <v>0</v>
      </c>
    </row>
    <row r="61" spans="1:17">
      <c r="A61" s="5" t="s">
        <v>18</v>
      </c>
      <c r="B61" s="5" t="s">
        <v>2391</v>
      </c>
      <c r="C61" s="45">
        <f t="shared" si="17"/>
        <v>0</v>
      </c>
      <c r="D61">
        <f>polymer_pipe_diam</f>
        <v>0</v>
      </c>
      <c r="E61" t="s">
        <v>643</v>
      </c>
      <c r="F61">
        <f t="shared" si="18"/>
        <v>30.645488513</v>
      </c>
      <c r="G61">
        <f t="shared" si="18"/>
        <v>0.979401509</v>
      </c>
      <c r="H61">
        <f t="shared" si="18"/>
        <v>0</v>
      </c>
      <c r="I61">
        <f t="shared" si="18"/>
        <v>0</v>
      </c>
      <c r="J61">
        <f t="shared" si="18"/>
        <v>0</v>
      </c>
      <c r="K61">
        <f t="shared" si="18"/>
        <v>0</v>
      </c>
      <c r="L61">
        <f t="shared" si="18"/>
        <v>0</v>
      </c>
      <c r="M61">
        <f t="shared" si="18"/>
        <v>0</v>
      </c>
      <c r="N61">
        <f t="shared" si="18"/>
        <v>0</v>
      </c>
      <c r="O61">
        <f t="shared" si="18"/>
        <v>0</v>
      </c>
      <c r="P61">
        <f t="shared" si="18"/>
        <v>48.1</v>
      </c>
      <c r="Q61">
        <f t="shared" si="18"/>
        <v>0</v>
      </c>
    </row>
    <row r="62" spans="1:17">
      <c r="A62" s="5" t="s">
        <v>2629</v>
      </c>
      <c r="B62" s="5" t="s">
        <v>2392</v>
      </c>
      <c r="C62" s="45">
        <f t="shared" si="17"/>
        <v>0</v>
      </c>
      <c r="D62">
        <f>polymer_pipe_diam</f>
        <v>0</v>
      </c>
      <c r="E62" t="s">
        <v>644</v>
      </c>
      <c r="F62">
        <f t="shared" si="18"/>
        <v>0</v>
      </c>
      <c r="G62">
        <f t="shared" si="18"/>
        <v>0</v>
      </c>
      <c r="H62">
        <f t="shared" si="18"/>
        <v>0</v>
      </c>
      <c r="I62">
        <f t="shared" si="18"/>
        <v>0</v>
      </c>
      <c r="J62">
        <f t="shared" si="18"/>
        <v>0</v>
      </c>
      <c r="K62">
        <f t="shared" si="18"/>
        <v>0</v>
      </c>
      <c r="L62">
        <f t="shared" si="18"/>
        <v>6.6341309999999997E-3</v>
      </c>
      <c r="M62">
        <f t="shared" si="18"/>
        <v>-0.638131479</v>
      </c>
      <c r="N62">
        <f t="shared" si="18"/>
        <v>21.062710183</v>
      </c>
      <c r="O62">
        <f t="shared" si="18"/>
        <v>-5.1419829970000004</v>
      </c>
      <c r="P62">
        <f t="shared" si="18"/>
        <v>48.1</v>
      </c>
      <c r="Q62">
        <f t="shared" si="18"/>
        <v>1</v>
      </c>
    </row>
    <row r="63" spans="1:17">
      <c r="A63" s="46" t="s">
        <v>245</v>
      </c>
    </row>
    <row r="64" spans="1:17">
      <c r="A64" s="38" t="s">
        <v>2627</v>
      </c>
      <c r="B64" t="s">
        <v>797</v>
      </c>
      <c r="C64" s="45">
        <f t="shared" ref="C64:C67" si="19">IF(D64=0,0,IF(OR(D64&gt;P64,D64&lt;Q64),"contact vendor",F64*D64^G64+H64*LN(D64)+I64+J64*EXP(K64*D64)+L64*D64^3+M64*D64^2+N64*D64+O64))</f>
        <v>0</v>
      </c>
      <c r="D64">
        <f>bp_pipe_diam</f>
        <v>0</v>
      </c>
      <c r="E64" t="s">
        <v>641</v>
      </c>
      <c r="F64">
        <f t="shared" ref="F64:Q67" si="20">VLOOKUP($E64,eq_table_cl,F$4,FALSE)</f>
        <v>0</v>
      </c>
      <c r="G64">
        <f t="shared" si="20"/>
        <v>0</v>
      </c>
      <c r="H64">
        <f t="shared" si="20"/>
        <v>0</v>
      </c>
      <c r="I64">
        <f t="shared" si="20"/>
        <v>0</v>
      </c>
      <c r="J64">
        <f t="shared" si="20"/>
        <v>0</v>
      </c>
      <c r="K64">
        <f t="shared" si="20"/>
        <v>0</v>
      </c>
      <c r="L64">
        <f t="shared" si="20"/>
        <v>9.2529199999999995E-3</v>
      </c>
      <c r="M64">
        <f t="shared" si="20"/>
        <v>0.54323701800000002</v>
      </c>
      <c r="N64">
        <f t="shared" si="20"/>
        <v>3.0243661820000001</v>
      </c>
      <c r="O64">
        <f t="shared" si="20"/>
        <v>0.94477128300000002</v>
      </c>
      <c r="P64">
        <f t="shared" si="20"/>
        <v>18.100000000000001</v>
      </c>
      <c r="Q64">
        <f t="shared" si="20"/>
        <v>0</v>
      </c>
    </row>
    <row r="65" spans="1:17">
      <c r="A65" s="38" t="s">
        <v>2628</v>
      </c>
      <c r="B65" t="s">
        <v>798</v>
      </c>
      <c r="C65" s="45">
        <f t="shared" si="19"/>
        <v>0</v>
      </c>
      <c r="D65">
        <f>bp_pipe_diam</f>
        <v>0</v>
      </c>
      <c r="E65" t="s">
        <v>642</v>
      </c>
      <c r="F65">
        <f t="shared" si="20"/>
        <v>0</v>
      </c>
      <c r="G65">
        <f t="shared" si="20"/>
        <v>0</v>
      </c>
      <c r="H65">
        <f t="shared" si="20"/>
        <v>0</v>
      </c>
      <c r="I65">
        <f t="shared" si="20"/>
        <v>0</v>
      </c>
      <c r="J65">
        <f t="shared" si="20"/>
        <v>0</v>
      </c>
      <c r="K65">
        <f t="shared" si="20"/>
        <v>0</v>
      </c>
      <c r="L65">
        <f t="shared" si="20"/>
        <v>0</v>
      </c>
      <c r="M65">
        <f t="shared" si="20"/>
        <v>0.104376414</v>
      </c>
      <c r="N65">
        <f t="shared" si="20"/>
        <v>0.21217371199999999</v>
      </c>
      <c r="O65">
        <f t="shared" si="20"/>
        <v>2.2767826370000002</v>
      </c>
      <c r="P65">
        <f t="shared" si="20"/>
        <v>48.1</v>
      </c>
      <c r="Q65">
        <f t="shared" si="20"/>
        <v>0</v>
      </c>
    </row>
    <row r="66" spans="1:17">
      <c r="A66" s="38" t="s">
        <v>18</v>
      </c>
      <c r="B66" t="s">
        <v>799</v>
      </c>
      <c r="C66" s="45">
        <f t="shared" si="19"/>
        <v>0</v>
      </c>
      <c r="D66">
        <f>bp_pipe_diam</f>
        <v>0</v>
      </c>
      <c r="E66" t="s">
        <v>643</v>
      </c>
      <c r="F66">
        <f t="shared" si="20"/>
        <v>30.645488513</v>
      </c>
      <c r="G66">
        <f t="shared" si="20"/>
        <v>0.979401509</v>
      </c>
      <c r="H66">
        <f t="shared" si="20"/>
        <v>0</v>
      </c>
      <c r="I66">
        <f t="shared" si="20"/>
        <v>0</v>
      </c>
      <c r="J66">
        <f t="shared" si="20"/>
        <v>0</v>
      </c>
      <c r="K66">
        <f t="shared" si="20"/>
        <v>0</v>
      </c>
      <c r="L66">
        <f t="shared" si="20"/>
        <v>0</v>
      </c>
      <c r="M66">
        <f t="shared" si="20"/>
        <v>0</v>
      </c>
      <c r="N66">
        <f t="shared" si="20"/>
        <v>0</v>
      </c>
      <c r="O66">
        <f t="shared" si="20"/>
        <v>0</v>
      </c>
      <c r="P66">
        <f t="shared" si="20"/>
        <v>48.1</v>
      </c>
      <c r="Q66">
        <f t="shared" si="20"/>
        <v>0</v>
      </c>
    </row>
    <row r="67" spans="1:17">
      <c r="A67" s="38" t="s">
        <v>2629</v>
      </c>
      <c r="B67" t="s">
        <v>800</v>
      </c>
      <c r="C67" s="45">
        <f t="shared" si="19"/>
        <v>0</v>
      </c>
      <c r="D67">
        <f>bp_pipe_diam</f>
        <v>0</v>
      </c>
      <c r="E67" t="s">
        <v>644</v>
      </c>
      <c r="F67">
        <f t="shared" si="20"/>
        <v>0</v>
      </c>
      <c r="G67">
        <f t="shared" si="20"/>
        <v>0</v>
      </c>
      <c r="H67">
        <f t="shared" si="20"/>
        <v>0</v>
      </c>
      <c r="I67">
        <f t="shared" si="20"/>
        <v>0</v>
      </c>
      <c r="J67">
        <f t="shared" si="20"/>
        <v>0</v>
      </c>
      <c r="K67">
        <f t="shared" si="20"/>
        <v>0</v>
      </c>
      <c r="L67">
        <f t="shared" si="20"/>
        <v>6.6341309999999997E-3</v>
      </c>
      <c r="M67">
        <f t="shared" si="20"/>
        <v>-0.638131479</v>
      </c>
      <c r="N67">
        <f t="shared" si="20"/>
        <v>21.062710183</v>
      </c>
      <c r="O67">
        <f t="shared" si="20"/>
        <v>-5.1419829970000004</v>
      </c>
      <c r="P67">
        <f t="shared" si="20"/>
        <v>48.1</v>
      </c>
      <c r="Q67">
        <f t="shared" si="20"/>
        <v>1</v>
      </c>
    </row>
    <row r="68" spans="1:17">
      <c r="A68" s="19" t="s">
        <v>2548</v>
      </c>
    </row>
    <row r="69" spans="1:17">
      <c r="A69" s="16" t="s">
        <v>1641</v>
      </c>
    </row>
    <row r="70" spans="1:17">
      <c r="A70" s="8" t="s">
        <v>1827</v>
      </c>
      <c r="B70" t="s">
        <v>2830</v>
      </c>
      <c r="C70" s="45">
        <f t="shared" ref="C70:C84" si="21">IF(D70=0,0,IF(OR(D70&gt;P70,D70&lt;Q70),"contact vendor",F70*D70^G70+H70*LN(D70)+I70+J70*EXP(K70*D70)+L70*D70^3+M70*D70^2+N70*D70+O70))</f>
        <v>1573.9849448805173</v>
      </c>
      <c r="D70">
        <f>tank_valve_size</f>
        <v>6</v>
      </c>
      <c r="E70" t="str">
        <f>IF(D70&gt;12,"pp_mov_eq_large","pp_mov_eq_small")</f>
        <v>pp_mov_eq_small</v>
      </c>
      <c r="F70">
        <f t="shared" ref="F70:Q84" si="22">VLOOKUP($E70,eq_table_cl,F$4,FALSE)</f>
        <v>0</v>
      </c>
      <c r="G70">
        <f t="shared" si="22"/>
        <v>0</v>
      </c>
      <c r="H70">
        <f t="shared" si="22"/>
        <v>0</v>
      </c>
      <c r="I70">
        <f t="shared" si="22"/>
        <v>0</v>
      </c>
      <c r="J70">
        <f t="shared" si="22"/>
        <v>439.38534717800002</v>
      </c>
      <c r="K70">
        <f t="shared" si="22"/>
        <v>0.21266484199999999</v>
      </c>
      <c r="L70">
        <f t="shared" si="22"/>
        <v>0</v>
      </c>
      <c r="M70">
        <f t="shared" si="22"/>
        <v>0</v>
      </c>
      <c r="N70">
        <f t="shared" si="22"/>
        <v>0</v>
      </c>
      <c r="O70">
        <f t="shared" si="22"/>
        <v>0</v>
      </c>
      <c r="P70">
        <f t="shared" si="22"/>
        <v>12</v>
      </c>
      <c r="Q70">
        <f t="shared" si="22"/>
        <v>0</v>
      </c>
    </row>
    <row r="71" spans="1:17">
      <c r="A71" s="5" t="s">
        <v>767</v>
      </c>
      <c r="B71" t="s">
        <v>2831</v>
      </c>
      <c r="C71" s="45">
        <f t="shared" si="21"/>
        <v>5244.7005183660003</v>
      </c>
      <c r="D71">
        <f>tank_valve_size</f>
        <v>6</v>
      </c>
      <c r="E71" t="s">
        <v>645</v>
      </c>
      <c r="F71">
        <f t="shared" si="22"/>
        <v>0</v>
      </c>
      <c r="G71">
        <f t="shared" si="22"/>
        <v>0</v>
      </c>
      <c r="H71">
        <f t="shared" si="22"/>
        <v>0</v>
      </c>
      <c r="I71">
        <f t="shared" si="22"/>
        <v>0</v>
      </c>
      <c r="J71">
        <f t="shared" si="22"/>
        <v>0</v>
      </c>
      <c r="K71">
        <f t="shared" si="22"/>
        <v>0</v>
      </c>
      <c r="L71">
        <f t="shared" si="22"/>
        <v>0</v>
      </c>
      <c r="M71">
        <f t="shared" si="22"/>
        <v>75.658217563999997</v>
      </c>
      <c r="N71">
        <f t="shared" si="22"/>
        <v>386.97780231600001</v>
      </c>
      <c r="O71">
        <f t="shared" si="22"/>
        <v>199.13787216599999</v>
      </c>
      <c r="P71">
        <f t="shared" si="22"/>
        <v>48.1</v>
      </c>
      <c r="Q71">
        <f t="shared" si="22"/>
        <v>0</v>
      </c>
    </row>
    <row r="72" spans="1:17">
      <c r="A72" s="5" t="s">
        <v>1674</v>
      </c>
      <c r="B72" t="s">
        <v>646</v>
      </c>
      <c r="C72" s="45">
        <f t="shared" si="21"/>
        <v>2439.3193963069998</v>
      </c>
      <c r="D72">
        <f>tank_valve_size</f>
        <v>6</v>
      </c>
      <c r="E72" t="s">
        <v>647</v>
      </c>
      <c r="F72">
        <f t="shared" si="22"/>
        <v>0</v>
      </c>
      <c r="G72">
        <f t="shared" si="22"/>
        <v>0</v>
      </c>
      <c r="H72">
        <f t="shared" si="22"/>
        <v>0</v>
      </c>
      <c r="I72">
        <f t="shared" si="22"/>
        <v>0</v>
      </c>
      <c r="J72">
        <f t="shared" si="22"/>
        <v>0</v>
      </c>
      <c r="K72">
        <f t="shared" si="22"/>
        <v>0</v>
      </c>
      <c r="L72">
        <f t="shared" si="22"/>
        <v>-6.4880836999999997E-2</v>
      </c>
      <c r="M72">
        <f t="shared" si="22"/>
        <v>28.444500948999998</v>
      </c>
      <c r="N72">
        <f t="shared" si="22"/>
        <v>68.996848447999994</v>
      </c>
      <c r="O72">
        <f t="shared" si="22"/>
        <v>1015.350532247</v>
      </c>
      <c r="P72">
        <f t="shared" si="22"/>
        <v>48.1</v>
      </c>
      <c r="Q72">
        <f t="shared" si="22"/>
        <v>1</v>
      </c>
    </row>
    <row r="73" spans="1:17">
      <c r="A73" s="8" t="s">
        <v>1828</v>
      </c>
      <c r="B73" t="s">
        <v>2832</v>
      </c>
      <c r="C73" s="45">
        <f t="shared" si="21"/>
        <v>1573.9849448805173</v>
      </c>
      <c r="D73">
        <f>back_valve_size</f>
        <v>6</v>
      </c>
      <c r="E73" t="str">
        <f>IF(D73&gt;12,"pp_mov_eq_large","pp_mov_eq_small")</f>
        <v>pp_mov_eq_small</v>
      </c>
      <c r="F73">
        <f t="shared" si="22"/>
        <v>0</v>
      </c>
      <c r="G73">
        <f t="shared" si="22"/>
        <v>0</v>
      </c>
      <c r="H73">
        <f t="shared" si="22"/>
        <v>0</v>
      </c>
      <c r="I73">
        <f t="shared" si="22"/>
        <v>0</v>
      </c>
      <c r="J73">
        <f t="shared" si="22"/>
        <v>439.38534717800002</v>
      </c>
      <c r="K73">
        <f t="shared" si="22"/>
        <v>0.21266484199999999</v>
      </c>
      <c r="L73">
        <f t="shared" si="22"/>
        <v>0</v>
      </c>
      <c r="M73">
        <f t="shared" si="22"/>
        <v>0</v>
      </c>
      <c r="N73">
        <f t="shared" si="22"/>
        <v>0</v>
      </c>
      <c r="O73">
        <f t="shared" si="22"/>
        <v>0</v>
      </c>
      <c r="P73">
        <f t="shared" si="22"/>
        <v>12</v>
      </c>
      <c r="Q73">
        <f t="shared" si="22"/>
        <v>0</v>
      </c>
    </row>
    <row r="74" spans="1:17">
      <c r="A74" s="5" t="s">
        <v>768</v>
      </c>
      <c r="B74" t="s">
        <v>2833</v>
      </c>
      <c r="C74" s="45">
        <f t="shared" si="21"/>
        <v>5244.7005183660003</v>
      </c>
      <c r="D74">
        <f>back_valve_size</f>
        <v>6</v>
      </c>
      <c r="E74" t="s">
        <v>645</v>
      </c>
      <c r="F74">
        <f t="shared" si="22"/>
        <v>0</v>
      </c>
      <c r="G74">
        <f t="shared" si="22"/>
        <v>0</v>
      </c>
      <c r="H74">
        <f t="shared" si="22"/>
        <v>0</v>
      </c>
      <c r="I74">
        <f t="shared" si="22"/>
        <v>0</v>
      </c>
      <c r="J74">
        <f t="shared" si="22"/>
        <v>0</v>
      </c>
      <c r="K74">
        <f t="shared" si="22"/>
        <v>0</v>
      </c>
      <c r="L74">
        <f t="shared" si="22"/>
        <v>0</v>
      </c>
      <c r="M74">
        <f t="shared" si="22"/>
        <v>75.658217563999997</v>
      </c>
      <c r="N74">
        <f t="shared" si="22"/>
        <v>386.97780231600001</v>
      </c>
      <c r="O74">
        <f t="shared" si="22"/>
        <v>199.13787216599999</v>
      </c>
      <c r="P74">
        <f t="shared" si="22"/>
        <v>48.1</v>
      </c>
      <c r="Q74">
        <f t="shared" si="22"/>
        <v>0</v>
      </c>
    </row>
    <row r="75" spans="1:17">
      <c r="A75" s="38" t="s">
        <v>1134</v>
      </c>
      <c r="B75" t="s">
        <v>706</v>
      </c>
      <c r="C75" s="45">
        <f t="shared" si="21"/>
        <v>2439.3193963069998</v>
      </c>
      <c r="D75">
        <f>back_valve_size</f>
        <v>6</v>
      </c>
      <c r="E75" t="s">
        <v>647</v>
      </c>
      <c r="F75">
        <f t="shared" si="22"/>
        <v>0</v>
      </c>
      <c r="G75">
        <f t="shared" si="22"/>
        <v>0</v>
      </c>
      <c r="H75">
        <f t="shared" si="22"/>
        <v>0</v>
      </c>
      <c r="I75">
        <f t="shared" si="22"/>
        <v>0</v>
      </c>
      <c r="J75">
        <f t="shared" si="22"/>
        <v>0</v>
      </c>
      <c r="K75">
        <f t="shared" si="22"/>
        <v>0</v>
      </c>
      <c r="L75">
        <f t="shared" si="22"/>
        <v>-6.4880836999999997E-2</v>
      </c>
      <c r="M75">
        <f t="shared" si="22"/>
        <v>28.444500948999998</v>
      </c>
      <c r="N75">
        <f t="shared" si="22"/>
        <v>68.996848447999994</v>
      </c>
      <c r="O75">
        <f t="shared" si="22"/>
        <v>1015.350532247</v>
      </c>
      <c r="P75">
        <f t="shared" si="22"/>
        <v>48.1</v>
      </c>
      <c r="Q75">
        <f t="shared" si="22"/>
        <v>1</v>
      </c>
    </row>
    <row r="76" spans="1:17">
      <c r="A76" s="98" t="s">
        <v>425</v>
      </c>
      <c r="B76" t="s">
        <v>426</v>
      </c>
      <c r="C76" s="45">
        <f t="shared" si="21"/>
        <v>1573.9849448805173</v>
      </c>
      <c r="D76">
        <f>res_valve_size</f>
        <v>6</v>
      </c>
      <c r="E76" t="str">
        <f>IF(D76&gt;12,"pp_mov_eq_large","pp_mov_eq_small")</f>
        <v>pp_mov_eq_small</v>
      </c>
      <c r="F76">
        <f t="shared" si="22"/>
        <v>0</v>
      </c>
      <c r="G76">
        <f t="shared" si="22"/>
        <v>0</v>
      </c>
      <c r="H76">
        <f t="shared" si="22"/>
        <v>0</v>
      </c>
      <c r="I76">
        <f t="shared" si="22"/>
        <v>0</v>
      </c>
      <c r="J76">
        <f t="shared" si="22"/>
        <v>439.38534717800002</v>
      </c>
      <c r="K76">
        <f t="shared" si="22"/>
        <v>0.21266484199999999</v>
      </c>
      <c r="L76">
        <f t="shared" si="22"/>
        <v>0</v>
      </c>
      <c r="M76">
        <f t="shared" si="22"/>
        <v>0</v>
      </c>
      <c r="N76">
        <f t="shared" si="22"/>
        <v>0</v>
      </c>
      <c r="O76">
        <f t="shared" si="22"/>
        <v>0</v>
      </c>
      <c r="P76">
        <f t="shared" si="22"/>
        <v>12</v>
      </c>
      <c r="Q76">
        <f t="shared" si="22"/>
        <v>0</v>
      </c>
    </row>
    <row r="77" spans="1:17">
      <c r="A77" s="98" t="s">
        <v>427</v>
      </c>
      <c r="B77" t="s">
        <v>428</v>
      </c>
      <c r="C77" s="45">
        <f t="shared" si="21"/>
        <v>5244.7005183660003</v>
      </c>
      <c r="D77">
        <f>res_valve_size</f>
        <v>6</v>
      </c>
      <c r="E77" t="s">
        <v>645</v>
      </c>
      <c r="F77">
        <f t="shared" si="22"/>
        <v>0</v>
      </c>
      <c r="G77">
        <f t="shared" si="22"/>
        <v>0</v>
      </c>
      <c r="H77">
        <f t="shared" si="22"/>
        <v>0</v>
      </c>
      <c r="I77">
        <f t="shared" si="22"/>
        <v>0</v>
      </c>
      <c r="J77">
        <f t="shared" si="22"/>
        <v>0</v>
      </c>
      <c r="K77">
        <f t="shared" si="22"/>
        <v>0</v>
      </c>
      <c r="L77">
        <f t="shared" si="22"/>
        <v>0</v>
      </c>
      <c r="M77">
        <f t="shared" si="22"/>
        <v>75.658217563999997</v>
      </c>
      <c r="N77">
        <f t="shared" si="22"/>
        <v>386.97780231600001</v>
      </c>
      <c r="O77">
        <f t="shared" si="22"/>
        <v>199.13787216599999</v>
      </c>
      <c r="P77">
        <f t="shared" si="22"/>
        <v>48.1</v>
      </c>
      <c r="Q77">
        <f t="shared" si="22"/>
        <v>0</v>
      </c>
    </row>
    <row r="78" spans="1:17">
      <c r="A78" s="98" t="s">
        <v>707</v>
      </c>
      <c r="B78" t="s">
        <v>708</v>
      </c>
      <c r="C78" s="45">
        <f t="shared" si="21"/>
        <v>2439.3193963069998</v>
      </c>
      <c r="D78">
        <f>res_valve_size</f>
        <v>6</v>
      </c>
      <c r="E78" t="s">
        <v>647</v>
      </c>
      <c r="F78">
        <f t="shared" si="22"/>
        <v>0</v>
      </c>
      <c r="G78">
        <f t="shared" si="22"/>
        <v>0</v>
      </c>
      <c r="H78">
        <f t="shared" si="22"/>
        <v>0</v>
      </c>
      <c r="I78">
        <f t="shared" si="22"/>
        <v>0</v>
      </c>
      <c r="J78">
        <f t="shared" si="22"/>
        <v>0</v>
      </c>
      <c r="K78">
        <f t="shared" si="22"/>
        <v>0</v>
      </c>
      <c r="L78">
        <f t="shared" si="22"/>
        <v>-6.4880836999999997E-2</v>
      </c>
      <c r="M78">
        <f t="shared" si="22"/>
        <v>28.444500948999998</v>
      </c>
      <c r="N78">
        <f t="shared" si="22"/>
        <v>68.996848447999994</v>
      </c>
      <c r="O78">
        <f t="shared" si="22"/>
        <v>1015.350532247</v>
      </c>
      <c r="P78">
        <f t="shared" si="22"/>
        <v>48.1</v>
      </c>
      <c r="Q78">
        <f t="shared" si="22"/>
        <v>1</v>
      </c>
    </row>
    <row r="79" spans="1:17">
      <c r="A79" s="5" t="s">
        <v>2393</v>
      </c>
      <c r="B79" s="5" t="s">
        <v>2394</v>
      </c>
      <c r="C79" s="45">
        <f t="shared" si="21"/>
        <v>0</v>
      </c>
      <c r="D79">
        <f>polymer_valve_size</f>
        <v>0</v>
      </c>
      <c r="E79" t="str">
        <f>IF(D79&gt;12,"pp_mov_eq_large","pp_mov_eq_small")</f>
        <v>pp_mov_eq_small</v>
      </c>
      <c r="F79">
        <f t="shared" si="22"/>
        <v>0</v>
      </c>
      <c r="G79">
        <f t="shared" si="22"/>
        <v>0</v>
      </c>
      <c r="H79">
        <f t="shared" si="22"/>
        <v>0</v>
      </c>
      <c r="I79">
        <f t="shared" si="22"/>
        <v>0</v>
      </c>
      <c r="J79">
        <f t="shared" si="22"/>
        <v>439.38534717800002</v>
      </c>
      <c r="K79">
        <f t="shared" si="22"/>
        <v>0.21266484199999999</v>
      </c>
      <c r="L79">
        <f t="shared" si="22"/>
        <v>0</v>
      </c>
      <c r="M79">
        <f t="shared" si="22"/>
        <v>0</v>
      </c>
      <c r="N79">
        <f t="shared" si="22"/>
        <v>0</v>
      </c>
      <c r="O79">
        <f t="shared" si="22"/>
        <v>0</v>
      </c>
      <c r="P79">
        <f t="shared" si="22"/>
        <v>12</v>
      </c>
      <c r="Q79">
        <f t="shared" si="22"/>
        <v>0</v>
      </c>
    </row>
    <row r="80" spans="1:17">
      <c r="A80" s="5" t="s">
        <v>2395</v>
      </c>
      <c r="B80" s="5" t="s">
        <v>2396</v>
      </c>
      <c r="C80" s="45">
        <f t="shared" si="21"/>
        <v>0</v>
      </c>
      <c r="D80">
        <f>polymer_valve_size</f>
        <v>0</v>
      </c>
      <c r="E80" t="s">
        <v>645</v>
      </c>
      <c r="F80">
        <f t="shared" si="22"/>
        <v>0</v>
      </c>
      <c r="G80">
        <f t="shared" si="22"/>
        <v>0</v>
      </c>
      <c r="H80">
        <f t="shared" si="22"/>
        <v>0</v>
      </c>
      <c r="I80">
        <f t="shared" si="22"/>
        <v>0</v>
      </c>
      <c r="J80">
        <f t="shared" si="22"/>
        <v>0</v>
      </c>
      <c r="K80">
        <f t="shared" si="22"/>
        <v>0</v>
      </c>
      <c r="L80">
        <f t="shared" si="22"/>
        <v>0</v>
      </c>
      <c r="M80">
        <f t="shared" si="22"/>
        <v>75.658217563999997</v>
      </c>
      <c r="N80">
        <f t="shared" si="22"/>
        <v>386.97780231600001</v>
      </c>
      <c r="O80">
        <f t="shared" si="22"/>
        <v>199.13787216599999</v>
      </c>
      <c r="P80">
        <f t="shared" si="22"/>
        <v>48.1</v>
      </c>
      <c r="Q80">
        <f t="shared" si="22"/>
        <v>0</v>
      </c>
    </row>
    <row r="81" spans="1:17" s="5" customFormat="1">
      <c r="A81" s="38" t="s">
        <v>2397</v>
      </c>
      <c r="B81" s="5" t="s">
        <v>2398</v>
      </c>
      <c r="C81" s="45">
        <f t="shared" si="21"/>
        <v>0</v>
      </c>
      <c r="D81" s="5">
        <f>polymer_valve_size</f>
        <v>0</v>
      </c>
      <c r="E81" s="5" t="s">
        <v>647</v>
      </c>
      <c r="F81">
        <f t="shared" si="22"/>
        <v>0</v>
      </c>
      <c r="G81">
        <f t="shared" si="22"/>
        <v>0</v>
      </c>
      <c r="H81">
        <f t="shared" si="22"/>
        <v>0</v>
      </c>
      <c r="I81">
        <f t="shared" si="22"/>
        <v>0</v>
      </c>
      <c r="J81">
        <f t="shared" si="22"/>
        <v>0</v>
      </c>
      <c r="K81">
        <f t="shared" si="22"/>
        <v>0</v>
      </c>
      <c r="L81">
        <f t="shared" si="22"/>
        <v>-6.4880836999999997E-2</v>
      </c>
      <c r="M81">
        <f t="shared" si="22"/>
        <v>28.444500948999998</v>
      </c>
      <c r="N81">
        <f t="shared" si="22"/>
        <v>68.996848447999994</v>
      </c>
      <c r="O81">
        <f t="shared" si="22"/>
        <v>1015.350532247</v>
      </c>
      <c r="P81">
        <f t="shared" si="22"/>
        <v>48.1</v>
      </c>
      <c r="Q81">
        <f t="shared" si="22"/>
        <v>1</v>
      </c>
    </row>
    <row r="82" spans="1:17">
      <c r="A82" s="38" t="s">
        <v>1990</v>
      </c>
      <c r="B82" t="s">
        <v>1991</v>
      </c>
      <c r="C82" s="45">
        <f t="shared" si="21"/>
        <v>0</v>
      </c>
      <c r="D82">
        <f>bypass_valve_size</f>
        <v>0</v>
      </c>
      <c r="E82" t="str">
        <f>IF(D82&gt;12,"pp_mov_eq_large","pp_mov_eq_small")</f>
        <v>pp_mov_eq_small</v>
      </c>
      <c r="F82">
        <f t="shared" si="22"/>
        <v>0</v>
      </c>
      <c r="G82">
        <f t="shared" si="22"/>
        <v>0</v>
      </c>
      <c r="H82">
        <f t="shared" si="22"/>
        <v>0</v>
      </c>
      <c r="I82">
        <f t="shared" si="22"/>
        <v>0</v>
      </c>
      <c r="J82">
        <f t="shared" si="22"/>
        <v>439.38534717800002</v>
      </c>
      <c r="K82">
        <f t="shared" si="22"/>
        <v>0.21266484199999999</v>
      </c>
      <c r="L82">
        <f t="shared" si="22"/>
        <v>0</v>
      </c>
      <c r="M82">
        <f t="shared" si="22"/>
        <v>0</v>
      </c>
      <c r="N82">
        <f t="shared" si="22"/>
        <v>0</v>
      </c>
      <c r="O82">
        <f t="shared" si="22"/>
        <v>0</v>
      </c>
      <c r="P82">
        <f t="shared" si="22"/>
        <v>12</v>
      </c>
      <c r="Q82">
        <f t="shared" si="22"/>
        <v>0</v>
      </c>
    </row>
    <row r="83" spans="1:17">
      <c r="A83" s="38" t="s">
        <v>1992</v>
      </c>
      <c r="B83" t="s">
        <v>1993</v>
      </c>
      <c r="C83" s="45">
        <f t="shared" si="21"/>
        <v>0</v>
      </c>
      <c r="D83">
        <f>bypass_valve_size</f>
        <v>0</v>
      </c>
      <c r="E83" t="s">
        <v>645</v>
      </c>
      <c r="F83">
        <f t="shared" si="22"/>
        <v>0</v>
      </c>
      <c r="G83">
        <f t="shared" si="22"/>
        <v>0</v>
      </c>
      <c r="H83">
        <f t="shared" si="22"/>
        <v>0</v>
      </c>
      <c r="I83">
        <f t="shared" si="22"/>
        <v>0</v>
      </c>
      <c r="J83">
        <f t="shared" si="22"/>
        <v>0</v>
      </c>
      <c r="K83">
        <f t="shared" si="22"/>
        <v>0</v>
      </c>
      <c r="L83">
        <f t="shared" si="22"/>
        <v>0</v>
      </c>
      <c r="M83">
        <f t="shared" si="22"/>
        <v>75.658217563999997</v>
      </c>
      <c r="N83">
        <f t="shared" si="22"/>
        <v>386.97780231600001</v>
      </c>
      <c r="O83">
        <f t="shared" si="22"/>
        <v>199.13787216599999</v>
      </c>
      <c r="P83">
        <f t="shared" si="22"/>
        <v>48.1</v>
      </c>
      <c r="Q83">
        <f t="shared" si="22"/>
        <v>0</v>
      </c>
    </row>
    <row r="84" spans="1:17">
      <c r="A84" s="38" t="s">
        <v>1994</v>
      </c>
      <c r="B84" t="s">
        <v>1995</v>
      </c>
      <c r="C84" s="45">
        <f t="shared" si="21"/>
        <v>0</v>
      </c>
      <c r="D84">
        <f>bypass_valve_size</f>
        <v>0</v>
      </c>
      <c r="E84" t="s">
        <v>647</v>
      </c>
      <c r="F84">
        <f t="shared" si="22"/>
        <v>0</v>
      </c>
      <c r="G84">
        <f t="shared" si="22"/>
        <v>0</v>
      </c>
      <c r="H84">
        <f t="shared" si="22"/>
        <v>0</v>
      </c>
      <c r="I84">
        <f t="shared" si="22"/>
        <v>0</v>
      </c>
      <c r="J84">
        <f t="shared" si="22"/>
        <v>0</v>
      </c>
      <c r="K84">
        <f t="shared" si="22"/>
        <v>0</v>
      </c>
      <c r="L84">
        <f t="shared" si="22"/>
        <v>-6.4880836999999997E-2</v>
      </c>
      <c r="M84">
        <f t="shared" si="22"/>
        <v>28.444500948999998</v>
      </c>
      <c r="N84">
        <f t="shared" si="22"/>
        <v>68.996848447999994</v>
      </c>
      <c r="O84">
        <f t="shared" si="22"/>
        <v>1015.350532247</v>
      </c>
      <c r="P84">
        <f t="shared" si="22"/>
        <v>48.1</v>
      </c>
      <c r="Q84">
        <f t="shared" si="22"/>
        <v>1</v>
      </c>
    </row>
    <row r="85" spans="1:17">
      <c r="A85" s="16" t="s">
        <v>1639</v>
      </c>
    </row>
    <row r="86" spans="1:17">
      <c r="A86" s="8" t="s">
        <v>2147</v>
      </c>
      <c r="B86" t="s">
        <v>1706</v>
      </c>
      <c r="C86" s="45">
        <f t="shared" ref="C86:C103" si="23">IF(D86=0,0,IF(OR(D86&gt;P86,D86&lt;Q86),"contact vendor",F86*D86^G86+H86*LN(D86)+I86+J86*EXP(K86*D86)+L86*D86^3+M86*D86^2+N86*D86+O86))</f>
        <v>631.87895247500001</v>
      </c>
      <c r="D86">
        <f>in_valve_size</f>
        <v>6</v>
      </c>
      <c r="E86" t="str">
        <f>IF(D86&gt;12,"pp_man_eq_large","pp_man_eq_small")</f>
        <v>pp_man_eq_small</v>
      </c>
      <c r="F86">
        <f t="shared" ref="F86:Q95" si="24">VLOOKUP($E86,eq_table_cl,F$4,FALSE)</f>
        <v>0</v>
      </c>
      <c r="G86">
        <f t="shared" si="24"/>
        <v>0</v>
      </c>
      <c r="H86">
        <f t="shared" si="24"/>
        <v>0</v>
      </c>
      <c r="I86">
        <f t="shared" si="24"/>
        <v>0</v>
      </c>
      <c r="J86">
        <f t="shared" si="24"/>
        <v>0</v>
      </c>
      <c r="K86">
        <f t="shared" si="24"/>
        <v>0</v>
      </c>
      <c r="L86">
        <f t="shared" si="24"/>
        <v>2.7271295270000002</v>
      </c>
      <c r="M86">
        <f t="shared" si="24"/>
        <v>-29.269386283999999</v>
      </c>
      <c r="N86">
        <f t="shared" si="24"/>
        <v>178.38020961699999</v>
      </c>
      <c r="O86">
        <f t="shared" si="24"/>
        <v>26.235623165</v>
      </c>
      <c r="P86">
        <f t="shared" si="24"/>
        <v>12</v>
      </c>
      <c r="Q86">
        <f t="shared" si="24"/>
        <v>0</v>
      </c>
    </row>
    <row r="87" spans="1:17">
      <c r="A87" s="5" t="s">
        <v>2148</v>
      </c>
      <c r="B87" t="s">
        <v>1707</v>
      </c>
      <c r="C87" s="45">
        <f t="shared" si="23"/>
        <v>4500.866663152392</v>
      </c>
      <c r="D87">
        <f>in_valve_size</f>
        <v>6</v>
      </c>
      <c r="E87" t="s">
        <v>1707</v>
      </c>
      <c r="F87">
        <f t="shared" si="24"/>
        <v>219.908790627</v>
      </c>
      <c r="G87">
        <f t="shared" si="24"/>
        <v>1.6848312670000001</v>
      </c>
      <c r="H87">
        <f t="shared" si="24"/>
        <v>0</v>
      </c>
      <c r="I87">
        <f t="shared" si="24"/>
        <v>0</v>
      </c>
      <c r="J87">
        <f t="shared" si="24"/>
        <v>0</v>
      </c>
      <c r="K87">
        <f t="shared" si="24"/>
        <v>0</v>
      </c>
      <c r="L87">
        <f t="shared" si="24"/>
        <v>0</v>
      </c>
      <c r="M87">
        <f t="shared" si="24"/>
        <v>0</v>
      </c>
      <c r="N87">
        <f t="shared" si="24"/>
        <v>0</v>
      </c>
      <c r="O87">
        <f t="shared" si="24"/>
        <v>0</v>
      </c>
      <c r="P87">
        <f t="shared" si="24"/>
        <v>12.1</v>
      </c>
      <c r="Q87">
        <f t="shared" si="24"/>
        <v>1</v>
      </c>
    </row>
    <row r="88" spans="1:17">
      <c r="A88" s="8" t="s">
        <v>2149</v>
      </c>
      <c r="B88" t="s">
        <v>1708</v>
      </c>
      <c r="C88" s="45">
        <f t="shared" si="23"/>
        <v>1124.059640872</v>
      </c>
      <c r="D88">
        <f>in_valve_size</f>
        <v>6</v>
      </c>
      <c r="E88" t="str">
        <f>IF(D88&gt;12,"ci_bfv_eq_large","ci_bfv_eq_small")</f>
        <v>ci_bfv_eq_small</v>
      </c>
      <c r="F88">
        <f t="shared" si="24"/>
        <v>0</v>
      </c>
      <c r="G88">
        <f t="shared" si="24"/>
        <v>0</v>
      </c>
      <c r="H88">
        <f t="shared" si="24"/>
        <v>0</v>
      </c>
      <c r="I88">
        <f t="shared" si="24"/>
        <v>0</v>
      </c>
      <c r="J88">
        <f t="shared" si="24"/>
        <v>0</v>
      </c>
      <c r="K88">
        <f t="shared" si="24"/>
        <v>0</v>
      </c>
      <c r="L88">
        <f t="shared" si="24"/>
        <v>-0.443473112</v>
      </c>
      <c r="M88">
        <f t="shared" si="24"/>
        <v>12.768802421</v>
      </c>
      <c r="N88">
        <f t="shared" si="24"/>
        <v>121.700143858</v>
      </c>
      <c r="O88">
        <f t="shared" si="24"/>
        <v>29.972082759999999</v>
      </c>
      <c r="P88">
        <f t="shared" si="24"/>
        <v>12</v>
      </c>
      <c r="Q88">
        <f t="shared" si="24"/>
        <v>1</v>
      </c>
    </row>
    <row r="89" spans="1:17">
      <c r="A89" s="8" t="s">
        <v>1827</v>
      </c>
      <c r="B89" t="s">
        <v>2981</v>
      </c>
      <c r="C89" s="45">
        <f t="shared" si="23"/>
        <v>631.87895247500001</v>
      </c>
      <c r="D89">
        <f>tank_valve_size</f>
        <v>6</v>
      </c>
      <c r="E89" t="str">
        <f>IF(D89&gt;12,"pp_man_eq_large","pp_man_eq_small")</f>
        <v>pp_man_eq_small</v>
      </c>
      <c r="F89">
        <f t="shared" si="24"/>
        <v>0</v>
      </c>
      <c r="G89">
        <f t="shared" si="24"/>
        <v>0</v>
      </c>
      <c r="H89">
        <f t="shared" si="24"/>
        <v>0</v>
      </c>
      <c r="I89">
        <f t="shared" si="24"/>
        <v>0</v>
      </c>
      <c r="J89">
        <f t="shared" si="24"/>
        <v>0</v>
      </c>
      <c r="K89">
        <f t="shared" si="24"/>
        <v>0</v>
      </c>
      <c r="L89">
        <f t="shared" si="24"/>
        <v>2.7271295270000002</v>
      </c>
      <c r="M89">
        <f t="shared" si="24"/>
        <v>-29.269386283999999</v>
      </c>
      <c r="N89">
        <f t="shared" si="24"/>
        <v>178.38020961699999</v>
      </c>
      <c r="O89">
        <f t="shared" si="24"/>
        <v>26.235623165</v>
      </c>
      <c r="P89">
        <f t="shared" si="24"/>
        <v>12</v>
      </c>
      <c r="Q89">
        <f t="shared" si="24"/>
        <v>0</v>
      </c>
    </row>
    <row r="90" spans="1:17">
      <c r="A90" s="5" t="s">
        <v>767</v>
      </c>
      <c r="B90" t="s">
        <v>1517</v>
      </c>
      <c r="C90" s="45">
        <f t="shared" si="23"/>
        <v>4500.866663152392</v>
      </c>
      <c r="D90">
        <f>tank_valve_size</f>
        <v>6</v>
      </c>
      <c r="E90" t="s">
        <v>1707</v>
      </c>
      <c r="F90">
        <f t="shared" si="24"/>
        <v>219.908790627</v>
      </c>
      <c r="G90">
        <f t="shared" si="24"/>
        <v>1.6848312670000001</v>
      </c>
      <c r="H90">
        <f t="shared" si="24"/>
        <v>0</v>
      </c>
      <c r="I90">
        <f t="shared" si="24"/>
        <v>0</v>
      </c>
      <c r="J90">
        <f t="shared" si="24"/>
        <v>0</v>
      </c>
      <c r="K90">
        <f t="shared" si="24"/>
        <v>0</v>
      </c>
      <c r="L90">
        <f t="shared" si="24"/>
        <v>0</v>
      </c>
      <c r="M90">
        <f t="shared" si="24"/>
        <v>0</v>
      </c>
      <c r="N90">
        <f t="shared" si="24"/>
        <v>0</v>
      </c>
      <c r="O90">
        <f t="shared" si="24"/>
        <v>0</v>
      </c>
      <c r="P90">
        <f t="shared" si="24"/>
        <v>12.1</v>
      </c>
      <c r="Q90">
        <f t="shared" si="24"/>
        <v>1</v>
      </c>
    </row>
    <row r="91" spans="1:17">
      <c r="A91" s="8" t="s">
        <v>1674</v>
      </c>
      <c r="B91" t="s">
        <v>1518</v>
      </c>
      <c r="C91" s="45">
        <f t="shared" si="23"/>
        <v>1124.059640872</v>
      </c>
      <c r="D91">
        <f>tank_valve_size</f>
        <v>6</v>
      </c>
      <c r="E91" t="str">
        <f>IF(D91&gt;12,"ci_bfv_eq_large","ci_bfv_eq_small")</f>
        <v>ci_bfv_eq_small</v>
      </c>
      <c r="F91">
        <f t="shared" si="24"/>
        <v>0</v>
      </c>
      <c r="G91">
        <f t="shared" si="24"/>
        <v>0</v>
      </c>
      <c r="H91">
        <f t="shared" si="24"/>
        <v>0</v>
      </c>
      <c r="I91">
        <f t="shared" si="24"/>
        <v>0</v>
      </c>
      <c r="J91">
        <f t="shared" si="24"/>
        <v>0</v>
      </c>
      <c r="K91">
        <f t="shared" si="24"/>
        <v>0</v>
      </c>
      <c r="L91">
        <f t="shared" si="24"/>
        <v>-0.443473112</v>
      </c>
      <c r="M91">
        <f t="shared" si="24"/>
        <v>12.768802421</v>
      </c>
      <c r="N91">
        <f t="shared" si="24"/>
        <v>121.700143858</v>
      </c>
      <c r="O91">
        <f t="shared" si="24"/>
        <v>29.972082759999999</v>
      </c>
      <c r="P91">
        <f t="shared" si="24"/>
        <v>12</v>
      </c>
      <c r="Q91">
        <f t="shared" si="24"/>
        <v>1</v>
      </c>
    </row>
    <row r="92" spans="1:17">
      <c r="A92" s="38" t="s">
        <v>1828</v>
      </c>
      <c r="B92" t="s">
        <v>709</v>
      </c>
      <c r="C92" s="45">
        <f t="shared" si="23"/>
        <v>631.87895247500001</v>
      </c>
      <c r="D92" s="45">
        <f>back_valve_size</f>
        <v>6</v>
      </c>
      <c r="E92" t="str">
        <f>IF(D92&gt;12,"pp_man_eq_large","pp_man_eq_small")</f>
        <v>pp_man_eq_small</v>
      </c>
      <c r="F92">
        <f t="shared" si="24"/>
        <v>0</v>
      </c>
      <c r="G92">
        <f t="shared" si="24"/>
        <v>0</v>
      </c>
      <c r="H92">
        <f t="shared" si="24"/>
        <v>0</v>
      </c>
      <c r="I92">
        <f t="shared" si="24"/>
        <v>0</v>
      </c>
      <c r="J92">
        <f t="shared" si="24"/>
        <v>0</v>
      </c>
      <c r="K92">
        <f t="shared" si="24"/>
        <v>0</v>
      </c>
      <c r="L92">
        <f t="shared" si="24"/>
        <v>2.7271295270000002</v>
      </c>
      <c r="M92">
        <f t="shared" si="24"/>
        <v>-29.269386283999999</v>
      </c>
      <c r="N92">
        <f t="shared" si="24"/>
        <v>178.38020961699999</v>
      </c>
      <c r="O92">
        <f t="shared" si="24"/>
        <v>26.235623165</v>
      </c>
      <c r="P92">
        <f t="shared" si="24"/>
        <v>12</v>
      </c>
      <c r="Q92">
        <f t="shared" si="24"/>
        <v>0</v>
      </c>
    </row>
    <row r="93" spans="1:17">
      <c r="A93" s="38" t="s">
        <v>768</v>
      </c>
      <c r="B93" t="s">
        <v>710</v>
      </c>
      <c r="C93" s="45">
        <f t="shared" si="23"/>
        <v>4500.866663152392</v>
      </c>
      <c r="D93" s="45">
        <f>back_valve_size</f>
        <v>6</v>
      </c>
      <c r="E93" t="s">
        <v>1707</v>
      </c>
      <c r="F93">
        <f t="shared" si="24"/>
        <v>219.908790627</v>
      </c>
      <c r="G93">
        <f t="shared" si="24"/>
        <v>1.6848312670000001</v>
      </c>
      <c r="H93">
        <f t="shared" si="24"/>
        <v>0</v>
      </c>
      <c r="I93">
        <f t="shared" si="24"/>
        <v>0</v>
      </c>
      <c r="J93">
        <f t="shared" si="24"/>
        <v>0</v>
      </c>
      <c r="K93">
        <f t="shared" si="24"/>
        <v>0</v>
      </c>
      <c r="L93">
        <f t="shared" si="24"/>
        <v>0</v>
      </c>
      <c r="M93">
        <f t="shared" si="24"/>
        <v>0</v>
      </c>
      <c r="N93">
        <f t="shared" si="24"/>
        <v>0</v>
      </c>
      <c r="O93">
        <f t="shared" si="24"/>
        <v>0</v>
      </c>
      <c r="P93">
        <f t="shared" si="24"/>
        <v>12.1</v>
      </c>
      <c r="Q93">
        <f t="shared" si="24"/>
        <v>1</v>
      </c>
    </row>
    <row r="94" spans="1:17">
      <c r="A94" s="38" t="s">
        <v>1134</v>
      </c>
      <c r="B94" t="s">
        <v>711</v>
      </c>
      <c r="C94" s="45">
        <f t="shared" si="23"/>
        <v>1124.059640872</v>
      </c>
      <c r="D94" s="45">
        <f>back_valve_size</f>
        <v>6</v>
      </c>
      <c r="E94" t="str">
        <f>IF(D94&gt;12,"ci_bfv_eq_large","ci_bfv_eq_small")</f>
        <v>ci_bfv_eq_small</v>
      </c>
      <c r="F94">
        <f t="shared" si="24"/>
        <v>0</v>
      </c>
      <c r="G94">
        <f t="shared" si="24"/>
        <v>0</v>
      </c>
      <c r="H94">
        <f t="shared" si="24"/>
        <v>0</v>
      </c>
      <c r="I94">
        <f t="shared" si="24"/>
        <v>0</v>
      </c>
      <c r="J94">
        <f t="shared" si="24"/>
        <v>0</v>
      </c>
      <c r="K94">
        <f t="shared" si="24"/>
        <v>0</v>
      </c>
      <c r="L94">
        <f t="shared" si="24"/>
        <v>-0.443473112</v>
      </c>
      <c r="M94">
        <f t="shared" si="24"/>
        <v>12.768802421</v>
      </c>
      <c r="N94">
        <f t="shared" si="24"/>
        <v>121.700143858</v>
      </c>
      <c r="O94">
        <f t="shared" si="24"/>
        <v>29.972082759999999</v>
      </c>
      <c r="P94">
        <f t="shared" si="24"/>
        <v>12</v>
      </c>
      <c r="Q94">
        <f t="shared" si="24"/>
        <v>1</v>
      </c>
    </row>
    <row r="95" spans="1:17">
      <c r="A95" s="98" t="s">
        <v>425</v>
      </c>
      <c r="B95" t="s">
        <v>712</v>
      </c>
      <c r="C95" s="45">
        <f t="shared" si="23"/>
        <v>631.87895247500001</v>
      </c>
      <c r="D95" s="45">
        <f>res_valve_size</f>
        <v>6</v>
      </c>
      <c r="E95" t="str">
        <f>IF(D95&gt;12,"pp_man_eq_large","pp_man_eq_small")</f>
        <v>pp_man_eq_small</v>
      </c>
      <c r="F95">
        <f t="shared" si="24"/>
        <v>0</v>
      </c>
      <c r="G95">
        <f t="shared" si="24"/>
        <v>0</v>
      </c>
      <c r="H95">
        <f t="shared" si="24"/>
        <v>0</v>
      </c>
      <c r="I95">
        <f t="shared" si="24"/>
        <v>0</v>
      </c>
      <c r="J95">
        <f t="shared" si="24"/>
        <v>0</v>
      </c>
      <c r="K95">
        <f t="shared" si="24"/>
        <v>0</v>
      </c>
      <c r="L95">
        <f t="shared" si="24"/>
        <v>2.7271295270000002</v>
      </c>
      <c r="M95">
        <f t="shared" si="24"/>
        <v>-29.269386283999999</v>
      </c>
      <c r="N95">
        <f t="shared" si="24"/>
        <v>178.38020961699999</v>
      </c>
      <c r="O95">
        <f t="shared" si="24"/>
        <v>26.235623165</v>
      </c>
      <c r="P95">
        <f t="shared" si="24"/>
        <v>12</v>
      </c>
      <c r="Q95">
        <f t="shared" si="24"/>
        <v>0</v>
      </c>
    </row>
    <row r="96" spans="1:17">
      <c r="A96" s="98" t="s">
        <v>427</v>
      </c>
      <c r="B96" t="s">
        <v>713</v>
      </c>
      <c r="C96" s="45">
        <f t="shared" si="23"/>
        <v>4500.866663152392</v>
      </c>
      <c r="D96" s="45">
        <f>res_valve_size</f>
        <v>6</v>
      </c>
      <c r="E96" t="s">
        <v>1707</v>
      </c>
      <c r="F96">
        <f t="shared" ref="F96:Q103" si="25">VLOOKUP($E96,eq_table_cl,F$4,FALSE)</f>
        <v>219.908790627</v>
      </c>
      <c r="G96">
        <f t="shared" si="25"/>
        <v>1.6848312670000001</v>
      </c>
      <c r="H96">
        <f t="shared" si="25"/>
        <v>0</v>
      </c>
      <c r="I96">
        <f t="shared" si="25"/>
        <v>0</v>
      </c>
      <c r="J96">
        <f t="shared" si="25"/>
        <v>0</v>
      </c>
      <c r="K96">
        <f t="shared" si="25"/>
        <v>0</v>
      </c>
      <c r="L96">
        <f t="shared" si="25"/>
        <v>0</v>
      </c>
      <c r="M96">
        <f t="shared" si="25"/>
        <v>0</v>
      </c>
      <c r="N96">
        <f t="shared" si="25"/>
        <v>0</v>
      </c>
      <c r="O96">
        <f t="shared" si="25"/>
        <v>0</v>
      </c>
      <c r="P96">
        <f t="shared" si="25"/>
        <v>12.1</v>
      </c>
      <c r="Q96">
        <f t="shared" si="25"/>
        <v>1</v>
      </c>
    </row>
    <row r="97" spans="1:17">
      <c r="A97" s="98" t="s">
        <v>707</v>
      </c>
      <c r="B97" t="s">
        <v>714</v>
      </c>
      <c r="C97" s="45">
        <f t="shared" si="23"/>
        <v>1124.059640872</v>
      </c>
      <c r="D97" s="45">
        <f>res_valve_size</f>
        <v>6</v>
      </c>
      <c r="E97" t="str">
        <f>IF(D97&gt;12,"ci_bfv_eq_large","ci_bfv_eq_small")</f>
        <v>ci_bfv_eq_small</v>
      </c>
      <c r="F97">
        <f t="shared" si="25"/>
        <v>0</v>
      </c>
      <c r="G97">
        <f t="shared" si="25"/>
        <v>0</v>
      </c>
      <c r="H97">
        <f t="shared" si="25"/>
        <v>0</v>
      </c>
      <c r="I97">
        <f t="shared" si="25"/>
        <v>0</v>
      </c>
      <c r="J97">
        <f t="shared" si="25"/>
        <v>0</v>
      </c>
      <c r="K97">
        <f t="shared" si="25"/>
        <v>0</v>
      </c>
      <c r="L97">
        <f t="shared" si="25"/>
        <v>-0.443473112</v>
      </c>
      <c r="M97">
        <f t="shared" si="25"/>
        <v>12.768802421</v>
      </c>
      <c r="N97">
        <f t="shared" si="25"/>
        <v>121.700143858</v>
      </c>
      <c r="O97">
        <f t="shared" si="25"/>
        <v>29.972082759999999</v>
      </c>
      <c r="P97">
        <f t="shared" si="25"/>
        <v>12</v>
      </c>
      <c r="Q97">
        <f t="shared" si="25"/>
        <v>1</v>
      </c>
    </row>
    <row r="98" spans="1:17" ht="14.25" customHeight="1">
      <c r="A98" s="5" t="s">
        <v>2393</v>
      </c>
      <c r="B98" s="5" t="s">
        <v>2399</v>
      </c>
      <c r="C98" s="45">
        <f t="shared" si="23"/>
        <v>0</v>
      </c>
      <c r="D98">
        <f xml:space="preserve"> polymer_valve_size</f>
        <v>0</v>
      </c>
      <c r="E98" t="str">
        <f>IF(D98&gt;12,"pp_man_eq_large","pp_man_eq_small")</f>
        <v>pp_man_eq_small</v>
      </c>
      <c r="F98">
        <f t="shared" si="25"/>
        <v>0</v>
      </c>
      <c r="G98">
        <f t="shared" si="25"/>
        <v>0</v>
      </c>
      <c r="H98">
        <f t="shared" si="25"/>
        <v>0</v>
      </c>
      <c r="I98">
        <f t="shared" si="25"/>
        <v>0</v>
      </c>
      <c r="J98">
        <f t="shared" si="25"/>
        <v>0</v>
      </c>
      <c r="K98">
        <f t="shared" si="25"/>
        <v>0</v>
      </c>
      <c r="L98">
        <f t="shared" si="25"/>
        <v>2.7271295270000002</v>
      </c>
      <c r="M98">
        <f t="shared" si="25"/>
        <v>-29.269386283999999</v>
      </c>
      <c r="N98">
        <f t="shared" si="25"/>
        <v>178.38020961699999</v>
      </c>
      <c r="O98">
        <f t="shared" si="25"/>
        <v>26.235623165</v>
      </c>
      <c r="P98">
        <f t="shared" si="25"/>
        <v>12</v>
      </c>
      <c r="Q98">
        <f t="shared" si="25"/>
        <v>0</v>
      </c>
    </row>
    <row r="99" spans="1:17">
      <c r="A99" s="5" t="s">
        <v>2395</v>
      </c>
      <c r="B99" s="5" t="s">
        <v>2400</v>
      </c>
      <c r="C99" s="45">
        <f t="shared" si="23"/>
        <v>0</v>
      </c>
      <c r="D99">
        <f xml:space="preserve"> polymer_valve_size</f>
        <v>0</v>
      </c>
      <c r="E99" t="s">
        <v>1707</v>
      </c>
      <c r="F99">
        <f t="shared" si="25"/>
        <v>219.908790627</v>
      </c>
      <c r="G99">
        <f t="shared" si="25"/>
        <v>1.6848312670000001</v>
      </c>
      <c r="H99">
        <f t="shared" si="25"/>
        <v>0</v>
      </c>
      <c r="I99">
        <f t="shared" si="25"/>
        <v>0</v>
      </c>
      <c r="J99">
        <f t="shared" si="25"/>
        <v>0</v>
      </c>
      <c r="K99">
        <f t="shared" si="25"/>
        <v>0</v>
      </c>
      <c r="L99">
        <f t="shared" si="25"/>
        <v>0</v>
      </c>
      <c r="M99">
        <f t="shared" si="25"/>
        <v>0</v>
      </c>
      <c r="N99">
        <f t="shared" si="25"/>
        <v>0</v>
      </c>
      <c r="O99">
        <f t="shared" si="25"/>
        <v>0</v>
      </c>
      <c r="P99">
        <f t="shared" si="25"/>
        <v>12.1</v>
      </c>
      <c r="Q99">
        <f t="shared" si="25"/>
        <v>1</v>
      </c>
    </row>
    <row r="100" spans="1:17" s="5" customFormat="1">
      <c r="A100" s="38" t="s">
        <v>2397</v>
      </c>
      <c r="B100" s="5" t="s">
        <v>2401</v>
      </c>
      <c r="C100" s="45">
        <f t="shared" si="23"/>
        <v>0</v>
      </c>
      <c r="D100" s="5">
        <f>polymer_valve_size</f>
        <v>0</v>
      </c>
      <c r="E100" s="5" t="str">
        <f>IF(D100&gt;12,"ci_bfv_eq_large","ci_bfv_eq_small")</f>
        <v>ci_bfv_eq_small</v>
      </c>
      <c r="F100">
        <f t="shared" si="25"/>
        <v>0</v>
      </c>
      <c r="G100">
        <f t="shared" si="25"/>
        <v>0</v>
      </c>
      <c r="H100">
        <f t="shared" si="25"/>
        <v>0</v>
      </c>
      <c r="I100">
        <f t="shared" si="25"/>
        <v>0</v>
      </c>
      <c r="J100">
        <f t="shared" si="25"/>
        <v>0</v>
      </c>
      <c r="K100">
        <f t="shared" si="25"/>
        <v>0</v>
      </c>
      <c r="L100">
        <f t="shared" si="25"/>
        <v>-0.443473112</v>
      </c>
      <c r="M100">
        <f t="shared" si="25"/>
        <v>12.768802421</v>
      </c>
      <c r="N100">
        <f t="shared" si="25"/>
        <v>121.700143858</v>
      </c>
      <c r="O100">
        <f t="shared" si="25"/>
        <v>29.972082759999999</v>
      </c>
      <c r="P100">
        <f t="shared" si="25"/>
        <v>12</v>
      </c>
      <c r="Q100">
        <f t="shared" si="25"/>
        <v>1</v>
      </c>
    </row>
    <row r="101" spans="1:17">
      <c r="A101" s="38" t="s">
        <v>1990</v>
      </c>
      <c r="B101" t="s">
        <v>1996</v>
      </c>
      <c r="C101" s="45">
        <f t="shared" si="23"/>
        <v>0</v>
      </c>
      <c r="D101">
        <f>bypass_valve_size</f>
        <v>0</v>
      </c>
      <c r="E101" t="str">
        <f>IF(D101&gt;12,"pp_man_eq_large","pp_man_eq_small")</f>
        <v>pp_man_eq_small</v>
      </c>
      <c r="F101">
        <f t="shared" si="25"/>
        <v>0</v>
      </c>
      <c r="G101">
        <f t="shared" si="25"/>
        <v>0</v>
      </c>
      <c r="H101">
        <f t="shared" si="25"/>
        <v>0</v>
      </c>
      <c r="I101">
        <f t="shared" si="25"/>
        <v>0</v>
      </c>
      <c r="J101">
        <f t="shared" si="25"/>
        <v>0</v>
      </c>
      <c r="K101">
        <f t="shared" si="25"/>
        <v>0</v>
      </c>
      <c r="L101">
        <f t="shared" si="25"/>
        <v>2.7271295270000002</v>
      </c>
      <c r="M101">
        <f t="shared" si="25"/>
        <v>-29.269386283999999</v>
      </c>
      <c r="N101">
        <f t="shared" si="25"/>
        <v>178.38020961699999</v>
      </c>
      <c r="O101">
        <f t="shared" si="25"/>
        <v>26.235623165</v>
      </c>
      <c r="P101">
        <f t="shared" si="25"/>
        <v>12</v>
      </c>
      <c r="Q101">
        <f t="shared" si="25"/>
        <v>0</v>
      </c>
    </row>
    <row r="102" spans="1:17">
      <c r="A102" s="38" t="s">
        <v>1992</v>
      </c>
      <c r="B102" t="s">
        <v>1997</v>
      </c>
      <c r="C102" s="45">
        <f t="shared" si="23"/>
        <v>0</v>
      </c>
      <c r="D102">
        <f>bypass_valve_size</f>
        <v>0</v>
      </c>
      <c r="E102" t="s">
        <v>1707</v>
      </c>
      <c r="F102">
        <f t="shared" si="25"/>
        <v>219.908790627</v>
      </c>
      <c r="G102">
        <f t="shared" si="25"/>
        <v>1.6848312670000001</v>
      </c>
      <c r="H102">
        <f t="shared" si="25"/>
        <v>0</v>
      </c>
      <c r="I102">
        <f t="shared" si="25"/>
        <v>0</v>
      </c>
      <c r="J102">
        <f t="shared" si="25"/>
        <v>0</v>
      </c>
      <c r="K102">
        <f t="shared" si="25"/>
        <v>0</v>
      </c>
      <c r="L102">
        <f t="shared" si="25"/>
        <v>0</v>
      </c>
      <c r="M102">
        <f t="shared" si="25"/>
        <v>0</v>
      </c>
      <c r="N102">
        <f t="shared" si="25"/>
        <v>0</v>
      </c>
      <c r="O102">
        <f t="shared" si="25"/>
        <v>0</v>
      </c>
      <c r="P102">
        <f t="shared" si="25"/>
        <v>12.1</v>
      </c>
      <c r="Q102">
        <f t="shared" si="25"/>
        <v>1</v>
      </c>
    </row>
    <row r="103" spans="1:17">
      <c r="A103" s="38" t="s">
        <v>1994</v>
      </c>
      <c r="B103" t="s">
        <v>1998</v>
      </c>
      <c r="C103" s="45">
        <f t="shared" si="23"/>
        <v>0</v>
      </c>
      <c r="D103">
        <f>bypass_valve_size</f>
        <v>0</v>
      </c>
      <c r="E103" t="str">
        <f>IF(D103&gt;12,"ci_bfv_eq_large","ci_bfv_eq_small")</f>
        <v>ci_bfv_eq_small</v>
      </c>
      <c r="F103">
        <f t="shared" si="25"/>
        <v>0</v>
      </c>
      <c r="G103">
        <f t="shared" si="25"/>
        <v>0</v>
      </c>
      <c r="H103">
        <f t="shared" si="25"/>
        <v>0</v>
      </c>
      <c r="I103">
        <f t="shared" si="25"/>
        <v>0</v>
      </c>
      <c r="J103">
        <f t="shared" si="25"/>
        <v>0</v>
      </c>
      <c r="K103">
        <f t="shared" si="25"/>
        <v>0</v>
      </c>
      <c r="L103">
        <f t="shared" si="25"/>
        <v>-0.443473112</v>
      </c>
      <c r="M103">
        <f t="shared" si="25"/>
        <v>12.768802421</v>
      </c>
      <c r="N103">
        <f t="shared" si="25"/>
        <v>121.700143858</v>
      </c>
      <c r="O103">
        <f t="shared" si="25"/>
        <v>29.972082759999999</v>
      </c>
      <c r="P103">
        <f t="shared" si="25"/>
        <v>12</v>
      </c>
      <c r="Q103">
        <f t="shared" si="25"/>
        <v>1</v>
      </c>
    </row>
    <row r="104" spans="1:17">
      <c r="A104" s="16" t="s">
        <v>1640</v>
      </c>
    </row>
    <row r="105" spans="1:17">
      <c r="A105" s="8" t="s">
        <v>1828</v>
      </c>
      <c r="B105" t="s">
        <v>1709</v>
      </c>
      <c r="C105" s="45">
        <f t="shared" ref="C105:C119" si="26">IF(D105=0,0,IF(OR(D105&gt;P105,D105&lt;Q105),"contact vendor",F105*D105^G105+H105*LN(D105)+I105+J105*EXP(K105*D105)+L105*D105^3+M105*D105^2+N105*D105+O105))</f>
        <v>1334.9986503970001</v>
      </c>
      <c r="D105">
        <f>back_valve_size</f>
        <v>6</v>
      </c>
      <c r="E105" t="s">
        <v>1710</v>
      </c>
      <c r="F105">
        <f t="shared" ref="F105:Q119" si="27">VLOOKUP($E105,eq_table_cl,F$4,FALSE)</f>
        <v>0</v>
      </c>
      <c r="G105">
        <f t="shared" si="27"/>
        <v>0</v>
      </c>
      <c r="H105">
        <f t="shared" si="27"/>
        <v>0</v>
      </c>
      <c r="I105">
        <f t="shared" si="27"/>
        <v>0</v>
      </c>
      <c r="J105">
        <f t="shared" si="27"/>
        <v>0</v>
      </c>
      <c r="K105">
        <f t="shared" si="27"/>
        <v>0</v>
      </c>
      <c r="L105">
        <f t="shared" si="27"/>
        <v>0</v>
      </c>
      <c r="M105">
        <f t="shared" si="27"/>
        <v>29.057432393999999</v>
      </c>
      <c r="N105">
        <f t="shared" si="27"/>
        <v>41.157186721000002</v>
      </c>
      <c r="O105">
        <f t="shared" si="27"/>
        <v>41.987963886999999</v>
      </c>
      <c r="P105">
        <f t="shared" si="27"/>
        <v>12.1</v>
      </c>
      <c r="Q105">
        <f t="shared" si="27"/>
        <v>0</v>
      </c>
    </row>
    <row r="106" spans="1:17">
      <c r="A106" s="5" t="s">
        <v>768</v>
      </c>
      <c r="B106" t="s">
        <v>1711</v>
      </c>
      <c r="C106" s="45">
        <f t="shared" si="26"/>
        <v>3024.5856832219997</v>
      </c>
      <c r="D106">
        <f>back_valve_size</f>
        <v>6</v>
      </c>
      <c r="E106" t="s">
        <v>1712</v>
      </c>
      <c r="F106">
        <f t="shared" si="27"/>
        <v>0</v>
      </c>
      <c r="G106">
        <f t="shared" si="27"/>
        <v>0</v>
      </c>
      <c r="H106">
        <f t="shared" si="27"/>
        <v>0</v>
      </c>
      <c r="I106">
        <f t="shared" si="27"/>
        <v>0</v>
      </c>
      <c r="J106">
        <f t="shared" si="27"/>
        <v>0</v>
      </c>
      <c r="K106">
        <f t="shared" si="27"/>
        <v>0</v>
      </c>
      <c r="L106">
        <f t="shared" si="27"/>
        <v>0</v>
      </c>
      <c r="M106">
        <f t="shared" si="27"/>
        <v>31.220161333</v>
      </c>
      <c r="N106">
        <f t="shared" si="27"/>
        <v>300.84320452899999</v>
      </c>
      <c r="O106">
        <f t="shared" si="27"/>
        <v>95.600648059999997</v>
      </c>
      <c r="P106">
        <f t="shared" si="27"/>
        <v>48.1</v>
      </c>
      <c r="Q106">
        <f t="shared" si="27"/>
        <v>0</v>
      </c>
    </row>
    <row r="107" spans="1:17">
      <c r="A107" s="5" t="s">
        <v>1134</v>
      </c>
      <c r="B107" t="s">
        <v>1713</v>
      </c>
      <c r="C107" s="45">
        <f t="shared" si="26"/>
        <v>1904.2438319790003</v>
      </c>
      <c r="D107">
        <f>back_valve_size</f>
        <v>6</v>
      </c>
      <c r="E107" t="s">
        <v>1714</v>
      </c>
      <c r="F107">
        <f t="shared" si="27"/>
        <v>0</v>
      </c>
      <c r="G107">
        <f t="shared" si="27"/>
        <v>0</v>
      </c>
      <c r="H107">
        <f t="shared" si="27"/>
        <v>0</v>
      </c>
      <c r="I107">
        <f t="shared" si="27"/>
        <v>0</v>
      </c>
      <c r="J107">
        <f t="shared" si="27"/>
        <v>0</v>
      </c>
      <c r="K107">
        <f t="shared" si="27"/>
        <v>0</v>
      </c>
      <c r="L107">
        <f t="shared" si="27"/>
        <v>0.99855227800000002</v>
      </c>
      <c r="M107">
        <f t="shared" si="27"/>
        <v>-6.0986689119999999</v>
      </c>
      <c r="N107">
        <f t="shared" si="27"/>
        <v>403.85014798499998</v>
      </c>
      <c r="O107">
        <f t="shared" si="27"/>
        <v>-514.99226714700001</v>
      </c>
      <c r="P107">
        <f t="shared" si="27"/>
        <v>24.1</v>
      </c>
      <c r="Q107">
        <f t="shared" si="27"/>
        <v>2</v>
      </c>
    </row>
    <row r="108" spans="1:17">
      <c r="A108" s="8" t="s">
        <v>844</v>
      </c>
      <c r="B108" t="s">
        <v>845</v>
      </c>
      <c r="C108" s="45">
        <f t="shared" si="26"/>
        <v>1334.9986503970001</v>
      </c>
      <c r="D108">
        <f>res_valve_size</f>
        <v>6</v>
      </c>
      <c r="E108" t="s">
        <v>1710</v>
      </c>
      <c r="F108">
        <f t="shared" si="27"/>
        <v>0</v>
      </c>
      <c r="G108">
        <f t="shared" si="27"/>
        <v>0</v>
      </c>
      <c r="H108">
        <f t="shared" si="27"/>
        <v>0</v>
      </c>
      <c r="I108">
        <f t="shared" si="27"/>
        <v>0</v>
      </c>
      <c r="J108">
        <f t="shared" si="27"/>
        <v>0</v>
      </c>
      <c r="K108">
        <f t="shared" si="27"/>
        <v>0</v>
      </c>
      <c r="L108">
        <f t="shared" si="27"/>
        <v>0</v>
      </c>
      <c r="M108">
        <f t="shared" si="27"/>
        <v>29.057432393999999</v>
      </c>
      <c r="N108">
        <f t="shared" si="27"/>
        <v>41.157186721000002</v>
      </c>
      <c r="O108">
        <f t="shared" si="27"/>
        <v>41.987963886999999</v>
      </c>
      <c r="P108">
        <f t="shared" si="27"/>
        <v>12.1</v>
      </c>
      <c r="Q108">
        <f t="shared" si="27"/>
        <v>0</v>
      </c>
    </row>
    <row r="109" spans="1:17">
      <c r="A109" s="5" t="s">
        <v>2706</v>
      </c>
      <c r="B109" t="s">
        <v>2707</v>
      </c>
      <c r="C109" s="45">
        <f t="shared" si="26"/>
        <v>3024.5856832219997</v>
      </c>
      <c r="D109">
        <f>res_valve_size</f>
        <v>6</v>
      </c>
      <c r="E109" t="s">
        <v>1712</v>
      </c>
      <c r="F109">
        <f t="shared" si="27"/>
        <v>0</v>
      </c>
      <c r="G109">
        <f t="shared" si="27"/>
        <v>0</v>
      </c>
      <c r="H109">
        <f t="shared" si="27"/>
        <v>0</v>
      </c>
      <c r="I109">
        <f t="shared" si="27"/>
        <v>0</v>
      </c>
      <c r="J109">
        <f t="shared" si="27"/>
        <v>0</v>
      </c>
      <c r="K109">
        <f t="shared" si="27"/>
        <v>0</v>
      </c>
      <c r="L109">
        <f t="shared" si="27"/>
        <v>0</v>
      </c>
      <c r="M109">
        <f t="shared" si="27"/>
        <v>31.220161333</v>
      </c>
      <c r="N109">
        <f t="shared" si="27"/>
        <v>300.84320452899999</v>
      </c>
      <c r="O109">
        <f t="shared" si="27"/>
        <v>95.600648059999997</v>
      </c>
      <c r="P109">
        <f t="shared" si="27"/>
        <v>48.1</v>
      </c>
      <c r="Q109">
        <f t="shared" si="27"/>
        <v>0</v>
      </c>
    </row>
    <row r="110" spans="1:17">
      <c r="A110" s="5" t="s">
        <v>2708</v>
      </c>
      <c r="B110" t="s">
        <v>2709</v>
      </c>
      <c r="C110" s="45">
        <f t="shared" si="26"/>
        <v>1904.2438319790003</v>
      </c>
      <c r="D110">
        <f>res_valve_size</f>
        <v>6</v>
      </c>
      <c r="E110" t="s">
        <v>1714</v>
      </c>
      <c r="F110">
        <f t="shared" si="27"/>
        <v>0</v>
      </c>
      <c r="G110">
        <f t="shared" si="27"/>
        <v>0</v>
      </c>
      <c r="H110">
        <f t="shared" si="27"/>
        <v>0</v>
      </c>
      <c r="I110">
        <f t="shared" si="27"/>
        <v>0</v>
      </c>
      <c r="J110">
        <f t="shared" si="27"/>
        <v>0</v>
      </c>
      <c r="K110">
        <f t="shared" si="27"/>
        <v>0</v>
      </c>
      <c r="L110">
        <f t="shared" si="27"/>
        <v>0.99855227800000002</v>
      </c>
      <c r="M110">
        <f t="shared" si="27"/>
        <v>-6.0986689119999999</v>
      </c>
      <c r="N110">
        <f t="shared" si="27"/>
        <v>403.85014798499998</v>
      </c>
      <c r="O110">
        <f t="shared" si="27"/>
        <v>-514.99226714700001</v>
      </c>
      <c r="P110">
        <f t="shared" si="27"/>
        <v>24.1</v>
      </c>
      <c r="Q110">
        <f t="shared" si="27"/>
        <v>2</v>
      </c>
    </row>
    <row r="111" spans="1:17">
      <c r="A111" s="8" t="s">
        <v>2393</v>
      </c>
      <c r="B111" s="8" t="s">
        <v>1862</v>
      </c>
      <c r="C111" s="45">
        <f t="shared" si="26"/>
        <v>0</v>
      </c>
      <c r="D111" s="666">
        <f xml:space="preserve"> polymer_valve_size</f>
        <v>0</v>
      </c>
      <c r="E111" s="6" t="s">
        <v>1710</v>
      </c>
      <c r="F111">
        <f t="shared" si="27"/>
        <v>0</v>
      </c>
      <c r="G111">
        <f t="shared" si="27"/>
        <v>0</v>
      </c>
      <c r="H111">
        <f t="shared" si="27"/>
        <v>0</v>
      </c>
      <c r="I111">
        <f t="shared" si="27"/>
        <v>0</v>
      </c>
      <c r="J111">
        <f t="shared" si="27"/>
        <v>0</v>
      </c>
      <c r="K111">
        <f t="shared" si="27"/>
        <v>0</v>
      </c>
      <c r="L111">
        <f t="shared" si="27"/>
        <v>0</v>
      </c>
      <c r="M111">
        <f t="shared" si="27"/>
        <v>29.057432393999999</v>
      </c>
      <c r="N111">
        <f t="shared" si="27"/>
        <v>41.157186721000002</v>
      </c>
      <c r="O111">
        <f t="shared" si="27"/>
        <v>41.987963886999999</v>
      </c>
      <c r="P111">
        <f t="shared" si="27"/>
        <v>12.1</v>
      </c>
      <c r="Q111">
        <f t="shared" si="27"/>
        <v>0</v>
      </c>
    </row>
    <row r="112" spans="1:17">
      <c r="A112" s="8" t="s">
        <v>2395</v>
      </c>
      <c r="B112" s="8" t="s">
        <v>1863</v>
      </c>
      <c r="C112" s="45">
        <f t="shared" si="26"/>
        <v>0</v>
      </c>
      <c r="D112" s="666">
        <f xml:space="preserve"> polymer_valve_size</f>
        <v>0</v>
      </c>
      <c r="E112" s="6" t="s">
        <v>1712</v>
      </c>
      <c r="F112">
        <f t="shared" si="27"/>
        <v>0</v>
      </c>
      <c r="G112">
        <f t="shared" si="27"/>
        <v>0</v>
      </c>
      <c r="H112">
        <f t="shared" si="27"/>
        <v>0</v>
      </c>
      <c r="I112">
        <f t="shared" si="27"/>
        <v>0</v>
      </c>
      <c r="J112">
        <f t="shared" si="27"/>
        <v>0</v>
      </c>
      <c r="K112">
        <f t="shared" si="27"/>
        <v>0</v>
      </c>
      <c r="L112">
        <f t="shared" si="27"/>
        <v>0</v>
      </c>
      <c r="M112">
        <f t="shared" si="27"/>
        <v>31.220161333</v>
      </c>
      <c r="N112">
        <f t="shared" si="27"/>
        <v>300.84320452899999</v>
      </c>
      <c r="O112">
        <f t="shared" si="27"/>
        <v>95.600648059999997</v>
      </c>
      <c r="P112">
        <f t="shared" si="27"/>
        <v>48.1</v>
      </c>
      <c r="Q112">
        <f t="shared" si="27"/>
        <v>0</v>
      </c>
    </row>
    <row r="113" spans="1:17">
      <c r="A113" s="47" t="s">
        <v>2397</v>
      </c>
      <c r="B113" s="8" t="s">
        <v>1864</v>
      </c>
      <c r="C113" s="45">
        <f t="shared" si="26"/>
        <v>0</v>
      </c>
      <c r="D113" s="666">
        <f xml:space="preserve"> polymer_valve_size</f>
        <v>0</v>
      </c>
      <c r="E113" s="6" t="s">
        <v>1714</v>
      </c>
      <c r="F113">
        <f t="shared" si="27"/>
        <v>0</v>
      </c>
      <c r="G113">
        <f t="shared" si="27"/>
        <v>0</v>
      </c>
      <c r="H113">
        <f t="shared" si="27"/>
        <v>0</v>
      </c>
      <c r="I113">
        <f t="shared" si="27"/>
        <v>0</v>
      </c>
      <c r="J113">
        <f t="shared" si="27"/>
        <v>0</v>
      </c>
      <c r="K113">
        <f t="shared" si="27"/>
        <v>0</v>
      </c>
      <c r="L113">
        <f t="shared" si="27"/>
        <v>0.99855227800000002</v>
      </c>
      <c r="M113">
        <f t="shared" si="27"/>
        <v>-6.0986689119999999</v>
      </c>
      <c r="N113">
        <f t="shared" si="27"/>
        <v>403.85014798499998</v>
      </c>
      <c r="O113">
        <f t="shared" si="27"/>
        <v>-514.99226714700001</v>
      </c>
      <c r="P113">
        <f t="shared" si="27"/>
        <v>24.1</v>
      </c>
      <c r="Q113">
        <f t="shared" si="27"/>
        <v>2</v>
      </c>
    </row>
    <row r="114" spans="1:17">
      <c r="A114" s="8" t="s">
        <v>1521</v>
      </c>
      <c r="B114" t="s">
        <v>1522</v>
      </c>
      <c r="C114" s="45">
        <f t="shared" si="26"/>
        <v>1334.9986503970001</v>
      </c>
      <c r="D114">
        <f>in_valve_size</f>
        <v>6</v>
      </c>
      <c r="E114" t="s">
        <v>1710</v>
      </c>
      <c r="F114">
        <f t="shared" si="27"/>
        <v>0</v>
      </c>
      <c r="G114">
        <f t="shared" si="27"/>
        <v>0</v>
      </c>
      <c r="H114">
        <f t="shared" si="27"/>
        <v>0</v>
      </c>
      <c r="I114">
        <f t="shared" si="27"/>
        <v>0</v>
      </c>
      <c r="J114">
        <f t="shared" si="27"/>
        <v>0</v>
      </c>
      <c r="K114">
        <f t="shared" si="27"/>
        <v>0</v>
      </c>
      <c r="L114">
        <f t="shared" si="27"/>
        <v>0</v>
      </c>
      <c r="M114">
        <f t="shared" si="27"/>
        <v>29.057432393999999</v>
      </c>
      <c r="N114">
        <f t="shared" si="27"/>
        <v>41.157186721000002</v>
      </c>
      <c r="O114">
        <f t="shared" si="27"/>
        <v>41.987963886999999</v>
      </c>
      <c r="P114">
        <f t="shared" si="27"/>
        <v>12.1</v>
      </c>
      <c r="Q114">
        <f t="shared" si="27"/>
        <v>0</v>
      </c>
    </row>
    <row r="115" spans="1:17">
      <c r="A115" s="5" t="s">
        <v>1523</v>
      </c>
      <c r="B115" t="s">
        <v>1524</v>
      </c>
      <c r="C115" s="45">
        <f t="shared" si="26"/>
        <v>3024.5856832219997</v>
      </c>
      <c r="D115">
        <f>in_valve_size</f>
        <v>6</v>
      </c>
      <c r="E115" t="s">
        <v>1712</v>
      </c>
      <c r="F115">
        <f t="shared" si="27"/>
        <v>0</v>
      </c>
      <c r="G115">
        <f t="shared" si="27"/>
        <v>0</v>
      </c>
      <c r="H115">
        <f t="shared" si="27"/>
        <v>0</v>
      </c>
      <c r="I115">
        <f t="shared" si="27"/>
        <v>0</v>
      </c>
      <c r="J115">
        <f t="shared" si="27"/>
        <v>0</v>
      </c>
      <c r="K115">
        <f t="shared" si="27"/>
        <v>0</v>
      </c>
      <c r="L115">
        <f t="shared" si="27"/>
        <v>0</v>
      </c>
      <c r="M115">
        <f t="shared" si="27"/>
        <v>31.220161333</v>
      </c>
      <c r="N115">
        <f t="shared" si="27"/>
        <v>300.84320452899999</v>
      </c>
      <c r="O115">
        <f t="shared" si="27"/>
        <v>95.600648059999997</v>
      </c>
      <c r="P115">
        <f t="shared" si="27"/>
        <v>48.1</v>
      </c>
      <c r="Q115">
        <f t="shared" si="27"/>
        <v>0</v>
      </c>
    </row>
    <row r="116" spans="1:17">
      <c r="A116" s="5" t="s">
        <v>1525</v>
      </c>
      <c r="B116" t="s">
        <v>1526</v>
      </c>
      <c r="C116" s="45">
        <f t="shared" si="26"/>
        <v>1904.2438319790003</v>
      </c>
      <c r="D116">
        <f>in_valve_size</f>
        <v>6</v>
      </c>
      <c r="E116" t="s">
        <v>1714</v>
      </c>
      <c r="F116">
        <f t="shared" si="27"/>
        <v>0</v>
      </c>
      <c r="G116">
        <f t="shared" si="27"/>
        <v>0</v>
      </c>
      <c r="H116">
        <f t="shared" si="27"/>
        <v>0</v>
      </c>
      <c r="I116">
        <f t="shared" si="27"/>
        <v>0</v>
      </c>
      <c r="J116">
        <f t="shared" si="27"/>
        <v>0</v>
      </c>
      <c r="K116">
        <f t="shared" si="27"/>
        <v>0</v>
      </c>
      <c r="L116">
        <f t="shared" si="27"/>
        <v>0.99855227800000002</v>
      </c>
      <c r="M116">
        <f t="shared" si="27"/>
        <v>-6.0986689119999999</v>
      </c>
      <c r="N116">
        <f t="shared" si="27"/>
        <v>403.85014798499998</v>
      </c>
      <c r="O116">
        <f t="shared" si="27"/>
        <v>-514.99226714700001</v>
      </c>
      <c r="P116">
        <f t="shared" si="27"/>
        <v>24.1</v>
      </c>
      <c r="Q116">
        <f t="shared" si="27"/>
        <v>2</v>
      </c>
    </row>
    <row r="117" spans="1:17">
      <c r="A117" s="8" t="s">
        <v>1990</v>
      </c>
      <c r="B117" t="s">
        <v>1999</v>
      </c>
      <c r="C117" s="45">
        <f t="shared" si="26"/>
        <v>0</v>
      </c>
      <c r="D117">
        <f>bypass_valve_size</f>
        <v>0</v>
      </c>
      <c r="E117" t="s">
        <v>1710</v>
      </c>
      <c r="F117">
        <f t="shared" si="27"/>
        <v>0</v>
      </c>
      <c r="G117">
        <f t="shared" si="27"/>
        <v>0</v>
      </c>
      <c r="H117">
        <f t="shared" si="27"/>
        <v>0</v>
      </c>
      <c r="I117">
        <f t="shared" si="27"/>
        <v>0</v>
      </c>
      <c r="J117">
        <f t="shared" si="27"/>
        <v>0</v>
      </c>
      <c r="K117">
        <f t="shared" si="27"/>
        <v>0</v>
      </c>
      <c r="L117">
        <f t="shared" si="27"/>
        <v>0</v>
      </c>
      <c r="M117">
        <f t="shared" si="27"/>
        <v>29.057432393999999</v>
      </c>
      <c r="N117">
        <f t="shared" si="27"/>
        <v>41.157186721000002</v>
      </c>
      <c r="O117">
        <f t="shared" si="27"/>
        <v>41.987963886999999</v>
      </c>
      <c r="P117">
        <f t="shared" si="27"/>
        <v>12.1</v>
      </c>
      <c r="Q117">
        <f t="shared" si="27"/>
        <v>0</v>
      </c>
    </row>
    <row r="118" spans="1:17">
      <c r="A118" s="5" t="s">
        <v>1992</v>
      </c>
      <c r="B118" t="s">
        <v>2000</v>
      </c>
      <c r="C118" s="45">
        <f t="shared" si="26"/>
        <v>0</v>
      </c>
      <c r="D118">
        <f>bypass_valve_size</f>
        <v>0</v>
      </c>
      <c r="E118" t="s">
        <v>1712</v>
      </c>
      <c r="F118">
        <f t="shared" si="27"/>
        <v>0</v>
      </c>
      <c r="G118">
        <f t="shared" si="27"/>
        <v>0</v>
      </c>
      <c r="H118">
        <f t="shared" si="27"/>
        <v>0</v>
      </c>
      <c r="I118">
        <f t="shared" si="27"/>
        <v>0</v>
      </c>
      <c r="J118">
        <f t="shared" si="27"/>
        <v>0</v>
      </c>
      <c r="K118">
        <f t="shared" si="27"/>
        <v>0</v>
      </c>
      <c r="L118">
        <f t="shared" si="27"/>
        <v>0</v>
      </c>
      <c r="M118">
        <f t="shared" si="27"/>
        <v>31.220161333</v>
      </c>
      <c r="N118">
        <f t="shared" si="27"/>
        <v>300.84320452899999</v>
      </c>
      <c r="O118">
        <f t="shared" si="27"/>
        <v>95.600648059999997</v>
      </c>
      <c r="P118">
        <f t="shared" si="27"/>
        <v>48.1</v>
      </c>
      <c r="Q118">
        <f t="shared" si="27"/>
        <v>0</v>
      </c>
    </row>
    <row r="119" spans="1:17">
      <c r="A119" s="5" t="s">
        <v>1994</v>
      </c>
      <c r="B119" t="s">
        <v>2001</v>
      </c>
      <c r="C119" s="45">
        <f t="shared" si="26"/>
        <v>0</v>
      </c>
      <c r="D119">
        <f>bypass_valve_size</f>
        <v>0</v>
      </c>
      <c r="E119" t="s">
        <v>1714</v>
      </c>
      <c r="F119">
        <f t="shared" si="27"/>
        <v>0</v>
      </c>
      <c r="G119">
        <f t="shared" si="27"/>
        <v>0</v>
      </c>
      <c r="H119">
        <f t="shared" si="27"/>
        <v>0</v>
      </c>
      <c r="I119">
        <f t="shared" si="27"/>
        <v>0</v>
      </c>
      <c r="J119">
        <f t="shared" si="27"/>
        <v>0</v>
      </c>
      <c r="K119">
        <f t="shared" si="27"/>
        <v>0</v>
      </c>
      <c r="L119">
        <f t="shared" si="27"/>
        <v>0.99855227800000002</v>
      </c>
      <c r="M119">
        <f t="shared" si="27"/>
        <v>-6.0986689119999999</v>
      </c>
      <c r="N119">
        <f t="shared" si="27"/>
        <v>403.85014798499998</v>
      </c>
      <c r="O119">
        <f t="shared" si="27"/>
        <v>-514.99226714700001</v>
      </c>
      <c r="P119">
        <f t="shared" si="27"/>
        <v>24.1</v>
      </c>
      <c r="Q119">
        <f t="shared" si="27"/>
        <v>2</v>
      </c>
    </row>
    <row r="120" spans="1:17">
      <c r="A120" s="19" t="s">
        <v>769</v>
      </c>
    </row>
    <row r="121" spans="1:17">
      <c r="A121" s="16" t="s">
        <v>770</v>
      </c>
      <c r="B121" t="s">
        <v>3046</v>
      </c>
      <c r="C121" s="45">
        <f t="shared" ref="C121:C123" si="28">IF(D121=0,0,IF(OR(D121&gt;P121,D121&lt;Q121),"contact vendor",F121*D121^G121+H121*LN(D121)+I121+J121*EXP(K121*D121)+L121*D121^3+M121*D121^2+N121*D121+O121))</f>
        <v>0</v>
      </c>
      <c r="D121">
        <f>pump_rating</f>
        <v>0</v>
      </c>
      <c r="E121" t="s">
        <v>3046</v>
      </c>
      <c r="F121">
        <f t="shared" ref="F121:Q123" si="29">VLOOKUP($E121,eq_table_cl,F$4,FALSE)</f>
        <v>0</v>
      </c>
      <c r="G121">
        <f t="shared" si="29"/>
        <v>0</v>
      </c>
      <c r="H121">
        <f t="shared" si="29"/>
        <v>0</v>
      </c>
      <c r="I121">
        <f t="shared" si="29"/>
        <v>0</v>
      </c>
      <c r="J121">
        <f t="shared" si="29"/>
        <v>0</v>
      </c>
      <c r="K121">
        <f t="shared" si="29"/>
        <v>0</v>
      </c>
      <c r="L121">
        <f t="shared" si="29"/>
        <v>0</v>
      </c>
      <c r="M121">
        <f t="shared" si="29"/>
        <v>-4.6792200000000001E-4</v>
      </c>
      <c r="N121">
        <f t="shared" si="29"/>
        <v>12.098844774</v>
      </c>
      <c r="O121">
        <f t="shared" si="29"/>
        <v>6672.3461545199998</v>
      </c>
      <c r="P121">
        <f t="shared" si="29"/>
        <v>10001</v>
      </c>
      <c r="Q121">
        <f t="shared" si="29"/>
        <v>0</v>
      </c>
    </row>
    <row r="122" spans="1:17">
      <c r="A122" s="16" t="s">
        <v>771</v>
      </c>
      <c r="B122" t="s">
        <v>1666</v>
      </c>
      <c r="C122" s="45">
        <f t="shared" si="28"/>
        <v>0</v>
      </c>
      <c r="D122">
        <f>back_pump_rating</f>
        <v>0</v>
      </c>
      <c r="E122" t="s">
        <v>1715</v>
      </c>
      <c r="F122">
        <f t="shared" si="29"/>
        <v>0</v>
      </c>
      <c r="G122">
        <f t="shared" si="29"/>
        <v>0</v>
      </c>
      <c r="H122">
        <f t="shared" si="29"/>
        <v>0</v>
      </c>
      <c r="I122">
        <f t="shared" si="29"/>
        <v>0</v>
      </c>
      <c r="J122">
        <f t="shared" si="29"/>
        <v>0</v>
      </c>
      <c r="K122">
        <f t="shared" si="29"/>
        <v>0</v>
      </c>
      <c r="L122">
        <f t="shared" si="29"/>
        <v>0</v>
      </c>
      <c r="M122">
        <f t="shared" si="29"/>
        <v>-4.6792200000000001E-4</v>
      </c>
      <c r="N122">
        <f t="shared" si="29"/>
        <v>12.098844774</v>
      </c>
      <c r="O122">
        <f t="shared" si="29"/>
        <v>6672.3461545199998</v>
      </c>
      <c r="P122">
        <f t="shared" si="29"/>
        <v>10001</v>
      </c>
      <c r="Q122">
        <f t="shared" si="29"/>
        <v>0</v>
      </c>
    </row>
    <row r="123" spans="1:17">
      <c r="A123" s="97" t="s">
        <v>2710</v>
      </c>
      <c r="B123" t="s">
        <v>2711</v>
      </c>
      <c r="C123" s="45">
        <f t="shared" si="28"/>
        <v>0</v>
      </c>
      <c r="D123">
        <f>res_pump_rating</f>
        <v>0</v>
      </c>
      <c r="E123" t="s">
        <v>3046</v>
      </c>
      <c r="F123">
        <f t="shared" si="29"/>
        <v>0</v>
      </c>
      <c r="G123">
        <f t="shared" si="29"/>
        <v>0</v>
      </c>
      <c r="H123">
        <f t="shared" si="29"/>
        <v>0</v>
      </c>
      <c r="I123">
        <f t="shared" si="29"/>
        <v>0</v>
      </c>
      <c r="J123">
        <f t="shared" si="29"/>
        <v>0</v>
      </c>
      <c r="K123">
        <f t="shared" si="29"/>
        <v>0</v>
      </c>
      <c r="L123">
        <f t="shared" si="29"/>
        <v>0</v>
      </c>
      <c r="M123">
        <f t="shared" si="29"/>
        <v>-4.6792200000000001E-4</v>
      </c>
      <c r="N123">
        <f t="shared" si="29"/>
        <v>12.098844774</v>
      </c>
      <c r="O123">
        <f t="shared" si="29"/>
        <v>6672.3461545199998</v>
      </c>
      <c r="P123">
        <f t="shared" si="29"/>
        <v>10001</v>
      </c>
      <c r="Q123">
        <f t="shared" si="29"/>
        <v>0</v>
      </c>
    </row>
    <row r="124" spans="1:17">
      <c r="A124" s="97" t="s">
        <v>2421</v>
      </c>
      <c r="C124" s="605"/>
    </row>
    <row r="125" spans="1:17">
      <c r="A125" s="47" t="s">
        <v>2402</v>
      </c>
      <c r="B125" s="5" t="s">
        <v>2403</v>
      </c>
      <c r="C125" s="45">
        <f t="shared" ref="C125:C128" si="30">IF(D125=0,0,IF(OR(D125&gt;P125,D125&lt;Q125),"contact vendor",F125*D125^G125+H125*LN(D125)+I125+J125*EXP(K125*D125)+L125*D125^3+M125*D125^2+N125*D125+O125))</f>
        <v>0</v>
      </c>
      <c r="D125">
        <f>cm_pump_rating_polymer</f>
        <v>0</v>
      </c>
      <c r="E125" s="5" t="s">
        <v>2404</v>
      </c>
      <c r="F125">
        <f t="shared" ref="F125:Q128" si="31">VLOOKUP($E125,eq_table_cl,F$4,FALSE)</f>
        <v>2131.0173186699999</v>
      </c>
      <c r="G125">
        <f t="shared" si="31"/>
        <v>0.15164036</v>
      </c>
      <c r="H125">
        <f t="shared" si="31"/>
        <v>0</v>
      </c>
      <c r="I125">
        <f t="shared" si="31"/>
        <v>0</v>
      </c>
      <c r="J125">
        <f t="shared" si="31"/>
        <v>0</v>
      </c>
      <c r="K125">
        <f t="shared" si="31"/>
        <v>0</v>
      </c>
      <c r="L125">
        <f t="shared" si="31"/>
        <v>0</v>
      </c>
      <c r="M125">
        <f t="shared" si="31"/>
        <v>0</v>
      </c>
      <c r="N125">
        <f t="shared" si="31"/>
        <v>0</v>
      </c>
      <c r="O125">
        <f t="shared" si="31"/>
        <v>0</v>
      </c>
      <c r="P125">
        <f t="shared" si="31"/>
        <v>108.01</v>
      </c>
      <c r="Q125">
        <f t="shared" si="31"/>
        <v>0</v>
      </c>
    </row>
    <row r="126" spans="1:17">
      <c r="A126" s="47" t="s">
        <v>2405</v>
      </c>
      <c r="B126" s="5" t="s">
        <v>2406</v>
      </c>
      <c r="C126" s="45">
        <f t="shared" si="30"/>
        <v>0</v>
      </c>
      <c r="D126">
        <f>cm_pump_rating_polymer</f>
        <v>0</v>
      </c>
      <c r="E126" s="5" t="s">
        <v>2407</v>
      </c>
      <c r="F126">
        <f t="shared" si="31"/>
        <v>0</v>
      </c>
      <c r="G126">
        <f t="shared" si="31"/>
        <v>0</v>
      </c>
      <c r="H126">
        <f t="shared" si="31"/>
        <v>0</v>
      </c>
      <c r="I126">
        <f t="shared" si="31"/>
        <v>0</v>
      </c>
      <c r="J126">
        <f t="shared" si="31"/>
        <v>0</v>
      </c>
      <c r="K126">
        <f t="shared" si="31"/>
        <v>0</v>
      </c>
      <c r="L126">
        <f t="shared" si="31"/>
        <v>-5.0447E-5</v>
      </c>
      <c r="M126">
        <f t="shared" si="31"/>
        <v>2.3222423999999998E-2</v>
      </c>
      <c r="N126">
        <f t="shared" si="31"/>
        <v>6.9804461360000003</v>
      </c>
      <c r="O126">
        <f t="shared" si="31"/>
        <v>4385.3605613760001</v>
      </c>
      <c r="P126">
        <f t="shared" si="31"/>
        <v>360.01</v>
      </c>
      <c r="Q126">
        <f t="shared" si="31"/>
        <v>0</v>
      </c>
    </row>
    <row r="127" spans="1:17">
      <c r="A127" s="47" t="s">
        <v>2408</v>
      </c>
      <c r="B127" s="5" t="s">
        <v>2409</v>
      </c>
      <c r="C127" s="45">
        <f t="shared" si="30"/>
        <v>0</v>
      </c>
      <c r="D127">
        <f>cm_pump_rating_polymer</f>
        <v>0</v>
      </c>
      <c r="E127" s="5" t="s">
        <v>2410</v>
      </c>
      <c r="F127">
        <f t="shared" si="31"/>
        <v>841.48377830200002</v>
      </c>
      <c r="G127">
        <f t="shared" si="31"/>
        <v>0.297238954</v>
      </c>
      <c r="H127">
        <f t="shared" si="31"/>
        <v>0</v>
      </c>
      <c r="I127">
        <f t="shared" si="31"/>
        <v>0</v>
      </c>
      <c r="J127">
        <f t="shared" si="31"/>
        <v>0</v>
      </c>
      <c r="K127">
        <f t="shared" si="31"/>
        <v>0</v>
      </c>
      <c r="L127">
        <f t="shared" si="31"/>
        <v>0</v>
      </c>
      <c r="M127">
        <f t="shared" si="31"/>
        <v>0</v>
      </c>
      <c r="N127">
        <f t="shared" si="31"/>
        <v>0</v>
      </c>
      <c r="O127">
        <f t="shared" si="31"/>
        <v>0</v>
      </c>
      <c r="P127">
        <f t="shared" si="31"/>
        <v>71.160000000000011</v>
      </c>
      <c r="Q127">
        <f t="shared" si="31"/>
        <v>0</v>
      </c>
    </row>
    <row r="128" spans="1:17">
      <c r="A128" s="47" t="s">
        <v>2411</v>
      </c>
      <c r="B128" s="5" t="s">
        <v>2412</v>
      </c>
      <c r="C128" s="45">
        <f t="shared" si="30"/>
        <v>0</v>
      </c>
      <c r="D128">
        <f>cm_pump_rating_polymer</f>
        <v>0</v>
      </c>
      <c r="E128" s="5" t="s">
        <v>2413</v>
      </c>
      <c r="F128">
        <f t="shared" si="31"/>
        <v>1639.6207960889999</v>
      </c>
      <c r="G128">
        <f t="shared" si="31"/>
        <v>0.215673063</v>
      </c>
      <c r="H128">
        <f t="shared" si="31"/>
        <v>0</v>
      </c>
      <c r="I128">
        <f t="shared" si="31"/>
        <v>0</v>
      </c>
      <c r="J128">
        <f t="shared" si="31"/>
        <v>0</v>
      </c>
      <c r="K128">
        <f t="shared" si="31"/>
        <v>0</v>
      </c>
      <c r="L128">
        <f t="shared" si="31"/>
        <v>0</v>
      </c>
      <c r="M128">
        <f t="shared" si="31"/>
        <v>0</v>
      </c>
      <c r="N128">
        <f t="shared" si="31"/>
        <v>0</v>
      </c>
      <c r="O128">
        <f t="shared" si="31"/>
        <v>0</v>
      </c>
      <c r="P128">
        <f t="shared" si="31"/>
        <v>186.35999999999999</v>
      </c>
      <c r="Q128">
        <f t="shared" si="31"/>
        <v>0</v>
      </c>
    </row>
    <row r="129" spans="1:17">
      <c r="A129" s="19" t="s">
        <v>772</v>
      </c>
    </row>
    <row r="130" spans="1:17">
      <c r="A130" s="97" t="s">
        <v>66</v>
      </c>
    </row>
    <row r="131" spans="1:17">
      <c r="A131" s="8" t="s">
        <v>67</v>
      </c>
      <c r="B131" t="s">
        <v>2762</v>
      </c>
      <c r="C131" s="45">
        <f t="shared" ref="C131:C134" si="32">IF(D131=0,0,IF(OR(D131&gt;P131,D131&lt;Q131),"contact vendor",F131*D131^G131+H131*LN(D131)+I131+J131*EXP(K131*D131)+L131*D131^3+M131*D131^2+N131*D131+O131))</f>
        <v>4551.1897718580003</v>
      </c>
      <c r="D131">
        <f>in_meter_size</f>
        <v>6</v>
      </c>
      <c r="E131" t="s">
        <v>2763</v>
      </c>
      <c r="F131">
        <f t="shared" ref="F131:Q134" si="33">VLOOKUP($E131,eq_table_cl,F$4,FALSE)</f>
        <v>0</v>
      </c>
      <c r="G131">
        <f t="shared" si="33"/>
        <v>0</v>
      </c>
      <c r="H131">
        <f t="shared" si="33"/>
        <v>0</v>
      </c>
      <c r="I131">
        <f t="shared" si="33"/>
        <v>0</v>
      </c>
      <c r="J131">
        <f t="shared" si="33"/>
        <v>0</v>
      </c>
      <c r="K131">
        <f t="shared" si="33"/>
        <v>0</v>
      </c>
      <c r="L131">
        <f t="shared" si="33"/>
        <v>9.7957252999999994E-2</v>
      </c>
      <c r="M131">
        <f t="shared" si="33"/>
        <v>-4.3835991869999997</v>
      </c>
      <c r="N131">
        <f t="shared" si="33"/>
        <v>363.647694102</v>
      </c>
      <c r="O131">
        <f t="shared" si="33"/>
        <v>2505.9544113299999</v>
      </c>
      <c r="P131">
        <f t="shared" si="33"/>
        <v>60.1</v>
      </c>
      <c r="Q131">
        <f t="shared" si="33"/>
        <v>0</v>
      </c>
    </row>
    <row r="132" spans="1:17">
      <c r="A132" s="8" t="s">
        <v>68</v>
      </c>
      <c r="B132" t="s">
        <v>69</v>
      </c>
      <c r="C132" s="45">
        <f t="shared" si="32"/>
        <v>4056.6381057109988</v>
      </c>
      <c r="D132">
        <f>in_meter_size</f>
        <v>6</v>
      </c>
      <c r="E132" t="s">
        <v>70</v>
      </c>
      <c r="F132">
        <f t="shared" si="33"/>
        <v>0</v>
      </c>
      <c r="G132">
        <f t="shared" si="33"/>
        <v>0</v>
      </c>
      <c r="H132">
        <f t="shared" si="33"/>
        <v>0</v>
      </c>
      <c r="I132">
        <f t="shared" si="33"/>
        <v>0</v>
      </c>
      <c r="J132">
        <f t="shared" si="33"/>
        <v>0</v>
      </c>
      <c r="K132">
        <f t="shared" si="33"/>
        <v>0</v>
      </c>
      <c r="L132">
        <f t="shared" si="33"/>
        <v>8.7451079239999991</v>
      </c>
      <c r="M132">
        <f t="shared" si="33"/>
        <v>-168.97460075800001</v>
      </c>
      <c r="N132">
        <f t="shared" si="33"/>
        <v>1267.9447276149999</v>
      </c>
      <c r="O132">
        <f t="shared" si="33"/>
        <v>643.112055725</v>
      </c>
      <c r="P132">
        <f t="shared" si="33"/>
        <v>14.1</v>
      </c>
      <c r="Q132">
        <f t="shared" si="33"/>
        <v>0</v>
      </c>
    </row>
    <row r="133" spans="1:17">
      <c r="A133" s="8" t="s">
        <v>71</v>
      </c>
      <c r="B133" t="s">
        <v>72</v>
      </c>
      <c r="C133" s="45">
        <f t="shared" si="32"/>
        <v>12235.568062914001</v>
      </c>
      <c r="D133">
        <f>in_meter_size</f>
        <v>6</v>
      </c>
      <c r="E133" t="s">
        <v>73</v>
      </c>
      <c r="F133">
        <f t="shared" si="33"/>
        <v>0</v>
      </c>
      <c r="G133">
        <f t="shared" si="33"/>
        <v>0</v>
      </c>
      <c r="H133">
        <f t="shared" si="33"/>
        <v>0</v>
      </c>
      <c r="I133">
        <f t="shared" si="33"/>
        <v>0</v>
      </c>
      <c r="J133">
        <f t="shared" si="33"/>
        <v>0</v>
      </c>
      <c r="K133">
        <f t="shared" si="33"/>
        <v>0</v>
      </c>
      <c r="L133">
        <f t="shared" si="33"/>
        <v>8.2282792489999999</v>
      </c>
      <c r="M133">
        <f t="shared" si="33"/>
        <v>-257.28572106299998</v>
      </c>
      <c r="N133">
        <f t="shared" si="33"/>
        <v>3322.365776822</v>
      </c>
      <c r="O133">
        <f t="shared" si="33"/>
        <v>-213.648957534</v>
      </c>
      <c r="P133">
        <f t="shared" si="33"/>
        <v>24.1</v>
      </c>
      <c r="Q133">
        <f t="shared" si="33"/>
        <v>0</v>
      </c>
    </row>
    <row r="134" spans="1:17">
      <c r="A134" s="8" t="s">
        <v>74</v>
      </c>
      <c r="B134" t="s">
        <v>75</v>
      </c>
      <c r="C134" s="45">
        <f t="shared" si="32"/>
        <v>6693.381779976</v>
      </c>
      <c r="D134">
        <f>in_meter_size</f>
        <v>6</v>
      </c>
      <c r="E134" t="s">
        <v>76</v>
      </c>
      <c r="F134">
        <f t="shared" si="33"/>
        <v>0</v>
      </c>
      <c r="G134">
        <f t="shared" si="33"/>
        <v>0</v>
      </c>
      <c r="H134">
        <f t="shared" si="33"/>
        <v>0</v>
      </c>
      <c r="I134">
        <f t="shared" si="33"/>
        <v>0</v>
      </c>
      <c r="J134">
        <f t="shared" si="33"/>
        <v>0</v>
      </c>
      <c r="K134">
        <f t="shared" si="33"/>
        <v>0</v>
      </c>
      <c r="L134">
        <f t="shared" si="33"/>
        <v>0</v>
      </c>
      <c r="M134">
        <f t="shared" si="33"/>
        <v>56.418741707000002</v>
      </c>
      <c r="N134">
        <f t="shared" si="33"/>
        <v>185.44349340400001</v>
      </c>
      <c r="O134">
        <f t="shared" si="33"/>
        <v>3549.6461181</v>
      </c>
      <c r="P134">
        <f t="shared" si="33"/>
        <v>20.100000000000001</v>
      </c>
      <c r="Q134">
        <f t="shared" si="33"/>
        <v>0</v>
      </c>
    </row>
    <row r="135" spans="1:17">
      <c r="A135" s="97" t="s">
        <v>77</v>
      </c>
    </row>
    <row r="136" spans="1:17">
      <c r="A136" s="8" t="s">
        <v>67</v>
      </c>
      <c r="B136" t="s">
        <v>2816</v>
      </c>
      <c r="C136" s="45">
        <f t="shared" ref="C136:C139" si="34">IF(D136=0,0,IF(OR(D136&gt;P136,D136&lt;Q136),"contact vendor",F136*D136^G136+H136*LN(D136)+I136+J136*EXP(K136*D136)+L136*D136^3+M136*D136^2+N136*D136+O136))</f>
        <v>4551.1897718580003</v>
      </c>
      <c r="D136">
        <f>proc_meter_size</f>
        <v>6</v>
      </c>
      <c r="E136" t="s">
        <v>2763</v>
      </c>
      <c r="F136">
        <f t="shared" ref="F136:Q139" si="35">VLOOKUP($E136,eq_table_cl,F$4,FALSE)</f>
        <v>0</v>
      </c>
      <c r="G136">
        <f t="shared" si="35"/>
        <v>0</v>
      </c>
      <c r="H136">
        <f t="shared" si="35"/>
        <v>0</v>
      </c>
      <c r="I136">
        <f t="shared" si="35"/>
        <v>0</v>
      </c>
      <c r="J136">
        <f t="shared" si="35"/>
        <v>0</v>
      </c>
      <c r="K136">
        <f t="shared" si="35"/>
        <v>0</v>
      </c>
      <c r="L136">
        <f t="shared" si="35"/>
        <v>9.7957252999999994E-2</v>
      </c>
      <c r="M136">
        <f t="shared" si="35"/>
        <v>-4.3835991869999997</v>
      </c>
      <c r="N136">
        <f t="shared" si="35"/>
        <v>363.647694102</v>
      </c>
      <c r="O136">
        <f t="shared" si="35"/>
        <v>2505.9544113299999</v>
      </c>
      <c r="P136">
        <f t="shared" si="35"/>
        <v>60.1</v>
      </c>
      <c r="Q136">
        <f t="shared" si="35"/>
        <v>0</v>
      </c>
    </row>
    <row r="137" spans="1:17">
      <c r="A137" s="8" t="s">
        <v>68</v>
      </c>
      <c r="B137" t="s">
        <v>78</v>
      </c>
      <c r="C137" s="45">
        <f t="shared" si="34"/>
        <v>4056.6381057109988</v>
      </c>
      <c r="D137">
        <f>proc_meter_size</f>
        <v>6</v>
      </c>
      <c r="E137" t="s">
        <v>70</v>
      </c>
      <c r="F137">
        <f t="shared" si="35"/>
        <v>0</v>
      </c>
      <c r="G137">
        <f t="shared" si="35"/>
        <v>0</v>
      </c>
      <c r="H137">
        <f t="shared" si="35"/>
        <v>0</v>
      </c>
      <c r="I137">
        <f t="shared" si="35"/>
        <v>0</v>
      </c>
      <c r="J137">
        <f t="shared" si="35"/>
        <v>0</v>
      </c>
      <c r="K137">
        <f t="shared" si="35"/>
        <v>0</v>
      </c>
      <c r="L137">
        <f t="shared" si="35"/>
        <v>8.7451079239999991</v>
      </c>
      <c r="M137">
        <f t="shared" si="35"/>
        <v>-168.97460075800001</v>
      </c>
      <c r="N137">
        <f t="shared" si="35"/>
        <v>1267.9447276149999</v>
      </c>
      <c r="O137">
        <f t="shared" si="35"/>
        <v>643.112055725</v>
      </c>
      <c r="P137">
        <f t="shared" si="35"/>
        <v>14.1</v>
      </c>
      <c r="Q137">
        <f t="shared" si="35"/>
        <v>0</v>
      </c>
    </row>
    <row r="138" spans="1:17">
      <c r="A138" s="8" t="s">
        <v>71</v>
      </c>
      <c r="B138" t="s">
        <v>79</v>
      </c>
      <c r="C138" s="45">
        <f t="shared" si="34"/>
        <v>12235.568062914001</v>
      </c>
      <c r="D138">
        <f>proc_meter_size</f>
        <v>6</v>
      </c>
      <c r="E138" t="s">
        <v>73</v>
      </c>
      <c r="F138">
        <f t="shared" si="35"/>
        <v>0</v>
      </c>
      <c r="G138">
        <f t="shared" si="35"/>
        <v>0</v>
      </c>
      <c r="H138">
        <f t="shared" si="35"/>
        <v>0</v>
      </c>
      <c r="I138">
        <f t="shared" si="35"/>
        <v>0</v>
      </c>
      <c r="J138">
        <f t="shared" si="35"/>
        <v>0</v>
      </c>
      <c r="K138">
        <f t="shared" si="35"/>
        <v>0</v>
      </c>
      <c r="L138">
        <f t="shared" si="35"/>
        <v>8.2282792489999999</v>
      </c>
      <c r="M138">
        <f t="shared" si="35"/>
        <v>-257.28572106299998</v>
      </c>
      <c r="N138">
        <f t="shared" si="35"/>
        <v>3322.365776822</v>
      </c>
      <c r="O138">
        <f t="shared" si="35"/>
        <v>-213.648957534</v>
      </c>
      <c r="P138">
        <f t="shared" si="35"/>
        <v>24.1</v>
      </c>
      <c r="Q138">
        <f t="shared" si="35"/>
        <v>0</v>
      </c>
    </row>
    <row r="139" spans="1:17">
      <c r="A139" s="8" t="s">
        <v>74</v>
      </c>
      <c r="B139" t="s">
        <v>80</v>
      </c>
      <c r="C139" s="45">
        <f t="shared" si="34"/>
        <v>6693.381779976</v>
      </c>
      <c r="D139">
        <f>proc_meter_size</f>
        <v>6</v>
      </c>
      <c r="E139" t="s">
        <v>76</v>
      </c>
      <c r="F139">
        <f t="shared" si="35"/>
        <v>0</v>
      </c>
      <c r="G139">
        <f t="shared" si="35"/>
        <v>0</v>
      </c>
      <c r="H139">
        <f t="shared" si="35"/>
        <v>0</v>
      </c>
      <c r="I139">
        <f t="shared" si="35"/>
        <v>0</v>
      </c>
      <c r="J139">
        <f t="shared" si="35"/>
        <v>0</v>
      </c>
      <c r="K139">
        <f t="shared" si="35"/>
        <v>0</v>
      </c>
      <c r="L139">
        <f t="shared" si="35"/>
        <v>0</v>
      </c>
      <c r="M139">
        <f t="shared" si="35"/>
        <v>56.418741707000002</v>
      </c>
      <c r="N139">
        <f t="shared" si="35"/>
        <v>185.44349340400001</v>
      </c>
      <c r="O139">
        <f t="shared" si="35"/>
        <v>3549.6461181</v>
      </c>
      <c r="P139">
        <f t="shared" si="35"/>
        <v>20.100000000000001</v>
      </c>
      <c r="Q139">
        <f t="shared" si="35"/>
        <v>0</v>
      </c>
    </row>
    <row r="140" spans="1:17">
      <c r="A140" s="97" t="s">
        <v>81</v>
      </c>
      <c r="C140" s="45"/>
    </row>
    <row r="141" spans="1:17">
      <c r="A141" s="8" t="s">
        <v>67</v>
      </c>
      <c r="B141" t="s">
        <v>1826</v>
      </c>
      <c r="C141" s="45">
        <f t="shared" ref="C141:C144" si="36">IF(D141=0,0,IF(OR(D141&gt;P141,D141&lt;Q141),"contact vendor",F141*D141^G141+H141*LN(D141)+I141+J141*EXP(K141*D141)+L141*D141^3+M141*D141^2+N141*D141+O141))</f>
        <v>4551.1897718580003</v>
      </c>
      <c r="D141">
        <f>back_meter_size</f>
        <v>6</v>
      </c>
      <c r="E141" t="s">
        <v>2763</v>
      </c>
      <c r="F141">
        <f t="shared" ref="F141:Q144" si="37">VLOOKUP($E141,eq_table_cl,F$4,FALSE)</f>
        <v>0</v>
      </c>
      <c r="G141">
        <f t="shared" si="37"/>
        <v>0</v>
      </c>
      <c r="H141">
        <f t="shared" si="37"/>
        <v>0</v>
      </c>
      <c r="I141">
        <f t="shared" si="37"/>
        <v>0</v>
      </c>
      <c r="J141">
        <f t="shared" si="37"/>
        <v>0</v>
      </c>
      <c r="K141">
        <f t="shared" si="37"/>
        <v>0</v>
      </c>
      <c r="L141">
        <f t="shared" si="37"/>
        <v>9.7957252999999994E-2</v>
      </c>
      <c r="M141">
        <f t="shared" si="37"/>
        <v>-4.3835991869999997</v>
      </c>
      <c r="N141">
        <f t="shared" si="37"/>
        <v>363.647694102</v>
      </c>
      <c r="O141">
        <f t="shared" si="37"/>
        <v>2505.9544113299999</v>
      </c>
      <c r="P141">
        <f t="shared" si="37"/>
        <v>60.1</v>
      </c>
      <c r="Q141">
        <f t="shared" si="37"/>
        <v>0</v>
      </c>
    </row>
    <row r="142" spans="1:17">
      <c r="A142" s="8" t="s">
        <v>68</v>
      </c>
      <c r="B142" t="s">
        <v>82</v>
      </c>
      <c r="C142" s="45">
        <f t="shared" si="36"/>
        <v>4056.6381057109988</v>
      </c>
      <c r="D142">
        <f>back_meter_size</f>
        <v>6</v>
      </c>
      <c r="E142" t="s">
        <v>70</v>
      </c>
      <c r="F142">
        <f t="shared" si="37"/>
        <v>0</v>
      </c>
      <c r="G142">
        <f t="shared" si="37"/>
        <v>0</v>
      </c>
      <c r="H142">
        <f t="shared" si="37"/>
        <v>0</v>
      </c>
      <c r="I142">
        <f t="shared" si="37"/>
        <v>0</v>
      </c>
      <c r="J142">
        <f t="shared" si="37"/>
        <v>0</v>
      </c>
      <c r="K142">
        <f t="shared" si="37"/>
        <v>0</v>
      </c>
      <c r="L142">
        <f t="shared" si="37"/>
        <v>8.7451079239999991</v>
      </c>
      <c r="M142">
        <f t="shared" si="37"/>
        <v>-168.97460075800001</v>
      </c>
      <c r="N142">
        <f t="shared" si="37"/>
        <v>1267.9447276149999</v>
      </c>
      <c r="O142">
        <f t="shared" si="37"/>
        <v>643.112055725</v>
      </c>
      <c r="P142">
        <f t="shared" si="37"/>
        <v>14.1</v>
      </c>
      <c r="Q142">
        <f t="shared" si="37"/>
        <v>0</v>
      </c>
    </row>
    <row r="143" spans="1:17">
      <c r="A143" s="8" t="s">
        <v>71</v>
      </c>
      <c r="B143" t="s">
        <v>83</v>
      </c>
      <c r="C143" s="45">
        <f t="shared" si="36"/>
        <v>12235.568062914001</v>
      </c>
      <c r="D143">
        <f>back_meter_size</f>
        <v>6</v>
      </c>
      <c r="E143" t="s">
        <v>73</v>
      </c>
      <c r="F143">
        <f t="shared" si="37"/>
        <v>0</v>
      </c>
      <c r="G143">
        <f t="shared" si="37"/>
        <v>0</v>
      </c>
      <c r="H143">
        <f t="shared" si="37"/>
        <v>0</v>
      </c>
      <c r="I143">
        <f t="shared" si="37"/>
        <v>0</v>
      </c>
      <c r="J143">
        <f t="shared" si="37"/>
        <v>0</v>
      </c>
      <c r="K143">
        <f t="shared" si="37"/>
        <v>0</v>
      </c>
      <c r="L143">
        <f t="shared" si="37"/>
        <v>8.2282792489999999</v>
      </c>
      <c r="M143">
        <f t="shared" si="37"/>
        <v>-257.28572106299998</v>
      </c>
      <c r="N143">
        <f t="shared" si="37"/>
        <v>3322.365776822</v>
      </c>
      <c r="O143">
        <f t="shared" si="37"/>
        <v>-213.648957534</v>
      </c>
      <c r="P143">
        <f t="shared" si="37"/>
        <v>24.1</v>
      </c>
      <c r="Q143">
        <f t="shared" si="37"/>
        <v>0</v>
      </c>
    </row>
    <row r="144" spans="1:17">
      <c r="A144" s="8" t="s">
        <v>74</v>
      </c>
      <c r="B144" t="s">
        <v>84</v>
      </c>
      <c r="C144" s="45">
        <f t="shared" si="36"/>
        <v>6693.381779976</v>
      </c>
      <c r="D144">
        <f>back_meter_size</f>
        <v>6</v>
      </c>
      <c r="E144" t="s">
        <v>76</v>
      </c>
      <c r="F144">
        <f t="shared" si="37"/>
        <v>0</v>
      </c>
      <c r="G144">
        <f t="shared" si="37"/>
        <v>0</v>
      </c>
      <c r="H144">
        <f t="shared" si="37"/>
        <v>0</v>
      </c>
      <c r="I144">
        <f t="shared" si="37"/>
        <v>0</v>
      </c>
      <c r="J144">
        <f t="shared" si="37"/>
        <v>0</v>
      </c>
      <c r="K144">
        <f t="shared" si="37"/>
        <v>0</v>
      </c>
      <c r="L144">
        <f t="shared" si="37"/>
        <v>0</v>
      </c>
      <c r="M144">
        <f t="shared" si="37"/>
        <v>56.418741707000002</v>
      </c>
      <c r="N144">
        <f t="shared" si="37"/>
        <v>185.44349340400001</v>
      </c>
      <c r="O144">
        <f t="shared" si="37"/>
        <v>3549.6461181</v>
      </c>
      <c r="P144">
        <f t="shared" si="37"/>
        <v>20.100000000000001</v>
      </c>
      <c r="Q144">
        <f t="shared" si="37"/>
        <v>0</v>
      </c>
    </row>
    <row r="145" spans="1:17">
      <c r="A145" s="97" t="s">
        <v>85</v>
      </c>
    </row>
    <row r="146" spans="1:17">
      <c r="A146" s="8" t="s">
        <v>67</v>
      </c>
      <c r="B146" t="s">
        <v>2712</v>
      </c>
      <c r="C146" s="45">
        <f t="shared" ref="C146:C149" si="38">IF(D146=0,0,IF(OR(D146&gt;P146,D146&lt;Q146),"contact vendor",F146*D146^G146+H146*LN(D146)+I146+J146*EXP(K146*D146)+L146*D146^3+M146*D146^2+N146*D146+O146))</f>
        <v>4551.1897718580003</v>
      </c>
      <c r="D146">
        <f>res_meter_size</f>
        <v>6</v>
      </c>
      <c r="E146" t="s">
        <v>2763</v>
      </c>
      <c r="F146">
        <f t="shared" ref="F146:Q149" si="39">VLOOKUP($E146,eq_table_cl,F$4,FALSE)</f>
        <v>0</v>
      </c>
      <c r="G146">
        <f t="shared" si="39"/>
        <v>0</v>
      </c>
      <c r="H146">
        <f t="shared" si="39"/>
        <v>0</v>
      </c>
      <c r="I146">
        <f t="shared" si="39"/>
        <v>0</v>
      </c>
      <c r="J146">
        <f t="shared" si="39"/>
        <v>0</v>
      </c>
      <c r="K146">
        <f t="shared" si="39"/>
        <v>0</v>
      </c>
      <c r="L146">
        <f t="shared" si="39"/>
        <v>9.7957252999999994E-2</v>
      </c>
      <c r="M146">
        <f t="shared" si="39"/>
        <v>-4.3835991869999997</v>
      </c>
      <c r="N146">
        <f t="shared" si="39"/>
        <v>363.647694102</v>
      </c>
      <c r="O146">
        <f t="shared" si="39"/>
        <v>2505.9544113299999</v>
      </c>
      <c r="P146">
        <f t="shared" si="39"/>
        <v>60.1</v>
      </c>
      <c r="Q146">
        <f t="shared" si="39"/>
        <v>0</v>
      </c>
    </row>
    <row r="147" spans="1:17">
      <c r="A147" s="8" t="s">
        <v>68</v>
      </c>
      <c r="B147" t="s">
        <v>86</v>
      </c>
      <c r="C147" s="45">
        <f t="shared" si="38"/>
        <v>4056.6381057109988</v>
      </c>
      <c r="D147">
        <f>res_meter_size</f>
        <v>6</v>
      </c>
      <c r="E147" t="s">
        <v>70</v>
      </c>
      <c r="F147">
        <f t="shared" si="39"/>
        <v>0</v>
      </c>
      <c r="G147">
        <f t="shared" si="39"/>
        <v>0</v>
      </c>
      <c r="H147">
        <f t="shared" si="39"/>
        <v>0</v>
      </c>
      <c r="I147">
        <f t="shared" si="39"/>
        <v>0</v>
      </c>
      <c r="J147">
        <f t="shared" si="39"/>
        <v>0</v>
      </c>
      <c r="K147">
        <f t="shared" si="39"/>
        <v>0</v>
      </c>
      <c r="L147">
        <f t="shared" si="39"/>
        <v>8.7451079239999991</v>
      </c>
      <c r="M147">
        <f t="shared" si="39"/>
        <v>-168.97460075800001</v>
      </c>
      <c r="N147">
        <f t="shared" si="39"/>
        <v>1267.9447276149999</v>
      </c>
      <c r="O147">
        <f t="shared" si="39"/>
        <v>643.112055725</v>
      </c>
      <c r="P147">
        <f t="shared" si="39"/>
        <v>14.1</v>
      </c>
      <c r="Q147">
        <f t="shared" si="39"/>
        <v>0</v>
      </c>
    </row>
    <row r="148" spans="1:17">
      <c r="A148" s="8" t="s">
        <v>71</v>
      </c>
      <c r="B148" t="s">
        <v>87</v>
      </c>
      <c r="C148" s="45">
        <f t="shared" si="38"/>
        <v>12235.568062914001</v>
      </c>
      <c r="D148">
        <f>res_meter_size</f>
        <v>6</v>
      </c>
      <c r="E148" t="s">
        <v>73</v>
      </c>
      <c r="F148">
        <f t="shared" si="39"/>
        <v>0</v>
      </c>
      <c r="G148">
        <f t="shared" si="39"/>
        <v>0</v>
      </c>
      <c r="H148">
        <f t="shared" si="39"/>
        <v>0</v>
      </c>
      <c r="I148">
        <f t="shared" si="39"/>
        <v>0</v>
      </c>
      <c r="J148">
        <f t="shared" si="39"/>
        <v>0</v>
      </c>
      <c r="K148">
        <f t="shared" si="39"/>
        <v>0</v>
      </c>
      <c r="L148">
        <f t="shared" si="39"/>
        <v>8.2282792489999999</v>
      </c>
      <c r="M148">
        <f t="shared" si="39"/>
        <v>-257.28572106299998</v>
      </c>
      <c r="N148">
        <f t="shared" si="39"/>
        <v>3322.365776822</v>
      </c>
      <c r="O148">
        <f t="shared" si="39"/>
        <v>-213.648957534</v>
      </c>
      <c r="P148">
        <f t="shared" si="39"/>
        <v>24.1</v>
      </c>
      <c r="Q148">
        <f t="shared" si="39"/>
        <v>0</v>
      </c>
    </row>
    <row r="149" spans="1:17">
      <c r="A149" s="8" t="s">
        <v>74</v>
      </c>
      <c r="B149" t="s">
        <v>88</v>
      </c>
      <c r="C149" s="45">
        <f t="shared" si="38"/>
        <v>6693.381779976</v>
      </c>
      <c r="D149">
        <f>res_meter_size</f>
        <v>6</v>
      </c>
      <c r="E149" t="s">
        <v>76</v>
      </c>
      <c r="F149">
        <f t="shared" si="39"/>
        <v>0</v>
      </c>
      <c r="G149">
        <f t="shared" si="39"/>
        <v>0</v>
      </c>
      <c r="H149">
        <f t="shared" si="39"/>
        <v>0</v>
      </c>
      <c r="I149">
        <f t="shared" si="39"/>
        <v>0</v>
      </c>
      <c r="J149">
        <f t="shared" si="39"/>
        <v>0</v>
      </c>
      <c r="K149">
        <f t="shared" si="39"/>
        <v>0</v>
      </c>
      <c r="L149">
        <f t="shared" si="39"/>
        <v>0</v>
      </c>
      <c r="M149">
        <f t="shared" si="39"/>
        <v>56.418741707000002</v>
      </c>
      <c r="N149">
        <f t="shared" si="39"/>
        <v>185.44349340400001</v>
      </c>
      <c r="O149">
        <f t="shared" si="39"/>
        <v>3549.6461181</v>
      </c>
      <c r="P149">
        <f t="shared" si="39"/>
        <v>20.100000000000001</v>
      </c>
      <c r="Q149">
        <f t="shared" si="39"/>
        <v>0</v>
      </c>
    </row>
    <row r="150" spans="1:17">
      <c r="A150" s="19" t="s">
        <v>2559</v>
      </c>
    </row>
    <row r="151" spans="1:17">
      <c r="A151" s="16" t="s">
        <v>636</v>
      </c>
      <c r="B151" t="s">
        <v>1141</v>
      </c>
      <c r="C151" s="45">
        <f t="shared" ref="C151:C154" si="40">IF(D151=0,0,IF(OR(D151&gt;P151,D151&lt;Q151),"contact vendor",F151*D151^G151+H151*LN(D151)+I151+J151*EXP(K151*D151)+L151*D151^3+M151*D151^2+N151*D151+O151))</f>
        <v>7332.7371179613274</v>
      </c>
      <c r="D151">
        <f>transfer_rate</f>
        <v>2085.3793859758625</v>
      </c>
      <c r="E151" t="s">
        <v>2817</v>
      </c>
      <c r="F151">
        <f t="shared" ref="F151:Q154" si="41">VLOOKUP($E151,eq_table_cl,F$4,FALSE)</f>
        <v>0</v>
      </c>
      <c r="G151">
        <f t="shared" si="41"/>
        <v>0</v>
      </c>
      <c r="H151">
        <f t="shared" si="41"/>
        <v>0</v>
      </c>
      <c r="I151">
        <f t="shared" si="41"/>
        <v>0</v>
      </c>
      <c r="J151">
        <f t="shared" si="41"/>
        <v>0</v>
      </c>
      <c r="K151">
        <f t="shared" si="41"/>
        <v>0</v>
      </c>
      <c r="L151">
        <f t="shared" si="41"/>
        <v>0</v>
      </c>
      <c r="M151">
        <f t="shared" si="41"/>
        <v>2.2497000000000002E-5</v>
      </c>
      <c r="N151">
        <f t="shared" si="41"/>
        <v>4.3621633999999999E-2</v>
      </c>
      <c r="O151">
        <f t="shared" si="41"/>
        <v>7143.9343464289996</v>
      </c>
      <c r="P151">
        <f t="shared" si="41"/>
        <v>31242</v>
      </c>
      <c r="Q151">
        <f t="shared" si="41"/>
        <v>0</v>
      </c>
    </row>
    <row r="152" spans="1:17">
      <c r="A152" s="16" t="s">
        <v>1829</v>
      </c>
      <c r="B152" t="s">
        <v>2818</v>
      </c>
      <c r="C152" s="45" t="str">
        <f t="shared" si="40"/>
        <v>contact vendor</v>
      </c>
      <c r="D152" t="str">
        <f>eductor_size</f>
        <v>NA</v>
      </c>
      <c r="E152" t="s">
        <v>2818</v>
      </c>
      <c r="F152">
        <f t="shared" si="41"/>
        <v>0</v>
      </c>
      <c r="G152">
        <f t="shared" si="41"/>
        <v>0</v>
      </c>
      <c r="H152">
        <f t="shared" si="41"/>
        <v>0</v>
      </c>
      <c r="I152">
        <f t="shared" si="41"/>
        <v>0</v>
      </c>
      <c r="J152">
        <f t="shared" si="41"/>
        <v>0</v>
      </c>
      <c r="K152">
        <f t="shared" si="41"/>
        <v>0</v>
      </c>
      <c r="L152">
        <f t="shared" si="41"/>
        <v>0</v>
      </c>
      <c r="M152">
        <f t="shared" si="41"/>
        <v>0</v>
      </c>
      <c r="N152">
        <f t="shared" si="41"/>
        <v>2905.85776824</v>
      </c>
      <c r="O152">
        <f t="shared" si="41"/>
        <v>-2698.4549106889999</v>
      </c>
      <c r="P152">
        <f t="shared" si="41"/>
        <v>6.1</v>
      </c>
      <c r="Q152">
        <f t="shared" si="41"/>
        <v>1.5</v>
      </c>
    </row>
    <row r="153" spans="1:17">
      <c r="A153" s="16" t="s">
        <v>636</v>
      </c>
      <c r="B153" t="s">
        <v>1703</v>
      </c>
      <c r="C153" s="45">
        <f t="shared" si="40"/>
        <v>0</v>
      </c>
      <c r="D153">
        <f>res_transfer_rate</f>
        <v>0</v>
      </c>
      <c r="E153" t="s">
        <v>2817</v>
      </c>
      <c r="F153">
        <f t="shared" si="41"/>
        <v>0</v>
      </c>
      <c r="G153">
        <f t="shared" si="41"/>
        <v>0</v>
      </c>
      <c r="H153">
        <f t="shared" si="41"/>
        <v>0</v>
      </c>
      <c r="I153">
        <f t="shared" si="41"/>
        <v>0</v>
      </c>
      <c r="J153">
        <f t="shared" si="41"/>
        <v>0</v>
      </c>
      <c r="K153">
        <f t="shared" si="41"/>
        <v>0</v>
      </c>
      <c r="L153">
        <f t="shared" si="41"/>
        <v>0</v>
      </c>
      <c r="M153">
        <f t="shared" si="41"/>
        <v>2.2497000000000002E-5</v>
      </c>
      <c r="N153">
        <f t="shared" si="41"/>
        <v>4.3621633999999999E-2</v>
      </c>
      <c r="O153">
        <f t="shared" si="41"/>
        <v>7143.9343464289996</v>
      </c>
      <c r="P153">
        <f t="shared" si="41"/>
        <v>31242</v>
      </c>
      <c r="Q153">
        <f t="shared" si="41"/>
        <v>0</v>
      </c>
    </row>
    <row r="154" spans="1:17">
      <c r="A154" s="16" t="s">
        <v>1829</v>
      </c>
      <c r="B154" t="s">
        <v>1704</v>
      </c>
      <c r="C154" s="45" t="str">
        <f t="shared" si="40"/>
        <v>contact vendor</v>
      </c>
      <c r="D154" t="str">
        <f>res_eductor_size</f>
        <v>NA</v>
      </c>
      <c r="E154" t="s">
        <v>2818</v>
      </c>
      <c r="F154">
        <f t="shared" si="41"/>
        <v>0</v>
      </c>
      <c r="G154">
        <f t="shared" si="41"/>
        <v>0</v>
      </c>
      <c r="H154">
        <f t="shared" si="41"/>
        <v>0</v>
      </c>
      <c r="I154">
        <f t="shared" si="41"/>
        <v>0</v>
      </c>
      <c r="J154">
        <f t="shared" si="41"/>
        <v>0</v>
      </c>
      <c r="K154">
        <f t="shared" si="41"/>
        <v>0</v>
      </c>
      <c r="L154">
        <f t="shared" si="41"/>
        <v>0</v>
      </c>
      <c r="M154">
        <f t="shared" si="41"/>
        <v>0</v>
      </c>
      <c r="N154">
        <f t="shared" si="41"/>
        <v>2905.85776824</v>
      </c>
      <c r="O154">
        <f t="shared" si="41"/>
        <v>-2698.4549106889999</v>
      </c>
      <c r="P154">
        <f t="shared" si="41"/>
        <v>6.1</v>
      </c>
      <c r="Q154">
        <f t="shared" si="41"/>
        <v>1.5</v>
      </c>
    </row>
    <row r="155" spans="1:17">
      <c r="A155" s="16" t="s">
        <v>2560</v>
      </c>
      <c r="B155" t="s">
        <v>3257</v>
      </c>
      <c r="C155" s="45"/>
    </row>
    <row r="156" spans="1:17">
      <c r="A156" s="937" t="s">
        <v>2568</v>
      </c>
      <c r="C156" s="45"/>
    </row>
    <row r="157" spans="1:17">
      <c r="A157" s="47" t="s">
        <v>2561</v>
      </c>
      <c r="B157" t="s">
        <v>3257</v>
      </c>
    </row>
    <row r="158" spans="1:17">
      <c r="A158" s="47" t="s">
        <v>2562</v>
      </c>
      <c r="B158" t="s">
        <v>2563</v>
      </c>
      <c r="C158" s="45">
        <f t="shared" ref="C158:C159" si="42">IF(D158=0,0,IF(OR(D158&gt;P158,D158&lt;Q158),"contact vendor",F158*D158^G158+H158*LN(D158)+I158+J158*EXP(K158*D158)+L158*D158^3+M158*D158^2+N158*D158+O158))</f>
        <v>0</v>
      </c>
      <c r="D158">
        <f>hmix_size</f>
        <v>0</v>
      </c>
      <c r="E158" t="s">
        <v>2564</v>
      </c>
      <c r="F158">
        <f t="shared" ref="F158:Q159" si="43">VLOOKUP($E158,eq_table_cl,F$4,FALSE)</f>
        <v>0</v>
      </c>
      <c r="G158">
        <f t="shared" si="43"/>
        <v>0</v>
      </c>
      <c r="H158">
        <f t="shared" si="43"/>
        <v>0</v>
      </c>
      <c r="I158">
        <f t="shared" si="43"/>
        <v>0</v>
      </c>
      <c r="J158">
        <f t="shared" si="43"/>
        <v>0</v>
      </c>
      <c r="K158">
        <f t="shared" si="43"/>
        <v>0</v>
      </c>
      <c r="L158">
        <f t="shared" si="43"/>
        <v>0</v>
      </c>
      <c r="M158">
        <f t="shared" si="43"/>
        <v>-105.903037732</v>
      </c>
      <c r="N158">
        <f t="shared" si="43"/>
        <v>1212.4815355010001</v>
      </c>
      <c r="O158">
        <f t="shared" si="43"/>
        <v>1616.960565888</v>
      </c>
      <c r="P158">
        <f t="shared" si="43"/>
        <v>4.0999999999999996</v>
      </c>
      <c r="Q158">
        <f t="shared" si="43"/>
        <v>0</v>
      </c>
    </row>
    <row r="159" spans="1:17">
      <c r="A159" s="8" t="s">
        <v>2643</v>
      </c>
      <c r="B159" t="s">
        <v>2644</v>
      </c>
      <c r="C159" s="45">
        <f t="shared" si="42"/>
        <v>0</v>
      </c>
      <c r="D159">
        <f>hmix_size</f>
        <v>0</v>
      </c>
      <c r="E159" t="s">
        <v>2645</v>
      </c>
      <c r="F159">
        <f t="shared" si="43"/>
        <v>4305.489470388</v>
      </c>
      <c r="G159">
        <f t="shared" si="43"/>
        <v>0.62624343599999999</v>
      </c>
      <c r="H159">
        <f t="shared" si="43"/>
        <v>0</v>
      </c>
      <c r="I159">
        <f t="shared" si="43"/>
        <v>0</v>
      </c>
      <c r="J159">
        <f t="shared" si="43"/>
        <v>0</v>
      </c>
      <c r="K159">
        <f t="shared" si="43"/>
        <v>0</v>
      </c>
      <c r="L159">
        <f t="shared" si="43"/>
        <v>0</v>
      </c>
      <c r="M159">
        <f t="shared" si="43"/>
        <v>0</v>
      </c>
      <c r="N159">
        <f t="shared" si="43"/>
        <v>0</v>
      </c>
      <c r="O159">
        <f t="shared" si="43"/>
        <v>0</v>
      </c>
      <c r="P159">
        <f t="shared" si="43"/>
        <v>110</v>
      </c>
      <c r="Q159">
        <f t="shared" si="43"/>
        <v>0</v>
      </c>
    </row>
    <row r="160" spans="1:17">
      <c r="A160" s="937" t="s">
        <v>3444</v>
      </c>
      <c r="C160" s="45"/>
    </row>
    <row r="161" spans="1:17">
      <c r="A161" s="47" t="s">
        <v>2561</v>
      </c>
      <c r="B161" t="s">
        <v>3257</v>
      </c>
    </row>
    <row r="162" spans="1:17">
      <c r="A162" s="47" t="s">
        <v>2562</v>
      </c>
      <c r="B162" s="537" t="s">
        <v>3448</v>
      </c>
      <c r="C162" s="45">
        <f t="shared" ref="C162:C163" si="44">IF(D162=0,0,IF(OR(D162&gt;P162,D162&lt;Q162),"contact vendor",F162*D162^G162+H162*LN(D162)+I162+J162*EXP(K162*D162)+L162*D162^3+M162*D162^2+N162*D162+O162))</f>
        <v>0</v>
      </c>
      <c r="D162">
        <f>polymer_cmix_size</f>
        <v>0</v>
      </c>
      <c r="E162" t="s">
        <v>2564</v>
      </c>
      <c r="F162">
        <f t="shared" ref="F162:Q163" si="45">VLOOKUP($E162,eq_table_cl,F$4,FALSE)</f>
        <v>0</v>
      </c>
      <c r="G162">
        <f t="shared" si="45"/>
        <v>0</v>
      </c>
      <c r="H162">
        <f t="shared" si="45"/>
        <v>0</v>
      </c>
      <c r="I162">
        <f t="shared" si="45"/>
        <v>0</v>
      </c>
      <c r="J162">
        <f t="shared" si="45"/>
        <v>0</v>
      </c>
      <c r="K162">
        <f t="shared" si="45"/>
        <v>0</v>
      </c>
      <c r="L162">
        <f t="shared" si="45"/>
        <v>0</v>
      </c>
      <c r="M162">
        <f t="shared" si="45"/>
        <v>-105.903037732</v>
      </c>
      <c r="N162">
        <f t="shared" si="45"/>
        <v>1212.4815355010001</v>
      </c>
      <c r="O162">
        <f t="shared" si="45"/>
        <v>1616.960565888</v>
      </c>
      <c r="P162">
        <f t="shared" si="45"/>
        <v>4.0999999999999996</v>
      </c>
      <c r="Q162">
        <f t="shared" si="45"/>
        <v>0</v>
      </c>
    </row>
    <row r="163" spans="1:17">
      <c r="A163" s="8" t="s">
        <v>2643</v>
      </c>
      <c r="B163" s="537" t="s">
        <v>3449</v>
      </c>
      <c r="C163" s="45">
        <f t="shared" si="44"/>
        <v>0</v>
      </c>
      <c r="D163">
        <f>polymer_cmix_size</f>
        <v>0</v>
      </c>
      <c r="E163" t="s">
        <v>2645</v>
      </c>
      <c r="F163">
        <f t="shared" si="45"/>
        <v>4305.489470388</v>
      </c>
      <c r="G163">
        <f t="shared" si="45"/>
        <v>0.62624343599999999</v>
      </c>
      <c r="H163">
        <f t="shared" si="45"/>
        <v>0</v>
      </c>
      <c r="I163">
        <f t="shared" si="45"/>
        <v>0</v>
      </c>
      <c r="J163">
        <f t="shared" si="45"/>
        <v>0</v>
      </c>
      <c r="K163">
        <f t="shared" si="45"/>
        <v>0</v>
      </c>
      <c r="L163">
        <f t="shared" si="45"/>
        <v>0</v>
      </c>
      <c r="M163">
        <f t="shared" si="45"/>
        <v>0</v>
      </c>
      <c r="N163">
        <f t="shared" si="45"/>
        <v>0</v>
      </c>
      <c r="O163">
        <f t="shared" si="45"/>
        <v>0</v>
      </c>
      <c r="P163">
        <f t="shared" si="45"/>
        <v>110</v>
      </c>
      <c r="Q163">
        <f t="shared" si="45"/>
        <v>0</v>
      </c>
    </row>
    <row r="164" spans="1:17">
      <c r="A164" s="31" t="s">
        <v>1677</v>
      </c>
      <c r="B164" s="5"/>
    </row>
    <row r="165" spans="1:17">
      <c r="A165" s="46" t="s">
        <v>3248</v>
      </c>
      <c r="B165" s="5" t="s">
        <v>3249</v>
      </c>
      <c r="C165" s="45">
        <f>IF(D165=0,0,IF(OR(D165&gt;P165,D165&lt;Q165),"contact vendor",F165*D165^G165+H165*LN(D165)+I165+J165*EXP(K165*D165)+L165*D165^3+M165*D165^2+N165*D165+O165))</f>
        <v>1.8519306702541083</v>
      </c>
      <c r="D165">
        <f>IF(GAC&gt;P165,P165,GAC)</f>
        <v>8341.5175439034501</v>
      </c>
      <c r="E165" t="s">
        <v>3249</v>
      </c>
      <c r="F165">
        <f t="shared" ref="F165:Q165" si="46">VLOOKUP($E165,eq_table_cl,F$4,FALSE)</f>
        <v>0</v>
      </c>
      <c r="G165">
        <f t="shared" si="46"/>
        <v>0</v>
      </c>
      <c r="H165">
        <f t="shared" si="46"/>
        <v>0</v>
      </c>
      <c r="I165">
        <f t="shared" si="46"/>
        <v>0</v>
      </c>
      <c r="J165">
        <f t="shared" si="46"/>
        <v>0</v>
      </c>
      <c r="K165">
        <f t="shared" si="46"/>
        <v>0</v>
      </c>
      <c r="L165">
        <f t="shared" si="46"/>
        <v>0</v>
      </c>
      <c r="M165">
        <f t="shared" si="46"/>
        <v>0</v>
      </c>
      <c r="N165">
        <f t="shared" si="46"/>
        <v>-6.3409999999999999E-6</v>
      </c>
      <c r="O165">
        <f t="shared" si="46"/>
        <v>1.904824233</v>
      </c>
      <c r="P165">
        <f t="shared" si="46"/>
        <v>40000</v>
      </c>
      <c r="Q165">
        <f t="shared" si="46"/>
        <v>0</v>
      </c>
    </row>
    <row r="166" spans="1:17">
      <c r="A166" s="46" t="s">
        <v>2235</v>
      </c>
      <c r="B166" s="5" t="s">
        <v>3257</v>
      </c>
      <c r="C166" s="83"/>
    </row>
    <row r="167" spans="1:17">
      <c r="A167" s="31" t="s">
        <v>1016</v>
      </c>
      <c r="B167" s="5"/>
    </row>
    <row r="168" spans="1:17">
      <c r="A168" s="46" t="s">
        <v>3250</v>
      </c>
      <c r="B168" t="s">
        <v>3251</v>
      </c>
      <c r="C168" s="45">
        <f t="shared" ref="C168:C169" si="47">IF(D168=0,0,IF(OR(D168&gt;P168,D168&lt;Q168),"contact vendor",F168*D168^G168+H168*LN(D168)+I168+J168*EXP(K168*D168)+L168*D168^3+M168*D168^2+N168*D168+O168))</f>
        <v>0</v>
      </c>
      <c r="D168">
        <f>furnace_size</f>
        <v>0</v>
      </c>
      <c r="E168" t="s">
        <v>3251</v>
      </c>
      <c r="F168">
        <f t="shared" ref="F168:Q169" si="48">VLOOKUP($E168,eq_table_cl,F$4,FALSE)</f>
        <v>89607.057411429996</v>
      </c>
      <c r="G168">
        <f t="shared" si="48"/>
        <v>0.39101593200000001</v>
      </c>
      <c r="H168">
        <f t="shared" si="48"/>
        <v>0</v>
      </c>
      <c r="I168">
        <f t="shared" si="48"/>
        <v>0</v>
      </c>
      <c r="J168">
        <f t="shared" si="48"/>
        <v>0</v>
      </c>
      <c r="K168">
        <f t="shared" si="48"/>
        <v>0</v>
      </c>
      <c r="L168">
        <f t="shared" si="48"/>
        <v>0</v>
      </c>
      <c r="M168">
        <f t="shared" si="48"/>
        <v>0</v>
      </c>
      <c r="N168">
        <f t="shared" si="48"/>
        <v>0</v>
      </c>
      <c r="O168">
        <f t="shared" si="48"/>
        <v>0</v>
      </c>
      <c r="P168">
        <f t="shared" si="48"/>
        <v>100001</v>
      </c>
      <c r="Q168">
        <f t="shared" si="48"/>
        <v>0</v>
      </c>
    </row>
    <row r="169" spans="1:17">
      <c r="A169" s="46" t="s">
        <v>816</v>
      </c>
      <c r="B169" t="s">
        <v>817</v>
      </c>
      <c r="C169" s="45">
        <f t="shared" si="47"/>
        <v>0</v>
      </c>
      <c r="D169">
        <f>r_regen_capacity</f>
        <v>0</v>
      </c>
      <c r="E169" t="s">
        <v>3251</v>
      </c>
      <c r="F169">
        <f t="shared" si="48"/>
        <v>89607.057411429996</v>
      </c>
      <c r="G169">
        <f t="shared" si="48"/>
        <v>0.39101593200000001</v>
      </c>
      <c r="H169">
        <f t="shared" si="48"/>
        <v>0</v>
      </c>
      <c r="I169">
        <f t="shared" si="48"/>
        <v>0</v>
      </c>
      <c r="J169">
        <f t="shared" si="48"/>
        <v>0</v>
      </c>
      <c r="K169">
        <f t="shared" si="48"/>
        <v>0</v>
      </c>
      <c r="L169">
        <f t="shared" si="48"/>
        <v>0</v>
      </c>
      <c r="M169">
        <f t="shared" si="48"/>
        <v>0</v>
      </c>
      <c r="N169">
        <f t="shared" si="48"/>
        <v>0</v>
      </c>
      <c r="O169">
        <f t="shared" si="48"/>
        <v>0</v>
      </c>
      <c r="P169">
        <f t="shared" si="48"/>
        <v>100001</v>
      </c>
      <c r="Q169">
        <f t="shared" si="48"/>
        <v>0</v>
      </c>
    </row>
    <row r="170" spans="1:17">
      <c r="A170" s="46" t="s">
        <v>3252</v>
      </c>
    </row>
    <row r="171" spans="1:17">
      <c r="A171" s="29" t="s">
        <v>3253</v>
      </c>
      <c r="B171" t="s">
        <v>3257</v>
      </c>
    </row>
    <row r="172" spans="1:17">
      <c r="A172" s="8" t="s">
        <v>3254</v>
      </c>
      <c r="B172" t="s">
        <v>3258</v>
      </c>
      <c r="C172" s="45">
        <f>IF(D172=0,0,IF(OR(D172&gt;P172,D172&lt;Q172),"contact vendor",F172*D172^G172+H172*LN(D172)+I172+J172*EXP(K172*D172)+L172*D172^3+M172*D172^2+N172*D172+O172))</f>
        <v>22306.749090158148</v>
      </c>
      <c r="D172">
        <f>virgin_tank_vol</f>
        <v>2766.1584377923032</v>
      </c>
      <c r="E172" t="s">
        <v>639</v>
      </c>
      <c r="F172">
        <f t="shared" ref="F172:Q172" si="49">VLOOKUP($E172,eq_table_cl,F$4,FALSE)</f>
        <v>355.93975004200001</v>
      </c>
      <c r="G172">
        <f t="shared" si="49"/>
        <v>0.52211620700000005</v>
      </c>
      <c r="H172">
        <f t="shared" si="49"/>
        <v>0</v>
      </c>
      <c r="I172">
        <f t="shared" si="49"/>
        <v>0</v>
      </c>
      <c r="J172">
        <f t="shared" si="49"/>
        <v>0</v>
      </c>
      <c r="K172">
        <f t="shared" si="49"/>
        <v>0</v>
      </c>
      <c r="L172">
        <f t="shared" si="49"/>
        <v>0</v>
      </c>
      <c r="M172">
        <f t="shared" si="49"/>
        <v>0</v>
      </c>
      <c r="N172">
        <f t="shared" si="49"/>
        <v>0</v>
      </c>
      <c r="O172">
        <f t="shared" si="49"/>
        <v>0</v>
      </c>
      <c r="P172">
        <f t="shared" si="49"/>
        <v>282095</v>
      </c>
      <c r="Q172">
        <f t="shared" si="49"/>
        <v>0</v>
      </c>
    </row>
    <row r="173" spans="1:17">
      <c r="A173" s="46" t="s">
        <v>3255</v>
      </c>
    </row>
    <row r="174" spans="1:17">
      <c r="A174" s="29" t="s">
        <v>3253</v>
      </c>
      <c r="B174" t="s">
        <v>3257</v>
      </c>
    </row>
    <row r="175" spans="1:17">
      <c r="A175" s="8" t="s">
        <v>3254</v>
      </c>
      <c r="B175" t="s">
        <v>3259</v>
      </c>
      <c r="C175" s="45">
        <f>IF(D175=0,0,IF(OR(D175&gt;P175,D175&lt;Q175),"contact vendor",F175*D175^G175+H175*LN(D175)+I175+J175*EXP(K175*D175)+L175*D175^3+M175*D175^2+N175*D175+O175))</f>
        <v>22306.749090158148</v>
      </c>
      <c r="D175">
        <f>spent_tank_vol</f>
        <v>2766.1584377923032</v>
      </c>
      <c r="E175" t="s">
        <v>639</v>
      </c>
      <c r="F175">
        <f t="shared" ref="F175:Q175" si="50">VLOOKUP($E175,eq_table_cl,F$4,FALSE)</f>
        <v>355.93975004200001</v>
      </c>
      <c r="G175">
        <f t="shared" si="50"/>
        <v>0.52211620700000005</v>
      </c>
      <c r="H175">
        <f t="shared" si="50"/>
        <v>0</v>
      </c>
      <c r="I175">
        <f t="shared" si="50"/>
        <v>0</v>
      </c>
      <c r="J175">
        <f t="shared" si="50"/>
        <v>0</v>
      </c>
      <c r="K175">
        <f t="shared" si="50"/>
        <v>0</v>
      </c>
      <c r="L175">
        <f t="shared" si="50"/>
        <v>0</v>
      </c>
      <c r="M175">
        <f t="shared" si="50"/>
        <v>0</v>
      </c>
      <c r="N175">
        <f t="shared" si="50"/>
        <v>0</v>
      </c>
      <c r="O175">
        <f t="shared" si="50"/>
        <v>0</v>
      </c>
      <c r="P175">
        <f t="shared" si="50"/>
        <v>282095</v>
      </c>
      <c r="Q175">
        <f t="shared" si="50"/>
        <v>0</v>
      </c>
    </row>
    <row r="176" spans="1:17">
      <c r="A176" s="46" t="s">
        <v>3256</v>
      </c>
    </row>
    <row r="177" spans="1:17">
      <c r="A177" s="29" t="s">
        <v>3253</v>
      </c>
      <c r="B177" t="s">
        <v>3257</v>
      </c>
    </row>
    <row r="178" spans="1:17">
      <c r="A178" s="8" t="s">
        <v>3254</v>
      </c>
      <c r="B178" t="s">
        <v>3260</v>
      </c>
      <c r="C178" s="45">
        <f>IF(D178=0,0,IF(OR(D178&gt;P178,D178&lt;Q178),"contact vendor",F178*D178^G178+H178*LN(D178)+I178+J178*EXP(K178*D178)+L178*D178^3+M178*D178^2+N178*D178+O178))</f>
        <v>22306.749090158148</v>
      </c>
      <c r="D178">
        <f>regen_tank_vol</f>
        <v>2766.1584377923032</v>
      </c>
      <c r="E178" t="s">
        <v>639</v>
      </c>
      <c r="F178">
        <f t="shared" ref="F178:Q178" si="51">VLOOKUP($E178,eq_table_cl,F$4,FALSE)</f>
        <v>355.93975004200001</v>
      </c>
      <c r="G178">
        <f t="shared" si="51"/>
        <v>0.52211620700000005</v>
      </c>
      <c r="H178">
        <f t="shared" si="51"/>
        <v>0</v>
      </c>
      <c r="I178">
        <f t="shared" si="51"/>
        <v>0</v>
      </c>
      <c r="J178">
        <f t="shared" si="51"/>
        <v>0</v>
      </c>
      <c r="K178">
        <f t="shared" si="51"/>
        <v>0</v>
      </c>
      <c r="L178">
        <f t="shared" si="51"/>
        <v>0</v>
      </c>
      <c r="M178">
        <f t="shared" si="51"/>
        <v>0</v>
      </c>
      <c r="N178">
        <f t="shared" si="51"/>
        <v>0</v>
      </c>
      <c r="O178">
        <f t="shared" si="51"/>
        <v>0</v>
      </c>
      <c r="P178">
        <f t="shared" si="51"/>
        <v>282095</v>
      </c>
      <c r="Q178">
        <f t="shared" si="51"/>
        <v>0</v>
      </c>
    </row>
    <row r="180" spans="1:17">
      <c r="A180" s="31" t="s">
        <v>1071</v>
      </c>
      <c r="B180" s="5"/>
    </row>
    <row r="181" spans="1:17">
      <c r="A181" s="46" t="str">
        <f>IF(OR(regen_type=3,regen_type=5),"Replacement virgin GAC","Makeup GAC")</f>
        <v>Makeup GAC</v>
      </c>
      <c r="B181" t="s">
        <v>1072</v>
      </c>
      <c r="C181" s="45">
        <f>IF(D181=0,0,IF(OR(D181&gt;P181,D181&lt;Q181),"contact vendor",F181*D181^G181+H181*LN(D181)+I181+J181*EXP(K181*D181)+L181*D181^3+M181*D181^2+N181*D181+O181))</f>
        <v>1.8889561641762325</v>
      </c>
      <c r="D181">
        <f>IF(GAC_makeup&gt;P181,P181,GAC_makeup)</f>
        <v>2502.4552631710349</v>
      </c>
      <c r="E181" t="s">
        <v>3249</v>
      </c>
      <c r="F181">
        <f t="shared" ref="F181:Q184" si="52">VLOOKUP($E181,eq_table_cl,F$4,FALSE)</f>
        <v>0</v>
      </c>
      <c r="G181">
        <f t="shared" si="52"/>
        <v>0</v>
      </c>
      <c r="H181">
        <f t="shared" si="52"/>
        <v>0</v>
      </c>
      <c r="I181">
        <f t="shared" si="52"/>
        <v>0</v>
      </c>
      <c r="J181">
        <f t="shared" si="52"/>
        <v>0</v>
      </c>
      <c r="K181">
        <f t="shared" si="52"/>
        <v>0</v>
      </c>
      <c r="L181">
        <f t="shared" si="52"/>
        <v>0</v>
      </c>
      <c r="M181">
        <f t="shared" si="52"/>
        <v>0</v>
      </c>
      <c r="N181">
        <f t="shared" si="52"/>
        <v>-6.3409999999999999E-6</v>
      </c>
      <c r="O181">
        <f t="shared" si="52"/>
        <v>1.904824233</v>
      </c>
      <c r="P181">
        <f t="shared" si="52"/>
        <v>40000</v>
      </c>
      <c r="Q181">
        <f t="shared" si="52"/>
        <v>0</v>
      </c>
    </row>
    <row r="182" spans="1:17">
      <c r="A182" s="46" t="str">
        <f>IF(regen_type=1,"",IF(OR(regen_type=2,regen_type=4),"Off-site GAC regeneration","Dispose Spent GAC"))</f>
        <v>Off-site GAC regeneration</v>
      </c>
      <c r="B182" t="s">
        <v>1073</v>
      </c>
      <c r="C182" s="45">
        <f t="shared" ref="C182:C184" si="53">IF(D182=0,0,IF(OR(D182&gt;P182,D182&lt;Q182),"contact vendor",F182*D182^G182+H182*LN(D182)+I182+J182*EXP(K182*D182)+L182*D182^3+M182*D182^2+N182*D182+O182))</f>
        <v>1.1909785711401915</v>
      </c>
      <c r="D182">
        <f>IF(regen_yr&gt;P182,P182,regen_yr)</f>
        <v>5839.0622807324144</v>
      </c>
      <c r="E182" t="s">
        <v>1073</v>
      </c>
      <c r="F182">
        <f t="shared" si="52"/>
        <v>0</v>
      </c>
      <c r="G182">
        <f t="shared" si="52"/>
        <v>0</v>
      </c>
      <c r="H182">
        <f t="shared" si="52"/>
        <v>0</v>
      </c>
      <c r="I182">
        <f t="shared" si="52"/>
        <v>0</v>
      </c>
      <c r="J182">
        <f t="shared" si="52"/>
        <v>0</v>
      </c>
      <c r="K182">
        <f t="shared" si="52"/>
        <v>0</v>
      </c>
      <c r="L182">
        <f t="shared" si="52"/>
        <v>0</v>
      </c>
      <c r="M182">
        <f t="shared" si="52"/>
        <v>0</v>
      </c>
      <c r="N182">
        <f t="shared" si="52"/>
        <v>-5.2000000000000002E-6</v>
      </c>
      <c r="O182">
        <f t="shared" si="52"/>
        <v>1.221341695</v>
      </c>
      <c r="P182">
        <f t="shared" si="52"/>
        <v>40000</v>
      </c>
      <c r="Q182">
        <f t="shared" si="52"/>
        <v>0</v>
      </c>
    </row>
    <row r="183" spans="1:17">
      <c r="A183" s="46" t="str">
        <f>IF(OR(regen_type=3,regen_type=5),"Replacement virgin GAC after retrofit","Makeup GAC after retrofit")</f>
        <v>Makeup GAC after retrofit</v>
      </c>
      <c r="B183" t="s">
        <v>3156</v>
      </c>
      <c r="C183" s="45">
        <f t="shared" si="53"/>
        <v>0</v>
      </c>
      <c r="D183">
        <f>IF(r_GAC_makeup&gt;P183,P183,r_GAC_makeup)</f>
        <v>0</v>
      </c>
      <c r="E183" t="s">
        <v>3249</v>
      </c>
      <c r="F183">
        <f t="shared" si="52"/>
        <v>0</v>
      </c>
      <c r="G183">
        <f t="shared" si="52"/>
        <v>0</v>
      </c>
      <c r="H183">
        <f t="shared" si="52"/>
        <v>0</v>
      </c>
      <c r="I183">
        <f t="shared" si="52"/>
        <v>0</v>
      </c>
      <c r="J183">
        <f t="shared" si="52"/>
        <v>0</v>
      </c>
      <c r="K183">
        <f t="shared" si="52"/>
        <v>0</v>
      </c>
      <c r="L183">
        <f t="shared" si="52"/>
        <v>0</v>
      </c>
      <c r="M183">
        <f t="shared" si="52"/>
        <v>0</v>
      </c>
      <c r="N183">
        <f t="shared" si="52"/>
        <v>-6.3409999999999999E-6</v>
      </c>
      <c r="O183">
        <f t="shared" si="52"/>
        <v>1.904824233</v>
      </c>
      <c r="P183">
        <f t="shared" si="52"/>
        <v>40000</v>
      </c>
      <c r="Q183">
        <f t="shared" si="52"/>
        <v>0</v>
      </c>
    </row>
    <row r="184" spans="1:17">
      <c r="A184" s="46" t="str">
        <f>IF(regen_type=1,"",IF(OR(regen_type=2,regen_type=4),"Off-site GAC regeneration after retrofit","Dispose Spent GAC after retrofit"))</f>
        <v>Off-site GAC regeneration after retrofit</v>
      </c>
      <c r="B184" t="s">
        <v>3157</v>
      </c>
      <c r="C184" s="45">
        <f t="shared" si="53"/>
        <v>0</v>
      </c>
      <c r="D184">
        <f>IF(r_regen_yr&gt;P184,P184,r_regen_yr)</f>
        <v>0</v>
      </c>
      <c r="E184" t="s">
        <v>1073</v>
      </c>
      <c r="F184">
        <f t="shared" si="52"/>
        <v>0</v>
      </c>
      <c r="G184">
        <f t="shared" si="52"/>
        <v>0</v>
      </c>
      <c r="H184">
        <f t="shared" si="52"/>
        <v>0</v>
      </c>
      <c r="I184">
        <f t="shared" si="52"/>
        <v>0</v>
      </c>
      <c r="J184">
        <f t="shared" si="52"/>
        <v>0</v>
      </c>
      <c r="K184">
        <f t="shared" si="52"/>
        <v>0</v>
      </c>
      <c r="L184">
        <f t="shared" si="52"/>
        <v>0</v>
      </c>
      <c r="M184">
        <f t="shared" si="52"/>
        <v>0</v>
      </c>
      <c r="N184">
        <f t="shared" si="52"/>
        <v>-5.2000000000000002E-6</v>
      </c>
      <c r="O184">
        <f t="shared" si="52"/>
        <v>1.221341695</v>
      </c>
      <c r="P184">
        <f t="shared" si="52"/>
        <v>40000</v>
      </c>
      <c r="Q184">
        <f t="shared" si="52"/>
        <v>0</v>
      </c>
    </row>
    <row r="185" spans="1:17">
      <c r="A185" s="19" t="s">
        <v>556</v>
      </c>
    </row>
    <row r="186" spans="1:17">
      <c r="A186" s="16" t="s">
        <v>3068</v>
      </c>
      <c r="B186" t="s">
        <v>3074</v>
      </c>
      <c r="C186" s="45">
        <f>IF(D186=0,0,IF(OR(D186&gt;P186,D186&lt;Q186),"contact vendor",F186*D186^G186+H186*LN(D186)+I186+J186*EXP(K186*D186)+L186*D186^3+M186*D186^2+N186*D186+O186))</f>
        <v>0</v>
      </c>
      <c r="D186">
        <f>sept_tank_vol</f>
        <v>0</v>
      </c>
      <c r="E186" t="s">
        <v>3074</v>
      </c>
      <c r="F186">
        <f t="shared" ref="F186:Q186" si="54">VLOOKUP($E186,eq_table_cl,F$4,FALSE)</f>
        <v>0</v>
      </c>
      <c r="G186">
        <f t="shared" si="54"/>
        <v>0</v>
      </c>
      <c r="H186">
        <f t="shared" si="54"/>
        <v>0</v>
      </c>
      <c r="I186">
        <f t="shared" si="54"/>
        <v>0</v>
      </c>
      <c r="J186">
        <f t="shared" si="54"/>
        <v>0</v>
      </c>
      <c r="K186">
        <f t="shared" si="54"/>
        <v>0</v>
      </c>
      <c r="L186">
        <f t="shared" si="54"/>
        <v>0</v>
      </c>
      <c r="M186">
        <f t="shared" si="54"/>
        <v>-2.5320000000000001E-6</v>
      </c>
      <c r="N186">
        <f t="shared" si="54"/>
        <v>1.8213013149999999</v>
      </c>
      <c r="O186">
        <f t="shared" si="54"/>
        <v>-658.64415503199996</v>
      </c>
      <c r="P186">
        <f t="shared" si="54"/>
        <v>100001</v>
      </c>
      <c r="Q186">
        <f t="shared" si="54"/>
        <v>750</v>
      </c>
    </row>
    <row r="188" spans="1:17">
      <c r="A188" s="19" t="s">
        <v>1226</v>
      </c>
      <c r="C188" s="605" t="str">
        <f>IF(LEN($E188)=0,"",IF(OR(D188&gt;P188,D188&lt;Q188),"contact vendor",F188*D188^G188+H188*LN(D188)+I188+J188*EXP(K188*D188)+L188*D188^3+M188*D188^2+N188*D188+O188))</f>
        <v/>
      </c>
      <c r="F188" t="str">
        <f t="shared" ref="F188:Q189" si="55">IF(LEN($E188)=0,"",VLOOKUP($E188,eq_table_cl,F$7,FALSE))</f>
        <v/>
      </c>
      <c r="G188" t="str">
        <f t="shared" si="55"/>
        <v/>
      </c>
      <c r="H188" t="str">
        <f t="shared" si="55"/>
        <v/>
      </c>
      <c r="I188" t="str">
        <f t="shared" si="55"/>
        <v/>
      </c>
      <c r="J188" t="str">
        <f t="shared" si="55"/>
        <v/>
      </c>
      <c r="K188" t="str">
        <f t="shared" si="55"/>
        <v/>
      </c>
      <c r="L188" t="str">
        <f t="shared" si="55"/>
        <v/>
      </c>
      <c r="M188" t="str">
        <f t="shared" si="55"/>
        <v/>
      </c>
      <c r="N188" t="str">
        <f t="shared" si="55"/>
        <v/>
      </c>
      <c r="O188" t="str">
        <f t="shared" si="55"/>
        <v/>
      </c>
      <c r="P188" t="str">
        <f t="shared" si="55"/>
        <v/>
      </c>
      <c r="Q188" t="str">
        <f t="shared" si="55"/>
        <v/>
      </c>
    </row>
    <row r="189" spans="1:17">
      <c r="A189" s="97" t="s">
        <v>430</v>
      </c>
      <c r="C189" s="605" t="str">
        <f t="shared" ref="C189" si="56">IF(LEN($E189)=0,"",IF(OR(D189&gt;P189,D189&lt;Q189),"contact vendor",F189*D189^G189+H189*LN(D189)+I189+J189*EXP(K189*D189)+L189*D189^3+M189*D189^2+N189*D189+O189))</f>
        <v/>
      </c>
      <c r="F189" t="str">
        <f t="shared" si="55"/>
        <v/>
      </c>
      <c r="G189" t="str">
        <f t="shared" si="55"/>
        <v/>
      </c>
      <c r="H189" t="str">
        <f t="shared" si="55"/>
        <v/>
      </c>
      <c r="I189" t="str">
        <f t="shared" si="55"/>
        <v/>
      </c>
      <c r="J189" t="str">
        <f t="shared" si="55"/>
        <v/>
      </c>
      <c r="K189" t="str">
        <f t="shared" si="55"/>
        <v/>
      </c>
      <c r="L189" t="str">
        <f t="shared" si="55"/>
        <v/>
      </c>
      <c r="M189" t="str">
        <f t="shared" si="55"/>
        <v/>
      </c>
      <c r="N189" t="str">
        <f t="shared" si="55"/>
        <v/>
      </c>
      <c r="O189" t="str">
        <f t="shared" si="55"/>
        <v/>
      </c>
      <c r="P189" t="str">
        <f t="shared" si="55"/>
        <v/>
      </c>
      <c r="Q189" t="str">
        <f t="shared" si="55"/>
        <v/>
      </c>
    </row>
    <row r="190" spans="1:17">
      <c r="A190" t="s">
        <v>1227</v>
      </c>
      <c r="B190" t="s">
        <v>1228</v>
      </c>
      <c r="C190" s="45">
        <f t="shared" ref="C190:C192" si="57">IF(D190=0,0,IF(OR(D190&gt;P190,D190&lt;Q190),"contact vendor",F190*D190^G190+H190*LN(D190)+I190+J190*EXP(K190*D190)+L190*D190^3+M190*D190^2+N190*D190+O190))</f>
        <v>94.604808353902811</v>
      </c>
      <c r="D190">
        <f>build1_fp</f>
        <v>120</v>
      </c>
      <c r="E190" t="s">
        <v>1229</v>
      </c>
      <c r="F190">
        <f t="shared" ref="F190:Q192" si="58">VLOOKUP($E190,eq_table_cl,F$4,FALSE)</f>
        <v>150.466390674</v>
      </c>
      <c r="G190">
        <f t="shared" si="58"/>
        <v>-9.6925793999999996E-2</v>
      </c>
      <c r="H190">
        <f t="shared" si="58"/>
        <v>0</v>
      </c>
      <c r="I190">
        <f t="shared" si="58"/>
        <v>0</v>
      </c>
      <c r="J190">
        <f t="shared" si="58"/>
        <v>0</v>
      </c>
      <c r="K190">
        <f t="shared" si="58"/>
        <v>0</v>
      </c>
      <c r="L190">
        <f t="shared" si="58"/>
        <v>0</v>
      </c>
      <c r="M190">
        <f t="shared" si="58"/>
        <v>0</v>
      </c>
      <c r="N190">
        <f t="shared" si="58"/>
        <v>0</v>
      </c>
      <c r="O190">
        <f t="shared" si="58"/>
        <v>0</v>
      </c>
      <c r="P190">
        <f t="shared" si="58"/>
        <v>200000.1</v>
      </c>
      <c r="Q190">
        <f t="shared" si="58"/>
        <v>0</v>
      </c>
    </row>
    <row r="191" spans="1:17">
      <c r="A191" t="s">
        <v>1230</v>
      </c>
      <c r="B191" t="s">
        <v>1231</v>
      </c>
      <c r="C191" s="45">
        <f t="shared" si="57"/>
        <v>115.38737595795907</v>
      </c>
      <c r="D191">
        <f>build1_fp</f>
        <v>120</v>
      </c>
      <c r="E191" t="s">
        <v>1232</v>
      </c>
      <c r="F191">
        <f t="shared" si="58"/>
        <v>184.678993655</v>
      </c>
      <c r="G191">
        <f t="shared" si="58"/>
        <v>-9.8240209999999994E-2</v>
      </c>
      <c r="H191">
        <f t="shared" si="58"/>
        <v>0</v>
      </c>
      <c r="I191">
        <f t="shared" si="58"/>
        <v>0</v>
      </c>
      <c r="J191">
        <f t="shared" si="58"/>
        <v>0</v>
      </c>
      <c r="K191">
        <f t="shared" si="58"/>
        <v>0</v>
      </c>
      <c r="L191">
        <f t="shared" si="58"/>
        <v>0</v>
      </c>
      <c r="M191">
        <f t="shared" si="58"/>
        <v>0</v>
      </c>
      <c r="N191">
        <f t="shared" si="58"/>
        <v>0</v>
      </c>
      <c r="O191">
        <f t="shared" si="58"/>
        <v>0</v>
      </c>
      <c r="P191">
        <f t="shared" si="58"/>
        <v>200000.1</v>
      </c>
      <c r="Q191">
        <f t="shared" si="58"/>
        <v>0</v>
      </c>
    </row>
    <row r="192" spans="1:17">
      <c r="A192" t="s">
        <v>1233</v>
      </c>
      <c r="B192" t="s">
        <v>1234</v>
      </c>
      <c r="C192" s="45">
        <f t="shared" si="57"/>
        <v>172.07348315616306</v>
      </c>
      <c r="D192">
        <f>build1_fp</f>
        <v>120</v>
      </c>
      <c r="E192" t="s">
        <v>1235</v>
      </c>
      <c r="F192">
        <f t="shared" si="58"/>
        <v>324.18264690900003</v>
      </c>
      <c r="G192">
        <f t="shared" si="58"/>
        <v>-0.13230006499999999</v>
      </c>
      <c r="H192">
        <f t="shared" si="58"/>
        <v>0</v>
      </c>
      <c r="I192">
        <f t="shared" si="58"/>
        <v>0</v>
      </c>
      <c r="J192">
        <f t="shared" si="58"/>
        <v>0</v>
      </c>
      <c r="K192">
        <f t="shared" si="58"/>
        <v>0</v>
      </c>
      <c r="L192">
        <f t="shared" si="58"/>
        <v>0</v>
      </c>
      <c r="M192">
        <f t="shared" si="58"/>
        <v>0</v>
      </c>
      <c r="N192">
        <f t="shared" si="58"/>
        <v>0</v>
      </c>
      <c r="O192">
        <f t="shared" si="58"/>
        <v>0</v>
      </c>
      <c r="P192">
        <f t="shared" si="58"/>
        <v>200000.1</v>
      </c>
      <c r="Q192">
        <f t="shared" si="58"/>
        <v>0</v>
      </c>
    </row>
    <row r="193" spans="1:17">
      <c r="A193" s="97" t="s">
        <v>1236</v>
      </c>
      <c r="C193" s="605"/>
    </row>
    <row r="194" spans="1:17">
      <c r="A194" t="s">
        <v>1731</v>
      </c>
      <c r="B194" t="s">
        <v>1237</v>
      </c>
      <c r="C194" s="45">
        <f t="shared" ref="C194:C198" si="59">IF(D194=0,0,IF(OR(D194&gt;P194,D194&lt;Q194),"contact vendor",F194*D194^G194+H194*LN(D194)+I194+J194*EXP(K194*D194)+L194*D194^3+M194*D194^2+N194*D194+O194))</f>
        <v>2509.3682652176503</v>
      </c>
      <c r="D194">
        <f>build1_heat_mbh/build1_zones</f>
        <v>2.1737251084995197</v>
      </c>
      <c r="E194" t="s">
        <v>1238</v>
      </c>
      <c r="F194">
        <f t="shared" ref="F194:Q198" si="60">VLOOKUP($E194,eq_table_cl,F$4,FALSE)</f>
        <v>1399.0154329059999</v>
      </c>
      <c r="G194">
        <f t="shared" si="60"/>
        <v>0.75248641199999999</v>
      </c>
      <c r="H194">
        <f t="shared" si="60"/>
        <v>0</v>
      </c>
      <c r="I194">
        <f t="shared" si="60"/>
        <v>0</v>
      </c>
      <c r="J194">
        <f t="shared" si="60"/>
        <v>0</v>
      </c>
      <c r="K194">
        <f t="shared" si="60"/>
        <v>0</v>
      </c>
      <c r="L194">
        <f t="shared" si="60"/>
        <v>0</v>
      </c>
      <c r="M194">
        <f t="shared" si="60"/>
        <v>0</v>
      </c>
      <c r="N194">
        <f t="shared" si="60"/>
        <v>0</v>
      </c>
      <c r="O194">
        <f t="shared" si="60"/>
        <v>0</v>
      </c>
      <c r="P194">
        <f t="shared" si="60"/>
        <v>6148.1</v>
      </c>
      <c r="Q194">
        <f t="shared" si="60"/>
        <v>0</v>
      </c>
    </row>
    <row r="195" spans="1:17">
      <c r="A195" t="s">
        <v>779</v>
      </c>
      <c r="B195" t="s">
        <v>1239</v>
      </c>
      <c r="C195" s="45">
        <f t="shared" si="59"/>
        <v>1428.535537934358</v>
      </c>
      <c r="D195">
        <f>build1_heat_mbh/build1_zones</f>
        <v>2.1737251084995197</v>
      </c>
      <c r="E195" t="s">
        <v>1240</v>
      </c>
      <c r="F195">
        <f t="shared" si="60"/>
        <v>780.31994296400001</v>
      </c>
      <c r="G195">
        <f t="shared" si="60"/>
        <v>0.77881003199999999</v>
      </c>
      <c r="H195">
        <f t="shared" si="60"/>
        <v>0</v>
      </c>
      <c r="I195">
        <f t="shared" si="60"/>
        <v>0</v>
      </c>
      <c r="J195">
        <f t="shared" si="60"/>
        <v>0</v>
      </c>
      <c r="K195">
        <f t="shared" si="60"/>
        <v>0</v>
      </c>
      <c r="L195">
        <f t="shared" si="60"/>
        <v>0</v>
      </c>
      <c r="M195">
        <f t="shared" si="60"/>
        <v>0</v>
      </c>
      <c r="N195">
        <f t="shared" si="60"/>
        <v>0</v>
      </c>
      <c r="O195">
        <f t="shared" si="60"/>
        <v>0</v>
      </c>
      <c r="P195">
        <f t="shared" si="60"/>
        <v>5032.1000000000004</v>
      </c>
      <c r="Q195">
        <f t="shared" si="60"/>
        <v>0</v>
      </c>
    </row>
    <row r="196" spans="1:17">
      <c r="A196" t="s">
        <v>780</v>
      </c>
      <c r="B196" t="s">
        <v>1241</v>
      </c>
      <c r="C196" s="45">
        <f t="shared" si="59"/>
        <v>1428.535537934358</v>
      </c>
      <c r="D196">
        <f>build1_heat_mbh/build1_zones</f>
        <v>2.1737251084995197</v>
      </c>
      <c r="E196" t="s">
        <v>1242</v>
      </c>
      <c r="F196">
        <f t="shared" si="60"/>
        <v>780.31994296400001</v>
      </c>
      <c r="G196">
        <f t="shared" si="60"/>
        <v>0.77881003199999999</v>
      </c>
      <c r="H196">
        <f t="shared" si="60"/>
        <v>0</v>
      </c>
      <c r="I196">
        <f t="shared" si="60"/>
        <v>0</v>
      </c>
      <c r="J196">
        <f t="shared" si="60"/>
        <v>0</v>
      </c>
      <c r="K196">
        <f t="shared" si="60"/>
        <v>0</v>
      </c>
      <c r="L196">
        <f t="shared" si="60"/>
        <v>0</v>
      </c>
      <c r="M196">
        <f t="shared" si="60"/>
        <v>0</v>
      </c>
      <c r="N196">
        <f t="shared" si="60"/>
        <v>0</v>
      </c>
      <c r="O196">
        <f t="shared" si="60"/>
        <v>0</v>
      </c>
      <c r="P196">
        <f t="shared" si="60"/>
        <v>5032.1000000000004</v>
      </c>
      <c r="Q196">
        <f t="shared" si="60"/>
        <v>0</v>
      </c>
    </row>
    <row r="197" spans="1:17">
      <c r="A197" t="s">
        <v>1361</v>
      </c>
      <c r="B197" t="s">
        <v>1243</v>
      </c>
      <c r="C197" s="45">
        <f t="shared" si="59"/>
        <v>1678.6375125463824</v>
      </c>
      <c r="D197">
        <f>build1_heat_mbh/build1_zones</f>
        <v>2.1737251084995197</v>
      </c>
      <c r="E197" t="s">
        <v>1244</v>
      </c>
      <c r="F197">
        <f t="shared" si="60"/>
        <v>931.18410081100001</v>
      </c>
      <c r="G197">
        <f t="shared" si="60"/>
        <v>0.75894977500000005</v>
      </c>
      <c r="H197">
        <f t="shared" si="60"/>
        <v>0</v>
      </c>
      <c r="I197">
        <f t="shared" si="60"/>
        <v>0</v>
      </c>
      <c r="J197">
        <f t="shared" si="60"/>
        <v>0</v>
      </c>
      <c r="K197">
        <f t="shared" si="60"/>
        <v>0</v>
      </c>
      <c r="L197">
        <f t="shared" si="60"/>
        <v>0</v>
      </c>
      <c r="M197">
        <f t="shared" si="60"/>
        <v>0</v>
      </c>
      <c r="N197">
        <f t="shared" si="60"/>
        <v>0</v>
      </c>
      <c r="O197">
        <f t="shared" si="60"/>
        <v>0</v>
      </c>
      <c r="P197">
        <f t="shared" si="60"/>
        <v>3350.1</v>
      </c>
      <c r="Q197">
        <f t="shared" si="60"/>
        <v>0</v>
      </c>
    </row>
    <row r="198" spans="1:17">
      <c r="A198" t="s">
        <v>1362</v>
      </c>
      <c r="B198" t="s">
        <v>1245</v>
      </c>
      <c r="C198" s="45">
        <f t="shared" si="59"/>
        <v>1678.6375125463824</v>
      </c>
      <c r="D198">
        <f>build1_heat_mbh/build1_zones</f>
        <v>2.1737251084995197</v>
      </c>
      <c r="E198" t="s">
        <v>1246</v>
      </c>
      <c r="F198">
        <f t="shared" si="60"/>
        <v>931.18410081100001</v>
      </c>
      <c r="G198">
        <f t="shared" si="60"/>
        <v>0.75894977500000005</v>
      </c>
      <c r="H198">
        <f t="shared" si="60"/>
        <v>0</v>
      </c>
      <c r="I198">
        <f t="shared" si="60"/>
        <v>0</v>
      </c>
      <c r="J198">
        <f t="shared" si="60"/>
        <v>0</v>
      </c>
      <c r="K198">
        <f t="shared" si="60"/>
        <v>0</v>
      </c>
      <c r="L198">
        <f t="shared" si="60"/>
        <v>0</v>
      </c>
      <c r="M198">
        <f t="shared" si="60"/>
        <v>0</v>
      </c>
      <c r="N198">
        <f t="shared" si="60"/>
        <v>0</v>
      </c>
      <c r="O198">
        <f t="shared" si="60"/>
        <v>0</v>
      </c>
      <c r="P198">
        <f t="shared" si="60"/>
        <v>3350.1</v>
      </c>
      <c r="Q198">
        <f t="shared" si="60"/>
        <v>0</v>
      </c>
    </row>
    <row r="199" spans="1:17">
      <c r="A199" s="97" t="s">
        <v>1247</v>
      </c>
      <c r="C199" s="605"/>
    </row>
    <row r="200" spans="1:17">
      <c r="A200" t="s">
        <v>1248</v>
      </c>
      <c r="B200" t="s">
        <v>1249</v>
      </c>
      <c r="C200" s="45">
        <f t="shared" ref="C200:C201" si="61">IF(D200=0,0,IF(OR(D200&gt;P200,D200&lt;Q200),"contact vendor",F200*D200^G200+H200*LN(D200)+I200+J200*EXP(K200*D200)+L200*D200^3+M200*D200^2+N200*D200+O200))</f>
        <v>1014.0056212069034</v>
      </c>
      <c r="D200">
        <f>build1_cooling_tons/build1_zones</f>
        <v>0.45938742216767886</v>
      </c>
      <c r="E200" t="s">
        <v>1250</v>
      </c>
      <c r="F200">
        <f t="shared" ref="F200:Q201" si="62">VLOOKUP($E200,eq_table_cl,F$4,FALSE)</f>
        <v>2517.0380804209999</v>
      </c>
      <c r="G200">
        <f t="shared" si="62"/>
        <v>1.168812894</v>
      </c>
      <c r="H200">
        <f t="shared" si="62"/>
        <v>0</v>
      </c>
      <c r="I200">
        <f t="shared" si="62"/>
        <v>0</v>
      </c>
      <c r="J200">
        <f t="shared" si="62"/>
        <v>0</v>
      </c>
      <c r="K200">
        <f t="shared" si="62"/>
        <v>0</v>
      </c>
      <c r="L200">
        <f t="shared" si="62"/>
        <v>0</v>
      </c>
      <c r="M200">
        <f t="shared" si="62"/>
        <v>0</v>
      </c>
      <c r="N200">
        <f t="shared" si="62"/>
        <v>0</v>
      </c>
      <c r="O200">
        <f t="shared" si="62"/>
        <v>0</v>
      </c>
      <c r="P200">
        <f t="shared" si="62"/>
        <v>113.33</v>
      </c>
      <c r="Q200">
        <f t="shared" si="62"/>
        <v>0</v>
      </c>
    </row>
    <row r="201" spans="1:17">
      <c r="A201" t="s">
        <v>654</v>
      </c>
      <c r="B201" t="s">
        <v>1251</v>
      </c>
      <c r="C201" s="45">
        <f t="shared" si="61"/>
        <v>3388.3623355469313</v>
      </c>
      <c r="D201">
        <f>build1_cooling_tons/build1_zones</f>
        <v>0.45938742216767886</v>
      </c>
      <c r="E201" t="str">
        <f>IF(D201&gt;12,"hvac_hp_eq_large","hvac_hp_eq_small")</f>
        <v>hvac_hp_eq_small</v>
      </c>
      <c r="F201">
        <f t="shared" si="62"/>
        <v>0</v>
      </c>
      <c r="G201">
        <f t="shared" si="62"/>
        <v>0</v>
      </c>
      <c r="H201">
        <f t="shared" si="62"/>
        <v>0</v>
      </c>
      <c r="I201">
        <f t="shared" si="62"/>
        <v>0</v>
      </c>
      <c r="J201">
        <f t="shared" si="62"/>
        <v>3162.0654825800002</v>
      </c>
      <c r="K201">
        <f t="shared" si="62"/>
        <v>0.15046400200000001</v>
      </c>
      <c r="L201">
        <f t="shared" si="62"/>
        <v>0</v>
      </c>
      <c r="M201">
        <f t="shared" si="62"/>
        <v>0</v>
      </c>
      <c r="N201">
        <f t="shared" si="62"/>
        <v>0</v>
      </c>
      <c r="O201">
        <f t="shared" si="62"/>
        <v>0</v>
      </c>
      <c r="P201">
        <f t="shared" si="62"/>
        <v>12</v>
      </c>
      <c r="Q201">
        <f t="shared" si="62"/>
        <v>0</v>
      </c>
    </row>
    <row r="202" spans="1:17">
      <c r="A202" s="97" t="s">
        <v>431</v>
      </c>
      <c r="C202" s="605"/>
    </row>
    <row r="203" spans="1:17">
      <c r="A203" t="s">
        <v>1227</v>
      </c>
      <c r="B203" t="s">
        <v>1252</v>
      </c>
      <c r="C203" s="45">
        <f t="shared" ref="C203:C205" si="63">IF(D203=0,0,IF(OR(D203&gt;P203,D203&lt;Q203),"contact vendor",F203*D203^G203+H203*LN(D203)+I203+J203*EXP(K203*D203)+L203*D203^3+M203*D203^2+N203*D203+O203))</f>
        <v>0</v>
      </c>
      <c r="D203">
        <f>build2_fp</f>
        <v>0</v>
      </c>
      <c r="E203" t="s">
        <v>1229</v>
      </c>
      <c r="F203">
        <f t="shared" ref="F203:Q205" si="64">VLOOKUP($E203,eq_table_cl,F$4,FALSE)</f>
        <v>150.466390674</v>
      </c>
      <c r="G203">
        <f t="shared" si="64"/>
        <v>-9.6925793999999996E-2</v>
      </c>
      <c r="H203">
        <f t="shared" si="64"/>
        <v>0</v>
      </c>
      <c r="I203">
        <f t="shared" si="64"/>
        <v>0</v>
      </c>
      <c r="J203">
        <f t="shared" si="64"/>
        <v>0</v>
      </c>
      <c r="K203">
        <f t="shared" si="64"/>
        <v>0</v>
      </c>
      <c r="L203">
        <f t="shared" si="64"/>
        <v>0</v>
      </c>
      <c r="M203">
        <f t="shared" si="64"/>
        <v>0</v>
      </c>
      <c r="N203">
        <f t="shared" si="64"/>
        <v>0</v>
      </c>
      <c r="O203">
        <f t="shared" si="64"/>
        <v>0</v>
      </c>
      <c r="P203">
        <f t="shared" si="64"/>
        <v>200000.1</v>
      </c>
      <c r="Q203">
        <f t="shared" si="64"/>
        <v>0</v>
      </c>
    </row>
    <row r="204" spans="1:17">
      <c r="A204" t="s">
        <v>1230</v>
      </c>
      <c r="B204" t="s">
        <v>1253</v>
      </c>
      <c r="C204" s="45">
        <f t="shared" si="63"/>
        <v>0</v>
      </c>
      <c r="D204">
        <f>build2_fp</f>
        <v>0</v>
      </c>
      <c r="E204" t="s">
        <v>1232</v>
      </c>
      <c r="F204">
        <f t="shared" si="64"/>
        <v>184.678993655</v>
      </c>
      <c r="G204">
        <f t="shared" si="64"/>
        <v>-9.8240209999999994E-2</v>
      </c>
      <c r="H204">
        <f t="shared" si="64"/>
        <v>0</v>
      </c>
      <c r="I204">
        <f t="shared" si="64"/>
        <v>0</v>
      </c>
      <c r="J204">
        <f t="shared" si="64"/>
        <v>0</v>
      </c>
      <c r="K204">
        <f t="shared" si="64"/>
        <v>0</v>
      </c>
      <c r="L204">
        <f t="shared" si="64"/>
        <v>0</v>
      </c>
      <c r="M204">
        <f t="shared" si="64"/>
        <v>0</v>
      </c>
      <c r="N204">
        <f t="shared" si="64"/>
        <v>0</v>
      </c>
      <c r="O204">
        <f t="shared" si="64"/>
        <v>0</v>
      </c>
      <c r="P204">
        <f t="shared" si="64"/>
        <v>200000.1</v>
      </c>
      <c r="Q204">
        <f t="shared" si="64"/>
        <v>0</v>
      </c>
    </row>
    <row r="205" spans="1:17">
      <c r="A205" t="s">
        <v>1233</v>
      </c>
      <c r="B205" t="s">
        <v>1254</v>
      </c>
      <c r="C205" s="45">
        <f t="shared" si="63"/>
        <v>0</v>
      </c>
      <c r="D205">
        <f>build2_fp</f>
        <v>0</v>
      </c>
      <c r="E205" t="s">
        <v>1235</v>
      </c>
      <c r="F205">
        <f t="shared" si="64"/>
        <v>324.18264690900003</v>
      </c>
      <c r="G205">
        <f t="shared" si="64"/>
        <v>-0.13230006499999999</v>
      </c>
      <c r="H205">
        <f t="shared" si="64"/>
        <v>0</v>
      </c>
      <c r="I205">
        <f t="shared" si="64"/>
        <v>0</v>
      </c>
      <c r="J205">
        <f t="shared" si="64"/>
        <v>0</v>
      </c>
      <c r="K205">
        <f t="shared" si="64"/>
        <v>0</v>
      </c>
      <c r="L205">
        <f t="shared" si="64"/>
        <v>0</v>
      </c>
      <c r="M205">
        <f t="shared" si="64"/>
        <v>0</v>
      </c>
      <c r="N205">
        <f t="shared" si="64"/>
        <v>0</v>
      </c>
      <c r="O205">
        <f t="shared" si="64"/>
        <v>0</v>
      </c>
      <c r="P205">
        <f t="shared" si="64"/>
        <v>200000.1</v>
      </c>
      <c r="Q205">
        <f t="shared" si="64"/>
        <v>0</v>
      </c>
    </row>
    <row r="206" spans="1:17">
      <c r="A206" s="97" t="s">
        <v>1236</v>
      </c>
      <c r="C206" s="605"/>
    </row>
    <row r="207" spans="1:17">
      <c r="A207" t="s">
        <v>1731</v>
      </c>
      <c r="B207" t="s">
        <v>1255</v>
      </c>
      <c r="C207" s="45">
        <f t="shared" ref="C207:C211" si="65">IF(D207=0,0,IF(OR(D207&gt;P207,D207&lt;Q207),"contact vendor",F207*D207^G207+H207*LN(D207)+I207+J207*EXP(K207*D207)+L207*D207^3+M207*D207^2+N207*D207+O207))</f>
        <v>0</v>
      </c>
      <c r="D207">
        <f>IF(build2_zones=0,0,build2_heat_mbh/build2_zones)</f>
        <v>0</v>
      </c>
      <c r="E207" t="s">
        <v>1238</v>
      </c>
      <c r="F207">
        <f t="shared" ref="F207:Q211" si="66">VLOOKUP($E207,eq_table_cl,F$4,FALSE)</f>
        <v>1399.0154329059999</v>
      </c>
      <c r="G207">
        <f t="shared" si="66"/>
        <v>0.75248641199999999</v>
      </c>
      <c r="H207">
        <f t="shared" si="66"/>
        <v>0</v>
      </c>
      <c r="I207">
        <f t="shared" si="66"/>
        <v>0</v>
      </c>
      <c r="J207">
        <f t="shared" si="66"/>
        <v>0</v>
      </c>
      <c r="K207">
        <f t="shared" si="66"/>
        <v>0</v>
      </c>
      <c r="L207">
        <f t="shared" si="66"/>
        <v>0</v>
      </c>
      <c r="M207">
        <f t="shared" si="66"/>
        <v>0</v>
      </c>
      <c r="N207">
        <f t="shared" si="66"/>
        <v>0</v>
      </c>
      <c r="O207">
        <f t="shared" si="66"/>
        <v>0</v>
      </c>
      <c r="P207">
        <f t="shared" si="66"/>
        <v>6148.1</v>
      </c>
      <c r="Q207">
        <f t="shared" si="66"/>
        <v>0</v>
      </c>
    </row>
    <row r="208" spans="1:17">
      <c r="A208" t="s">
        <v>779</v>
      </c>
      <c r="B208" t="s">
        <v>1256</v>
      </c>
      <c r="C208" s="45">
        <f t="shared" si="65"/>
        <v>0</v>
      </c>
      <c r="D208">
        <f>IF(build2_zones=0,0,build2_heat_mbh/build2_zones)</f>
        <v>0</v>
      </c>
      <c r="E208" t="s">
        <v>1240</v>
      </c>
      <c r="F208">
        <f t="shared" si="66"/>
        <v>780.31994296400001</v>
      </c>
      <c r="G208">
        <f t="shared" si="66"/>
        <v>0.77881003199999999</v>
      </c>
      <c r="H208">
        <f t="shared" si="66"/>
        <v>0</v>
      </c>
      <c r="I208">
        <f t="shared" si="66"/>
        <v>0</v>
      </c>
      <c r="J208">
        <f t="shared" si="66"/>
        <v>0</v>
      </c>
      <c r="K208">
        <f t="shared" si="66"/>
        <v>0</v>
      </c>
      <c r="L208">
        <f t="shared" si="66"/>
        <v>0</v>
      </c>
      <c r="M208">
        <f t="shared" si="66"/>
        <v>0</v>
      </c>
      <c r="N208">
        <f t="shared" si="66"/>
        <v>0</v>
      </c>
      <c r="O208">
        <f t="shared" si="66"/>
        <v>0</v>
      </c>
      <c r="P208">
        <f t="shared" si="66"/>
        <v>5032.1000000000004</v>
      </c>
      <c r="Q208">
        <f t="shared" si="66"/>
        <v>0</v>
      </c>
    </row>
    <row r="209" spans="1:17">
      <c r="A209" t="s">
        <v>780</v>
      </c>
      <c r="B209" t="s">
        <v>1257</v>
      </c>
      <c r="C209" s="45">
        <f t="shared" si="65"/>
        <v>0</v>
      </c>
      <c r="D209">
        <f>IF(build2_zones=0,0,build2_heat_mbh/build2_zones)</f>
        <v>0</v>
      </c>
      <c r="E209" t="s">
        <v>1242</v>
      </c>
      <c r="F209">
        <f t="shared" si="66"/>
        <v>780.31994296400001</v>
      </c>
      <c r="G209">
        <f t="shared" si="66"/>
        <v>0.77881003199999999</v>
      </c>
      <c r="H209">
        <f t="shared" si="66"/>
        <v>0</v>
      </c>
      <c r="I209">
        <f t="shared" si="66"/>
        <v>0</v>
      </c>
      <c r="J209">
        <f t="shared" si="66"/>
        <v>0</v>
      </c>
      <c r="K209">
        <f t="shared" si="66"/>
        <v>0</v>
      </c>
      <c r="L209">
        <f t="shared" si="66"/>
        <v>0</v>
      </c>
      <c r="M209">
        <f t="shared" si="66"/>
        <v>0</v>
      </c>
      <c r="N209">
        <f t="shared" si="66"/>
        <v>0</v>
      </c>
      <c r="O209">
        <f t="shared" si="66"/>
        <v>0</v>
      </c>
      <c r="P209">
        <f t="shared" si="66"/>
        <v>5032.1000000000004</v>
      </c>
      <c r="Q209">
        <f t="shared" si="66"/>
        <v>0</v>
      </c>
    </row>
    <row r="210" spans="1:17">
      <c r="A210" t="s">
        <v>1361</v>
      </c>
      <c r="B210" t="s">
        <v>1258</v>
      </c>
      <c r="C210" s="45">
        <f t="shared" si="65"/>
        <v>0</v>
      </c>
      <c r="D210">
        <f>IF(build2_zones=0,0,build2_heat_mbh/build2_zones)</f>
        <v>0</v>
      </c>
      <c r="E210" t="s">
        <v>1244</v>
      </c>
      <c r="F210">
        <f t="shared" si="66"/>
        <v>931.18410081100001</v>
      </c>
      <c r="G210">
        <f t="shared" si="66"/>
        <v>0.75894977500000005</v>
      </c>
      <c r="H210">
        <f t="shared" si="66"/>
        <v>0</v>
      </c>
      <c r="I210">
        <f t="shared" si="66"/>
        <v>0</v>
      </c>
      <c r="J210">
        <f t="shared" si="66"/>
        <v>0</v>
      </c>
      <c r="K210">
        <f t="shared" si="66"/>
        <v>0</v>
      </c>
      <c r="L210">
        <f t="shared" si="66"/>
        <v>0</v>
      </c>
      <c r="M210">
        <f t="shared" si="66"/>
        <v>0</v>
      </c>
      <c r="N210">
        <f t="shared" si="66"/>
        <v>0</v>
      </c>
      <c r="O210">
        <f t="shared" si="66"/>
        <v>0</v>
      </c>
      <c r="P210">
        <f t="shared" si="66"/>
        <v>3350.1</v>
      </c>
      <c r="Q210">
        <f t="shared" si="66"/>
        <v>0</v>
      </c>
    </row>
    <row r="211" spans="1:17">
      <c r="A211" t="s">
        <v>1362</v>
      </c>
      <c r="B211" t="s">
        <v>1259</v>
      </c>
      <c r="C211" s="45">
        <f t="shared" si="65"/>
        <v>0</v>
      </c>
      <c r="D211">
        <f>IF(build2_zones=0,0,build2_heat_mbh/build2_zones)</f>
        <v>0</v>
      </c>
      <c r="E211" t="s">
        <v>1246</v>
      </c>
      <c r="F211">
        <f t="shared" si="66"/>
        <v>931.18410081100001</v>
      </c>
      <c r="G211">
        <f t="shared" si="66"/>
        <v>0.75894977500000005</v>
      </c>
      <c r="H211">
        <f t="shared" si="66"/>
        <v>0</v>
      </c>
      <c r="I211">
        <f t="shared" si="66"/>
        <v>0</v>
      </c>
      <c r="J211">
        <f t="shared" si="66"/>
        <v>0</v>
      </c>
      <c r="K211">
        <f t="shared" si="66"/>
        <v>0</v>
      </c>
      <c r="L211">
        <f t="shared" si="66"/>
        <v>0</v>
      </c>
      <c r="M211">
        <f t="shared" si="66"/>
        <v>0</v>
      </c>
      <c r="N211">
        <f t="shared" si="66"/>
        <v>0</v>
      </c>
      <c r="O211">
        <f t="shared" si="66"/>
        <v>0</v>
      </c>
      <c r="P211">
        <f t="shared" si="66"/>
        <v>3350.1</v>
      </c>
      <c r="Q211">
        <f t="shared" si="66"/>
        <v>0</v>
      </c>
    </row>
    <row r="212" spans="1:17">
      <c r="A212" s="97" t="s">
        <v>1247</v>
      </c>
      <c r="C212" s="605"/>
    </row>
    <row r="213" spans="1:17">
      <c r="A213" t="s">
        <v>1248</v>
      </c>
      <c r="B213" t="s">
        <v>1260</v>
      </c>
      <c r="C213" s="45">
        <f t="shared" ref="C213:C214" si="67">IF(D213=0,0,IF(OR(D213&gt;P213,D213&lt;Q213),"contact vendor",F213*D213^G213+H213*LN(D213)+I213+J213*EXP(K213*D213)+L213*D213^3+M213*D213^2+N213*D213+O213))</f>
        <v>0</v>
      </c>
      <c r="D213">
        <f>IF(build2_zones=0,0,build2_cooling_tons/build2_zones)</f>
        <v>0</v>
      </c>
      <c r="E213" t="s">
        <v>1250</v>
      </c>
      <c r="F213">
        <f t="shared" ref="F213:Q214" si="68">VLOOKUP($E213,eq_table_cl,F$4,FALSE)</f>
        <v>2517.0380804209999</v>
      </c>
      <c r="G213">
        <f t="shared" si="68"/>
        <v>1.168812894</v>
      </c>
      <c r="H213">
        <f t="shared" si="68"/>
        <v>0</v>
      </c>
      <c r="I213">
        <f t="shared" si="68"/>
        <v>0</v>
      </c>
      <c r="J213">
        <f t="shared" si="68"/>
        <v>0</v>
      </c>
      <c r="K213">
        <f t="shared" si="68"/>
        <v>0</v>
      </c>
      <c r="L213">
        <f t="shared" si="68"/>
        <v>0</v>
      </c>
      <c r="M213">
        <f t="shared" si="68"/>
        <v>0</v>
      </c>
      <c r="N213">
        <f t="shared" si="68"/>
        <v>0</v>
      </c>
      <c r="O213">
        <f t="shared" si="68"/>
        <v>0</v>
      </c>
      <c r="P213">
        <f t="shared" si="68"/>
        <v>113.33</v>
      </c>
      <c r="Q213">
        <f t="shared" si="68"/>
        <v>0</v>
      </c>
    </row>
    <row r="214" spans="1:17">
      <c r="A214" t="s">
        <v>654</v>
      </c>
      <c r="B214" t="s">
        <v>1261</v>
      </c>
      <c r="C214" s="45">
        <f t="shared" si="67"/>
        <v>0</v>
      </c>
      <c r="D214">
        <f>IF(build2_zones=0,0,build2_cooling_tons/build2_zones)</f>
        <v>0</v>
      </c>
      <c r="E214" t="str">
        <f>IF(D214&gt;12,"hvac_hp_eq_large","hvac_hp_eq_small")</f>
        <v>hvac_hp_eq_small</v>
      </c>
      <c r="F214">
        <f t="shared" si="68"/>
        <v>0</v>
      </c>
      <c r="G214">
        <f t="shared" si="68"/>
        <v>0</v>
      </c>
      <c r="H214">
        <f t="shared" si="68"/>
        <v>0</v>
      </c>
      <c r="I214">
        <f t="shared" si="68"/>
        <v>0</v>
      </c>
      <c r="J214">
        <f t="shared" si="68"/>
        <v>3162.0654825800002</v>
      </c>
      <c r="K214">
        <f t="shared" si="68"/>
        <v>0.15046400200000001</v>
      </c>
      <c r="L214">
        <f t="shared" si="68"/>
        <v>0</v>
      </c>
      <c r="M214">
        <f t="shared" si="68"/>
        <v>0</v>
      </c>
      <c r="N214">
        <f t="shared" si="68"/>
        <v>0</v>
      </c>
      <c r="O214">
        <f t="shared" si="68"/>
        <v>0</v>
      </c>
      <c r="P214">
        <f t="shared" si="68"/>
        <v>12</v>
      </c>
      <c r="Q214">
        <f t="shared" si="68"/>
        <v>0</v>
      </c>
    </row>
    <row r="215" spans="1:17">
      <c r="A215" s="97" t="s">
        <v>213</v>
      </c>
      <c r="C215" s="605"/>
    </row>
    <row r="216" spans="1:17">
      <c r="A216" t="s">
        <v>1227</v>
      </c>
      <c r="B216" t="s">
        <v>215</v>
      </c>
      <c r="C216" s="45">
        <f t="shared" ref="C216:C218" si="69">IF(D216=0,0,IF(OR(D216&gt;P216,D216&lt;Q216),"contact vendor",F216*D216^G216+H216*LN(D216)+I216+J216*EXP(K216*D216)+L216*D216^3+M216*D216^2+N216*D216+O216))</f>
        <v>0</v>
      </c>
      <c r="D216">
        <f>r_inc_build1_fp</f>
        <v>0</v>
      </c>
      <c r="E216" t="s">
        <v>1229</v>
      </c>
      <c r="F216">
        <f t="shared" ref="F216:Q218" si="70">VLOOKUP($E216,eq_table_cl,F$4,FALSE)</f>
        <v>150.466390674</v>
      </c>
      <c r="G216">
        <f t="shared" si="70"/>
        <v>-9.6925793999999996E-2</v>
      </c>
      <c r="H216">
        <f t="shared" si="70"/>
        <v>0</v>
      </c>
      <c r="I216">
        <f t="shared" si="70"/>
        <v>0</v>
      </c>
      <c r="J216">
        <f t="shared" si="70"/>
        <v>0</v>
      </c>
      <c r="K216">
        <f t="shared" si="70"/>
        <v>0</v>
      </c>
      <c r="L216">
        <f t="shared" si="70"/>
        <v>0</v>
      </c>
      <c r="M216">
        <f t="shared" si="70"/>
        <v>0</v>
      </c>
      <c r="N216">
        <f t="shared" si="70"/>
        <v>0</v>
      </c>
      <c r="O216">
        <f t="shared" si="70"/>
        <v>0</v>
      </c>
      <c r="P216">
        <f t="shared" si="70"/>
        <v>200000.1</v>
      </c>
      <c r="Q216">
        <f t="shared" si="70"/>
        <v>0</v>
      </c>
    </row>
    <row r="217" spans="1:17">
      <c r="A217" t="s">
        <v>1230</v>
      </c>
      <c r="B217" t="s">
        <v>216</v>
      </c>
      <c r="C217" s="45">
        <f t="shared" si="69"/>
        <v>0</v>
      </c>
      <c r="D217">
        <f>r_inc_build1_fp</f>
        <v>0</v>
      </c>
      <c r="E217" t="s">
        <v>1232</v>
      </c>
      <c r="F217">
        <f t="shared" si="70"/>
        <v>184.678993655</v>
      </c>
      <c r="G217">
        <f t="shared" si="70"/>
        <v>-9.8240209999999994E-2</v>
      </c>
      <c r="H217">
        <f t="shared" si="70"/>
        <v>0</v>
      </c>
      <c r="I217">
        <f t="shared" si="70"/>
        <v>0</v>
      </c>
      <c r="J217">
        <f t="shared" si="70"/>
        <v>0</v>
      </c>
      <c r="K217">
        <f t="shared" si="70"/>
        <v>0</v>
      </c>
      <c r="L217">
        <f t="shared" si="70"/>
        <v>0</v>
      </c>
      <c r="M217">
        <f t="shared" si="70"/>
        <v>0</v>
      </c>
      <c r="N217">
        <f t="shared" si="70"/>
        <v>0</v>
      </c>
      <c r="O217">
        <f t="shared" si="70"/>
        <v>0</v>
      </c>
      <c r="P217">
        <f t="shared" si="70"/>
        <v>200000.1</v>
      </c>
      <c r="Q217">
        <f t="shared" si="70"/>
        <v>0</v>
      </c>
    </row>
    <row r="218" spans="1:17">
      <c r="A218" t="s">
        <v>1233</v>
      </c>
      <c r="B218" t="s">
        <v>217</v>
      </c>
      <c r="C218" s="45">
        <f t="shared" si="69"/>
        <v>0</v>
      </c>
      <c r="D218">
        <f>r_inc_build1_fp</f>
        <v>0</v>
      </c>
      <c r="E218" t="s">
        <v>1235</v>
      </c>
      <c r="F218">
        <f t="shared" si="70"/>
        <v>324.18264690900003</v>
      </c>
      <c r="G218">
        <f t="shared" si="70"/>
        <v>-0.13230006499999999</v>
      </c>
      <c r="H218">
        <f t="shared" si="70"/>
        <v>0</v>
      </c>
      <c r="I218">
        <f t="shared" si="70"/>
        <v>0</v>
      </c>
      <c r="J218">
        <f t="shared" si="70"/>
        <v>0</v>
      </c>
      <c r="K218">
        <f t="shared" si="70"/>
        <v>0</v>
      </c>
      <c r="L218">
        <f t="shared" si="70"/>
        <v>0</v>
      </c>
      <c r="M218">
        <f t="shared" si="70"/>
        <v>0</v>
      </c>
      <c r="N218">
        <f t="shared" si="70"/>
        <v>0</v>
      </c>
      <c r="O218">
        <f t="shared" si="70"/>
        <v>0</v>
      </c>
      <c r="P218">
        <f t="shared" si="70"/>
        <v>200000.1</v>
      </c>
      <c r="Q218">
        <f t="shared" si="70"/>
        <v>0</v>
      </c>
    </row>
    <row r="219" spans="1:17">
      <c r="A219" s="97" t="s">
        <v>214</v>
      </c>
      <c r="C219" s="605"/>
    </row>
    <row r="220" spans="1:17">
      <c r="A220" t="s">
        <v>1227</v>
      </c>
      <c r="B220" t="s">
        <v>218</v>
      </c>
      <c r="C220" s="45">
        <f t="shared" ref="C220:C222" si="71">IF(D220=0,0,IF(OR(D220&gt;P220,D220&lt;Q220),"contact vendor",F220*D220^G220+H220*LN(D220)+I220+J220*EXP(K220*D220)+L220*D220^3+M220*D220^2+N220*D220+O220))</f>
        <v>0</v>
      </c>
      <c r="D220">
        <f>r_inc_build2_fp</f>
        <v>0</v>
      </c>
      <c r="E220" t="s">
        <v>1229</v>
      </c>
      <c r="F220">
        <f t="shared" ref="F220:Q222" si="72">VLOOKUP($E220,eq_table_cl,F$4,FALSE)</f>
        <v>150.466390674</v>
      </c>
      <c r="G220">
        <f t="shared" si="72"/>
        <v>-9.6925793999999996E-2</v>
      </c>
      <c r="H220">
        <f t="shared" si="72"/>
        <v>0</v>
      </c>
      <c r="I220">
        <f t="shared" si="72"/>
        <v>0</v>
      </c>
      <c r="J220">
        <f t="shared" si="72"/>
        <v>0</v>
      </c>
      <c r="K220">
        <f t="shared" si="72"/>
        <v>0</v>
      </c>
      <c r="L220">
        <f t="shared" si="72"/>
        <v>0</v>
      </c>
      <c r="M220">
        <f t="shared" si="72"/>
        <v>0</v>
      </c>
      <c r="N220">
        <f t="shared" si="72"/>
        <v>0</v>
      </c>
      <c r="O220">
        <f t="shared" si="72"/>
        <v>0</v>
      </c>
      <c r="P220">
        <f t="shared" si="72"/>
        <v>200000.1</v>
      </c>
      <c r="Q220">
        <f t="shared" si="72"/>
        <v>0</v>
      </c>
    </row>
    <row r="221" spans="1:17">
      <c r="A221" t="s">
        <v>1230</v>
      </c>
      <c r="B221" t="s">
        <v>219</v>
      </c>
      <c r="C221" s="45">
        <f t="shared" si="71"/>
        <v>0</v>
      </c>
      <c r="D221">
        <f>r_inc_build2_fp</f>
        <v>0</v>
      </c>
      <c r="E221" t="s">
        <v>1232</v>
      </c>
      <c r="F221">
        <f t="shared" si="72"/>
        <v>184.678993655</v>
      </c>
      <c r="G221">
        <f t="shared" si="72"/>
        <v>-9.8240209999999994E-2</v>
      </c>
      <c r="H221">
        <f t="shared" si="72"/>
        <v>0</v>
      </c>
      <c r="I221">
        <f t="shared" si="72"/>
        <v>0</v>
      </c>
      <c r="J221">
        <f t="shared" si="72"/>
        <v>0</v>
      </c>
      <c r="K221">
        <f t="shared" si="72"/>
        <v>0</v>
      </c>
      <c r="L221">
        <f t="shared" si="72"/>
        <v>0</v>
      </c>
      <c r="M221">
        <f t="shared" si="72"/>
        <v>0</v>
      </c>
      <c r="N221">
        <f t="shared" si="72"/>
        <v>0</v>
      </c>
      <c r="O221">
        <f t="shared" si="72"/>
        <v>0</v>
      </c>
      <c r="P221">
        <f t="shared" si="72"/>
        <v>200000.1</v>
      </c>
      <c r="Q221">
        <f t="shared" si="72"/>
        <v>0</v>
      </c>
    </row>
    <row r="222" spans="1:17">
      <c r="A222" t="s">
        <v>1233</v>
      </c>
      <c r="B222" t="s">
        <v>220</v>
      </c>
      <c r="C222" s="45">
        <f t="shared" si="71"/>
        <v>0</v>
      </c>
      <c r="D222">
        <f>r_inc_build2_fp</f>
        <v>0</v>
      </c>
      <c r="E222" t="s">
        <v>1235</v>
      </c>
      <c r="F222">
        <f t="shared" si="72"/>
        <v>324.18264690900003</v>
      </c>
      <c r="G222">
        <f t="shared" si="72"/>
        <v>-0.13230006499999999</v>
      </c>
      <c r="H222">
        <f t="shared" si="72"/>
        <v>0</v>
      </c>
      <c r="I222">
        <f t="shared" si="72"/>
        <v>0</v>
      </c>
      <c r="J222">
        <f t="shared" si="72"/>
        <v>0</v>
      </c>
      <c r="K222">
        <f t="shared" si="72"/>
        <v>0</v>
      </c>
      <c r="L222">
        <f t="shared" si="72"/>
        <v>0</v>
      </c>
      <c r="M222">
        <f t="shared" si="72"/>
        <v>0</v>
      </c>
      <c r="N222">
        <f t="shared" si="72"/>
        <v>0</v>
      </c>
      <c r="O222">
        <f t="shared" si="72"/>
        <v>0</v>
      </c>
      <c r="P222">
        <f t="shared" si="72"/>
        <v>200000.1</v>
      </c>
      <c r="Q222">
        <f t="shared" si="72"/>
        <v>0</v>
      </c>
    </row>
  </sheetData>
  <phoneticPr fontId="0" type="noConversion"/>
  <pageMargins left="0.75" right="0.75" top="1" bottom="1" header="0.5" footer="0.5"/>
  <headerFooter alignWithMargins="0"/>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Q64"/>
  <sheetViews>
    <sheetView workbookViewId="0">
      <pane ySplit="5" topLeftCell="A6" activePane="bottomLeft" state="frozen"/>
      <selection pane="bottomLeft"/>
    </sheetView>
  </sheetViews>
  <sheetFormatPr baseColWidth="10" defaultColWidth="9.1640625" defaultRowHeight="13"/>
  <cols>
    <col min="1" max="16384" width="9.1640625" style="6"/>
  </cols>
  <sheetData>
    <row r="1" spans="1:17">
      <c r="A1" s="88" t="s">
        <v>4315</v>
      </c>
      <c r="C1" s="627"/>
      <c r="L1" s="1118"/>
      <c r="O1" s="1126"/>
    </row>
    <row r="2" spans="1:17">
      <c r="A2" s="748" t="s">
        <v>3415</v>
      </c>
      <c r="L2" s="1118"/>
      <c r="O2" s="1126"/>
    </row>
    <row r="3" spans="1:17">
      <c r="A3" s="748"/>
      <c r="L3" s="1118"/>
      <c r="O3" s="1126"/>
    </row>
    <row r="4" spans="1:17">
      <c r="B4" s="538" t="s">
        <v>4215</v>
      </c>
      <c r="D4" s="6" t="s">
        <v>4216</v>
      </c>
      <c r="F4" s="6" t="s">
        <v>4217</v>
      </c>
      <c r="H4" s="6" t="s">
        <v>4218</v>
      </c>
      <c r="L4" s="1127" t="s">
        <v>4219</v>
      </c>
      <c r="O4" s="1126"/>
    </row>
    <row r="5" spans="1:17">
      <c r="A5" s="921" t="s">
        <v>4220</v>
      </c>
      <c r="B5" s="921" t="s">
        <v>4221</v>
      </c>
      <c r="C5" s="921" t="s">
        <v>4222</v>
      </c>
      <c r="D5" s="921" t="s">
        <v>4223</v>
      </c>
      <c r="E5" s="921" t="s">
        <v>4224</v>
      </c>
      <c r="F5" s="921" t="s">
        <v>4225</v>
      </c>
      <c r="G5" s="921" t="s">
        <v>4226</v>
      </c>
      <c r="H5" s="921" t="s">
        <v>4227</v>
      </c>
      <c r="I5" s="921" t="s">
        <v>4228</v>
      </c>
      <c r="J5" s="921" t="s">
        <v>4229</v>
      </c>
      <c r="K5" s="921" t="s">
        <v>4230</v>
      </c>
      <c r="L5" s="1128" t="s">
        <v>4231</v>
      </c>
      <c r="M5" s="921" t="s">
        <v>4232</v>
      </c>
      <c r="N5" s="921" t="s">
        <v>4233</v>
      </c>
      <c r="O5" s="1129" t="s">
        <v>4234</v>
      </c>
      <c r="P5" s="921" t="s">
        <v>4235</v>
      </c>
      <c r="Q5" s="921" t="s">
        <v>4316</v>
      </c>
    </row>
    <row r="6" spans="1:17">
      <c r="A6" s="6" t="s">
        <v>1715</v>
      </c>
      <c r="B6" s="1121">
        <v>0</v>
      </c>
      <c r="C6" s="1121">
        <v>0</v>
      </c>
      <c r="D6" s="1121">
        <v>0</v>
      </c>
      <c r="E6" s="1121">
        <v>0</v>
      </c>
      <c r="F6" s="1121">
        <v>0</v>
      </c>
      <c r="G6" s="1121">
        <v>0</v>
      </c>
      <c r="H6" s="1121">
        <v>0</v>
      </c>
      <c r="I6" s="621">
        <v>-4.6792200000000001E-4</v>
      </c>
      <c r="J6" s="621">
        <v>12.098844774</v>
      </c>
      <c r="K6" s="621">
        <v>6672.3461545199998</v>
      </c>
      <c r="L6" s="1118">
        <v>0.13367574610699431</v>
      </c>
      <c r="N6" s="6" t="s">
        <v>4270</v>
      </c>
      <c r="O6" s="1126">
        <v>0.93195820403084639</v>
      </c>
      <c r="P6" s="6">
        <v>10001</v>
      </c>
      <c r="Q6" s="6">
        <v>0</v>
      </c>
    </row>
    <row r="7" spans="1:17">
      <c r="A7" s="6" t="s">
        <v>1235</v>
      </c>
      <c r="B7" s="621">
        <v>324.18264690900003</v>
      </c>
      <c r="C7" s="621">
        <v>-0.13230006499999999</v>
      </c>
      <c r="D7" s="1121">
        <v>0</v>
      </c>
      <c r="E7" s="1121">
        <v>0</v>
      </c>
      <c r="F7" s="1121">
        <v>0</v>
      </c>
      <c r="G7" s="1121">
        <v>0</v>
      </c>
      <c r="H7" s="1121">
        <v>0</v>
      </c>
      <c r="I7" s="1121">
        <v>0</v>
      </c>
      <c r="J7" s="1121">
        <v>0</v>
      </c>
      <c r="K7" s="1121">
        <v>0</v>
      </c>
      <c r="L7" s="1118">
        <v>3.9891100445136697E-2</v>
      </c>
      <c r="N7" s="6" t="s">
        <v>4302</v>
      </c>
      <c r="O7" s="1126">
        <v>0.95292288207252096</v>
      </c>
      <c r="P7" s="6">
        <v>200000.1</v>
      </c>
      <c r="Q7" s="6">
        <v>0</v>
      </c>
    </row>
    <row r="8" spans="1:17">
      <c r="A8" s="6" t="s">
        <v>1229</v>
      </c>
      <c r="B8" s="621">
        <v>150.466390674</v>
      </c>
      <c r="C8" s="621">
        <v>-9.6925793999999996E-2</v>
      </c>
      <c r="D8" s="1121">
        <v>0</v>
      </c>
      <c r="E8" s="1121">
        <v>0</v>
      </c>
      <c r="F8" s="1121">
        <v>0</v>
      </c>
      <c r="G8" s="1121">
        <v>0</v>
      </c>
      <c r="H8" s="1121">
        <v>0</v>
      </c>
      <c r="I8" s="1121">
        <v>0</v>
      </c>
      <c r="J8" s="1121">
        <v>0</v>
      </c>
      <c r="K8" s="1121">
        <v>0</v>
      </c>
      <c r="L8" s="1118">
        <v>2.5518207619233565E-2</v>
      </c>
      <c r="N8" s="6" t="s">
        <v>4300</v>
      </c>
      <c r="O8" s="1126">
        <v>0.96714729333927008</v>
      </c>
      <c r="P8" s="6">
        <v>200000.1</v>
      </c>
      <c r="Q8" s="6">
        <v>0</v>
      </c>
    </row>
    <row r="9" spans="1:17">
      <c r="A9" s="6" t="s">
        <v>1232</v>
      </c>
      <c r="B9" s="621">
        <v>184.678993655</v>
      </c>
      <c r="C9" s="621">
        <v>-9.8240209999999994E-2</v>
      </c>
      <c r="D9" s="1121">
        <v>0</v>
      </c>
      <c r="E9" s="1121">
        <v>0</v>
      </c>
      <c r="F9" s="1121">
        <v>0</v>
      </c>
      <c r="G9" s="1121">
        <v>0</v>
      </c>
      <c r="H9" s="1121">
        <v>0</v>
      </c>
      <c r="I9" s="1121">
        <v>0</v>
      </c>
      <c r="J9" s="1121">
        <v>0</v>
      </c>
      <c r="K9" s="1121">
        <v>0</v>
      </c>
      <c r="L9" s="1118">
        <v>2.751136169037021E-2</v>
      </c>
      <c r="N9" s="6" t="s">
        <v>4301</v>
      </c>
      <c r="O9" s="1126">
        <v>0.96388247777818237</v>
      </c>
      <c r="P9" s="6">
        <v>200000.1</v>
      </c>
      <c r="Q9" s="6">
        <v>0</v>
      </c>
    </row>
    <row r="10" spans="1:17">
      <c r="A10" s="6" t="s">
        <v>4264</v>
      </c>
      <c r="B10" s="621">
        <v>50.765126983000002</v>
      </c>
      <c r="C10" s="621">
        <v>1.589939094</v>
      </c>
      <c r="D10" s="1121">
        <v>0</v>
      </c>
      <c r="E10" s="1121">
        <v>0</v>
      </c>
      <c r="F10" s="1121">
        <v>0</v>
      </c>
      <c r="G10" s="1121">
        <v>0</v>
      </c>
      <c r="H10" s="1121">
        <v>0</v>
      </c>
      <c r="I10" s="1121">
        <v>0</v>
      </c>
      <c r="J10" s="1121">
        <v>0</v>
      </c>
      <c r="K10" s="1121">
        <v>0</v>
      </c>
      <c r="L10" s="1118">
        <v>6.0540207280493086E-2</v>
      </c>
      <c r="N10" s="6" t="s">
        <v>4265</v>
      </c>
      <c r="O10" s="1126">
        <v>0.98913990776606864</v>
      </c>
      <c r="P10" s="6">
        <v>48.1</v>
      </c>
      <c r="Q10" s="6">
        <v>14</v>
      </c>
    </row>
    <row r="11" spans="1:17">
      <c r="A11" s="6" t="s">
        <v>4262</v>
      </c>
      <c r="B11" s="1121">
        <v>0</v>
      </c>
      <c r="C11" s="1121">
        <v>0</v>
      </c>
      <c r="D11" s="1121">
        <v>0</v>
      </c>
      <c r="E11" s="1121">
        <v>0</v>
      </c>
      <c r="F11" s="1121">
        <v>0</v>
      </c>
      <c r="G11" s="1121">
        <v>0</v>
      </c>
      <c r="H11" s="621">
        <v>-0.443473112</v>
      </c>
      <c r="I11" s="621">
        <v>12.768802421</v>
      </c>
      <c r="J11" s="621">
        <v>121.700143858</v>
      </c>
      <c r="K11" s="621">
        <v>29.972082759999999</v>
      </c>
      <c r="L11" s="1118">
        <v>4.4240388936903539E-2</v>
      </c>
      <c r="N11" s="6" t="s">
        <v>4263</v>
      </c>
      <c r="O11" s="1126">
        <v>0.99017268458265773</v>
      </c>
      <c r="P11" s="6">
        <v>12</v>
      </c>
      <c r="Q11" s="6">
        <v>1</v>
      </c>
    </row>
    <row r="12" spans="1:17">
      <c r="A12" s="6" t="s">
        <v>1714</v>
      </c>
      <c r="B12" s="1121">
        <v>0</v>
      </c>
      <c r="C12" s="1121">
        <v>0</v>
      </c>
      <c r="D12" s="1121">
        <v>0</v>
      </c>
      <c r="E12" s="1121">
        <v>0</v>
      </c>
      <c r="F12" s="1121">
        <v>0</v>
      </c>
      <c r="G12" s="1121">
        <v>0</v>
      </c>
      <c r="H12" s="621">
        <v>0.99855227800000002</v>
      </c>
      <c r="I12" s="621">
        <v>-6.0986689119999999</v>
      </c>
      <c r="J12" s="621">
        <v>403.85014798499998</v>
      </c>
      <c r="K12" s="621">
        <v>-514.99226714700001</v>
      </c>
      <c r="L12" s="1118">
        <v>0.10500660342474012</v>
      </c>
      <c r="N12" s="6" t="s">
        <v>4268</v>
      </c>
      <c r="O12" s="1126">
        <v>0.99427270853636784</v>
      </c>
      <c r="P12" s="6">
        <v>24.1</v>
      </c>
      <c r="Q12" s="6">
        <v>2</v>
      </c>
    </row>
    <row r="13" spans="1:17">
      <c r="A13" s="6" t="s">
        <v>647</v>
      </c>
      <c r="B13" s="1121">
        <v>0</v>
      </c>
      <c r="C13" s="1121">
        <v>0</v>
      </c>
      <c r="D13" s="1121">
        <v>0</v>
      </c>
      <c r="E13" s="1121">
        <v>0</v>
      </c>
      <c r="F13" s="1121">
        <v>0</v>
      </c>
      <c r="G13" s="1121">
        <v>0</v>
      </c>
      <c r="H13" s="621">
        <v>-6.4880836999999997E-2</v>
      </c>
      <c r="I13" s="621">
        <v>28.444500948999998</v>
      </c>
      <c r="J13" s="621">
        <v>68.996848447999994</v>
      </c>
      <c r="K13" s="621">
        <v>1015.350532247</v>
      </c>
      <c r="L13" s="1118">
        <v>9.8676464810979456E-2</v>
      </c>
      <c r="N13" s="6" t="s">
        <v>4256</v>
      </c>
      <c r="O13" s="1126">
        <v>0.97024910323219449</v>
      </c>
      <c r="P13" s="6">
        <v>48.1</v>
      </c>
      <c r="Q13" s="6">
        <v>1</v>
      </c>
    </row>
    <row r="14" spans="1:17">
      <c r="A14" s="6" t="s">
        <v>3347</v>
      </c>
      <c r="B14" s="1121">
        <v>0</v>
      </c>
      <c r="C14" s="1121">
        <v>0</v>
      </c>
      <c r="D14" s="1121">
        <v>0</v>
      </c>
      <c r="E14" s="1121">
        <v>0</v>
      </c>
      <c r="F14" s="1121">
        <v>0</v>
      </c>
      <c r="G14" s="1121">
        <v>0</v>
      </c>
      <c r="H14" s="621">
        <v>1.9979999999999998E-5</v>
      </c>
      <c r="I14" s="621">
        <v>-2.4614654E-2</v>
      </c>
      <c r="J14" s="621">
        <v>51.968156825999998</v>
      </c>
      <c r="K14" s="621">
        <v>1470.452247771</v>
      </c>
      <c r="L14" s="1118">
        <v>3.3285905839289316E-2</v>
      </c>
      <c r="N14" s="6" t="s">
        <v>4287</v>
      </c>
      <c r="O14" s="1126">
        <v>0.99496202597007632</v>
      </c>
      <c r="P14" s="6">
        <v>1001</v>
      </c>
      <c r="Q14" s="6">
        <v>0</v>
      </c>
    </row>
    <row r="15" spans="1:17">
      <c r="A15" s="6" t="s">
        <v>3346</v>
      </c>
      <c r="B15" s="1121">
        <v>0</v>
      </c>
      <c r="C15" s="1121">
        <v>0</v>
      </c>
      <c r="D15" s="1121">
        <v>0</v>
      </c>
      <c r="E15" s="1121">
        <v>0</v>
      </c>
      <c r="F15" s="1121">
        <v>0</v>
      </c>
      <c r="G15" s="1121">
        <v>0</v>
      </c>
      <c r="H15" s="621">
        <v>-4.3819999999999997E-6</v>
      </c>
      <c r="I15" s="621">
        <v>1.083286E-2</v>
      </c>
      <c r="J15" s="621">
        <v>40.549529735999997</v>
      </c>
      <c r="K15" s="621">
        <v>36589.052814520001</v>
      </c>
      <c r="L15" s="1118">
        <v>8.1474118959206504E-3</v>
      </c>
      <c r="N15" s="6" t="s">
        <v>4286</v>
      </c>
      <c r="O15" s="1126">
        <v>0.99893759812170779</v>
      </c>
      <c r="P15" s="6">
        <v>1001</v>
      </c>
      <c r="Q15" s="6">
        <v>0</v>
      </c>
    </row>
    <row r="16" spans="1:17">
      <c r="A16" s="6" t="s">
        <v>3348</v>
      </c>
      <c r="B16" s="1121">
        <v>0</v>
      </c>
      <c r="C16" s="1121">
        <v>0</v>
      </c>
      <c r="D16" s="1121">
        <v>0</v>
      </c>
      <c r="E16" s="1121">
        <v>0</v>
      </c>
      <c r="F16" s="621">
        <v>24952.400661711999</v>
      </c>
      <c r="G16" s="621">
        <v>5.9381778000000003E-2</v>
      </c>
      <c r="H16" s="1121">
        <v>0</v>
      </c>
      <c r="I16" s="1121">
        <v>0</v>
      </c>
      <c r="J16" s="1121">
        <v>0</v>
      </c>
      <c r="K16" s="1121">
        <v>0</v>
      </c>
      <c r="L16" s="1118">
        <v>4.9521570484974985E-2</v>
      </c>
      <c r="N16" s="6" t="s">
        <v>4288</v>
      </c>
      <c r="O16" s="1126">
        <v>0.98522124707860215</v>
      </c>
      <c r="P16" s="6">
        <v>31</v>
      </c>
      <c r="Q16" s="6">
        <v>0</v>
      </c>
    </row>
    <row r="17" spans="1:17">
      <c r="A17" s="6" t="s">
        <v>641</v>
      </c>
      <c r="B17" s="1121">
        <v>0</v>
      </c>
      <c r="C17" s="1121">
        <v>0</v>
      </c>
      <c r="D17" s="1121">
        <v>0</v>
      </c>
      <c r="E17" s="1121">
        <v>0</v>
      </c>
      <c r="F17" s="1121">
        <v>0</v>
      </c>
      <c r="G17" s="1121">
        <v>0</v>
      </c>
      <c r="H17" s="621">
        <v>9.2529199999999995E-3</v>
      </c>
      <c r="I17" s="621">
        <v>0.54323701800000002</v>
      </c>
      <c r="J17" s="621">
        <v>3.0243661820000001</v>
      </c>
      <c r="K17" s="621">
        <v>0.94477128300000002</v>
      </c>
      <c r="L17" s="1118">
        <v>9.9480248445665748E-2</v>
      </c>
      <c r="N17" s="6" t="s">
        <v>4247</v>
      </c>
      <c r="O17" s="1126">
        <v>0.99695752040892482</v>
      </c>
      <c r="P17" s="6">
        <v>18.100000000000001</v>
      </c>
      <c r="Q17" s="6">
        <v>0</v>
      </c>
    </row>
    <row r="18" spans="1:17">
      <c r="A18" s="6" t="s">
        <v>1149</v>
      </c>
      <c r="B18" s="1121">
        <v>0</v>
      </c>
      <c r="C18" s="1121">
        <v>0</v>
      </c>
      <c r="D18" s="1121">
        <v>0</v>
      </c>
      <c r="E18" s="1121">
        <v>0</v>
      </c>
      <c r="F18" s="1121">
        <v>0</v>
      </c>
      <c r="G18" s="1121">
        <v>0</v>
      </c>
      <c r="H18" s="1121">
        <v>0</v>
      </c>
      <c r="I18" s="621">
        <v>-5.872E-5</v>
      </c>
      <c r="J18" s="621">
        <v>10.510938614000001</v>
      </c>
      <c r="K18" s="621">
        <v>14726.681553128999</v>
      </c>
      <c r="L18" s="1118">
        <v>0.13995541739069506</v>
      </c>
      <c r="N18" s="6" t="s">
        <v>4237</v>
      </c>
      <c r="O18" s="1126">
        <v>0.98307607586935486</v>
      </c>
      <c r="P18" s="6">
        <v>27101</v>
      </c>
      <c r="Q18" s="6">
        <v>0</v>
      </c>
    </row>
    <row r="19" spans="1:17">
      <c r="A19" s="6" t="s">
        <v>1150</v>
      </c>
      <c r="B19" s="1121">
        <v>0</v>
      </c>
      <c r="C19" s="1121">
        <v>0</v>
      </c>
      <c r="D19" s="1121">
        <v>0</v>
      </c>
      <c r="E19" s="1121">
        <v>0</v>
      </c>
      <c r="F19" s="1121">
        <v>0</v>
      </c>
      <c r="G19" s="1121">
        <v>0</v>
      </c>
      <c r="H19" s="621">
        <v>5.0000000000000001E-9</v>
      </c>
      <c r="I19" s="621">
        <v>-1.5907200000000001E-4</v>
      </c>
      <c r="J19" s="621">
        <v>6.5680481459999998</v>
      </c>
      <c r="K19" s="621">
        <v>9906.4774847219996</v>
      </c>
      <c r="L19" s="1118">
        <v>7.3043084396730171E-2</v>
      </c>
      <c r="N19" s="6" t="s">
        <v>4238</v>
      </c>
      <c r="O19" s="1126">
        <v>0.99785942183351606</v>
      </c>
      <c r="P19" s="6">
        <v>27101</v>
      </c>
      <c r="Q19" s="6">
        <v>0</v>
      </c>
    </row>
    <row r="20" spans="1:17">
      <c r="A20" s="6" t="s">
        <v>640</v>
      </c>
      <c r="B20" s="1130">
        <v>0</v>
      </c>
      <c r="C20" s="1121">
        <v>0</v>
      </c>
      <c r="D20" s="1121">
        <v>0</v>
      </c>
      <c r="E20" s="1121">
        <v>0</v>
      </c>
      <c r="F20" s="1121">
        <v>0</v>
      </c>
      <c r="G20" s="1121">
        <v>0</v>
      </c>
      <c r="H20" s="1121">
        <v>0</v>
      </c>
      <c r="I20" s="621">
        <v>9.4775899999999996E-2</v>
      </c>
      <c r="J20" s="621">
        <v>4.7903279550000004</v>
      </c>
      <c r="K20" s="621">
        <v>11.728518448999999</v>
      </c>
      <c r="L20" s="1118">
        <v>5.5571183335001967E-2</v>
      </c>
      <c r="N20" s="6" t="s">
        <v>4246</v>
      </c>
      <c r="O20" s="1126">
        <v>0.98982170795736724</v>
      </c>
      <c r="P20" s="6">
        <v>48.1</v>
      </c>
      <c r="Q20" s="6">
        <v>4</v>
      </c>
    </row>
    <row r="21" spans="1:17">
      <c r="A21" s="6" t="s">
        <v>1151</v>
      </c>
      <c r="B21" s="1121">
        <v>0</v>
      </c>
      <c r="C21" s="1121">
        <v>0</v>
      </c>
      <c r="D21" s="1121">
        <v>0</v>
      </c>
      <c r="E21" s="1121">
        <v>0</v>
      </c>
      <c r="F21" s="1121">
        <v>0</v>
      </c>
      <c r="G21" s="1121">
        <v>0</v>
      </c>
      <c r="H21" s="1121">
        <v>0</v>
      </c>
      <c r="I21" s="621">
        <v>-8.8950000000000004E-6</v>
      </c>
      <c r="J21" s="621">
        <v>1.587245247</v>
      </c>
      <c r="K21" s="621">
        <v>5286.1358956780005</v>
      </c>
      <c r="L21" s="1118">
        <v>0.20341374403131679</v>
      </c>
      <c r="N21" s="6" t="s">
        <v>4241</v>
      </c>
      <c r="O21" s="1126">
        <v>0.89610668864298393</v>
      </c>
      <c r="P21" s="6">
        <v>50001</v>
      </c>
      <c r="Q21" s="6">
        <v>0</v>
      </c>
    </row>
    <row r="22" spans="1:17">
      <c r="A22" s="538" t="s">
        <v>2387</v>
      </c>
      <c r="B22" s="1131">
        <v>0</v>
      </c>
      <c r="C22" s="1121">
        <v>0</v>
      </c>
      <c r="D22" s="1121">
        <v>0</v>
      </c>
      <c r="E22" s="1121">
        <v>0</v>
      </c>
      <c r="F22" s="1121">
        <v>0</v>
      </c>
      <c r="G22" s="1121">
        <v>0</v>
      </c>
      <c r="H22" s="1121">
        <v>0</v>
      </c>
      <c r="I22" s="621">
        <v>-2.3101000000000001E-5</v>
      </c>
      <c r="J22" s="621">
        <v>1.7413752899999999</v>
      </c>
      <c r="K22" s="621">
        <v>4585.4835849519995</v>
      </c>
      <c r="L22" s="1118">
        <v>0.15411100240644082</v>
      </c>
      <c r="N22" s="6" t="s">
        <v>4244</v>
      </c>
      <c r="O22" s="1126">
        <v>0.88653023720789181</v>
      </c>
      <c r="P22" s="6">
        <v>30001</v>
      </c>
      <c r="Q22" s="6">
        <v>0</v>
      </c>
    </row>
    <row r="23" spans="1:17">
      <c r="A23" s="6" t="s">
        <v>638</v>
      </c>
      <c r="B23" s="1121">
        <v>0</v>
      </c>
      <c r="C23" s="1121">
        <v>0</v>
      </c>
      <c r="D23" s="1121">
        <v>0</v>
      </c>
      <c r="E23" s="1121">
        <v>0</v>
      </c>
      <c r="F23" s="1121">
        <v>0</v>
      </c>
      <c r="G23" s="1121">
        <v>0</v>
      </c>
      <c r="H23" s="1121">
        <v>0</v>
      </c>
      <c r="I23" s="621">
        <v>-5.7213999999999995E-4</v>
      </c>
      <c r="J23" s="621">
        <v>18.639575937</v>
      </c>
      <c r="K23" s="621">
        <v>756.34544690600001</v>
      </c>
      <c r="L23" s="1132">
        <v>2.3036348996793989E-2</v>
      </c>
      <c r="N23" s="6" t="s">
        <v>4239</v>
      </c>
      <c r="O23" s="1133">
        <v>0.99884036425383971</v>
      </c>
      <c r="P23" s="6">
        <v>901</v>
      </c>
      <c r="Q23" s="6">
        <v>0</v>
      </c>
    </row>
    <row r="24" spans="1:17">
      <c r="A24" s="6" t="s">
        <v>3249</v>
      </c>
      <c r="B24" s="1121">
        <v>0</v>
      </c>
      <c r="C24" s="1121">
        <v>0</v>
      </c>
      <c r="D24" s="1121">
        <v>0</v>
      </c>
      <c r="E24" s="1121">
        <v>0</v>
      </c>
      <c r="F24" s="1121">
        <v>0</v>
      </c>
      <c r="G24" s="1121">
        <v>0</v>
      </c>
      <c r="H24" s="1121">
        <v>0</v>
      </c>
      <c r="I24" s="1121">
        <v>0</v>
      </c>
      <c r="J24" s="621">
        <v>-6.3409999999999999E-6</v>
      </c>
      <c r="K24" s="621">
        <v>1.904824233</v>
      </c>
      <c r="L24" s="1118">
        <v>6.5250253863471529E-4</v>
      </c>
      <c r="N24" s="6" t="s">
        <v>4283</v>
      </c>
      <c r="O24" s="1126">
        <v>0.99986840639324026</v>
      </c>
      <c r="P24" s="6">
        <v>40000</v>
      </c>
      <c r="Q24" s="6">
        <v>0</v>
      </c>
    </row>
    <row r="25" spans="1:17">
      <c r="A25" s="6" t="s">
        <v>2817</v>
      </c>
      <c r="B25" s="1121">
        <v>0</v>
      </c>
      <c r="C25" s="1121">
        <v>0</v>
      </c>
      <c r="D25" s="1121">
        <v>0</v>
      </c>
      <c r="E25" s="1121">
        <v>0</v>
      </c>
      <c r="F25" s="1121">
        <v>0</v>
      </c>
      <c r="G25" s="1121">
        <v>0</v>
      </c>
      <c r="H25" s="1121">
        <v>0</v>
      </c>
      <c r="I25" s="621">
        <v>2.2497000000000002E-5</v>
      </c>
      <c r="J25" s="621">
        <v>4.3621633999999999E-2</v>
      </c>
      <c r="K25" s="621">
        <v>7143.9343464289996</v>
      </c>
      <c r="L25" s="1118">
        <v>5.7688880591506919E-16</v>
      </c>
      <c r="N25" s="6" t="s">
        <v>4275</v>
      </c>
      <c r="O25" s="1126">
        <v>1</v>
      </c>
      <c r="P25" s="6">
        <v>31242</v>
      </c>
      <c r="Q25" s="6">
        <v>0</v>
      </c>
    </row>
    <row r="26" spans="1:17">
      <c r="A26" s="6" t="s">
        <v>1152</v>
      </c>
      <c r="B26" s="1121">
        <v>0</v>
      </c>
      <c r="C26" s="1121">
        <v>0</v>
      </c>
      <c r="D26" s="1121">
        <v>0</v>
      </c>
      <c r="E26" s="1121">
        <v>0</v>
      </c>
      <c r="F26" s="1121">
        <v>0</v>
      </c>
      <c r="G26" s="1121">
        <v>0</v>
      </c>
      <c r="H26" s="1121">
        <v>0</v>
      </c>
      <c r="I26" s="621">
        <v>-7.0820000000000001E-6</v>
      </c>
      <c r="J26" s="621">
        <v>1.020527551</v>
      </c>
      <c r="K26" s="621">
        <v>1185.3612831999999</v>
      </c>
      <c r="L26" s="1118">
        <v>0.20801274187391025</v>
      </c>
      <c r="N26" s="6" t="s">
        <v>4242</v>
      </c>
      <c r="O26" s="1126">
        <v>0.89284618788950654</v>
      </c>
      <c r="P26" s="6">
        <v>15001</v>
      </c>
      <c r="Q26" s="6">
        <v>0</v>
      </c>
    </row>
    <row r="27" spans="1:17">
      <c r="A27" s="6" t="s">
        <v>1250</v>
      </c>
      <c r="B27" s="621">
        <v>2517.0380804209999</v>
      </c>
      <c r="C27" s="621">
        <v>1.168812894</v>
      </c>
      <c r="D27" s="1121">
        <v>0</v>
      </c>
      <c r="E27" s="1121">
        <v>0</v>
      </c>
      <c r="F27" s="1121">
        <v>0</v>
      </c>
      <c r="G27" s="1121">
        <v>0</v>
      </c>
      <c r="H27" s="1121">
        <v>0</v>
      </c>
      <c r="I27" s="1121">
        <v>0</v>
      </c>
      <c r="J27" s="1121">
        <v>0</v>
      </c>
      <c r="K27" s="1121">
        <v>0</v>
      </c>
      <c r="L27" s="1118">
        <v>4.4402508043847592E-2</v>
      </c>
      <c r="N27" s="6" t="s">
        <v>4290</v>
      </c>
      <c r="O27" s="1126">
        <v>0.99405924702166593</v>
      </c>
      <c r="P27" s="6">
        <v>113.33</v>
      </c>
      <c r="Q27" s="6">
        <v>0</v>
      </c>
    </row>
    <row r="28" spans="1:17">
      <c r="A28" s="6" t="s">
        <v>1238</v>
      </c>
      <c r="B28" s="621">
        <v>1399.0154329059999</v>
      </c>
      <c r="C28" s="621">
        <v>0.75248641199999999</v>
      </c>
      <c r="D28" s="1121">
        <v>0</v>
      </c>
      <c r="E28" s="1121">
        <v>0</v>
      </c>
      <c r="F28" s="1121">
        <v>0</v>
      </c>
      <c r="G28" s="1121">
        <v>0</v>
      </c>
      <c r="H28" s="1121">
        <v>0</v>
      </c>
      <c r="I28" s="1121">
        <v>0</v>
      </c>
      <c r="J28" s="1121">
        <v>0</v>
      </c>
      <c r="K28" s="1121">
        <v>0</v>
      </c>
      <c r="L28" s="1118">
        <v>0.1993648078141734</v>
      </c>
      <c r="N28" s="6" t="s">
        <v>4291</v>
      </c>
      <c r="O28" s="1126">
        <v>0.972280792485123</v>
      </c>
      <c r="P28" s="6">
        <v>6148.1</v>
      </c>
      <c r="Q28" s="6">
        <v>0</v>
      </c>
    </row>
    <row r="29" spans="1:17">
      <c r="A29" s="6" t="s">
        <v>1242</v>
      </c>
      <c r="B29" s="621">
        <v>780.31994296400001</v>
      </c>
      <c r="C29" s="621">
        <v>0.77881003199999999</v>
      </c>
      <c r="D29" s="1121">
        <v>0</v>
      </c>
      <c r="E29" s="1121">
        <v>0</v>
      </c>
      <c r="F29" s="1121">
        <v>0</v>
      </c>
      <c r="G29" s="1121">
        <v>0</v>
      </c>
      <c r="H29" s="1121">
        <v>0</v>
      </c>
      <c r="I29" s="1121">
        <v>0</v>
      </c>
      <c r="J29" s="1121">
        <v>0</v>
      </c>
      <c r="K29" s="1121">
        <v>0</v>
      </c>
      <c r="L29" s="1118">
        <v>0.13370701384870753</v>
      </c>
      <c r="N29" s="6" t="s">
        <v>4293</v>
      </c>
      <c r="O29" s="1126">
        <v>0.94231975089749642</v>
      </c>
      <c r="P29" s="6">
        <v>5032.1000000000004</v>
      </c>
      <c r="Q29" s="6">
        <v>0</v>
      </c>
    </row>
    <row r="30" spans="1:17">
      <c r="A30" s="6" t="s">
        <v>1240</v>
      </c>
      <c r="B30" s="621">
        <v>780.31994296400001</v>
      </c>
      <c r="C30" s="621">
        <v>0.77881003199999999</v>
      </c>
      <c r="D30" s="1121">
        <v>0</v>
      </c>
      <c r="E30" s="1121">
        <v>0</v>
      </c>
      <c r="F30" s="1121">
        <v>0</v>
      </c>
      <c r="G30" s="1121">
        <v>0</v>
      </c>
      <c r="H30" s="1121">
        <v>0</v>
      </c>
      <c r="I30" s="1121">
        <v>0</v>
      </c>
      <c r="J30" s="1121">
        <v>0</v>
      </c>
      <c r="K30" s="1121">
        <v>0</v>
      </c>
      <c r="L30" s="1118">
        <v>0.13370701384870753</v>
      </c>
      <c r="N30" s="6" t="s">
        <v>4292</v>
      </c>
      <c r="O30" s="1126">
        <v>0.94231975089749642</v>
      </c>
      <c r="P30" s="6">
        <v>5032.1000000000004</v>
      </c>
      <c r="Q30" s="6">
        <v>0</v>
      </c>
    </row>
    <row r="31" spans="1:17">
      <c r="A31" s="6" t="s">
        <v>4298</v>
      </c>
      <c r="B31" s="621">
        <v>2100.9557421660002</v>
      </c>
      <c r="C31" s="621">
        <v>0.87499681299999998</v>
      </c>
      <c r="D31" s="1121">
        <v>0</v>
      </c>
      <c r="E31" s="1121">
        <v>0</v>
      </c>
      <c r="F31" s="1121">
        <v>0</v>
      </c>
      <c r="G31" s="1121">
        <v>0</v>
      </c>
      <c r="H31" s="1121">
        <v>0</v>
      </c>
      <c r="I31" s="1121">
        <v>0</v>
      </c>
      <c r="J31" s="1121">
        <v>0</v>
      </c>
      <c r="K31" s="1121">
        <v>0</v>
      </c>
      <c r="L31" s="1118">
        <v>5.2692442650527464E-2</v>
      </c>
      <c r="N31" s="6" t="s">
        <v>4299</v>
      </c>
      <c r="O31" s="1126">
        <v>0.9865271457488286</v>
      </c>
      <c r="P31" s="6">
        <v>50.01</v>
      </c>
      <c r="Q31" s="6">
        <v>12</v>
      </c>
    </row>
    <row r="32" spans="1:17">
      <c r="A32" s="6" t="s">
        <v>4296</v>
      </c>
      <c r="B32" s="1121">
        <v>0</v>
      </c>
      <c r="C32" s="1121">
        <v>0</v>
      </c>
      <c r="D32" s="1121">
        <v>0</v>
      </c>
      <c r="E32" s="1121">
        <v>0</v>
      </c>
      <c r="F32" s="621">
        <v>3162.0654825800002</v>
      </c>
      <c r="G32" s="621">
        <v>0.15046400200000001</v>
      </c>
      <c r="H32" s="1121">
        <v>0</v>
      </c>
      <c r="I32" s="1121">
        <v>0</v>
      </c>
      <c r="J32" s="1121">
        <v>0</v>
      </c>
      <c r="K32" s="1121">
        <v>0</v>
      </c>
      <c r="L32" s="1118">
        <v>8.947680135850776E-2</v>
      </c>
      <c r="N32" s="6" t="s">
        <v>4297</v>
      </c>
      <c r="O32" s="1126">
        <v>0.97324811259994926</v>
      </c>
      <c r="P32" s="6">
        <v>12</v>
      </c>
      <c r="Q32" s="6">
        <v>0</v>
      </c>
    </row>
    <row r="33" spans="1:17">
      <c r="A33" s="6" t="s">
        <v>1246</v>
      </c>
      <c r="B33" s="621">
        <v>931.18410081100001</v>
      </c>
      <c r="C33" s="621">
        <v>0.75894977500000005</v>
      </c>
      <c r="D33" s="1121">
        <v>0</v>
      </c>
      <c r="E33" s="1121">
        <v>0</v>
      </c>
      <c r="F33" s="1121">
        <v>0</v>
      </c>
      <c r="G33" s="1121">
        <v>0</v>
      </c>
      <c r="H33" s="1121">
        <v>0</v>
      </c>
      <c r="I33" s="1121">
        <v>0</v>
      </c>
      <c r="J33" s="1121">
        <v>0</v>
      </c>
      <c r="K33" s="1121">
        <v>0</v>
      </c>
      <c r="L33" s="1118">
        <v>8.4960799755244856E-2</v>
      </c>
      <c r="N33" s="6" t="s">
        <v>4295</v>
      </c>
      <c r="O33" s="1126">
        <v>0.98796386653059987</v>
      </c>
      <c r="P33" s="6">
        <v>3350.1</v>
      </c>
      <c r="Q33" s="6">
        <v>0</v>
      </c>
    </row>
    <row r="34" spans="1:17">
      <c r="A34" s="6" t="s">
        <v>1244</v>
      </c>
      <c r="B34" s="621">
        <v>931.18410081100001</v>
      </c>
      <c r="C34" s="621">
        <v>0.75894977500000005</v>
      </c>
      <c r="D34" s="1121">
        <v>0</v>
      </c>
      <c r="E34" s="1121">
        <v>0</v>
      </c>
      <c r="F34" s="1121">
        <v>0</v>
      </c>
      <c r="G34" s="1121">
        <v>0</v>
      </c>
      <c r="H34" s="1121">
        <v>0</v>
      </c>
      <c r="I34" s="1121">
        <v>0</v>
      </c>
      <c r="J34" s="1121">
        <v>0</v>
      </c>
      <c r="K34" s="1121">
        <v>0</v>
      </c>
      <c r="L34" s="1118">
        <v>8.4960799755244856E-2</v>
      </c>
      <c r="N34" s="6" t="s">
        <v>4294</v>
      </c>
      <c r="O34" s="1126">
        <v>0.98796386653059987</v>
      </c>
      <c r="P34" s="6">
        <v>3350.1</v>
      </c>
      <c r="Q34" s="6">
        <v>0</v>
      </c>
    </row>
    <row r="35" spans="1:17">
      <c r="A35" s="6" t="s">
        <v>2645</v>
      </c>
      <c r="B35" s="621">
        <v>4305.489470388</v>
      </c>
      <c r="C35" s="621">
        <v>0.62624343599999999</v>
      </c>
      <c r="D35" s="1121">
        <v>0</v>
      </c>
      <c r="E35" s="1121">
        <v>0</v>
      </c>
      <c r="F35" s="1121">
        <v>0</v>
      </c>
      <c r="G35" s="1121">
        <v>0</v>
      </c>
      <c r="H35" s="1121">
        <v>0</v>
      </c>
      <c r="I35" s="1121">
        <v>0</v>
      </c>
      <c r="J35" s="1121">
        <v>0</v>
      </c>
      <c r="K35" s="1121">
        <v>0</v>
      </c>
      <c r="L35" s="1118">
        <v>0.13449427745525244</v>
      </c>
      <c r="N35" s="6" t="s">
        <v>4277</v>
      </c>
      <c r="O35" s="1126">
        <v>0.88383983039843195</v>
      </c>
      <c r="P35" s="6">
        <v>110</v>
      </c>
      <c r="Q35" s="6">
        <v>0</v>
      </c>
    </row>
    <row r="36" spans="1:17">
      <c r="A36" s="6" t="s">
        <v>76</v>
      </c>
      <c r="B36" s="1121">
        <v>0</v>
      </c>
      <c r="C36" s="1121">
        <v>0</v>
      </c>
      <c r="D36" s="1121">
        <v>0</v>
      </c>
      <c r="E36" s="1121">
        <v>0</v>
      </c>
      <c r="F36" s="1121">
        <v>0</v>
      </c>
      <c r="G36" s="1121">
        <v>0</v>
      </c>
      <c r="H36" s="1121">
        <v>0</v>
      </c>
      <c r="I36" s="621">
        <v>56.418741707000002</v>
      </c>
      <c r="J36" s="621">
        <v>185.44349340400001</v>
      </c>
      <c r="K36" s="621">
        <v>3549.6461181</v>
      </c>
      <c r="L36" s="1118">
        <v>9.845957139525971E-2</v>
      </c>
      <c r="N36" s="6" t="s">
        <v>4282</v>
      </c>
      <c r="O36" s="1126">
        <v>0.989238737203601</v>
      </c>
      <c r="P36" s="6">
        <v>20.100000000000001</v>
      </c>
      <c r="Q36" s="6">
        <v>0</v>
      </c>
    </row>
    <row r="37" spans="1:17">
      <c r="A37" s="6" t="s">
        <v>2564</v>
      </c>
      <c r="B37" s="1121">
        <v>0</v>
      </c>
      <c r="C37" s="1121">
        <v>0</v>
      </c>
      <c r="D37" s="1121">
        <v>0</v>
      </c>
      <c r="E37" s="1121">
        <v>0</v>
      </c>
      <c r="F37" s="1121">
        <v>0</v>
      </c>
      <c r="G37" s="1121">
        <v>0</v>
      </c>
      <c r="H37" s="1121">
        <v>0</v>
      </c>
      <c r="I37" s="621">
        <v>-105.903037732</v>
      </c>
      <c r="J37" s="621">
        <v>1212.4815355010001</v>
      </c>
      <c r="K37" s="621">
        <v>1616.960565888</v>
      </c>
      <c r="L37" s="1118">
        <v>7.7140120963298323E-2</v>
      </c>
      <c r="N37" s="6" t="s">
        <v>4276</v>
      </c>
      <c r="O37" s="1126">
        <v>0.91459950534736967</v>
      </c>
      <c r="P37" s="6">
        <v>4.0999999999999996</v>
      </c>
      <c r="Q37" s="6">
        <v>0</v>
      </c>
    </row>
    <row r="38" spans="1:17">
      <c r="A38" s="6" t="s">
        <v>1073</v>
      </c>
      <c r="B38" s="1121">
        <v>0</v>
      </c>
      <c r="C38" s="1121">
        <v>0</v>
      </c>
      <c r="D38" s="1121">
        <v>0</v>
      </c>
      <c r="E38" s="1121">
        <v>0</v>
      </c>
      <c r="F38" s="1121">
        <v>0</v>
      </c>
      <c r="G38" s="1121">
        <v>0</v>
      </c>
      <c r="H38" s="1121">
        <v>0</v>
      </c>
      <c r="I38" s="1121">
        <v>0</v>
      </c>
      <c r="J38" s="621">
        <v>-5.2000000000000002E-6</v>
      </c>
      <c r="K38" s="621">
        <v>1.221341695</v>
      </c>
      <c r="L38" s="1118">
        <v>1.0989176869638693E-3</v>
      </c>
      <c r="N38" s="6" t="s">
        <v>4285</v>
      </c>
      <c r="O38" s="1126">
        <v>0.99977848309930495</v>
      </c>
      <c r="P38" s="6">
        <v>40000</v>
      </c>
      <c r="Q38" s="6">
        <v>0</v>
      </c>
    </row>
    <row r="39" spans="1:17">
      <c r="A39" s="6" t="s">
        <v>3251</v>
      </c>
      <c r="B39" s="621">
        <v>89607.057411429996</v>
      </c>
      <c r="C39" s="621">
        <v>0.39101593200000001</v>
      </c>
      <c r="D39" s="1121">
        <v>0</v>
      </c>
      <c r="E39" s="1121">
        <v>0</v>
      </c>
      <c r="F39" s="1121">
        <v>0</v>
      </c>
      <c r="G39" s="1121">
        <v>0</v>
      </c>
      <c r="H39" s="1121">
        <v>0</v>
      </c>
      <c r="I39" s="1121">
        <v>0</v>
      </c>
      <c r="J39" s="1121">
        <v>0</v>
      </c>
      <c r="K39" s="1121">
        <v>0</v>
      </c>
      <c r="L39" s="1118">
        <v>3.4520091260729038E-2</v>
      </c>
      <c r="N39" s="6" t="s">
        <v>4284</v>
      </c>
      <c r="O39" s="1126">
        <v>0.99561360548110489</v>
      </c>
      <c r="P39" s="6">
        <v>100001</v>
      </c>
      <c r="Q39" s="6">
        <v>0</v>
      </c>
    </row>
    <row r="40" spans="1:17">
      <c r="A40" s="6" t="s">
        <v>2763</v>
      </c>
      <c r="B40" s="1121">
        <v>0</v>
      </c>
      <c r="C40" s="1121">
        <v>0</v>
      </c>
      <c r="D40" s="1121">
        <v>0</v>
      </c>
      <c r="E40" s="1121">
        <v>0</v>
      </c>
      <c r="F40" s="1121">
        <v>0</v>
      </c>
      <c r="G40" s="1121">
        <v>0</v>
      </c>
      <c r="H40" s="621">
        <v>9.7957252999999994E-2</v>
      </c>
      <c r="I40" s="621">
        <v>-4.3835991869999997</v>
      </c>
      <c r="J40" s="621">
        <v>363.647694102</v>
      </c>
      <c r="K40" s="621">
        <v>2505.9544113299999</v>
      </c>
      <c r="L40" s="1118">
        <v>4.7791309506009412E-2</v>
      </c>
      <c r="N40" s="6" t="s">
        <v>4279</v>
      </c>
      <c r="O40" s="1126">
        <v>0.99931649808325451</v>
      </c>
      <c r="P40" s="6">
        <v>60.1</v>
      </c>
      <c r="Q40" s="6">
        <v>0</v>
      </c>
    </row>
    <row r="41" spans="1:17">
      <c r="A41" s="6" t="s">
        <v>2385</v>
      </c>
      <c r="B41" s="1121">
        <v>0</v>
      </c>
      <c r="C41" s="1121">
        <v>0</v>
      </c>
      <c r="D41" s="1121">
        <v>0</v>
      </c>
      <c r="E41" s="1121">
        <v>0</v>
      </c>
      <c r="F41" s="1121">
        <v>0</v>
      </c>
      <c r="G41" s="1121">
        <v>0</v>
      </c>
      <c r="H41" s="1121">
        <v>0</v>
      </c>
      <c r="I41" s="621">
        <v>2.8623999999999999E-5</v>
      </c>
      <c r="J41" s="621">
        <v>1.5428855189999999</v>
      </c>
      <c r="K41" s="621">
        <v>773.82851457200002</v>
      </c>
      <c r="L41" s="1118">
        <v>0.28931969900448962</v>
      </c>
      <c r="N41" s="6" t="s">
        <v>4243</v>
      </c>
      <c r="O41" s="1126">
        <v>0.93683558042513759</v>
      </c>
      <c r="P41" s="6">
        <v>6601</v>
      </c>
      <c r="Q41" s="6">
        <v>0</v>
      </c>
    </row>
    <row r="42" spans="1:17">
      <c r="A42" s="6" t="s">
        <v>1710</v>
      </c>
      <c r="B42" s="1121">
        <v>0</v>
      </c>
      <c r="C42" s="1121">
        <v>0</v>
      </c>
      <c r="D42" s="1121">
        <v>0</v>
      </c>
      <c r="E42" s="1121">
        <v>0</v>
      </c>
      <c r="F42" s="1121">
        <v>0</v>
      </c>
      <c r="G42" s="1121">
        <v>0</v>
      </c>
      <c r="H42" s="1121">
        <v>0</v>
      </c>
      <c r="I42" s="621">
        <v>29.057432393999999</v>
      </c>
      <c r="J42" s="621">
        <v>41.157186721000002</v>
      </c>
      <c r="K42" s="621">
        <v>41.987963886999999</v>
      </c>
      <c r="L42" s="1118">
        <v>0.19758395970443127</v>
      </c>
      <c r="N42" s="6" t="s">
        <v>4267</v>
      </c>
      <c r="O42" s="1126">
        <v>0.98230455794176574</v>
      </c>
      <c r="P42" s="6">
        <v>12.1</v>
      </c>
      <c r="Q42" s="6">
        <v>0</v>
      </c>
    </row>
    <row r="43" spans="1:17">
      <c r="A43" s="6" t="s">
        <v>4257</v>
      </c>
      <c r="B43" s="1121">
        <v>0</v>
      </c>
      <c r="C43" s="1121">
        <v>0</v>
      </c>
      <c r="D43" s="1121">
        <v>0</v>
      </c>
      <c r="E43" s="1121">
        <v>0</v>
      </c>
      <c r="F43" s="1121">
        <v>0</v>
      </c>
      <c r="G43" s="1121">
        <v>0</v>
      </c>
      <c r="H43" s="621">
        <v>22.300257887000001</v>
      </c>
      <c r="I43" s="621">
        <v>-1282.044463316</v>
      </c>
      <c r="J43" s="621">
        <v>25673.264317214998</v>
      </c>
      <c r="K43" s="621">
        <v>-162055.444357634</v>
      </c>
      <c r="L43" s="1118">
        <v>1.2711121317148773E-2</v>
      </c>
      <c r="N43" s="6" t="s">
        <v>4258</v>
      </c>
      <c r="O43" s="1126">
        <v>0.99884822319398192</v>
      </c>
      <c r="P43" s="6">
        <v>24.1</v>
      </c>
      <c r="Q43" s="6">
        <v>14</v>
      </c>
    </row>
    <row r="44" spans="1:17">
      <c r="A44" s="6" t="s">
        <v>4259</v>
      </c>
      <c r="B44" s="1121">
        <v>0</v>
      </c>
      <c r="C44" s="1121">
        <v>0</v>
      </c>
      <c r="D44" s="1121">
        <v>0</v>
      </c>
      <c r="E44" s="1121">
        <v>0</v>
      </c>
      <c r="F44" s="1121">
        <v>0</v>
      </c>
      <c r="G44" s="1121">
        <v>0</v>
      </c>
      <c r="H44" s="621">
        <v>2.7271295270000002</v>
      </c>
      <c r="I44" s="621">
        <v>-29.269386283999999</v>
      </c>
      <c r="J44" s="621">
        <v>178.38020961699999</v>
      </c>
      <c r="K44" s="621">
        <v>26.235623165</v>
      </c>
      <c r="L44" s="1118">
        <v>0.13585161746959062</v>
      </c>
      <c r="N44" s="6" t="s">
        <v>4260</v>
      </c>
      <c r="O44" s="1126">
        <v>0.97214624222774304</v>
      </c>
      <c r="P44" s="6">
        <v>12</v>
      </c>
      <c r="Q44" s="6">
        <v>0</v>
      </c>
    </row>
    <row r="45" spans="1:17">
      <c r="A45" s="6" t="s">
        <v>4251</v>
      </c>
      <c r="B45" s="1121">
        <v>0</v>
      </c>
      <c r="C45" s="1121">
        <v>0</v>
      </c>
      <c r="D45" s="1121">
        <v>0</v>
      </c>
      <c r="E45" s="1121">
        <v>0</v>
      </c>
      <c r="F45" s="1121">
        <v>0</v>
      </c>
      <c r="G45" s="1121">
        <v>0</v>
      </c>
      <c r="H45" s="621">
        <v>9.3985164300000008</v>
      </c>
      <c r="I45" s="621">
        <v>-558.72746474899998</v>
      </c>
      <c r="J45" s="621">
        <v>12544.513583182999</v>
      </c>
      <c r="K45" s="621">
        <v>-82391.131099701</v>
      </c>
      <c r="L45" s="1118">
        <v>1.3437677995945946E-2</v>
      </c>
      <c r="N45" s="6" t="s">
        <v>4252</v>
      </c>
      <c r="O45" s="1126">
        <v>0.9984129383946081</v>
      </c>
      <c r="P45" s="6">
        <v>24.1</v>
      </c>
      <c r="Q45" s="6">
        <v>14</v>
      </c>
    </row>
    <row r="46" spans="1:17">
      <c r="A46" s="6" t="s">
        <v>4253</v>
      </c>
      <c r="B46" s="1121">
        <v>0</v>
      </c>
      <c r="C46" s="1121">
        <v>0</v>
      </c>
      <c r="D46" s="1121">
        <v>0</v>
      </c>
      <c r="E46" s="1121">
        <v>0</v>
      </c>
      <c r="F46" s="621">
        <v>439.38534717800002</v>
      </c>
      <c r="G46" s="621">
        <v>0.21266484199999999</v>
      </c>
      <c r="H46" s="1121">
        <v>0</v>
      </c>
      <c r="I46" s="1121">
        <v>0</v>
      </c>
      <c r="J46" s="1121">
        <v>0</v>
      </c>
      <c r="K46" s="1121">
        <v>0</v>
      </c>
      <c r="L46" s="1118">
        <v>0.13053452232412066</v>
      </c>
      <c r="N46" s="6" t="s">
        <v>4254</v>
      </c>
      <c r="O46" s="1126">
        <v>0.97486149212967976</v>
      </c>
      <c r="P46" s="6">
        <v>12</v>
      </c>
      <c r="Q46" s="6">
        <v>0</v>
      </c>
    </row>
    <row r="47" spans="1:17">
      <c r="A47" s="6" t="s">
        <v>70</v>
      </c>
      <c r="B47" s="1121">
        <v>0</v>
      </c>
      <c r="C47" s="1121">
        <v>0</v>
      </c>
      <c r="D47" s="1121">
        <v>0</v>
      </c>
      <c r="E47" s="1121">
        <v>0</v>
      </c>
      <c r="F47" s="1121">
        <v>0</v>
      </c>
      <c r="G47" s="1121">
        <v>0</v>
      </c>
      <c r="H47" s="621">
        <v>8.7451079239999991</v>
      </c>
      <c r="I47" s="621">
        <v>-168.97460075800001</v>
      </c>
      <c r="J47" s="621">
        <v>1267.9447276149999</v>
      </c>
      <c r="K47" s="621">
        <v>643.112055725</v>
      </c>
      <c r="L47" s="1118">
        <v>0.10526889307193545</v>
      </c>
      <c r="N47" s="6" t="s">
        <v>4281</v>
      </c>
      <c r="O47" s="1126">
        <v>0.91999535097551344</v>
      </c>
      <c r="P47" s="6">
        <v>14.1</v>
      </c>
      <c r="Q47" s="6">
        <v>0</v>
      </c>
    </row>
    <row r="48" spans="1:17">
      <c r="A48" s="6" t="s">
        <v>3046</v>
      </c>
      <c r="B48" s="1121">
        <v>0</v>
      </c>
      <c r="C48" s="1121">
        <v>0</v>
      </c>
      <c r="D48" s="1121">
        <v>0</v>
      </c>
      <c r="E48" s="1121">
        <v>0</v>
      </c>
      <c r="F48" s="1121">
        <v>0</v>
      </c>
      <c r="G48" s="1121">
        <v>0</v>
      </c>
      <c r="H48" s="1121">
        <v>0</v>
      </c>
      <c r="I48" s="621">
        <v>-4.6792200000000001E-4</v>
      </c>
      <c r="J48" s="621">
        <v>12.098844774</v>
      </c>
      <c r="K48" s="621">
        <v>6672.3461545199998</v>
      </c>
      <c r="L48" s="1118">
        <v>0.13367574610699431</v>
      </c>
      <c r="N48" s="6" t="s">
        <v>4269</v>
      </c>
      <c r="O48" s="1126">
        <v>0.93195820403084639</v>
      </c>
      <c r="P48" s="6">
        <v>10001</v>
      </c>
      <c r="Q48" s="6">
        <v>0</v>
      </c>
    </row>
    <row r="49" spans="1:17">
      <c r="A49" s="6" t="s">
        <v>2410</v>
      </c>
      <c r="B49" s="621">
        <v>841.48377830200002</v>
      </c>
      <c r="C49" s="621">
        <v>0.297238954</v>
      </c>
      <c r="D49" s="1121">
        <v>0</v>
      </c>
      <c r="E49" s="1121">
        <v>0</v>
      </c>
      <c r="F49" s="1121">
        <v>0</v>
      </c>
      <c r="G49" s="1121">
        <v>0</v>
      </c>
      <c r="H49" s="1121">
        <v>0</v>
      </c>
      <c r="I49" s="1121">
        <v>0</v>
      </c>
      <c r="J49" s="1121">
        <v>0</v>
      </c>
      <c r="K49" s="1121">
        <v>0</v>
      </c>
      <c r="L49" s="1118">
        <v>0.34011813612767872</v>
      </c>
      <c r="N49" s="6" t="s">
        <v>4273</v>
      </c>
      <c r="O49" s="1126">
        <v>0.72412705327512517</v>
      </c>
      <c r="P49" s="6">
        <v>71.160000000000011</v>
      </c>
      <c r="Q49" s="6">
        <v>0</v>
      </c>
    </row>
    <row r="50" spans="1:17">
      <c r="A50" s="6" t="s">
        <v>2404</v>
      </c>
      <c r="B50" s="621">
        <v>2131.0173186699999</v>
      </c>
      <c r="C50" s="621">
        <v>0.15164036</v>
      </c>
      <c r="D50" s="1121">
        <v>0</v>
      </c>
      <c r="E50" s="1121">
        <v>0</v>
      </c>
      <c r="F50" s="1121">
        <v>0</v>
      </c>
      <c r="G50" s="1121">
        <v>0</v>
      </c>
      <c r="H50" s="1121">
        <v>0</v>
      </c>
      <c r="I50" s="1121">
        <v>0</v>
      </c>
      <c r="J50" s="1121">
        <v>0</v>
      </c>
      <c r="K50" s="1121">
        <v>0</v>
      </c>
      <c r="L50" s="1118">
        <v>9.9799125861343763E-2</v>
      </c>
      <c r="N50" s="6" t="s">
        <v>4271</v>
      </c>
      <c r="O50" s="1126">
        <v>0.86071909631242516</v>
      </c>
      <c r="P50" s="6">
        <v>108.01</v>
      </c>
      <c r="Q50" s="6">
        <v>0</v>
      </c>
    </row>
    <row r="51" spans="1:17">
      <c r="A51" s="6" t="s">
        <v>642</v>
      </c>
      <c r="B51" s="1121">
        <v>0</v>
      </c>
      <c r="C51" s="1121">
        <v>0</v>
      </c>
      <c r="D51" s="1121">
        <v>0</v>
      </c>
      <c r="E51" s="1121">
        <v>0</v>
      </c>
      <c r="F51" s="1121">
        <v>0</v>
      </c>
      <c r="G51" s="1121">
        <v>0</v>
      </c>
      <c r="H51" s="1121">
        <v>0</v>
      </c>
      <c r="I51" s="621">
        <v>0.104376414</v>
      </c>
      <c r="J51" s="621">
        <v>0.21217371199999999</v>
      </c>
      <c r="K51" s="621">
        <v>2.2767826370000002</v>
      </c>
      <c r="L51" s="1118">
        <v>0.3254887165822471</v>
      </c>
      <c r="N51" s="1134" t="s">
        <v>4248</v>
      </c>
      <c r="O51" s="1126">
        <v>0.99507354311573715</v>
      </c>
      <c r="P51" s="6">
        <v>48.1</v>
      </c>
      <c r="Q51" s="6">
        <v>0</v>
      </c>
    </row>
    <row r="52" spans="1:17">
      <c r="A52" s="6" t="s">
        <v>2818</v>
      </c>
      <c r="B52" s="1121">
        <v>0</v>
      </c>
      <c r="C52" s="1121">
        <v>0</v>
      </c>
      <c r="D52" s="1121">
        <v>0</v>
      </c>
      <c r="E52" s="1121">
        <v>0</v>
      </c>
      <c r="F52" s="1121">
        <v>0</v>
      </c>
      <c r="G52" s="1121">
        <v>0</v>
      </c>
      <c r="H52" s="1121">
        <v>0</v>
      </c>
      <c r="I52" s="1121">
        <v>0</v>
      </c>
      <c r="J52" s="621">
        <v>2905.85776824</v>
      </c>
      <c r="K52" s="621">
        <v>-2698.4549106889999</v>
      </c>
      <c r="L52" s="1118">
        <v>0.10606018346946983</v>
      </c>
      <c r="N52" s="6" t="s">
        <v>4278</v>
      </c>
      <c r="O52" s="1126">
        <v>0.97316844547267467</v>
      </c>
      <c r="P52" s="6">
        <v>6.1</v>
      </c>
      <c r="Q52" s="6">
        <v>1.5</v>
      </c>
    </row>
    <row r="53" spans="1:17">
      <c r="A53" s="6" t="s">
        <v>3074</v>
      </c>
      <c r="B53" s="1121">
        <v>0</v>
      </c>
      <c r="C53" s="1121">
        <v>0</v>
      </c>
      <c r="D53" s="1121">
        <v>0</v>
      </c>
      <c r="E53" s="1121">
        <v>0</v>
      </c>
      <c r="F53" s="1121">
        <v>0</v>
      </c>
      <c r="G53" s="1121">
        <v>0</v>
      </c>
      <c r="H53" s="1121">
        <v>0</v>
      </c>
      <c r="I53" s="621">
        <v>-2.5320000000000001E-6</v>
      </c>
      <c r="J53" s="621">
        <v>1.8213013149999999</v>
      </c>
      <c r="K53" s="621">
        <v>-658.64415503199996</v>
      </c>
      <c r="L53" s="1118">
        <v>0.14740052976960957</v>
      </c>
      <c r="N53" s="6" t="s">
        <v>4289</v>
      </c>
      <c r="O53" s="1126">
        <v>0.99512235678560579</v>
      </c>
      <c r="P53" s="6">
        <v>100001</v>
      </c>
      <c r="Q53" s="6">
        <v>750</v>
      </c>
    </row>
    <row r="54" spans="1:17">
      <c r="A54" s="6" t="s">
        <v>1712</v>
      </c>
      <c r="B54" s="1121">
        <v>0</v>
      </c>
      <c r="C54" s="1121">
        <v>0</v>
      </c>
      <c r="D54" s="1121">
        <v>0</v>
      </c>
      <c r="E54" s="1121">
        <v>0</v>
      </c>
      <c r="F54" s="1121">
        <v>0</v>
      </c>
      <c r="G54" s="1121">
        <v>0</v>
      </c>
      <c r="H54" s="1121">
        <v>0</v>
      </c>
      <c r="I54" s="621">
        <v>31.220161333</v>
      </c>
      <c r="J54" s="621">
        <v>300.84320452899999</v>
      </c>
      <c r="K54" s="621">
        <v>95.600648059999997</v>
      </c>
      <c r="L54" s="1118">
        <v>0.18389968521419006</v>
      </c>
      <c r="N54" s="6" t="s">
        <v>4266</v>
      </c>
      <c r="O54" s="1126">
        <v>0.9931010155115626</v>
      </c>
      <c r="P54" s="6">
        <v>48.1</v>
      </c>
      <c r="Q54" s="6">
        <v>0</v>
      </c>
    </row>
    <row r="55" spans="1:17">
      <c r="A55" s="6" t="s">
        <v>3353</v>
      </c>
      <c r="B55" s="1121">
        <v>0</v>
      </c>
      <c r="C55" s="1121">
        <v>0</v>
      </c>
      <c r="D55" s="1121">
        <v>0</v>
      </c>
      <c r="E55" s="1121">
        <v>0</v>
      </c>
      <c r="F55" s="1121">
        <v>0</v>
      </c>
      <c r="G55" s="1121">
        <v>0</v>
      </c>
      <c r="H55" s="1121">
        <v>0</v>
      </c>
      <c r="I55" s="621">
        <v>-8.3860000000000007E-6</v>
      </c>
      <c r="J55" s="621">
        <v>2.8629391329999998</v>
      </c>
      <c r="K55" s="621">
        <v>4567.3541617090004</v>
      </c>
      <c r="L55" s="1118">
        <v>4.8391615863126305E-2</v>
      </c>
      <c r="N55" s="6" t="s">
        <v>4245</v>
      </c>
      <c r="O55" s="1126">
        <v>0.99745567808386904</v>
      </c>
      <c r="P55" s="6">
        <v>30001</v>
      </c>
      <c r="Q55" s="6">
        <v>0</v>
      </c>
    </row>
    <row r="56" spans="1:17">
      <c r="A56" s="6" t="s">
        <v>2413</v>
      </c>
      <c r="B56" s="621">
        <v>1639.6207960889999</v>
      </c>
      <c r="C56" s="621">
        <v>0.215673063</v>
      </c>
      <c r="D56" s="1121">
        <v>0</v>
      </c>
      <c r="E56" s="1121">
        <v>0</v>
      </c>
      <c r="F56" s="1121">
        <v>0</v>
      </c>
      <c r="G56" s="1121">
        <v>0</v>
      </c>
      <c r="H56" s="1121">
        <v>0</v>
      </c>
      <c r="I56" s="1121">
        <v>0</v>
      </c>
      <c r="J56" s="1121">
        <v>0</v>
      </c>
      <c r="K56" s="1121">
        <v>0</v>
      </c>
      <c r="L56" s="1118">
        <v>0.12606224988550688</v>
      </c>
      <c r="N56" s="6" t="s">
        <v>4274</v>
      </c>
      <c r="O56" s="1126">
        <v>0.94251806613749078</v>
      </c>
      <c r="P56" s="6">
        <v>186.35999999999999</v>
      </c>
      <c r="Q56" s="6">
        <v>0</v>
      </c>
    </row>
    <row r="57" spans="1:17">
      <c r="A57" s="6" t="s">
        <v>1707</v>
      </c>
      <c r="B57" s="621">
        <v>219.908790627</v>
      </c>
      <c r="C57" s="621">
        <v>1.6848312670000001</v>
      </c>
      <c r="D57" s="1121">
        <v>0</v>
      </c>
      <c r="E57" s="1121">
        <v>0</v>
      </c>
      <c r="F57" s="1121">
        <v>0</v>
      </c>
      <c r="G57" s="1121">
        <v>0</v>
      </c>
      <c r="H57" s="1121">
        <v>0</v>
      </c>
      <c r="I57" s="1121">
        <v>0</v>
      </c>
      <c r="J57" s="1121">
        <v>0</v>
      </c>
      <c r="K57" s="1121">
        <v>0</v>
      </c>
      <c r="L57" s="1118">
        <v>0.43173099091354272</v>
      </c>
      <c r="N57" s="6" t="s">
        <v>4261</v>
      </c>
      <c r="O57" s="1126">
        <v>0.90686073864578676</v>
      </c>
      <c r="P57" s="6">
        <v>12.1</v>
      </c>
      <c r="Q57" s="6">
        <v>1</v>
      </c>
    </row>
    <row r="58" spans="1:17">
      <c r="A58" s="6" t="s">
        <v>2407</v>
      </c>
      <c r="B58" s="1121">
        <v>0</v>
      </c>
      <c r="C58" s="1121">
        <v>0</v>
      </c>
      <c r="D58" s="1121">
        <v>0</v>
      </c>
      <c r="E58" s="1121">
        <v>0</v>
      </c>
      <c r="F58" s="1121">
        <v>0</v>
      </c>
      <c r="G58" s="1121">
        <v>0</v>
      </c>
      <c r="H58" s="621">
        <v>-5.0447E-5</v>
      </c>
      <c r="I58" s="621">
        <v>2.3222423999999998E-2</v>
      </c>
      <c r="J58" s="621">
        <v>6.9804461360000003</v>
      </c>
      <c r="K58" s="621">
        <v>4385.3605613760001</v>
      </c>
      <c r="L58" s="1118">
        <v>0.14108296544780027</v>
      </c>
      <c r="N58" s="6" t="s">
        <v>4272</v>
      </c>
      <c r="O58" s="1126">
        <v>0.55549432910223095</v>
      </c>
      <c r="P58" s="6">
        <v>360.01</v>
      </c>
      <c r="Q58" s="6">
        <v>0</v>
      </c>
    </row>
    <row r="59" spans="1:17">
      <c r="A59" s="6" t="s">
        <v>645</v>
      </c>
      <c r="B59" s="1121">
        <v>0</v>
      </c>
      <c r="C59" s="1121">
        <v>0</v>
      </c>
      <c r="D59" s="1121">
        <v>0</v>
      </c>
      <c r="E59" s="1121">
        <v>0</v>
      </c>
      <c r="F59" s="1121">
        <v>0</v>
      </c>
      <c r="G59" s="1121">
        <v>0</v>
      </c>
      <c r="H59" s="1121">
        <v>0</v>
      </c>
      <c r="I59" s="621">
        <v>75.658217563999997</v>
      </c>
      <c r="J59" s="621">
        <v>386.97780231600001</v>
      </c>
      <c r="K59" s="621">
        <v>199.13787216599999</v>
      </c>
      <c r="L59" s="1118">
        <v>0.15750419279467587</v>
      </c>
      <c r="N59" s="6" t="s">
        <v>4255</v>
      </c>
      <c r="O59" s="1126">
        <v>0.99605947823708585</v>
      </c>
      <c r="P59" s="6">
        <v>48.1</v>
      </c>
      <c r="Q59" s="6">
        <v>0</v>
      </c>
    </row>
    <row r="60" spans="1:17">
      <c r="A60" s="6" t="s">
        <v>643</v>
      </c>
      <c r="B60" s="621">
        <v>30.645488513</v>
      </c>
      <c r="C60" s="621">
        <v>0.979401509</v>
      </c>
      <c r="D60" s="1121">
        <v>0</v>
      </c>
      <c r="E60" s="1121">
        <v>0</v>
      </c>
      <c r="F60" s="1121">
        <v>0</v>
      </c>
      <c r="G60" s="1121">
        <v>0</v>
      </c>
      <c r="H60" s="1121">
        <v>0</v>
      </c>
      <c r="I60" s="1121">
        <v>0</v>
      </c>
      <c r="J60" s="1121">
        <v>0</v>
      </c>
      <c r="K60" s="1121">
        <v>0</v>
      </c>
      <c r="L60" s="1118">
        <v>0.48766312996419464</v>
      </c>
      <c r="N60" s="6" t="s">
        <v>4249</v>
      </c>
      <c r="O60" s="1126">
        <v>0.93038803077554544</v>
      </c>
      <c r="P60" s="6">
        <v>48.1</v>
      </c>
      <c r="Q60" s="6">
        <v>0</v>
      </c>
    </row>
    <row r="61" spans="1:17">
      <c r="A61" s="6" t="s">
        <v>637</v>
      </c>
      <c r="B61" s="1121">
        <v>0</v>
      </c>
      <c r="C61" s="1121">
        <v>0</v>
      </c>
      <c r="D61" s="1121">
        <v>0</v>
      </c>
      <c r="E61" s="1121">
        <v>0</v>
      </c>
      <c r="F61" s="1121">
        <v>0</v>
      </c>
      <c r="G61" s="1121">
        <v>0</v>
      </c>
      <c r="H61" s="1121">
        <v>0</v>
      </c>
      <c r="I61" s="621">
        <v>-7.6737999999999996E-5</v>
      </c>
      <c r="J61" s="621">
        <v>15.444158594999999</v>
      </c>
      <c r="K61" s="621">
        <v>15601.139394092999</v>
      </c>
      <c r="L61" s="1118">
        <v>0.13663281269838107</v>
      </c>
      <c r="N61" s="6" t="s">
        <v>4236</v>
      </c>
      <c r="O61" s="1126">
        <v>0.98757186896824911</v>
      </c>
      <c r="P61" s="6">
        <v>27101</v>
      </c>
      <c r="Q61" s="6">
        <v>0</v>
      </c>
    </row>
    <row r="62" spans="1:17">
      <c r="A62" s="6" t="s">
        <v>639</v>
      </c>
      <c r="B62" s="621">
        <v>355.93975004200001</v>
      </c>
      <c r="C62" s="621">
        <v>0.52211620700000005</v>
      </c>
      <c r="D62" s="1121">
        <v>0</v>
      </c>
      <c r="E62" s="1121">
        <v>0</v>
      </c>
      <c r="F62" s="1121">
        <v>0</v>
      </c>
      <c r="G62" s="1121">
        <v>0</v>
      </c>
      <c r="H62" s="1121">
        <v>0</v>
      </c>
      <c r="I62" s="1121">
        <v>0</v>
      </c>
      <c r="J62" s="1121">
        <v>0</v>
      </c>
      <c r="K62" s="1121">
        <v>0</v>
      </c>
      <c r="L62" s="1118">
        <v>0.31304622163006357</v>
      </c>
      <c r="N62" s="6" t="s">
        <v>4240</v>
      </c>
      <c r="O62" s="1126">
        <v>0.62601816093529994</v>
      </c>
      <c r="P62" s="6">
        <v>282095</v>
      </c>
      <c r="Q62" s="6">
        <v>0</v>
      </c>
    </row>
    <row r="63" spans="1:17">
      <c r="A63" s="6" t="s">
        <v>644</v>
      </c>
      <c r="B63" s="1121">
        <v>0</v>
      </c>
      <c r="C63" s="1121">
        <v>0</v>
      </c>
      <c r="D63" s="1121">
        <v>0</v>
      </c>
      <c r="E63" s="1121">
        <v>0</v>
      </c>
      <c r="F63" s="1121">
        <v>0</v>
      </c>
      <c r="G63" s="1121">
        <v>0</v>
      </c>
      <c r="H63" s="621">
        <v>6.6341309999999997E-3</v>
      </c>
      <c r="I63" s="621">
        <v>-0.638131479</v>
      </c>
      <c r="J63" s="621">
        <v>21.062710183</v>
      </c>
      <c r="K63" s="621">
        <v>-5.1419829970000004</v>
      </c>
      <c r="L63" s="1118">
        <v>0.13809065616805388</v>
      </c>
      <c r="N63" s="6" t="s">
        <v>4250</v>
      </c>
      <c r="O63" s="1126">
        <v>0.94000861486434051</v>
      </c>
      <c r="P63" s="6">
        <v>48.1</v>
      </c>
      <c r="Q63" s="6">
        <v>1</v>
      </c>
    </row>
    <row r="64" spans="1:17">
      <c r="A64" s="6" t="s">
        <v>73</v>
      </c>
      <c r="B64" s="1121">
        <v>0</v>
      </c>
      <c r="C64" s="1121">
        <v>0</v>
      </c>
      <c r="D64" s="1121">
        <v>0</v>
      </c>
      <c r="E64" s="1121">
        <v>0</v>
      </c>
      <c r="F64" s="1121">
        <v>0</v>
      </c>
      <c r="G64" s="1121">
        <v>0</v>
      </c>
      <c r="H64" s="621">
        <v>8.2282792489999999</v>
      </c>
      <c r="I64" s="621">
        <v>-257.28572106299998</v>
      </c>
      <c r="J64" s="621">
        <v>3322.365776822</v>
      </c>
      <c r="K64" s="621">
        <v>-213.648957534</v>
      </c>
      <c r="L64" s="1118">
        <v>2.7904579731755034E-2</v>
      </c>
      <c r="N64" s="6" t="s">
        <v>4280</v>
      </c>
      <c r="O64" s="1126">
        <v>0.99967368374901222</v>
      </c>
      <c r="P64" s="6">
        <v>24.1</v>
      </c>
      <c r="Q64" s="6">
        <v>0</v>
      </c>
    </row>
  </sheetData>
  <sortState xmlns:xlrd2="http://schemas.microsoft.com/office/spreadsheetml/2017/richdata2" ref="A6:Q162">
    <sortCondition ref="A6:A162"/>
  </sortState>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G1613"/>
  <sheetViews>
    <sheetView workbookViewId="0"/>
  </sheetViews>
  <sheetFormatPr baseColWidth="10" defaultColWidth="9.1640625" defaultRowHeight="13"/>
  <cols>
    <col min="1" max="1" width="22.6640625" style="6" customWidth="1"/>
    <col min="2" max="2" width="25.5" style="6" customWidth="1"/>
    <col min="3" max="3" width="20.6640625" style="6" customWidth="1"/>
    <col min="4" max="4" width="20.33203125" style="6" customWidth="1"/>
    <col min="5" max="5" width="16.5" style="6" bestFit="1" customWidth="1"/>
    <col min="6" max="6" width="16.5" style="6" customWidth="1"/>
    <col min="7" max="11" width="14.33203125" style="6" customWidth="1"/>
    <col min="12" max="12" width="6.6640625" style="6" customWidth="1"/>
    <col min="13" max="18" width="14.33203125" style="6" customWidth="1"/>
    <col min="19" max="19" width="6.6640625" style="6" customWidth="1"/>
    <col min="20" max="24" width="14.33203125" style="6" customWidth="1"/>
    <col min="25" max="25" width="6.6640625" style="6" customWidth="1"/>
    <col min="26" max="30" width="14.33203125" style="6" customWidth="1"/>
    <col min="31" max="31" width="6.6640625" style="6" customWidth="1"/>
    <col min="32" max="36" width="14.33203125" style="6" customWidth="1"/>
    <col min="37" max="37" width="6.6640625" style="6" customWidth="1"/>
    <col min="38" max="42" width="14.33203125" style="6" customWidth="1"/>
    <col min="43" max="43" width="6.6640625" style="6" customWidth="1"/>
    <col min="44" max="51" width="9.1640625" style="6"/>
    <col min="52" max="52" width="9.5" style="6" bestFit="1" customWidth="1"/>
    <col min="53" max="53" width="9.1640625" style="6"/>
    <col min="54" max="54" width="9.33203125" style="6" bestFit="1" customWidth="1"/>
    <col min="55" max="16384" width="9.1640625" style="6"/>
  </cols>
  <sheetData>
    <row r="1" spans="1:6">
      <c r="A1" s="88" t="s">
        <v>3647</v>
      </c>
    </row>
    <row r="2" spans="1:6">
      <c r="A2" s="748" t="s">
        <v>4312</v>
      </c>
    </row>
    <row r="3" spans="1:6">
      <c r="A3" s="748" t="s">
        <v>4313</v>
      </c>
    </row>
    <row r="5" spans="1:6">
      <c r="A5" s="1061" t="s">
        <v>3648</v>
      </c>
      <c r="B5" s="1061" t="s">
        <v>3649</v>
      </c>
      <c r="C5" s="1061"/>
      <c r="D5" s="1061"/>
      <c r="E5" s="1061"/>
      <c r="F5" s="1061"/>
    </row>
    <row r="6" spans="1:6">
      <c r="A6" s="1080">
        <v>43</v>
      </c>
      <c r="B6" s="1060"/>
      <c r="C6" s="1060"/>
      <c r="D6" s="1060" t="s">
        <v>14</v>
      </c>
      <c r="E6" s="1060" t="s">
        <v>3650</v>
      </c>
      <c r="F6" s="1060" t="s">
        <v>3651</v>
      </c>
    </row>
    <row r="7" spans="1:6">
      <c r="A7" s="7" t="s">
        <v>3652</v>
      </c>
      <c r="B7" s="6">
        <v>0</v>
      </c>
      <c r="C7" s="6">
        <v>0</v>
      </c>
      <c r="D7" s="1081">
        <v>580.58711311592128</v>
      </c>
      <c r="E7" s="6">
        <v>15</v>
      </c>
      <c r="F7" s="6">
        <v>14</v>
      </c>
    </row>
    <row r="10" spans="1:6">
      <c r="A10" s="1061" t="s">
        <v>3653</v>
      </c>
      <c r="B10" s="1061" t="s">
        <v>3654</v>
      </c>
      <c r="C10" s="1061"/>
      <c r="D10" s="1061"/>
      <c r="E10" s="1061"/>
      <c r="F10" s="1061"/>
    </row>
    <row r="11" spans="1:6">
      <c r="A11" s="1080">
        <v>30</v>
      </c>
      <c r="B11" s="1060" t="s">
        <v>3655</v>
      </c>
      <c r="C11" s="1060" t="s">
        <v>3656</v>
      </c>
      <c r="D11" s="742" t="s">
        <v>3657</v>
      </c>
      <c r="E11" s="1060" t="s">
        <v>3650</v>
      </c>
      <c r="F11" s="1060" t="s">
        <v>3651</v>
      </c>
    </row>
    <row r="12" spans="1:6">
      <c r="A12" s="7" t="s">
        <v>3659</v>
      </c>
      <c r="B12" s="6">
        <v>0</v>
      </c>
      <c r="C12" s="6">
        <v>10</v>
      </c>
      <c r="D12" s="1081">
        <v>5569.3884955742142</v>
      </c>
      <c r="E12" s="6">
        <v>20</v>
      </c>
      <c r="F12" s="6">
        <v>17</v>
      </c>
    </row>
    <row r="13" spans="1:6">
      <c r="A13" s="7"/>
      <c r="B13" s="6">
        <v>11</v>
      </c>
      <c r="C13" s="6">
        <v>30</v>
      </c>
      <c r="D13" s="1081">
        <v>5795.5507406017077</v>
      </c>
      <c r="E13" s="6">
        <v>20</v>
      </c>
      <c r="F13" s="6">
        <v>17</v>
      </c>
    </row>
    <row r="14" spans="1:6">
      <c r="A14" s="7"/>
      <c r="B14" s="6">
        <v>31</v>
      </c>
      <c r="C14" s="6">
        <v>50</v>
      </c>
      <c r="D14" s="1081">
        <v>6608.4783657838652</v>
      </c>
      <c r="E14" s="6">
        <v>20</v>
      </c>
      <c r="F14" s="6">
        <v>17</v>
      </c>
    </row>
    <row r="15" spans="1:6">
      <c r="A15" s="7"/>
      <c r="B15" s="6">
        <v>51</v>
      </c>
      <c r="C15" s="6">
        <v>55</v>
      </c>
      <c r="D15" s="1081">
        <v>7767.8599401083775</v>
      </c>
      <c r="E15" s="6">
        <v>20</v>
      </c>
      <c r="F15" s="6">
        <v>17</v>
      </c>
    </row>
    <row r="16" spans="1:6">
      <c r="A16" s="7"/>
      <c r="B16" s="6">
        <v>56</v>
      </c>
      <c r="C16" s="6">
        <v>75</v>
      </c>
      <c r="D16" s="1081">
        <v>8244.055402912285</v>
      </c>
      <c r="E16" s="6">
        <v>20</v>
      </c>
      <c r="F16" s="6">
        <v>17</v>
      </c>
    </row>
    <row r="17" spans="1:6">
      <c r="A17" s="7"/>
      <c r="B17" s="6">
        <v>76</v>
      </c>
      <c r="C17" s="6">
        <v>100</v>
      </c>
      <c r="D17" s="1081">
        <v>8244.055402912285</v>
      </c>
      <c r="E17" s="6">
        <v>20</v>
      </c>
      <c r="F17" s="6">
        <v>17</v>
      </c>
    </row>
    <row r="18" spans="1:6">
      <c r="A18" s="7"/>
      <c r="B18" s="6">
        <v>101</v>
      </c>
      <c r="C18" s="6">
        <v>120</v>
      </c>
      <c r="D18" s="1081">
        <v>10543.373269362453</v>
      </c>
      <c r="E18" s="6">
        <v>20</v>
      </c>
      <c r="F18" s="6">
        <v>17</v>
      </c>
    </row>
    <row r="19" spans="1:6">
      <c r="A19" s="7"/>
      <c r="B19" s="6">
        <v>121</v>
      </c>
      <c r="C19" s="6">
        <v>125</v>
      </c>
      <c r="D19" s="1081">
        <v>8886.1187947329745</v>
      </c>
      <c r="E19" s="6">
        <v>20</v>
      </c>
      <c r="F19" s="6">
        <v>17</v>
      </c>
    </row>
    <row r="20" spans="1:6">
      <c r="A20" s="7"/>
      <c r="B20" s="6">
        <v>126</v>
      </c>
      <c r="C20" s="6">
        <v>140</v>
      </c>
      <c r="D20" s="1081">
        <v>10543.373269362453</v>
      </c>
      <c r="E20" s="6">
        <v>20</v>
      </c>
      <c r="F20" s="6">
        <v>17</v>
      </c>
    </row>
    <row r="21" spans="1:6">
      <c r="A21" s="7"/>
      <c r="B21" s="6">
        <v>141</v>
      </c>
      <c r="C21" s="6">
        <v>200</v>
      </c>
      <c r="D21" s="1081">
        <v>9860.8553353628813</v>
      </c>
      <c r="E21" s="6">
        <v>20</v>
      </c>
      <c r="F21" s="6">
        <v>17</v>
      </c>
    </row>
    <row r="22" spans="1:6">
      <c r="A22" s="7"/>
      <c r="B22" s="6">
        <v>201</v>
      </c>
      <c r="C22" s="6">
        <v>250</v>
      </c>
      <c r="D22" s="1081">
        <v>10403.831912339216</v>
      </c>
      <c r="E22" s="6">
        <v>20</v>
      </c>
      <c r="F22" s="6">
        <v>17</v>
      </c>
    </row>
    <row r="23" spans="1:6">
      <c r="A23" s="7"/>
      <c r="B23" s="538">
        <v>251</v>
      </c>
      <c r="C23" s="6">
        <v>300</v>
      </c>
      <c r="D23" s="1081">
        <v>10950.756520321143</v>
      </c>
      <c r="E23" s="6">
        <v>20</v>
      </c>
      <c r="F23" s="6">
        <v>17</v>
      </c>
    </row>
    <row r="24" spans="1:6">
      <c r="A24" s="7"/>
      <c r="B24" s="6">
        <v>301</v>
      </c>
      <c r="C24" s="6">
        <v>500</v>
      </c>
      <c r="D24" s="1081">
        <v>14817.74953427314</v>
      </c>
      <c r="E24" s="6">
        <v>20</v>
      </c>
      <c r="F24" s="6">
        <v>17</v>
      </c>
    </row>
    <row r="25" spans="1:6">
      <c r="A25" s="7"/>
      <c r="B25" s="6">
        <v>501</v>
      </c>
      <c r="C25" s="6">
        <v>750</v>
      </c>
      <c r="D25" s="1081">
        <v>15245.234456192235</v>
      </c>
      <c r="E25" s="6">
        <v>20</v>
      </c>
      <c r="F25" s="6">
        <v>17</v>
      </c>
    </row>
    <row r="26" spans="1:6">
      <c r="A26" s="7"/>
      <c r="B26" s="6">
        <v>751</v>
      </c>
      <c r="C26" s="6">
        <v>1000</v>
      </c>
      <c r="D26" s="1081">
        <v>17479.380929028201</v>
      </c>
      <c r="E26" s="6">
        <v>20</v>
      </c>
      <c r="F26" s="6">
        <v>17</v>
      </c>
    </row>
    <row r="27" spans="1:6">
      <c r="A27" s="7"/>
      <c r="B27" s="6">
        <v>1001</v>
      </c>
      <c r="C27" s="6">
        <v>1500</v>
      </c>
      <c r="D27" s="1081">
        <v>20907.303159775358</v>
      </c>
      <c r="E27" s="6">
        <v>20</v>
      </c>
      <c r="F27" s="6">
        <v>17</v>
      </c>
    </row>
    <row r="28" spans="1:6">
      <c r="A28" s="7"/>
      <c r="B28" s="6">
        <v>1501</v>
      </c>
      <c r="C28" s="6">
        <v>2000</v>
      </c>
      <c r="D28" s="1081">
        <v>31037.800609660451</v>
      </c>
      <c r="E28" s="6">
        <v>20</v>
      </c>
      <c r="F28" s="6">
        <v>17</v>
      </c>
    </row>
    <row r="29" spans="1:6">
      <c r="A29" s="7"/>
      <c r="B29" s="6">
        <v>2001</v>
      </c>
      <c r="C29" s="6">
        <v>3000</v>
      </c>
      <c r="D29" s="1081">
        <v>35660.896102217455</v>
      </c>
      <c r="E29" s="6">
        <v>20</v>
      </c>
      <c r="F29" s="6">
        <v>17</v>
      </c>
    </row>
    <row r="30" spans="1:6">
      <c r="A30" s="7"/>
      <c r="B30" s="6">
        <v>3001</v>
      </c>
      <c r="C30" s="6">
        <v>3500</v>
      </c>
      <c r="D30" s="1081">
        <v>40615.454496523613</v>
      </c>
      <c r="E30" s="6">
        <v>20</v>
      </c>
      <c r="F30" s="6">
        <v>17</v>
      </c>
    </row>
    <row r="31" spans="1:6">
      <c r="A31" s="7"/>
      <c r="B31" s="6">
        <v>3501</v>
      </c>
      <c r="C31" s="6">
        <v>4000</v>
      </c>
      <c r="D31" s="1081">
        <v>42599.858223068601</v>
      </c>
      <c r="E31" s="6">
        <v>20</v>
      </c>
      <c r="F31" s="6">
        <v>17</v>
      </c>
    </row>
    <row r="32" spans="1:6">
      <c r="A32" s="7"/>
      <c r="B32" s="6">
        <v>4001</v>
      </c>
      <c r="C32" s="6">
        <v>6000</v>
      </c>
      <c r="D32" s="1081">
        <v>88269.221898713586</v>
      </c>
      <c r="E32" s="6">
        <v>20</v>
      </c>
      <c r="F32" s="6">
        <v>17</v>
      </c>
    </row>
    <row r="33" spans="1:6">
      <c r="A33" s="7"/>
      <c r="B33" s="6">
        <v>6001</v>
      </c>
      <c r="C33" s="6">
        <v>10000</v>
      </c>
      <c r="D33" s="1081">
        <v>79060.747372874335</v>
      </c>
      <c r="E33" s="6">
        <v>20</v>
      </c>
      <c r="F33" s="6">
        <v>17</v>
      </c>
    </row>
    <row r="34" spans="1:6">
      <c r="A34" s="7"/>
      <c r="B34" s="6">
        <v>10001</v>
      </c>
      <c r="C34" s="6" t="s">
        <v>3658</v>
      </c>
      <c r="D34" s="1081" t="s">
        <v>3658</v>
      </c>
      <c r="E34" s="6">
        <v>20</v>
      </c>
      <c r="F34" s="6">
        <v>17</v>
      </c>
    </row>
    <row r="37" spans="1:6">
      <c r="A37" s="1061" t="s">
        <v>3660</v>
      </c>
      <c r="B37" s="1061" t="s">
        <v>1327</v>
      </c>
      <c r="C37" s="1061"/>
      <c r="D37" s="1061"/>
      <c r="E37" s="1061"/>
      <c r="F37" s="1061"/>
    </row>
    <row r="38" spans="1:6">
      <c r="A38" s="1080">
        <v>3</v>
      </c>
      <c r="B38" s="1060"/>
      <c r="C38" s="1060"/>
      <c r="D38" s="1060" t="s">
        <v>3661</v>
      </c>
      <c r="E38" s="1060" t="s">
        <v>3650</v>
      </c>
      <c r="F38" s="1060" t="s">
        <v>3651</v>
      </c>
    </row>
    <row r="39" spans="1:6">
      <c r="A39" s="7" t="s">
        <v>3663</v>
      </c>
      <c r="B39" s="6">
        <v>0</v>
      </c>
      <c r="C39" s="6">
        <v>0</v>
      </c>
      <c r="D39" s="1082">
        <v>13.946722243273967</v>
      </c>
      <c r="E39" s="6" t="s">
        <v>3662</v>
      </c>
      <c r="F39" s="6" t="s">
        <v>3662</v>
      </c>
    </row>
    <row r="42" spans="1:6">
      <c r="A42" s="1061" t="s">
        <v>3664</v>
      </c>
      <c r="B42" s="1061" t="s">
        <v>3665</v>
      </c>
      <c r="C42" s="1061"/>
      <c r="D42" s="1061"/>
      <c r="E42" s="1061"/>
      <c r="F42" s="1061"/>
    </row>
    <row r="43" spans="1:6">
      <c r="A43" s="1080">
        <v>2</v>
      </c>
      <c r="B43" s="1060"/>
      <c r="C43" s="1060"/>
      <c r="D43" s="1060" t="s">
        <v>3666</v>
      </c>
      <c r="E43" s="1060" t="s">
        <v>3650</v>
      </c>
      <c r="F43" s="1060" t="s">
        <v>3651</v>
      </c>
    </row>
    <row r="44" spans="1:6">
      <c r="A44" s="7" t="s">
        <v>3667</v>
      </c>
      <c r="B44" s="6">
        <v>0</v>
      </c>
      <c r="C44" s="6">
        <v>0</v>
      </c>
      <c r="D44" s="1082">
        <v>53.926091966062629</v>
      </c>
      <c r="E44" s="6" t="s">
        <v>3662</v>
      </c>
      <c r="F44" s="6" t="s">
        <v>3662</v>
      </c>
    </row>
    <row r="47" spans="1:6">
      <c r="A47" s="142" t="s">
        <v>3668</v>
      </c>
      <c r="B47" s="1062">
        <v>0</v>
      </c>
      <c r="C47" s="1062">
        <v>0</v>
      </c>
      <c r="D47" s="1083">
        <v>2896.6324499842881</v>
      </c>
      <c r="E47" s="1062" t="s">
        <v>3662</v>
      </c>
      <c r="F47" s="1062" t="s">
        <v>3662</v>
      </c>
    </row>
    <row r="48" spans="1:6">
      <c r="A48" s="142"/>
      <c r="B48" s="1062" t="s">
        <v>2581</v>
      </c>
      <c r="C48" s="1062"/>
      <c r="D48" s="1062" t="s">
        <v>3669</v>
      </c>
      <c r="E48" s="1062" t="s">
        <v>3650</v>
      </c>
      <c r="F48" s="1062" t="s">
        <v>3651</v>
      </c>
    </row>
    <row r="49" spans="1:6">
      <c r="A49" s="142" t="s">
        <v>3671</v>
      </c>
      <c r="B49" s="1062">
        <v>0</v>
      </c>
      <c r="C49" s="1062">
        <v>0</v>
      </c>
      <c r="D49" s="1083">
        <v>77.965434167801391</v>
      </c>
      <c r="E49" s="1062" t="s">
        <v>3662</v>
      </c>
      <c r="F49" s="1062" t="s">
        <v>3662</v>
      </c>
    </row>
    <row r="52" spans="1:6">
      <c r="A52" s="142" t="s">
        <v>3672</v>
      </c>
      <c r="B52" s="1062">
        <v>0</v>
      </c>
      <c r="C52" s="1062">
        <v>0</v>
      </c>
      <c r="D52" s="1083">
        <v>1380.637896721483</v>
      </c>
      <c r="E52" s="1062" t="s">
        <v>3662</v>
      </c>
      <c r="F52" s="1062" t="s">
        <v>3662</v>
      </c>
    </row>
    <row r="53" spans="1:6">
      <c r="A53" s="142"/>
      <c r="B53" s="1084" t="s">
        <v>2966</v>
      </c>
      <c r="C53" s="1062"/>
      <c r="D53" s="1062" t="s">
        <v>3673</v>
      </c>
      <c r="E53" s="1062" t="s">
        <v>3650</v>
      </c>
      <c r="F53" s="1062" t="s">
        <v>3651</v>
      </c>
    </row>
    <row r="54" spans="1:6">
      <c r="A54" s="142" t="s">
        <v>3675</v>
      </c>
      <c r="B54" s="1062">
        <v>0</v>
      </c>
      <c r="C54" s="1062">
        <v>0</v>
      </c>
      <c r="D54" s="1083">
        <v>460.21263224049437</v>
      </c>
      <c r="E54" s="1062" t="s">
        <v>3662</v>
      </c>
      <c r="F54" s="1062" t="s">
        <v>3662</v>
      </c>
    </row>
    <row r="57" spans="1:6">
      <c r="A57" s="142" t="s">
        <v>3676</v>
      </c>
      <c r="B57" s="1062">
        <v>0</v>
      </c>
      <c r="C57" s="1062">
        <v>0</v>
      </c>
      <c r="D57" s="1083">
        <v>1050.3676547606576</v>
      </c>
      <c r="E57" s="1062" t="s">
        <v>3662</v>
      </c>
      <c r="F57" s="1062" t="s">
        <v>3662</v>
      </c>
    </row>
    <row r="58" spans="1:6">
      <c r="A58" s="142"/>
      <c r="B58" s="1084" t="s">
        <v>2968</v>
      </c>
      <c r="C58" s="1062"/>
      <c r="D58" s="1062" t="s">
        <v>3657</v>
      </c>
      <c r="E58" s="1062" t="s">
        <v>3650</v>
      </c>
      <c r="F58" s="1062" t="s">
        <v>3651</v>
      </c>
    </row>
    <row r="59" spans="1:6">
      <c r="A59" s="142" t="s">
        <v>3678</v>
      </c>
      <c r="B59" s="1062">
        <v>0</v>
      </c>
      <c r="C59" s="1062">
        <v>0</v>
      </c>
      <c r="D59" s="1083">
        <v>725.51167906148521</v>
      </c>
      <c r="E59" s="1062" t="s">
        <v>3662</v>
      </c>
      <c r="F59" s="1062" t="s">
        <v>3662</v>
      </c>
    </row>
    <row r="62" spans="1:6">
      <c r="A62" s="142" t="s">
        <v>3674</v>
      </c>
      <c r="B62" s="1062">
        <v>0</v>
      </c>
      <c r="C62" s="1062">
        <v>0</v>
      </c>
      <c r="D62" s="1083">
        <v>460.21263224049437</v>
      </c>
      <c r="E62" s="1062" t="s">
        <v>3662</v>
      </c>
      <c r="F62" s="1062" t="s">
        <v>3662</v>
      </c>
    </row>
    <row r="63" spans="1:6">
      <c r="A63" s="142"/>
      <c r="B63" s="1084" t="s">
        <v>2967</v>
      </c>
      <c r="C63" s="1062"/>
      <c r="D63" s="1062" t="s">
        <v>3673</v>
      </c>
      <c r="E63" s="1062" t="s">
        <v>3650</v>
      </c>
      <c r="F63" s="1062" t="s">
        <v>3651</v>
      </c>
    </row>
    <row r="64" spans="1:6">
      <c r="A64" s="142" t="s">
        <v>3679</v>
      </c>
      <c r="B64" s="1062">
        <v>0</v>
      </c>
      <c r="C64" s="1062">
        <v>0</v>
      </c>
      <c r="D64" s="1083">
        <v>1050.3676547606576</v>
      </c>
      <c r="E64" s="1062" t="s">
        <v>3662</v>
      </c>
      <c r="F64" s="1062" t="s">
        <v>3662</v>
      </c>
    </row>
    <row r="67" spans="1:6">
      <c r="A67" s="142" t="s">
        <v>3677</v>
      </c>
      <c r="B67" s="1062">
        <v>0</v>
      </c>
      <c r="C67" s="1062">
        <v>0</v>
      </c>
      <c r="D67" s="1083">
        <v>725.51167906148521</v>
      </c>
      <c r="E67" s="1062" t="s">
        <v>3662</v>
      </c>
      <c r="F67" s="1062" t="s">
        <v>3662</v>
      </c>
    </row>
    <row r="68" spans="1:6">
      <c r="A68" s="142"/>
      <c r="B68" s="1084" t="s">
        <v>854</v>
      </c>
      <c r="C68" s="1062"/>
      <c r="D68" s="1062" t="s">
        <v>3666</v>
      </c>
      <c r="E68" s="1062" t="s">
        <v>3650</v>
      </c>
      <c r="F68" s="1062" t="s">
        <v>3651</v>
      </c>
    </row>
    <row r="69" spans="1:6">
      <c r="A69" s="142" t="s">
        <v>3680</v>
      </c>
      <c r="B69" s="1062">
        <v>0</v>
      </c>
      <c r="C69" s="1062">
        <v>0</v>
      </c>
      <c r="D69" s="1083">
        <v>2896.6324499842881</v>
      </c>
      <c r="E69" s="1062" t="s">
        <v>3662</v>
      </c>
      <c r="F69" s="1062" t="s">
        <v>3662</v>
      </c>
    </row>
    <row r="72" spans="1:6">
      <c r="A72" s="1085" t="s">
        <v>3681</v>
      </c>
      <c r="B72" s="1061" t="s">
        <v>3682</v>
      </c>
      <c r="C72" s="1065"/>
      <c r="D72" s="1086"/>
      <c r="E72" s="1065"/>
      <c r="F72" s="1065"/>
    </row>
    <row r="73" spans="1:6">
      <c r="A73" s="1080">
        <v>11</v>
      </c>
      <c r="B73" s="1060" t="s">
        <v>3683</v>
      </c>
      <c r="C73" s="1060" t="s">
        <v>1435</v>
      </c>
      <c r="D73" s="742" t="s">
        <v>3657</v>
      </c>
      <c r="E73" s="1060" t="s">
        <v>3650</v>
      </c>
      <c r="F73" s="1060" t="s">
        <v>3651</v>
      </c>
    </row>
    <row r="74" spans="1:6">
      <c r="A74" s="7" t="s">
        <v>3742</v>
      </c>
      <c r="B74" s="1063" t="s">
        <v>3684</v>
      </c>
      <c r="C74" s="1063" t="s">
        <v>3685</v>
      </c>
      <c r="D74" s="1087">
        <v>8.7842480697426714E-2</v>
      </c>
      <c r="E74" s="1088" t="s">
        <v>3662</v>
      </c>
      <c r="F74" s="1088" t="s">
        <v>3662</v>
      </c>
    </row>
    <row r="75" spans="1:6">
      <c r="B75" s="1064" t="s">
        <v>3686</v>
      </c>
      <c r="C75" s="1063" t="s">
        <v>3687</v>
      </c>
      <c r="D75" s="1087">
        <v>382.48530171916468</v>
      </c>
      <c r="E75" s="1088" t="s">
        <v>3662</v>
      </c>
      <c r="F75" s="1088" t="s">
        <v>3662</v>
      </c>
    </row>
    <row r="76" spans="1:6">
      <c r="B76" s="1063" t="s">
        <v>3688</v>
      </c>
      <c r="C76" s="1063" t="s">
        <v>3685</v>
      </c>
      <c r="D76" s="1087">
        <v>0.94900445765230323</v>
      </c>
      <c r="E76" s="1088" t="s">
        <v>3662</v>
      </c>
      <c r="F76" s="1088" t="s">
        <v>3662</v>
      </c>
    </row>
    <row r="77" spans="1:6">
      <c r="B77" s="1065" t="s">
        <v>3689</v>
      </c>
      <c r="C77" s="1065" t="s">
        <v>3685</v>
      </c>
      <c r="D77" s="1089">
        <v>1.6593899112777857</v>
      </c>
      <c r="E77" s="1090" t="s">
        <v>3662</v>
      </c>
      <c r="F77" s="1090" t="s">
        <v>3662</v>
      </c>
    </row>
    <row r="78" spans="1:6">
      <c r="B78" s="1060" t="s">
        <v>3690</v>
      </c>
      <c r="C78" s="1060" t="s">
        <v>3685</v>
      </c>
      <c r="D78" s="1091">
        <v>2.3250180316943752</v>
      </c>
      <c r="E78" s="1092" t="s">
        <v>3662</v>
      </c>
      <c r="F78" s="1092" t="s">
        <v>3662</v>
      </c>
    </row>
    <row r="79" spans="1:6">
      <c r="B79" s="741" t="s">
        <v>3691</v>
      </c>
      <c r="C79" s="1062" t="s">
        <v>3685</v>
      </c>
      <c r="D79" s="1083">
        <v>8.2145739586938951E-2</v>
      </c>
      <c r="E79" s="1093" t="s">
        <v>3662</v>
      </c>
      <c r="F79" s="1093" t="s">
        <v>3662</v>
      </c>
    </row>
    <row r="80" spans="1:6">
      <c r="B80" s="741" t="s">
        <v>3692</v>
      </c>
      <c r="C80" s="1062" t="s">
        <v>3685</v>
      </c>
      <c r="D80" s="1083">
        <v>0.19891309565016732</v>
      </c>
      <c r="E80" s="1093" t="s">
        <v>3662</v>
      </c>
      <c r="F80" s="1093" t="s">
        <v>3662</v>
      </c>
    </row>
    <row r="81" spans="2:6">
      <c r="B81" s="742" t="s">
        <v>3693</v>
      </c>
      <c r="C81" s="1060" t="s">
        <v>3685</v>
      </c>
      <c r="D81" s="1091">
        <v>0.70881982340066974</v>
      </c>
      <c r="E81" s="1092" t="s">
        <v>3662</v>
      </c>
      <c r="F81" s="1092" t="s">
        <v>3662</v>
      </c>
    </row>
    <row r="82" spans="2:6">
      <c r="B82" s="741" t="s">
        <v>3694</v>
      </c>
      <c r="C82" s="1062" t="s">
        <v>3685</v>
      </c>
      <c r="D82" s="1083">
        <v>1.1459478712357218</v>
      </c>
      <c r="E82" s="1093" t="s">
        <v>3662</v>
      </c>
      <c r="F82" s="1093" t="s">
        <v>3662</v>
      </c>
    </row>
    <row r="83" spans="2:6">
      <c r="B83" s="741" t="s">
        <v>3695</v>
      </c>
      <c r="C83" s="1062" t="s">
        <v>3685</v>
      </c>
      <c r="D83" s="1083">
        <v>1.216401742240683</v>
      </c>
      <c r="E83" s="1093" t="s">
        <v>3662</v>
      </c>
      <c r="F83" s="1093" t="s">
        <v>3662</v>
      </c>
    </row>
    <row r="84" spans="2:6">
      <c r="B84" s="742" t="s">
        <v>3696</v>
      </c>
      <c r="C84" s="1060" t="s">
        <v>3685</v>
      </c>
      <c r="D84" s="1091">
        <v>1.6686434821737623</v>
      </c>
      <c r="E84" s="1092" t="s">
        <v>3662</v>
      </c>
      <c r="F84" s="1092" t="s">
        <v>3662</v>
      </c>
    </row>
    <row r="85" spans="2:6">
      <c r="B85" s="1060" t="s">
        <v>3697</v>
      </c>
      <c r="C85" s="1060" t="s">
        <v>3687</v>
      </c>
      <c r="D85" s="1091">
        <v>126.46956732433368</v>
      </c>
      <c r="E85" s="1092" t="s">
        <v>3662</v>
      </c>
      <c r="F85" s="1092" t="s">
        <v>3662</v>
      </c>
    </row>
    <row r="86" spans="2:6">
      <c r="B86" s="742" t="s">
        <v>3698</v>
      </c>
      <c r="C86" s="1060" t="s">
        <v>3685</v>
      </c>
      <c r="D86" s="1091">
        <v>1.01351458336375</v>
      </c>
      <c r="E86" s="1092" t="s">
        <v>3662</v>
      </c>
      <c r="F86" s="1092" t="s">
        <v>3662</v>
      </c>
    </row>
    <row r="87" spans="2:6">
      <c r="B87" s="1063" t="s">
        <v>3699</v>
      </c>
      <c r="C87" s="1063" t="s">
        <v>2964</v>
      </c>
      <c r="D87" s="1087">
        <v>2.9822075664242669</v>
      </c>
      <c r="E87" s="1088" t="s">
        <v>3662</v>
      </c>
      <c r="F87" s="1088" t="s">
        <v>3662</v>
      </c>
    </row>
    <row r="88" spans="2:6">
      <c r="B88" s="741" t="s">
        <v>3700</v>
      </c>
      <c r="C88" s="1062" t="s">
        <v>3685</v>
      </c>
      <c r="D88" s="1083">
        <v>0.10819790390387915</v>
      </c>
      <c r="E88" s="1093" t="s">
        <v>3662</v>
      </c>
      <c r="F88" s="1093" t="s">
        <v>3662</v>
      </c>
    </row>
    <row r="89" spans="2:6">
      <c r="B89" s="741" t="s">
        <v>3701</v>
      </c>
      <c r="C89" s="1062" t="s">
        <v>3685</v>
      </c>
      <c r="D89" s="1083">
        <v>0.51319647993854167</v>
      </c>
      <c r="E89" s="1093" t="s">
        <v>3662</v>
      </c>
      <c r="F89" s="1093" t="s">
        <v>3662</v>
      </c>
    </row>
    <row r="90" spans="2:6">
      <c r="B90" s="742" t="s">
        <v>3702</v>
      </c>
      <c r="C90" s="1060" t="s">
        <v>3685</v>
      </c>
      <c r="D90" s="1091">
        <v>0.86000919364379769</v>
      </c>
      <c r="E90" s="1092" t="s">
        <v>3662</v>
      </c>
      <c r="F90" s="1092" t="s">
        <v>3662</v>
      </c>
    </row>
    <row r="91" spans="2:6">
      <c r="B91" s="741" t="s">
        <v>3703</v>
      </c>
      <c r="C91" s="1062" t="s">
        <v>3685</v>
      </c>
      <c r="D91" s="1083">
        <v>8.7231735317872386E-2</v>
      </c>
      <c r="E91" s="1093" t="s">
        <v>3662</v>
      </c>
      <c r="F91" s="1093" t="s">
        <v>3662</v>
      </c>
    </row>
    <row r="92" spans="2:6">
      <c r="B92" s="741" t="s">
        <v>3704</v>
      </c>
      <c r="C92" s="1062" t="s">
        <v>3685</v>
      </c>
      <c r="D92" s="1083">
        <v>0.72881294819702047</v>
      </c>
      <c r="E92" s="1093" t="s">
        <v>3662</v>
      </c>
      <c r="F92" s="1093" t="s">
        <v>3662</v>
      </c>
    </row>
    <row r="93" spans="2:6">
      <c r="B93" s="742" t="s">
        <v>3705</v>
      </c>
      <c r="C93" s="1060" t="s">
        <v>3685</v>
      </c>
      <c r="D93" s="1091">
        <v>1.1701481713967599</v>
      </c>
      <c r="E93" s="1092" t="s">
        <v>3662</v>
      </c>
      <c r="F93" s="1092" t="s">
        <v>3662</v>
      </c>
    </row>
    <row r="94" spans="2:6">
      <c r="B94" s="1063" t="s">
        <v>3706</v>
      </c>
      <c r="C94" s="1063" t="s">
        <v>3685</v>
      </c>
      <c r="D94" s="1087">
        <v>0.56648958553817397</v>
      </c>
      <c r="E94" s="1088" t="s">
        <v>3662</v>
      </c>
      <c r="F94" s="1088" t="s">
        <v>3662</v>
      </c>
    </row>
    <row r="95" spans="2:6">
      <c r="B95" s="1063" t="s">
        <v>3707</v>
      </c>
      <c r="C95" s="1063" t="s">
        <v>3685</v>
      </c>
      <c r="D95" s="1087">
        <v>0.31051840646029893</v>
      </c>
      <c r="E95" s="1088" t="s">
        <v>3662</v>
      </c>
      <c r="F95" s="1088" t="s">
        <v>3662</v>
      </c>
    </row>
    <row r="96" spans="2:6">
      <c r="B96" s="1063" t="s">
        <v>3708</v>
      </c>
      <c r="C96" s="1063" t="s">
        <v>3685</v>
      </c>
      <c r="D96" s="1087">
        <v>0.239995857589967</v>
      </c>
      <c r="E96" s="1088" t="s">
        <v>3662</v>
      </c>
      <c r="F96" s="1088" t="s">
        <v>3662</v>
      </c>
    </row>
    <row r="97" spans="2:6">
      <c r="B97" s="1063" t="s">
        <v>3709</v>
      </c>
      <c r="C97" s="1063" t="s">
        <v>3687</v>
      </c>
      <c r="D97" s="1087">
        <v>1569.8057590222552</v>
      </c>
      <c r="E97" s="1088" t="s">
        <v>3662</v>
      </c>
      <c r="F97" s="1088" t="s">
        <v>3662</v>
      </c>
    </row>
    <row r="98" spans="2:6">
      <c r="B98" s="1065" t="s">
        <v>3710</v>
      </c>
      <c r="C98" s="1065" t="s">
        <v>2964</v>
      </c>
      <c r="D98" s="1089">
        <v>28.430729060245273</v>
      </c>
      <c r="E98" s="1090" t="s">
        <v>3662</v>
      </c>
      <c r="F98" s="1090" t="s">
        <v>3662</v>
      </c>
    </row>
    <row r="99" spans="2:6">
      <c r="B99" s="1060" t="s">
        <v>3711</v>
      </c>
      <c r="C99" s="1060" t="s">
        <v>2964</v>
      </c>
      <c r="D99" s="1091">
        <v>24.788824056882106</v>
      </c>
      <c r="E99" s="1092" t="s">
        <v>3662</v>
      </c>
      <c r="F99" s="1092" t="s">
        <v>3662</v>
      </c>
    </row>
    <row r="100" spans="2:6">
      <c r="B100" s="741" t="s">
        <v>3712</v>
      </c>
      <c r="C100" s="1062" t="s">
        <v>3685</v>
      </c>
      <c r="D100" s="1083">
        <v>0.44988621251447641</v>
      </c>
      <c r="E100" s="1093" t="s">
        <v>3662</v>
      </c>
      <c r="F100" s="1093" t="s">
        <v>3662</v>
      </c>
    </row>
    <row r="101" spans="2:6">
      <c r="B101" s="742" t="s">
        <v>3713</v>
      </c>
      <c r="C101" s="1060" t="s">
        <v>3685</v>
      </c>
      <c r="D101" s="1091">
        <v>0.49320403830621901</v>
      </c>
      <c r="E101" s="1092" t="s">
        <v>3662</v>
      </c>
      <c r="F101" s="1092" t="s">
        <v>3662</v>
      </c>
    </row>
    <row r="102" spans="2:6">
      <c r="B102" s="741" t="s">
        <v>3714</v>
      </c>
      <c r="C102" s="1062" t="s">
        <v>3685</v>
      </c>
      <c r="D102" s="1083">
        <v>0.11308858750187929</v>
      </c>
      <c r="E102" s="1093" t="s">
        <v>3662</v>
      </c>
      <c r="F102" s="1093" t="s">
        <v>3662</v>
      </c>
    </row>
    <row r="103" spans="2:6">
      <c r="B103" s="741" t="s">
        <v>3715</v>
      </c>
      <c r="C103" s="1062" t="s">
        <v>3685</v>
      </c>
      <c r="D103" s="1083">
        <v>0.16982687842425642</v>
      </c>
      <c r="E103" s="1093" t="s">
        <v>3662</v>
      </c>
      <c r="F103" s="1093" t="s">
        <v>3662</v>
      </c>
    </row>
    <row r="104" spans="2:6">
      <c r="B104" s="742" t="s">
        <v>3716</v>
      </c>
      <c r="C104" s="1060" t="s">
        <v>3685</v>
      </c>
      <c r="D104" s="1091">
        <v>0.59699731908752152</v>
      </c>
      <c r="E104" s="1092" t="s">
        <v>3662</v>
      </c>
      <c r="F104" s="1092" t="s">
        <v>3662</v>
      </c>
    </row>
    <row r="105" spans="2:6">
      <c r="B105" s="1062" t="s">
        <v>3717</v>
      </c>
      <c r="C105" s="1062" t="s">
        <v>3685</v>
      </c>
      <c r="D105" s="1083">
        <v>0.73411317628434536</v>
      </c>
      <c r="E105" s="1093" t="s">
        <v>3662</v>
      </c>
      <c r="F105" s="1093" t="s">
        <v>3662</v>
      </c>
    </row>
    <row r="106" spans="2:6">
      <c r="B106" s="1060" t="s">
        <v>3718</v>
      </c>
      <c r="C106" s="1060" t="s">
        <v>3685</v>
      </c>
      <c r="D106" s="1091">
        <v>1.4185913073996193</v>
      </c>
      <c r="E106" s="1092" t="s">
        <v>3662</v>
      </c>
      <c r="F106" s="1092" t="s">
        <v>3662</v>
      </c>
    </row>
    <row r="107" spans="2:6">
      <c r="B107" s="741" t="s">
        <v>3719</v>
      </c>
      <c r="C107" s="1062" t="s">
        <v>3685</v>
      </c>
      <c r="D107" s="1083">
        <v>1.5132975654782508</v>
      </c>
      <c r="E107" s="1093" t="s">
        <v>3662</v>
      </c>
      <c r="F107" s="1093" t="s">
        <v>3662</v>
      </c>
    </row>
    <row r="108" spans="2:6">
      <c r="B108" s="741" t="s">
        <v>3720</v>
      </c>
      <c r="C108" s="1062" t="s">
        <v>3685</v>
      </c>
      <c r="D108" s="1083">
        <v>1.9376668764488079</v>
      </c>
      <c r="E108" s="1093" t="s">
        <v>3662</v>
      </c>
      <c r="F108" s="1093" t="s">
        <v>3662</v>
      </c>
    </row>
    <row r="109" spans="2:6">
      <c r="B109" s="742" t="s">
        <v>3721</v>
      </c>
      <c r="C109" s="1060" t="s">
        <v>3685</v>
      </c>
      <c r="D109" s="1091">
        <v>4.2783853068588265</v>
      </c>
      <c r="E109" s="1092" t="s">
        <v>3662</v>
      </c>
      <c r="F109" s="1092" t="s">
        <v>3662</v>
      </c>
    </row>
    <row r="110" spans="2:6">
      <c r="B110" s="1063" t="s">
        <v>3722</v>
      </c>
      <c r="C110" s="1063" t="s">
        <v>3685</v>
      </c>
      <c r="D110" s="1087">
        <v>0.66836505925595469</v>
      </c>
      <c r="E110" s="1088" t="s">
        <v>3662</v>
      </c>
      <c r="F110" s="1088" t="s">
        <v>3662</v>
      </c>
    </row>
    <row r="111" spans="2:6">
      <c r="B111" s="1063" t="s">
        <v>3723</v>
      </c>
      <c r="C111" s="1063" t="s">
        <v>3685</v>
      </c>
      <c r="D111" s="1087">
        <v>0.16684887885740227</v>
      </c>
      <c r="E111" s="1088" t="s">
        <v>3662</v>
      </c>
      <c r="F111" s="1088" t="s">
        <v>3662</v>
      </c>
    </row>
    <row r="112" spans="2:6">
      <c r="B112" s="1063" t="s">
        <v>3724</v>
      </c>
      <c r="C112" s="1063" t="s">
        <v>3685</v>
      </c>
      <c r="D112" s="1087">
        <v>0.24325929387331255</v>
      </c>
      <c r="E112" s="1088" t="s">
        <v>3662</v>
      </c>
      <c r="F112" s="1088" t="s">
        <v>3662</v>
      </c>
    </row>
    <row r="113" spans="2:6">
      <c r="B113" s="741" t="s">
        <v>3725</v>
      </c>
      <c r="C113" s="1062" t="s">
        <v>3685</v>
      </c>
      <c r="D113" s="1083">
        <v>0.11724766355140187</v>
      </c>
      <c r="E113" s="1093" t="s">
        <v>3662</v>
      </c>
      <c r="F113" s="1093" t="s">
        <v>3662</v>
      </c>
    </row>
    <row r="114" spans="2:6">
      <c r="B114" s="742" t="s">
        <v>3726</v>
      </c>
      <c r="C114" s="1060" t="s">
        <v>3685</v>
      </c>
      <c r="D114" s="1091">
        <v>0.2135234395140618</v>
      </c>
      <c r="E114" s="1092" t="s">
        <v>3662</v>
      </c>
      <c r="F114" s="1092" t="s">
        <v>3662</v>
      </c>
    </row>
    <row r="115" spans="2:6">
      <c r="B115" s="1066" t="s">
        <v>3727</v>
      </c>
      <c r="C115" s="1065" t="s">
        <v>3685</v>
      </c>
      <c r="D115" s="1089">
        <v>0.53434920935376151</v>
      </c>
      <c r="E115" s="1090" t="s">
        <v>3662</v>
      </c>
      <c r="F115" s="1090" t="s">
        <v>3662</v>
      </c>
    </row>
    <row r="116" spans="2:6">
      <c r="B116" s="742" t="s">
        <v>3728</v>
      </c>
      <c r="C116" s="1060" t="s">
        <v>3685</v>
      </c>
      <c r="D116" s="1091">
        <v>0.36954395037706289</v>
      </c>
      <c r="E116" s="1092" t="s">
        <v>3662</v>
      </c>
      <c r="F116" s="1092" t="s">
        <v>3662</v>
      </c>
    </row>
    <row r="117" spans="2:6">
      <c r="B117" s="1063" t="s">
        <v>3729</v>
      </c>
      <c r="C117" s="1063" t="s">
        <v>3685</v>
      </c>
      <c r="D117" s="1087">
        <v>1.7914735811064824</v>
      </c>
      <c r="E117" s="1088" t="s">
        <v>3662</v>
      </c>
      <c r="F117" s="1088" t="s">
        <v>3662</v>
      </c>
    </row>
    <row r="118" spans="2:6">
      <c r="B118" s="1062" t="s">
        <v>3730</v>
      </c>
      <c r="C118" s="1062" t="s">
        <v>3685</v>
      </c>
      <c r="D118" s="1083">
        <v>0.11262237848666168</v>
      </c>
      <c r="E118" s="1093" t="s">
        <v>3662</v>
      </c>
      <c r="F118" s="1093" t="s">
        <v>3662</v>
      </c>
    </row>
    <row r="119" spans="2:6">
      <c r="B119" s="1062" t="s">
        <v>3731</v>
      </c>
      <c r="C119" s="1062" t="s">
        <v>3685</v>
      </c>
      <c r="D119" s="1083">
        <v>0.185</v>
      </c>
      <c r="E119" s="1093" t="s">
        <v>3662</v>
      </c>
      <c r="F119" s="1093" t="s">
        <v>3662</v>
      </c>
    </row>
    <row r="120" spans="2:6">
      <c r="B120" s="1060" t="s">
        <v>3732</v>
      </c>
      <c r="C120" s="1060" t="s">
        <v>3685</v>
      </c>
      <c r="D120" s="1091">
        <v>0.27117787571818569</v>
      </c>
      <c r="E120" s="1092" t="s">
        <v>3662</v>
      </c>
      <c r="F120" s="1092" t="s">
        <v>3662</v>
      </c>
    </row>
    <row r="121" spans="2:6">
      <c r="B121" s="1062" t="s">
        <v>3733</v>
      </c>
      <c r="C121" s="1062" t="s">
        <v>2964</v>
      </c>
      <c r="D121" s="1083">
        <v>1.3814078583882796</v>
      </c>
      <c r="E121" s="1093" t="s">
        <v>3662</v>
      </c>
      <c r="F121" s="1093" t="s">
        <v>3662</v>
      </c>
    </row>
    <row r="122" spans="2:6">
      <c r="B122" s="1060" t="s">
        <v>3734</v>
      </c>
      <c r="C122" s="1060" t="s">
        <v>2964</v>
      </c>
      <c r="D122" s="1091">
        <v>1.8734025719290515</v>
      </c>
      <c r="E122" s="1092" t="s">
        <v>3662</v>
      </c>
      <c r="F122" s="1092" t="s">
        <v>3662</v>
      </c>
    </row>
    <row r="123" spans="2:6">
      <c r="B123" s="741" t="s">
        <v>3735</v>
      </c>
      <c r="C123" s="1062" t="s">
        <v>3685</v>
      </c>
      <c r="D123" s="1083">
        <v>9.9430283976588221E-2</v>
      </c>
      <c r="E123" s="1093" t="s">
        <v>3662</v>
      </c>
      <c r="F123" s="1093" t="s">
        <v>3662</v>
      </c>
    </row>
    <row r="124" spans="2:6">
      <c r="B124" s="742" t="s">
        <v>3736</v>
      </c>
      <c r="C124" s="1060" t="s">
        <v>3685</v>
      </c>
      <c r="D124" s="1091">
        <v>0.27718274695149453</v>
      </c>
      <c r="E124" s="1092" t="s">
        <v>3662</v>
      </c>
      <c r="F124" s="1092" t="s">
        <v>3662</v>
      </c>
    </row>
    <row r="125" spans="2:6">
      <c r="B125" s="741" t="s">
        <v>3737</v>
      </c>
      <c r="C125" s="1062" t="s">
        <v>3685</v>
      </c>
      <c r="D125" s="1083">
        <v>6.5124389389223083</v>
      </c>
      <c r="E125" s="1093" t="s">
        <v>3662</v>
      </c>
      <c r="F125" s="1093" t="s">
        <v>3662</v>
      </c>
    </row>
    <row r="126" spans="2:6">
      <c r="B126" s="742" t="s">
        <v>3738</v>
      </c>
      <c r="C126" s="1060" t="s">
        <v>3685</v>
      </c>
      <c r="D126" s="1091">
        <v>27.162728718155847</v>
      </c>
      <c r="E126" s="1092" t="s">
        <v>3662</v>
      </c>
      <c r="F126" s="1092" t="s">
        <v>3662</v>
      </c>
    </row>
    <row r="127" spans="2:6">
      <c r="B127" s="741" t="s">
        <v>3739</v>
      </c>
      <c r="C127" s="1062" t="s">
        <v>2964</v>
      </c>
      <c r="D127" s="1083">
        <v>4.129982632052613</v>
      </c>
      <c r="E127" s="1093" t="s">
        <v>3662</v>
      </c>
      <c r="F127" s="1093" t="s">
        <v>3662</v>
      </c>
    </row>
    <row r="128" spans="2:6">
      <c r="B128" s="741" t="s">
        <v>3740</v>
      </c>
      <c r="C128" s="1062" t="s">
        <v>2964</v>
      </c>
      <c r="D128" s="1083">
        <v>5.8689227241259951</v>
      </c>
      <c r="E128" s="1093" t="s">
        <v>3662</v>
      </c>
      <c r="F128" s="1093" t="s">
        <v>3662</v>
      </c>
    </row>
    <row r="129" spans="1:6">
      <c r="B129" s="742" t="s">
        <v>3741</v>
      </c>
      <c r="C129" s="1060" t="s">
        <v>2964</v>
      </c>
      <c r="D129" s="1091">
        <v>7.0447614970206054</v>
      </c>
      <c r="E129" s="1092" t="s">
        <v>3662</v>
      </c>
      <c r="F129" s="1092" t="s">
        <v>3662</v>
      </c>
    </row>
    <row r="132" spans="1:6">
      <c r="A132" s="1061" t="s">
        <v>3743</v>
      </c>
      <c r="B132" s="1061" t="s">
        <v>3744</v>
      </c>
      <c r="C132" s="1061"/>
      <c r="D132" s="1061"/>
      <c r="E132" s="1061"/>
      <c r="F132" s="1061"/>
    </row>
    <row r="133" spans="1:6">
      <c r="A133" s="1080">
        <v>35</v>
      </c>
      <c r="B133" s="1060" t="s">
        <v>3745</v>
      </c>
      <c r="C133" s="1060" t="s">
        <v>3746</v>
      </c>
      <c r="D133" s="742" t="s">
        <v>3657</v>
      </c>
      <c r="E133" s="1060" t="s">
        <v>3650</v>
      </c>
      <c r="F133" s="1060" t="s">
        <v>3651</v>
      </c>
    </row>
    <row r="134" spans="1:6">
      <c r="A134" s="7" t="s">
        <v>3747</v>
      </c>
      <c r="B134" s="6">
        <v>0</v>
      </c>
      <c r="C134" s="6">
        <v>1</v>
      </c>
      <c r="D134" s="1081">
        <v>163.41465020195926</v>
      </c>
      <c r="E134" s="6">
        <v>25</v>
      </c>
      <c r="F134" s="6">
        <v>20</v>
      </c>
    </row>
    <row r="135" spans="1:6">
      <c r="A135" s="7"/>
      <c r="B135" s="6">
        <v>1.1000000000000001</v>
      </c>
      <c r="C135" s="6">
        <v>2</v>
      </c>
      <c r="D135" s="1081">
        <v>326.2838172865379</v>
      </c>
      <c r="E135" s="6">
        <v>25</v>
      </c>
      <c r="F135" s="6">
        <v>20</v>
      </c>
    </row>
    <row r="136" spans="1:6">
      <c r="A136" s="7"/>
      <c r="B136" s="6">
        <v>2.1</v>
      </c>
      <c r="C136" s="6">
        <v>2.5</v>
      </c>
      <c r="D136" s="1081">
        <v>396.60474961955606</v>
      </c>
      <c r="E136" s="6">
        <v>25</v>
      </c>
      <c r="F136" s="6">
        <v>20</v>
      </c>
    </row>
    <row r="137" spans="1:6">
      <c r="A137" s="7"/>
      <c r="B137" s="6">
        <v>2.6</v>
      </c>
      <c r="C137" s="6">
        <v>3</v>
      </c>
      <c r="D137" s="1081">
        <v>520.87648901523835</v>
      </c>
      <c r="E137" s="6">
        <v>25</v>
      </c>
      <c r="F137" s="6">
        <v>20</v>
      </c>
    </row>
    <row r="138" spans="1:6">
      <c r="A138" s="7"/>
      <c r="B138" s="6">
        <v>3.1</v>
      </c>
      <c r="C138" s="6">
        <v>4</v>
      </c>
      <c r="D138" s="1081">
        <v>668.02710232903587</v>
      </c>
      <c r="E138" s="6">
        <v>25</v>
      </c>
      <c r="F138" s="6">
        <v>20</v>
      </c>
    </row>
    <row r="139" spans="1:6">
      <c r="A139" s="7"/>
      <c r="B139" s="6">
        <v>4.0999999999999996</v>
      </c>
      <c r="C139" s="6">
        <v>6</v>
      </c>
      <c r="D139" s="1081">
        <v>1153.642011885715</v>
      </c>
      <c r="E139" s="6">
        <v>25</v>
      </c>
      <c r="F139" s="6">
        <v>20</v>
      </c>
    </row>
    <row r="140" spans="1:6">
      <c r="A140" s="7"/>
      <c r="B140" s="6">
        <v>6.1</v>
      </c>
      <c r="C140" s="6">
        <v>8</v>
      </c>
      <c r="D140" s="1081">
        <v>1503.3067137305588</v>
      </c>
      <c r="E140" s="6">
        <v>25</v>
      </c>
      <c r="F140" s="6">
        <v>20</v>
      </c>
    </row>
    <row r="141" spans="1:6">
      <c r="A141" s="7"/>
      <c r="B141" s="6">
        <v>8.1</v>
      </c>
      <c r="C141" s="6">
        <v>10</v>
      </c>
      <c r="D141" s="1081">
        <v>2285.9769232597791</v>
      </c>
      <c r="E141" s="6">
        <v>25</v>
      </c>
      <c r="F141" s="6">
        <v>20</v>
      </c>
    </row>
    <row r="142" spans="1:6">
      <c r="A142" s="7"/>
      <c r="B142" s="6">
        <v>10.1</v>
      </c>
      <c r="C142" s="6">
        <v>12</v>
      </c>
      <c r="D142" s="1081">
        <v>2485.0676582867968</v>
      </c>
      <c r="E142" s="6">
        <v>25</v>
      </c>
      <c r="F142" s="6">
        <v>20</v>
      </c>
    </row>
    <row r="143" spans="1:6">
      <c r="A143" s="7"/>
      <c r="B143" s="6">
        <v>12.1</v>
      </c>
      <c r="C143" s="6">
        <v>14</v>
      </c>
      <c r="D143" s="1081">
        <v>3443.1660742863614</v>
      </c>
      <c r="E143" s="6">
        <v>25</v>
      </c>
      <c r="F143" s="6">
        <v>20</v>
      </c>
    </row>
    <row r="144" spans="1:6">
      <c r="A144" s="7"/>
      <c r="B144" s="6">
        <v>14.1</v>
      </c>
      <c r="C144" s="6">
        <v>16</v>
      </c>
      <c r="D144" s="1081">
        <v>4148.3831244660805</v>
      </c>
      <c r="E144" s="6">
        <v>25</v>
      </c>
      <c r="F144" s="6">
        <v>20</v>
      </c>
    </row>
    <row r="145" spans="1:6">
      <c r="A145" s="7"/>
      <c r="B145" s="6">
        <v>16.100000000000001</v>
      </c>
      <c r="C145" s="6">
        <v>18</v>
      </c>
      <c r="D145" s="1081">
        <v>4890.0594141022457</v>
      </c>
      <c r="E145" s="6">
        <v>25</v>
      </c>
      <c r="F145" s="6">
        <v>20</v>
      </c>
    </row>
    <row r="146" spans="1:6">
      <c r="A146" s="7"/>
      <c r="B146" s="6">
        <v>18.100000000000001</v>
      </c>
      <c r="C146" s="6">
        <v>20</v>
      </c>
      <c r="D146" s="1081">
        <v>6530.081187998956</v>
      </c>
      <c r="E146" s="6">
        <v>25</v>
      </c>
      <c r="F146" s="6">
        <v>20</v>
      </c>
    </row>
    <row r="147" spans="1:6">
      <c r="A147" s="7"/>
      <c r="B147" s="6">
        <v>20.100000000000001</v>
      </c>
      <c r="C147" s="6">
        <v>24</v>
      </c>
      <c r="D147" s="1081">
        <v>7632.0400948106735</v>
      </c>
      <c r="E147" s="6">
        <v>25</v>
      </c>
      <c r="F147" s="6">
        <v>20</v>
      </c>
    </row>
    <row r="148" spans="1:6">
      <c r="A148" s="7"/>
      <c r="B148" s="6">
        <v>24.1</v>
      </c>
      <c r="C148" s="6">
        <v>30</v>
      </c>
      <c r="D148" s="1081">
        <v>10234.202153595586</v>
      </c>
      <c r="E148" s="6">
        <v>25</v>
      </c>
      <c r="F148" s="6">
        <v>20</v>
      </c>
    </row>
    <row r="149" spans="1:6">
      <c r="A149" s="7"/>
      <c r="B149" s="6">
        <v>30.1</v>
      </c>
      <c r="C149" s="6">
        <v>48</v>
      </c>
      <c r="D149" s="1081">
        <v>25372.686405564091</v>
      </c>
      <c r="E149" s="6">
        <v>25</v>
      </c>
      <c r="F149" s="6">
        <v>20</v>
      </c>
    </row>
    <row r="150" spans="1:6">
      <c r="A150" s="7"/>
      <c r="B150" s="6">
        <v>48.1</v>
      </c>
      <c r="C150" s="6" t="s">
        <v>3658</v>
      </c>
      <c r="D150" s="1081" t="s">
        <v>3658</v>
      </c>
      <c r="E150" s="6">
        <v>25</v>
      </c>
      <c r="F150" s="6">
        <v>20</v>
      </c>
    </row>
    <row r="153" spans="1:6">
      <c r="A153" s="1061" t="s">
        <v>3743</v>
      </c>
      <c r="B153" s="1061" t="s">
        <v>3748</v>
      </c>
      <c r="C153" s="1061"/>
      <c r="D153" s="1061"/>
      <c r="E153" s="1061"/>
      <c r="F153" s="1061"/>
    </row>
    <row r="154" spans="1:6">
      <c r="A154" s="1080">
        <v>35</v>
      </c>
      <c r="B154" s="1060" t="s">
        <v>3745</v>
      </c>
      <c r="C154" s="1060" t="s">
        <v>3746</v>
      </c>
      <c r="D154" s="742" t="s">
        <v>3657</v>
      </c>
      <c r="E154" s="1060" t="s">
        <v>3650</v>
      </c>
      <c r="F154" s="1060" t="s">
        <v>3651</v>
      </c>
    </row>
    <row r="155" spans="1:6">
      <c r="A155" s="7" t="s">
        <v>3749</v>
      </c>
      <c r="B155" s="6">
        <v>0</v>
      </c>
      <c r="C155" s="6">
        <v>2</v>
      </c>
      <c r="D155" s="1081">
        <v>293.38504103189678</v>
      </c>
      <c r="E155" s="6">
        <v>25</v>
      </c>
      <c r="F155" s="6">
        <v>20</v>
      </c>
    </row>
    <row r="156" spans="1:6">
      <c r="A156" s="7"/>
      <c r="B156" s="6">
        <v>2.1</v>
      </c>
      <c r="C156" s="6">
        <v>2.5</v>
      </c>
      <c r="D156" s="1081">
        <v>447.19870051684711</v>
      </c>
      <c r="E156" s="6">
        <v>25</v>
      </c>
      <c r="F156" s="6">
        <v>20</v>
      </c>
    </row>
    <row r="157" spans="1:6">
      <c r="A157" s="7"/>
      <c r="B157" s="6">
        <v>2.6</v>
      </c>
      <c r="C157" s="6">
        <v>3</v>
      </c>
      <c r="D157" s="1081">
        <v>583.91671500871735</v>
      </c>
      <c r="E157" s="6">
        <v>25</v>
      </c>
      <c r="F157" s="6">
        <v>20</v>
      </c>
    </row>
    <row r="158" spans="1:6">
      <c r="A158" s="7"/>
      <c r="B158" s="6">
        <v>3.1</v>
      </c>
      <c r="C158" s="6">
        <v>4</v>
      </c>
      <c r="D158" s="1081">
        <v>1411.9897959183672</v>
      </c>
      <c r="E158" s="6">
        <v>25</v>
      </c>
      <c r="F158" s="6">
        <v>20</v>
      </c>
    </row>
    <row r="159" spans="1:6">
      <c r="A159" s="7"/>
      <c r="B159" s="6">
        <v>4.0999999999999996</v>
      </c>
      <c r="C159" s="6">
        <v>6</v>
      </c>
      <c r="D159" s="1081">
        <v>1908.8010204081634</v>
      </c>
      <c r="E159" s="6">
        <v>25</v>
      </c>
      <c r="F159" s="6">
        <v>20</v>
      </c>
    </row>
    <row r="160" spans="1:6">
      <c r="A160" s="7"/>
      <c r="B160" s="6">
        <v>6.1</v>
      </c>
      <c r="C160" s="6">
        <v>8</v>
      </c>
      <c r="D160" s="1081">
        <v>2980.8673469387754</v>
      </c>
      <c r="E160" s="6">
        <v>25</v>
      </c>
      <c r="F160" s="6">
        <v>20</v>
      </c>
    </row>
    <row r="161" spans="1:6">
      <c r="A161" s="7"/>
      <c r="B161" s="6">
        <v>8.1</v>
      </c>
      <c r="C161" s="6">
        <v>12</v>
      </c>
      <c r="D161" s="1081">
        <v>4758.9285714285716</v>
      </c>
      <c r="E161" s="6">
        <v>25</v>
      </c>
      <c r="F161" s="6">
        <v>20</v>
      </c>
    </row>
    <row r="162" spans="1:6">
      <c r="A162" s="7"/>
      <c r="B162" s="6">
        <v>12.1</v>
      </c>
      <c r="C162" s="6">
        <v>16</v>
      </c>
      <c r="D162" s="1081">
        <v>8105.8673469387759</v>
      </c>
      <c r="E162" s="6">
        <v>25</v>
      </c>
      <c r="F162" s="6">
        <v>20</v>
      </c>
    </row>
    <row r="163" spans="1:6">
      <c r="A163" s="7"/>
      <c r="B163" s="6">
        <v>16.100000000000001</v>
      </c>
      <c r="C163" s="6">
        <v>18</v>
      </c>
      <c r="D163" s="1081">
        <v>11818.877551020409</v>
      </c>
      <c r="E163" s="6">
        <v>25</v>
      </c>
      <c r="F163" s="6">
        <v>20</v>
      </c>
    </row>
    <row r="164" spans="1:6">
      <c r="A164" s="7"/>
      <c r="B164" s="6">
        <v>18.100000000000001</v>
      </c>
      <c r="C164" s="6">
        <v>24</v>
      </c>
      <c r="D164" s="1081">
        <v>19244.897959183672</v>
      </c>
      <c r="E164" s="6">
        <v>25</v>
      </c>
      <c r="F164" s="6">
        <v>20</v>
      </c>
    </row>
    <row r="165" spans="1:6">
      <c r="A165" s="7"/>
      <c r="B165" s="6">
        <v>24.1</v>
      </c>
      <c r="C165" s="6" t="s">
        <v>3658</v>
      </c>
      <c r="D165" s="1081" t="s">
        <v>3658</v>
      </c>
      <c r="E165" s="6">
        <v>25</v>
      </c>
      <c r="F165" s="6">
        <v>20</v>
      </c>
    </row>
    <row r="168" spans="1:6">
      <c r="A168" s="1061" t="s">
        <v>3743</v>
      </c>
      <c r="B168" s="1061" t="s">
        <v>3750</v>
      </c>
      <c r="C168" s="1061"/>
      <c r="D168" s="1061"/>
      <c r="E168" s="1061"/>
      <c r="F168" s="1061"/>
    </row>
    <row r="169" spans="1:6">
      <c r="A169" s="1080">
        <v>35</v>
      </c>
      <c r="B169" s="1060" t="s">
        <v>3745</v>
      </c>
      <c r="C169" s="1060" t="s">
        <v>3746</v>
      </c>
      <c r="D169" s="742" t="s">
        <v>3657</v>
      </c>
      <c r="E169" s="1060" t="s">
        <v>3650</v>
      </c>
      <c r="F169" s="1060" t="s">
        <v>3651</v>
      </c>
    </row>
    <row r="170" spans="1:6">
      <c r="A170" s="7" t="s">
        <v>3751</v>
      </c>
      <c r="B170" s="6">
        <v>0</v>
      </c>
      <c r="C170" s="6">
        <v>1</v>
      </c>
      <c r="D170" s="1081">
        <v>1146.4686159393152</v>
      </c>
      <c r="E170" s="6">
        <v>25</v>
      </c>
      <c r="F170" s="6">
        <v>20</v>
      </c>
    </row>
    <row r="171" spans="1:6">
      <c r="A171" s="7"/>
      <c r="B171" s="6">
        <v>1.1000000000000001</v>
      </c>
      <c r="C171" s="6">
        <v>2</v>
      </c>
      <c r="D171" s="1081">
        <v>1162.812385896372</v>
      </c>
      <c r="E171" s="6">
        <v>25</v>
      </c>
      <c r="F171" s="6">
        <v>20</v>
      </c>
    </row>
    <row r="172" spans="1:6">
      <c r="A172" s="7"/>
      <c r="B172" s="6">
        <v>2.1</v>
      </c>
      <c r="C172" s="6">
        <v>3</v>
      </c>
      <c r="D172" s="1081">
        <v>1527.0638682351384</v>
      </c>
      <c r="E172" s="6">
        <v>25</v>
      </c>
      <c r="F172" s="6">
        <v>20</v>
      </c>
    </row>
    <row r="173" spans="1:6">
      <c r="A173" s="7"/>
      <c r="B173" s="6">
        <v>3.1</v>
      </c>
      <c r="C173" s="6">
        <v>4</v>
      </c>
      <c r="D173" s="1081">
        <v>1824.8299262982382</v>
      </c>
      <c r="E173" s="6">
        <v>25</v>
      </c>
      <c r="F173" s="6">
        <v>20</v>
      </c>
    </row>
    <row r="174" spans="1:6">
      <c r="A174" s="7"/>
      <c r="B174" s="6">
        <v>4.0999999999999996</v>
      </c>
      <c r="C174" s="6">
        <v>6</v>
      </c>
      <c r="D174" s="1081">
        <v>2616.7545051807206</v>
      </c>
      <c r="E174" s="6">
        <v>25</v>
      </c>
      <c r="F174" s="6">
        <v>20</v>
      </c>
    </row>
    <row r="175" spans="1:6">
      <c r="A175" s="7"/>
      <c r="B175" s="6">
        <v>6.1</v>
      </c>
      <c r="C175" s="6">
        <v>8</v>
      </c>
      <c r="D175" s="1081">
        <v>3144.6322122754063</v>
      </c>
      <c r="E175" s="6">
        <v>25</v>
      </c>
      <c r="F175" s="6">
        <v>20</v>
      </c>
    </row>
    <row r="176" spans="1:6">
      <c r="A176" s="7"/>
      <c r="B176" s="6">
        <v>8.1</v>
      </c>
      <c r="C176" s="6">
        <v>10</v>
      </c>
      <c r="D176" s="1081">
        <v>4703.7651103986154</v>
      </c>
      <c r="E176" s="6">
        <v>25</v>
      </c>
      <c r="F176" s="6">
        <v>20</v>
      </c>
    </row>
    <row r="177" spans="1:6">
      <c r="A177" s="7"/>
      <c r="B177" s="6">
        <v>10.1</v>
      </c>
      <c r="C177" s="6">
        <v>12</v>
      </c>
      <c r="D177" s="1081">
        <v>5985.6660046135112</v>
      </c>
      <c r="E177" s="6">
        <v>25</v>
      </c>
      <c r="F177" s="6">
        <v>20</v>
      </c>
    </row>
    <row r="178" spans="1:6">
      <c r="A178" s="7"/>
      <c r="B178" s="6">
        <v>12.1</v>
      </c>
      <c r="C178" s="6">
        <v>14</v>
      </c>
      <c r="D178" s="1081">
        <v>7620.7114691616607</v>
      </c>
      <c r="E178" s="6">
        <v>25</v>
      </c>
      <c r="F178" s="6">
        <v>20</v>
      </c>
    </row>
    <row r="179" spans="1:6">
      <c r="A179" s="7"/>
      <c r="B179" s="6">
        <v>14.1</v>
      </c>
      <c r="C179" s="6">
        <v>16</v>
      </c>
      <c r="D179" s="1081">
        <v>8188.056409834594</v>
      </c>
      <c r="E179" s="6">
        <v>25</v>
      </c>
      <c r="F179" s="6">
        <v>20</v>
      </c>
    </row>
    <row r="180" spans="1:6">
      <c r="A180" s="7"/>
      <c r="B180" s="6">
        <v>16.100000000000001</v>
      </c>
      <c r="C180" s="6">
        <v>18</v>
      </c>
      <c r="D180" s="1081">
        <v>9477.0527231807864</v>
      </c>
      <c r="E180" s="6">
        <v>25</v>
      </c>
      <c r="F180" s="6">
        <v>20</v>
      </c>
    </row>
    <row r="181" spans="1:6">
      <c r="A181" s="7"/>
      <c r="B181" s="6">
        <v>18.100000000000001</v>
      </c>
      <c r="C181" s="6">
        <v>20</v>
      </c>
      <c r="D181" s="1081">
        <v>14568.979847065868</v>
      </c>
      <c r="E181" s="6">
        <v>25</v>
      </c>
      <c r="F181" s="6">
        <v>20</v>
      </c>
    </row>
    <row r="182" spans="1:6">
      <c r="A182" s="7"/>
      <c r="B182" s="6">
        <v>20.100000000000001</v>
      </c>
      <c r="C182" s="6">
        <v>24</v>
      </c>
      <c r="D182" s="1081">
        <v>18675.784720821197</v>
      </c>
      <c r="E182" s="6">
        <v>25</v>
      </c>
      <c r="F182" s="6">
        <v>20</v>
      </c>
    </row>
    <row r="183" spans="1:6">
      <c r="A183" s="7"/>
      <c r="B183" s="6">
        <v>24.1</v>
      </c>
      <c r="C183" s="6">
        <v>30</v>
      </c>
      <c r="D183" s="1081">
        <v>36189.261983860473</v>
      </c>
      <c r="E183" s="6">
        <v>25</v>
      </c>
      <c r="F183" s="6">
        <v>20</v>
      </c>
    </row>
    <row r="184" spans="1:6">
      <c r="A184" s="7"/>
      <c r="B184" s="6">
        <v>30.1</v>
      </c>
      <c r="C184" s="6">
        <v>48</v>
      </c>
      <c r="D184" s="1081">
        <v>58830.817539416035</v>
      </c>
      <c r="E184" s="6">
        <v>25</v>
      </c>
      <c r="F184" s="6">
        <v>20</v>
      </c>
    </row>
    <row r="185" spans="1:6">
      <c r="A185" s="7"/>
      <c r="B185" s="6">
        <v>48.1</v>
      </c>
      <c r="C185" s="6" t="s">
        <v>3658</v>
      </c>
      <c r="D185" s="1081" t="s">
        <v>3658</v>
      </c>
      <c r="E185" s="6">
        <v>25</v>
      </c>
      <c r="F185" s="6">
        <v>20</v>
      </c>
    </row>
    <row r="188" spans="1:6">
      <c r="A188" s="1061" t="s">
        <v>3660</v>
      </c>
      <c r="B188" s="1061" t="s">
        <v>3752</v>
      </c>
      <c r="C188" s="1061"/>
      <c r="D188" s="1061"/>
      <c r="E188" s="1061"/>
      <c r="F188" s="1061"/>
    </row>
    <row r="189" spans="1:6">
      <c r="A189" s="1080">
        <v>3</v>
      </c>
      <c r="B189" s="1060"/>
      <c r="C189" s="1060"/>
      <c r="D189" s="1060" t="s">
        <v>3661</v>
      </c>
      <c r="E189" s="1094" t="s">
        <v>3650</v>
      </c>
      <c r="F189" s="1094" t="s">
        <v>3651</v>
      </c>
    </row>
    <row r="190" spans="1:6">
      <c r="A190" s="7" t="s">
        <v>3753</v>
      </c>
      <c r="B190" s="6">
        <v>0</v>
      </c>
      <c r="C190" s="6">
        <v>0</v>
      </c>
      <c r="D190" s="1082">
        <v>582.0856776951498</v>
      </c>
      <c r="E190" s="538">
        <v>40</v>
      </c>
      <c r="F190" s="538">
        <v>37</v>
      </c>
    </row>
    <row r="193" spans="1:6">
      <c r="A193" s="1061" t="s">
        <v>3660</v>
      </c>
      <c r="B193" s="1061" t="s">
        <v>3754</v>
      </c>
      <c r="C193" s="1061"/>
      <c r="D193" s="1061"/>
      <c r="E193" s="1061"/>
      <c r="F193" s="1061"/>
    </row>
    <row r="194" spans="1:6">
      <c r="A194" s="1080">
        <v>3</v>
      </c>
      <c r="B194" s="1060"/>
      <c r="C194" s="1060"/>
      <c r="D194" s="1060" t="s">
        <v>3661</v>
      </c>
      <c r="E194" s="1094" t="s">
        <v>3650</v>
      </c>
      <c r="F194" s="1094" t="s">
        <v>3651</v>
      </c>
    </row>
    <row r="195" spans="1:6">
      <c r="A195" s="7" t="s">
        <v>3755</v>
      </c>
      <c r="B195" s="6">
        <v>0</v>
      </c>
      <c r="C195" s="6">
        <v>0</v>
      </c>
      <c r="D195" s="1082">
        <v>627.3046027303194</v>
      </c>
      <c r="E195" s="538">
        <v>40</v>
      </c>
      <c r="F195" s="538">
        <v>37</v>
      </c>
    </row>
    <row r="198" spans="1:6">
      <c r="A198" s="1061" t="s">
        <v>3756</v>
      </c>
      <c r="B198" s="1061" t="s">
        <v>3757</v>
      </c>
      <c r="C198" s="1061"/>
      <c r="D198" s="1061"/>
      <c r="E198" s="1061"/>
      <c r="F198" s="1061"/>
    </row>
    <row r="199" spans="1:6">
      <c r="A199" s="1080">
        <v>24</v>
      </c>
      <c r="B199" s="1094" t="s">
        <v>3758</v>
      </c>
      <c r="C199" s="742" t="s">
        <v>3759</v>
      </c>
      <c r="D199" s="742" t="s">
        <v>3657</v>
      </c>
      <c r="E199" s="1094" t="s">
        <v>3760</v>
      </c>
      <c r="F199" s="742" t="s">
        <v>3651</v>
      </c>
    </row>
    <row r="200" spans="1:6">
      <c r="A200" s="7" t="s">
        <v>3761</v>
      </c>
      <c r="B200" s="538">
        <v>0</v>
      </c>
      <c r="C200" s="6">
        <v>8</v>
      </c>
      <c r="D200" s="1081">
        <v>41969.155548630573</v>
      </c>
      <c r="E200" s="6">
        <v>40</v>
      </c>
      <c r="F200" s="6">
        <v>37</v>
      </c>
    </row>
    <row r="201" spans="1:6">
      <c r="A201" s="7"/>
      <c r="B201" s="538">
        <v>9</v>
      </c>
      <c r="C201" s="6">
        <v>10</v>
      </c>
      <c r="D201" s="1081">
        <v>44371.00481195582</v>
      </c>
      <c r="E201" s="6">
        <v>40</v>
      </c>
      <c r="F201" s="6">
        <v>37</v>
      </c>
    </row>
    <row r="202" spans="1:6">
      <c r="A202" s="7"/>
      <c r="B202" s="538">
        <v>11</v>
      </c>
      <c r="C202" s="6">
        <v>12</v>
      </c>
      <c r="D202" s="1081">
        <v>46772.854075281066</v>
      </c>
      <c r="E202" s="6">
        <v>40</v>
      </c>
      <c r="F202" s="6">
        <v>37</v>
      </c>
    </row>
    <row r="203" spans="1:6">
      <c r="A203" s="7"/>
      <c r="B203" s="538">
        <v>13</v>
      </c>
      <c r="C203" s="6">
        <v>14</v>
      </c>
      <c r="D203" s="1081">
        <v>58655.687272784904</v>
      </c>
      <c r="E203" s="6">
        <v>40</v>
      </c>
      <c r="F203" s="6">
        <v>37</v>
      </c>
    </row>
    <row r="204" spans="1:6">
      <c r="A204" s="7"/>
      <c r="B204" s="538">
        <v>15</v>
      </c>
      <c r="C204" s="6">
        <v>16</v>
      </c>
      <c r="D204" s="1081">
        <v>61942.428369966801</v>
      </c>
      <c r="E204" s="6">
        <v>40</v>
      </c>
      <c r="F204" s="6">
        <v>37</v>
      </c>
    </row>
    <row r="205" spans="1:6">
      <c r="A205" s="7"/>
      <c r="B205" s="538">
        <v>17</v>
      </c>
      <c r="C205" s="6">
        <v>18</v>
      </c>
      <c r="D205" s="1081">
        <v>79261.02568973304</v>
      </c>
      <c r="E205" s="6">
        <v>40</v>
      </c>
      <c r="F205" s="6">
        <v>37</v>
      </c>
    </row>
    <row r="206" spans="1:6">
      <c r="A206" s="7"/>
      <c r="B206" s="538">
        <v>19</v>
      </c>
      <c r="C206" s="6">
        <v>20</v>
      </c>
      <c r="D206" s="1081">
        <v>83559.071739894003</v>
      </c>
      <c r="E206" s="6">
        <v>40</v>
      </c>
      <c r="F206" s="6">
        <v>37</v>
      </c>
    </row>
    <row r="207" spans="1:6">
      <c r="A207" s="7"/>
      <c r="B207" s="538">
        <v>21</v>
      </c>
      <c r="C207" s="6">
        <v>22</v>
      </c>
      <c r="D207" s="1081">
        <v>93545.708150562132</v>
      </c>
      <c r="E207" s="6">
        <v>40</v>
      </c>
      <c r="F207" s="6">
        <v>37</v>
      </c>
    </row>
    <row r="208" spans="1:6">
      <c r="A208" s="7"/>
      <c r="B208" s="538">
        <v>23</v>
      </c>
      <c r="C208" s="6">
        <v>24</v>
      </c>
      <c r="D208" s="1081">
        <v>96326.796771254507</v>
      </c>
      <c r="E208" s="6">
        <v>40</v>
      </c>
      <c r="F208" s="6">
        <v>37</v>
      </c>
    </row>
    <row r="209" spans="1:6">
      <c r="A209" s="7"/>
      <c r="B209" s="538">
        <v>25</v>
      </c>
      <c r="C209" s="6">
        <v>26</v>
      </c>
      <c r="D209" s="1081">
        <v>119081.15821328314</v>
      </c>
      <c r="E209" s="6">
        <v>40</v>
      </c>
      <c r="F209" s="6">
        <v>37</v>
      </c>
    </row>
    <row r="210" spans="1:6">
      <c r="A210" s="7"/>
      <c r="B210" s="538">
        <v>27</v>
      </c>
      <c r="C210" s="6">
        <v>28</v>
      </c>
      <c r="D210" s="1081">
        <v>137537.47360515082</v>
      </c>
      <c r="E210" s="6">
        <v>40</v>
      </c>
      <c r="F210" s="6">
        <v>37</v>
      </c>
    </row>
    <row r="211" spans="1:6">
      <c r="A211" s="7"/>
      <c r="B211" s="538">
        <v>29</v>
      </c>
      <c r="C211" s="6">
        <v>30</v>
      </c>
      <c r="D211" s="1081">
        <v>142846.8246082908</v>
      </c>
      <c r="E211" s="6">
        <v>40</v>
      </c>
      <c r="F211" s="6">
        <v>37</v>
      </c>
    </row>
    <row r="212" spans="1:6">
      <c r="A212" s="7"/>
      <c r="B212" s="538">
        <v>31</v>
      </c>
      <c r="C212" s="6" t="s">
        <v>3658</v>
      </c>
      <c r="D212" s="1082" t="s">
        <v>3658</v>
      </c>
      <c r="E212" s="6">
        <v>40</v>
      </c>
      <c r="F212" s="6">
        <v>37</v>
      </c>
    </row>
    <row r="215" spans="1:6">
      <c r="A215" s="1061" t="s">
        <v>3762</v>
      </c>
      <c r="B215" s="1061" t="s">
        <v>3763</v>
      </c>
      <c r="C215" s="1061"/>
      <c r="D215" s="1061"/>
      <c r="E215" s="1061"/>
      <c r="F215" s="1061"/>
    </row>
    <row r="216" spans="1:6">
      <c r="A216" s="1080">
        <v>15</v>
      </c>
      <c r="B216" s="1060" t="s">
        <v>3745</v>
      </c>
      <c r="C216" s="1060" t="s">
        <v>3746</v>
      </c>
      <c r="D216" s="742" t="s">
        <v>3764</v>
      </c>
      <c r="E216" s="1060" t="s">
        <v>3650</v>
      </c>
      <c r="F216" s="1060" t="s">
        <v>3651</v>
      </c>
    </row>
    <row r="217" spans="1:6">
      <c r="A217" s="7" t="s">
        <v>3765</v>
      </c>
      <c r="B217" s="6">
        <v>0</v>
      </c>
      <c r="C217" s="6">
        <v>0.5</v>
      </c>
      <c r="D217" s="1081">
        <v>2.5997035457880622</v>
      </c>
      <c r="E217" s="6">
        <v>22</v>
      </c>
      <c r="F217" s="6">
        <v>17</v>
      </c>
    </row>
    <row r="218" spans="1:6">
      <c r="A218" s="7"/>
      <c r="B218" s="6">
        <v>0.6</v>
      </c>
      <c r="C218" s="6">
        <v>0.75</v>
      </c>
      <c r="D218" s="1081">
        <v>3.7349687295106184</v>
      </c>
      <c r="E218" s="6">
        <v>22</v>
      </c>
      <c r="F218" s="6">
        <v>17</v>
      </c>
    </row>
    <row r="219" spans="1:6">
      <c r="A219" s="7"/>
      <c r="B219" s="6">
        <v>0.76</v>
      </c>
      <c r="C219" s="6">
        <v>1</v>
      </c>
      <c r="D219" s="1081">
        <v>4.4284676185664642</v>
      </c>
      <c r="E219" s="6">
        <v>22</v>
      </c>
      <c r="F219" s="6">
        <v>17</v>
      </c>
    </row>
    <row r="220" spans="1:6">
      <c r="A220" s="7"/>
      <c r="B220" s="6">
        <v>1.1000000000000001</v>
      </c>
      <c r="C220" s="6">
        <v>1.5</v>
      </c>
      <c r="D220" s="1081">
        <v>6.638723315437943</v>
      </c>
      <c r="E220" s="6">
        <v>22</v>
      </c>
      <c r="F220" s="6">
        <v>17</v>
      </c>
    </row>
    <row r="221" spans="1:6">
      <c r="A221" s="7"/>
      <c r="B221" s="6">
        <v>1.6</v>
      </c>
      <c r="C221" s="6">
        <v>2</v>
      </c>
      <c r="D221" s="1081">
        <v>7.4981939090364333</v>
      </c>
      <c r="E221" s="6">
        <v>22</v>
      </c>
      <c r="F221" s="6">
        <v>17</v>
      </c>
    </row>
    <row r="222" spans="1:6">
      <c r="A222" s="7"/>
      <c r="B222" s="6">
        <v>2.1</v>
      </c>
      <c r="C222" s="6">
        <v>2.5</v>
      </c>
      <c r="D222" s="1081">
        <v>13.607067742567169</v>
      </c>
      <c r="E222" s="6">
        <v>22</v>
      </c>
      <c r="F222" s="6">
        <v>17</v>
      </c>
    </row>
    <row r="223" spans="1:6">
      <c r="A223" s="7"/>
      <c r="B223" s="6">
        <v>2.6</v>
      </c>
      <c r="C223" s="6">
        <v>3</v>
      </c>
      <c r="D223" s="1081">
        <v>17.938282877578786</v>
      </c>
      <c r="E223" s="6">
        <v>22</v>
      </c>
      <c r="F223" s="6">
        <v>17</v>
      </c>
    </row>
    <row r="224" spans="1:6">
      <c r="A224" s="7"/>
      <c r="B224" s="6">
        <v>3.1</v>
      </c>
      <c r="C224" s="6">
        <v>4</v>
      </c>
      <c r="D224" s="1081">
        <v>27.149602596685952</v>
      </c>
      <c r="E224" s="6">
        <v>22</v>
      </c>
      <c r="F224" s="6">
        <v>17</v>
      </c>
    </row>
    <row r="225" spans="1:6">
      <c r="A225" s="7"/>
      <c r="B225" s="6">
        <v>4.0999999999999996</v>
      </c>
      <c r="C225" s="6">
        <v>6</v>
      </c>
      <c r="D225" s="1081">
        <v>41.141682586974326</v>
      </c>
      <c r="E225" s="6">
        <v>22</v>
      </c>
      <c r="F225" s="6">
        <v>17</v>
      </c>
    </row>
    <row r="226" spans="1:6">
      <c r="A226" s="7"/>
      <c r="B226" s="6">
        <v>6.1</v>
      </c>
      <c r="C226" s="6">
        <v>8</v>
      </c>
      <c r="D226" s="1081">
        <v>60.732025983026269</v>
      </c>
      <c r="E226" s="6">
        <v>22</v>
      </c>
      <c r="F226" s="6">
        <v>17</v>
      </c>
    </row>
    <row r="227" spans="1:6">
      <c r="A227" s="7"/>
      <c r="B227" s="6">
        <v>8.1</v>
      </c>
      <c r="C227" s="6">
        <v>10</v>
      </c>
      <c r="D227" s="1081">
        <v>85.662688859676763</v>
      </c>
      <c r="E227" s="6">
        <v>22</v>
      </c>
      <c r="F227" s="6">
        <v>17</v>
      </c>
    </row>
    <row r="228" spans="1:6">
      <c r="A228" s="7"/>
      <c r="B228" s="6">
        <v>10.1</v>
      </c>
      <c r="C228" s="6">
        <v>12</v>
      </c>
      <c r="D228" s="1081">
        <v>126.99495141757002</v>
      </c>
      <c r="E228" s="6">
        <v>22</v>
      </c>
      <c r="F228" s="6">
        <v>17</v>
      </c>
    </row>
    <row r="229" spans="1:6">
      <c r="A229" s="7"/>
      <c r="B229" s="6">
        <v>12.1</v>
      </c>
      <c r="C229" s="6">
        <v>14</v>
      </c>
      <c r="D229" s="1081">
        <v>185.31119346883756</v>
      </c>
      <c r="E229" s="6">
        <v>22</v>
      </c>
      <c r="F229" s="6">
        <v>17</v>
      </c>
    </row>
    <row r="230" spans="1:6">
      <c r="A230" s="7"/>
      <c r="B230" s="6">
        <v>14.1</v>
      </c>
      <c r="C230" s="6">
        <v>16</v>
      </c>
      <c r="D230" s="1081">
        <v>236.73017469104963</v>
      </c>
      <c r="E230" s="6">
        <v>22</v>
      </c>
      <c r="F230" s="6">
        <v>17</v>
      </c>
    </row>
    <row r="231" spans="1:6">
      <c r="A231" s="7"/>
      <c r="B231" s="6">
        <v>16.100000000000001</v>
      </c>
      <c r="C231" s="6">
        <v>18</v>
      </c>
      <c r="D231" s="1081">
        <v>286.67102882118735</v>
      </c>
      <c r="E231" s="6">
        <v>22</v>
      </c>
      <c r="F231" s="6">
        <v>17</v>
      </c>
    </row>
    <row r="232" spans="1:6">
      <c r="A232" s="7"/>
      <c r="B232" s="6">
        <v>18.100000000000001</v>
      </c>
      <c r="C232" s="6" t="s">
        <v>3658</v>
      </c>
      <c r="D232" s="1081" t="s">
        <v>3658</v>
      </c>
      <c r="E232" s="6">
        <v>22</v>
      </c>
      <c r="F232" s="6">
        <v>17</v>
      </c>
    </row>
    <row r="235" spans="1:6">
      <c r="A235" s="1061" t="s">
        <v>3766</v>
      </c>
      <c r="B235" s="1061" t="s">
        <v>3767</v>
      </c>
      <c r="C235" s="1061"/>
      <c r="D235" s="1061"/>
      <c r="E235" s="1061"/>
      <c r="F235" s="1061"/>
    </row>
    <row r="236" spans="1:6">
      <c r="A236" s="1080">
        <v>23</v>
      </c>
      <c r="B236" s="1060" t="s">
        <v>3768</v>
      </c>
      <c r="C236" s="1060" t="s">
        <v>3769</v>
      </c>
      <c r="D236" s="1060" t="s">
        <v>3657</v>
      </c>
      <c r="E236" s="1060" t="s">
        <v>3650</v>
      </c>
      <c r="F236" s="1060" t="s">
        <v>3651</v>
      </c>
    </row>
    <row r="237" spans="1:6">
      <c r="A237" s="7" t="s">
        <v>3770</v>
      </c>
      <c r="B237" s="6">
        <v>0</v>
      </c>
      <c r="C237" s="538">
        <v>180</v>
      </c>
      <c r="D237" s="1081">
        <v>14194.750498297444</v>
      </c>
      <c r="E237" s="6">
        <v>35</v>
      </c>
      <c r="F237" s="6">
        <v>30</v>
      </c>
    </row>
    <row r="238" spans="1:6">
      <c r="A238" s="7"/>
      <c r="B238" s="6">
        <v>181</v>
      </c>
      <c r="C238" s="6">
        <v>300</v>
      </c>
      <c r="D238" s="1081">
        <v>17221.44247797213</v>
      </c>
      <c r="E238" s="6">
        <v>35</v>
      </c>
      <c r="F238" s="6">
        <v>30</v>
      </c>
    </row>
    <row r="239" spans="1:6">
      <c r="A239" s="7"/>
      <c r="B239" s="6">
        <v>301</v>
      </c>
      <c r="C239" s="538">
        <v>650</v>
      </c>
      <c r="D239" s="1081">
        <v>20641.485641456613</v>
      </c>
      <c r="E239" s="6">
        <v>35</v>
      </c>
      <c r="F239" s="6">
        <v>30</v>
      </c>
    </row>
    <row r="240" spans="1:6">
      <c r="A240" s="7"/>
      <c r="B240" s="6">
        <v>651</v>
      </c>
      <c r="C240" s="538">
        <v>750</v>
      </c>
      <c r="D240" s="1081">
        <v>22793.489164331731</v>
      </c>
      <c r="E240" s="6">
        <v>35</v>
      </c>
      <c r="F240" s="6">
        <v>30</v>
      </c>
    </row>
    <row r="241" spans="1:6">
      <c r="A241" s="7"/>
      <c r="B241" s="6">
        <v>751</v>
      </c>
      <c r="C241" s="538">
        <v>880</v>
      </c>
      <c r="D241" s="1081">
        <v>25297.020194749097</v>
      </c>
      <c r="E241" s="6">
        <v>35</v>
      </c>
      <c r="F241" s="6">
        <v>30</v>
      </c>
    </row>
    <row r="242" spans="1:6">
      <c r="A242" s="7"/>
      <c r="B242" s="6">
        <v>881</v>
      </c>
      <c r="C242" s="538">
        <v>950</v>
      </c>
      <c r="D242" s="1081">
        <v>27375.946314622604</v>
      </c>
      <c r="E242" s="6">
        <v>35</v>
      </c>
      <c r="F242" s="6">
        <v>30</v>
      </c>
    </row>
    <row r="243" spans="1:6">
      <c r="A243" s="7"/>
      <c r="B243" s="6">
        <v>951</v>
      </c>
      <c r="C243" s="538">
        <v>1400</v>
      </c>
      <c r="D243" s="1081">
        <v>37238.091396438133</v>
      </c>
      <c r="E243" s="6">
        <v>35</v>
      </c>
      <c r="F243" s="6">
        <v>30</v>
      </c>
    </row>
    <row r="244" spans="1:6">
      <c r="A244" s="7"/>
      <c r="B244" s="6">
        <v>1401</v>
      </c>
      <c r="C244" s="538">
        <v>1700</v>
      </c>
      <c r="D244" s="1081">
        <v>41787.578088531962</v>
      </c>
      <c r="E244" s="6">
        <v>35</v>
      </c>
      <c r="F244" s="6">
        <v>30</v>
      </c>
    </row>
    <row r="245" spans="1:6">
      <c r="A245" s="7"/>
      <c r="B245" s="6">
        <v>1701</v>
      </c>
      <c r="C245" s="538">
        <v>2000</v>
      </c>
      <c r="D245" s="1081">
        <v>40439.80261667147</v>
      </c>
      <c r="E245" s="6">
        <v>35</v>
      </c>
      <c r="F245" s="6">
        <v>30</v>
      </c>
    </row>
    <row r="246" spans="1:6">
      <c r="A246" s="7"/>
      <c r="B246" s="6">
        <v>2001</v>
      </c>
      <c r="C246" s="538">
        <v>2900</v>
      </c>
      <c r="D246" s="1081">
        <v>50393.214019753366</v>
      </c>
      <c r="E246" s="6">
        <v>35</v>
      </c>
      <c r="F246" s="6">
        <v>30</v>
      </c>
    </row>
    <row r="247" spans="1:6">
      <c r="A247" s="7"/>
      <c r="B247" s="6">
        <v>2901</v>
      </c>
      <c r="C247" s="538">
        <v>4300</v>
      </c>
      <c r="D247" s="1081">
        <v>54965.395036822272</v>
      </c>
      <c r="E247" s="6">
        <v>35</v>
      </c>
      <c r="F247" s="6">
        <v>30</v>
      </c>
    </row>
    <row r="248" spans="1:6">
      <c r="A248" s="7"/>
      <c r="B248" s="6">
        <v>4301</v>
      </c>
      <c r="C248" s="538">
        <v>4700</v>
      </c>
      <c r="D248" s="1081">
        <v>61648.082677998755</v>
      </c>
      <c r="E248" s="6">
        <v>35</v>
      </c>
      <c r="F248" s="6">
        <v>30</v>
      </c>
    </row>
    <row r="249" spans="1:6">
      <c r="A249" s="7"/>
      <c r="B249" s="6">
        <v>4701</v>
      </c>
      <c r="C249" s="538">
        <v>6800</v>
      </c>
      <c r="D249" s="1081">
        <v>62880.913513588937</v>
      </c>
      <c r="E249" s="6">
        <v>35</v>
      </c>
      <c r="F249" s="6">
        <v>30</v>
      </c>
    </row>
    <row r="250" spans="1:6">
      <c r="A250" s="7"/>
      <c r="B250" s="6">
        <v>6801</v>
      </c>
      <c r="C250" s="538">
        <v>17000</v>
      </c>
      <c r="D250" s="1081">
        <v>198841.55313625842</v>
      </c>
      <c r="E250" s="6">
        <v>35</v>
      </c>
      <c r="F250" s="6">
        <v>30</v>
      </c>
    </row>
    <row r="251" spans="1:6">
      <c r="A251" s="7"/>
      <c r="B251" s="6">
        <v>17001</v>
      </c>
      <c r="C251" s="538">
        <v>27100</v>
      </c>
      <c r="D251" s="1081">
        <v>260762.62720497986</v>
      </c>
      <c r="E251" s="6">
        <v>35</v>
      </c>
      <c r="F251" s="6">
        <v>30</v>
      </c>
    </row>
    <row r="252" spans="1:6">
      <c r="A252" s="7"/>
      <c r="B252" s="6">
        <v>27101</v>
      </c>
      <c r="C252" s="6" t="s">
        <v>3658</v>
      </c>
      <c r="D252" s="1081" t="s">
        <v>3658</v>
      </c>
      <c r="E252" s="6">
        <v>35</v>
      </c>
      <c r="F252" s="6">
        <v>30</v>
      </c>
    </row>
    <row r="255" spans="1:6">
      <c r="A255" s="1061" t="s">
        <v>3766</v>
      </c>
      <c r="B255" s="1061" t="s">
        <v>3771</v>
      </c>
      <c r="C255" s="1061"/>
      <c r="D255" s="1061"/>
      <c r="E255" s="1061"/>
      <c r="F255" s="1061"/>
    </row>
    <row r="256" spans="1:6">
      <c r="A256" s="1080">
        <v>23</v>
      </c>
      <c r="B256" s="1060" t="s">
        <v>3768</v>
      </c>
      <c r="C256" s="1060" t="s">
        <v>3769</v>
      </c>
      <c r="D256" s="1060" t="s">
        <v>3657</v>
      </c>
      <c r="E256" s="1060" t="s">
        <v>3650</v>
      </c>
      <c r="F256" s="1060" t="s">
        <v>3651</v>
      </c>
    </row>
    <row r="257" spans="1:6">
      <c r="A257" s="7" t="s">
        <v>3772</v>
      </c>
      <c r="B257" s="6">
        <v>0</v>
      </c>
      <c r="C257" s="538">
        <v>180</v>
      </c>
      <c r="D257" s="1081">
        <v>12226.426083759967</v>
      </c>
      <c r="E257" s="6">
        <v>35</v>
      </c>
      <c r="F257" s="6">
        <v>30</v>
      </c>
    </row>
    <row r="258" spans="1:6">
      <c r="A258" s="7"/>
      <c r="B258" s="6">
        <v>181</v>
      </c>
      <c r="C258" s="6">
        <v>300</v>
      </c>
      <c r="D258" s="1081">
        <v>12251.727374873939</v>
      </c>
      <c r="E258" s="6">
        <v>35</v>
      </c>
      <c r="F258" s="6">
        <v>30</v>
      </c>
    </row>
    <row r="259" spans="1:6">
      <c r="A259" s="7"/>
      <c r="B259" s="6">
        <v>301</v>
      </c>
      <c r="C259" s="538">
        <v>650</v>
      </c>
      <c r="D259" s="1081">
        <v>12655.88943069402</v>
      </c>
      <c r="E259" s="6">
        <v>35</v>
      </c>
      <c r="F259" s="6">
        <v>30</v>
      </c>
    </row>
    <row r="260" spans="1:6">
      <c r="A260" s="7"/>
      <c r="B260" s="6">
        <v>651</v>
      </c>
      <c r="C260" s="538">
        <v>750</v>
      </c>
      <c r="D260" s="1081">
        <v>13580.696565231689</v>
      </c>
      <c r="E260" s="6">
        <v>35</v>
      </c>
      <c r="F260" s="6">
        <v>30</v>
      </c>
    </row>
    <row r="261" spans="1:6">
      <c r="A261" s="7"/>
      <c r="B261" s="6">
        <v>751</v>
      </c>
      <c r="C261" s="538">
        <v>880</v>
      </c>
      <c r="D261" s="1081">
        <v>14486.604371406871</v>
      </c>
      <c r="E261" s="6">
        <v>35</v>
      </c>
      <c r="F261" s="6">
        <v>30</v>
      </c>
    </row>
    <row r="262" spans="1:6">
      <c r="A262" s="7"/>
      <c r="B262" s="6">
        <v>881</v>
      </c>
      <c r="C262" s="538">
        <v>950</v>
      </c>
      <c r="D262" s="1081">
        <v>15706.241028399329</v>
      </c>
      <c r="E262" s="6">
        <v>35</v>
      </c>
      <c r="F262" s="6">
        <v>30</v>
      </c>
    </row>
    <row r="263" spans="1:6">
      <c r="A263" s="7"/>
      <c r="B263" s="6">
        <v>951</v>
      </c>
      <c r="C263" s="538">
        <v>1400</v>
      </c>
      <c r="D263" s="1081">
        <v>20731.878597604904</v>
      </c>
      <c r="E263" s="6">
        <v>35</v>
      </c>
      <c r="F263" s="6">
        <v>30</v>
      </c>
    </row>
    <row r="264" spans="1:6">
      <c r="A264" s="7"/>
      <c r="B264" s="6">
        <v>1401</v>
      </c>
      <c r="C264" s="538">
        <v>1700</v>
      </c>
      <c r="D264" s="1081">
        <v>22181.036876486629</v>
      </c>
      <c r="E264" s="6">
        <v>35</v>
      </c>
      <c r="F264" s="6">
        <v>30</v>
      </c>
    </row>
    <row r="265" spans="1:6">
      <c r="A265" s="7"/>
      <c r="B265" s="6">
        <v>1701</v>
      </c>
      <c r="C265" s="538">
        <v>2000</v>
      </c>
      <c r="D265" s="1081">
        <v>26494.844433978902</v>
      </c>
      <c r="E265" s="6">
        <v>35</v>
      </c>
      <c r="F265" s="6">
        <v>30</v>
      </c>
    </row>
    <row r="266" spans="1:6">
      <c r="A266" s="7"/>
      <c r="B266" s="6">
        <v>2001</v>
      </c>
      <c r="C266" s="538">
        <v>2900</v>
      </c>
      <c r="D266" s="1081">
        <v>27643.142615608544</v>
      </c>
      <c r="E266" s="6">
        <v>35</v>
      </c>
      <c r="F266" s="6">
        <v>30</v>
      </c>
    </row>
    <row r="267" spans="1:6">
      <c r="A267" s="7"/>
      <c r="B267" s="6">
        <v>2901</v>
      </c>
      <c r="C267" s="538">
        <v>4300</v>
      </c>
      <c r="D267" s="1081">
        <v>36007.00220003492</v>
      </c>
      <c r="E267" s="6">
        <v>35</v>
      </c>
      <c r="F267" s="6">
        <v>30</v>
      </c>
    </row>
    <row r="268" spans="1:6">
      <c r="A268" s="7"/>
      <c r="B268" s="6">
        <v>4301</v>
      </c>
      <c r="C268" s="538">
        <v>4700</v>
      </c>
      <c r="D268" s="1081">
        <v>36623.004133439455</v>
      </c>
      <c r="E268" s="6">
        <v>35</v>
      </c>
      <c r="F268" s="6">
        <v>30</v>
      </c>
    </row>
    <row r="269" spans="1:6">
      <c r="A269" s="7"/>
      <c r="B269" s="6">
        <v>4701</v>
      </c>
      <c r="C269" s="538">
        <v>6800</v>
      </c>
      <c r="D269" s="1081">
        <v>45720.500857171734</v>
      </c>
      <c r="E269" s="6">
        <v>35</v>
      </c>
      <c r="F269" s="6">
        <v>30</v>
      </c>
    </row>
    <row r="270" spans="1:6">
      <c r="A270" s="7"/>
      <c r="B270" s="6">
        <v>6801</v>
      </c>
      <c r="C270" s="538">
        <v>17000</v>
      </c>
      <c r="D270" s="1081">
        <v>103844.83722334568</v>
      </c>
      <c r="E270" s="6">
        <v>35</v>
      </c>
      <c r="F270" s="6">
        <v>30</v>
      </c>
    </row>
    <row r="271" spans="1:6">
      <c r="A271" s="7"/>
      <c r="B271" s="6">
        <v>17001</v>
      </c>
      <c r="C271" s="538">
        <v>27100</v>
      </c>
      <c r="D271" s="1081">
        <v>169140.06359481986</v>
      </c>
      <c r="E271" s="6">
        <v>35</v>
      </c>
      <c r="F271" s="6">
        <v>30</v>
      </c>
    </row>
    <row r="272" spans="1:6">
      <c r="A272" s="7"/>
      <c r="B272" s="6">
        <v>27101</v>
      </c>
      <c r="C272" s="6" t="s">
        <v>3658</v>
      </c>
      <c r="D272" s="1081" t="s">
        <v>3658</v>
      </c>
      <c r="E272" s="6">
        <v>35</v>
      </c>
      <c r="F272" s="6">
        <v>30</v>
      </c>
    </row>
    <row r="275" spans="1:6">
      <c r="A275" s="7"/>
    </row>
    <row r="276" spans="1:6">
      <c r="A276" s="1095" t="s">
        <v>3773</v>
      </c>
      <c r="B276" s="1096" t="s">
        <v>3774</v>
      </c>
      <c r="C276" s="1097">
        <v>2016</v>
      </c>
    </row>
    <row r="279" spans="1:6">
      <c r="A279" s="1061" t="s">
        <v>3775</v>
      </c>
      <c r="B279" s="1061" t="s">
        <v>3776</v>
      </c>
      <c r="C279" s="1061"/>
      <c r="D279" s="1061"/>
      <c r="E279" s="1061"/>
      <c r="F279" s="1061"/>
    </row>
    <row r="280" spans="1:6">
      <c r="A280" s="1080">
        <v>19</v>
      </c>
      <c r="B280" s="1060" t="s">
        <v>3745</v>
      </c>
      <c r="C280" s="1060" t="s">
        <v>3746</v>
      </c>
      <c r="D280" s="742" t="s">
        <v>3764</v>
      </c>
      <c r="E280" s="1060" t="s">
        <v>3650</v>
      </c>
      <c r="F280" s="1060" t="s">
        <v>3651</v>
      </c>
    </row>
    <row r="281" spans="1:6">
      <c r="A281" s="7" t="s">
        <v>3777</v>
      </c>
      <c r="B281" s="6">
        <v>0</v>
      </c>
      <c r="C281" s="6">
        <v>4</v>
      </c>
      <c r="D281" s="1081">
        <v>34.692358150213195</v>
      </c>
      <c r="E281" s="6">
        <v>40</v>
      </c>
      <c r="F281" s="6">
        <v>35</v>
      </c>
    </row>
    <row r="282" spans="1:6">
      <c r="A282" s="7"/>
      <c r="B282" s="6">
        <v>4.0999999999999996</v>
      </c>
      <c r="C282" s="6">
        <v>6</v>
      </c>
      <c r="D282" s="1081">
        <v>41.228599540833073</v>
      </c>
      <c r="E282" s="6">
        <v>40</v>
      </c>
      <c r="F282" s="6">
        <v>35</v>
      </c>
    </row>
    <row r="283" spans="1:6">
      <c r="A283" s="7"/>
      <c r="B283" s="6">
        <v>6.1</v>
      </c>
      <c r="C283" s="6">
        <v>8</v>
      </c>
      <c r="D283" s="1081">
        <v>53.295506723515921</v>
      </c>
      <c r="E283" s="6">
        <v>40</v>
      </c>
      <c r="F283" s="6">
        <v>35</v>
      </c>
    </row>
    <row r="284" spans="1:6">
      <c r="A284" s="7"/>
      <c r="B284" s="6">
        <v>8.1</v>
      </c>
      <c r="C284" s="6">
        <v>10</v>
      </c>
      <c r="D284" s="1081">
        <v>68.881928501147939</v>
      </c>
      <c r="E284" s="6">
        <v>40</v>
      </c>
      <c r="F284" s="6">
        <v>35</v>
      </c>
    </row>
    <row r="285" spans="1:6">
      <c r="A285" s="7"/>
      <c r="B285" s="6">
        <v>10.1</v>
      </c>
      <c r="C285" s="6">
        <v>12</v>
      </c>
      <c r="D285" s="1081">
        <v>79.943260085273877</v>
      </c>
      <c r="E285" s="6">
        <v>40</v>
      </c>
      <c r="F285" s="6">
        <v>35</v>
      </c>
    </row>
    <row r="286" spans="1:6">
      <c r="A286" s="7"/>
      <c r="B286" s="6">
        <v>12.1</v>
      </c>
      <c r="C286" s="6">
        <v>14</v>
      </c>
      <c r="D286" s="1081">
        <v>100.55755985569041</v>
      </c>
      <c r="E286" s="6">
        <v>40</v>
      </c>
      <c r="F286" s="6">
        <v>35</v>
      </c>
    </row>
    <row r="287" spans="1:6">
      <c r="A287" s="7"/>
      <c r="B287" s="6">
        <v>14.1</v>
      </c>
      <c r="C287" s="6">
        <v>16</v>
      </c>
      <c r="D287" s="1081">
        <v>117.65234503115778</v>
      </c>
      <c r="E287" s="6">
        <v>40</v>
      </c>
      <c r="F287" s="6">
        <v>35</v>
      </c>
    </row>
    <row r="288" spans="1:6">
      <c r="A288" s="7"/>
      <c r="B288" s="6">
        <v>16.100000000000001</v>
      </c>
      <c r="C288" s="6">
        <v>18</v>
      </c>
      <c r="D288" s="1081">
        <v>132.73597900951134</v>
      </c>
      <c r="E288" s="6">
        <v>40</v>
      </c>
      <c r="F288" s="6">
        <v>35</v>
      </c>
    </row>
    <row r="289" spans="1:6">
      <c r="A289" s="7"/>
      <c r="B289" s="6">
        <v>18.100000000000001</v>
      </c>
      <c r="C289" s="6">
        <v>20</v>
      </c>
      <c r="D289" s="1081">
        <v>155.86421777632015</v>
      </c>
      <c r="E289" s="6">
        <v>40</v>
      </c>
      <c r="F289" s="6">
        <v>35</v>
      </c>
    </row>
    <row r="290" spans="1:6">
      <c r="A290" s="7"/>
      <c r="B290" s="6">
        <v>20.100000000000001</v>
      </c>
      <c r="C290" s="6">
        <v>24</v>
      </c>
      <c r="D290" s="1081">
        <v>193.07051492292561</v>
      </c>
      <c r="E290" s="6">
        <v>40</v>
      </c>
      <c r="F290" s="6">
        <v>35</v>
      </c>
    </row>
    <row r="291" spans="1:6">
      <c r="A291" s="7"/>
      <c r="B291" s="6">
        <v>24.1</v>
      </c>
      <c r="C291" s="6">
        <v>30</v>
      </c>
      <c r="D291" s="1081">
        <v>226.95463842279506</v>
      </c>
      <c r="E291" s="6">
        <v>40</v>
      </c>
      <c r="F291" s="6">
        <v>35</v>
      </c>
    </row>
    <row r="292" spans="1:6">
      <c r="A292" s="7"/>
      <c r="B292" s="6">
        <v>30.1</v>
      </c>
      <c r="C292" s="6">
        <v>36</v>
      </c>
      <c r="D292" s="1081">
        <v>280.45018955360371</v>
      </c>
      <c r="E292" s="6">
        <v>40</v>
      </c>
      <c r="F292" s="6">
        <v>35</v>
      </c>
    </row>
    <row r="293" spans="1:6">
      <c r="A293" s="7"/>
      <c r="B293" s="6">
        <v>36.1</v>
      </c>
      <c r="C293" s="6">
        <v>48</v>
      </c>
      <c r="D293" s="1081">
        <v>486.21735850801105</v>
      </c>
      <c r="E293" s="6">
        <v>40</v>
      </c>
      <c r="F293" s="6">
        <v>35</v>
      </c>
    </row>
    <row r="294" spans="1:6">
      <c r="A294" s="7"/>
      <c r="B294" s="6">
        <v>48.1</v>
      </c>
      <c r="C294" s="6" t="s">
        <v>3658</v>
      </c>
      <c r="D294" s="1081" t="s">
        <v>3658</v>
      </c>
      <c r="E294" s="6">
        <v>40</v>
      </c>
      <c r="F294" s="6">
        <v>35</v>
      </c>
    </row>
    <row r="297" spans="1:6">
      <c r="A297" s="1061" t="s">
        <v>3778</v>
      </c>
      <c r="B297" s="1061" t="s">
        <v>3779</v>
      </c>
      <c r="C297" s="1061"/>
      <c r="D297" s="1061"/>
      <c r="E297" s="1061"/>
      <c r="F297" s="1061"/>
    </row>
    <row r="298" spans="1:6">
      <c r="A298" s="1080">
        <v>38</v>
      </c>
      <c r="B298" s="1060"/>
      <c r="C298" s="1060"/>
      <c r="D298" s="742" t="s">
        <v>3657</v>
      </c>
      <c r="E298" s="1060" t="s">
        <v>3650</v>
      </c>
      <c r="F298" s="1060" t="s">
        <v>3651</v>
      </c>
    </row>
    <row r="299" spans="1:6">
      <c r="A299" s="7" t="s">
        <v>3780</v>
      </c>
      <c r="B299" s="6">
        <v>0</v>
      </c>
      <c r="C299" s="6">
        <v>0</v>
      </c>
      <c r="D299" s="1081">
        <v>623.12307296553922</v>
      </c>
      <c r="E299" s="6">
        <v>10</v>
      </c>
      <c r="F299" s="6">
        <v>8</v>
      </c>
    </row>
    <row r="302" spans="1:6">
      <c r="A302" s="1061" t="s">
        <v>3648</v>
      </c>
      <c r="B302" s="1061" t="s">
        <v>3781</v>
      </c>
      <c r="C302" s="1061"/>
      <c r="D302" s="1061"/>
      <c r="E302" s="1061"/>
      <c r="F302" s="1061"/>
    </row>
    <row r="303" spans="1:6">
      <c r="A303" s="1080">
        <v>43</v>
      </c>
      <c r="B303" s="1060"/>
      <c r="C303" s="1060"/>
      <c r="D303" s="742" t="s">
        <v>3657</v>
      </c>
      <c r="E303" s="1060" t="s">
        <v>3650</v>
      </c>
      <c r="F303" s="1060" t="s">
        <v>3651</v>
      </c>
    </row>
    <row r="304" spans="1:6">
      <c r="A304" s="7" t="s">
        <v>3782</v>
      </c>
      <c r="B304" s="6">
        <v>0</v>
      </c>
      <c r="C304" s="6">
        <v>0</v>
      </c>
      <c r="D304" s="1081">
        <v>1178.801719505642</v>
      </c>
      <c r="E304" s="6">
        <v>22</v>
      </c>
      <c r="F304" s="6">
        <v>17</v>
      </c>
    </row>
    <row r="307" spans="1:6">
      <c r="A307" s="1080">
        <v>3</v>
      </c>
      <c r="B307" s="1060"/>
      <c r="C307" s="1067"/>
      <c r="D307" s="742" t="s">
        <v>3661</v>
      </c>
      <c r="E307" s="742" t="s">
        <v>3650</v>
      </c>
    </row>
    <row r="308" spans="1:6">
      <c r="A308" s="7" t="s">
        <v>3784</v>
      </c>
      <c r="B308" s="538" t="s">
        <v>3783</v>
      </c>
      <c r="C308" s="7" t="s">
        <v>3784</v>
      </c>
      <c r="D308" s="1082">
        <v>7.9253975368901628</v>
      </c>
      <c r="E308" s="6" t="s">
        <v>774</v>
      </c>
    </row>
    <row r="311" spans="1:6">
      <c r="A311" s="1061" t="s">
        <v>3785</v>
      </c>
      <c r="B311" s="1061" t="s">
        <v>3786</v>
      </c>
      <c r="C311" s="1061"/>
      <c r="D311" s="1061"/>
      <c r="E311" s="1061"/>
      <c r="F311" s="1061"/>
    </row>
    <row r="312" spans="1:6">
      <c r="A312" s="1080">
        <v>16</v>
      </c>
      <c r="B312" s="1060"/>
      <c r="C312" s="1067"/>
      <c r="D312" s="742" t="s">
        <v>3787</v>
      </c>
      <c r="E312" s="742" t="s">
        <v>3650</v>
      </c>
      <c r="F312" s="742" t="s">
        <v>3651</v>
      </c>
    </row>
    <row r="313" spans="1:6">
      <c r="A313" s="7" t="s">
        <v>3788</v>
      </c>
      <c r="B313" s="6">
        <v>0</v>
      </c>
      <c r="C313" s="6">
        <v>0</v>
      </c>
      <c r="D313" s="1082">
        <v>1.825185185185185</v>
      </c>
      <c r="E313" s="538">
        <v>10</v>
      </c>
      <c r="F313" s="538">
        <v>10</v>
      </c>
    </row>
    <row r="316" spans="1:6">
      <c r="A316" s="1061" t="s">
        <v>3660</v>
      </c>
      <c r="B316" s="1061" t="s">
        <v>1326</v>
      </c>
      <c r="C316" s="1061"/>
      <c r="D316" s="1061"/>
      <c r="E316" s="1061"/>
      <c r="F316" s="1061"/>
    </row>
    <row r="317" spans="1:6">
      <c r="A317" s="1080">
        <v>3</v>
      </c>
      <c r="B317" s="1060"/>
      <c r="C317" s="1060"/>
      <c r="D317" s="1060" t="s">
        <v>3661</v>
      </c>
      <c r="E317" s="1060" t="s">
        <v>3650</v>
      </c>
      <c r="F317" s="1060" t="s">
        <v>3651</v>
      </c>
    </row>
    <row r="318" spans="1:6">
      <c r="A318" s="7" t="s">
        <v>3789</v>
      </c>
      <c r="B318" s="6">
        <v>0</v>
      </c>
      <c r="C318" s="6">
        <v>0</v>
      </c>
      <c r="D318" s="1082">
        <v>30.083315176203104</v>
      </c>
      <c r="E318" s="6" t="s">
        <v>3662</v>
      </c>
      <c r="F318" s="6" t="s">
        <v>3662</v>
      </c>
    </row>
    <row r="321" spans="1:6">
      <c r="A321" s="1061" t="s">
        <v>3785</v>
      </c>
      <c r="B321" s="1061" t="s">
        <v>3790</v>
      </c>
      <c r="C321" s="1061"/>
      <c r="D321" s="1061"/>
      <c r="E321" s="1061"/>
      <c r="F321" s="1061"/>
    </row>
    <row r="322" spans="1:6">
      <c r="A322" s="1080">
        <v>16</v>
      </c>
      <c r="B322" s="1060" t="s">
        <v>3768</v>
      </c>
      <c r="C322" s="1060" t="s">
        <v>3769</v>
      </c>
      <c r="D322" s="1060" t="s">
        <v>3657</v>
      </c>
      <c r="E322" s="1060" t="s">
        <v>3650</v>
      </c>
      <c r="F322" s="1060" t="s">
        <v>3651</v>
      </c>
    </row>
    <row r="323" spans="1:6">
      <c r="A323" s="7" t="s">
        <v>3791</v>
      </c>
      <c r="B323" s="6">
        <v>0</v>
      </c>
      <c r="C323" s="6">
        <v>564</v>
      </c>
      <c r="D323" s="1081">
        <v>5277.3168999819209</v>
      </c>
      <c r="E323" s="6">
        <v>25</v>
      </c>
      <c r="F323" s="6">
        <v>20</v>
      </c>
    </row>
    <row r="324" spans="1:6">
      <c r="A324" s="7"/>
      <c r="B324" s="6">
        <v>565</v>
      </c>
      <c r="C324" s="6">
        <v>600</v>
      </c>
      <c r="D324" s="1081">
        <v>6857.3341467450045</v>
      </c>
      <c r="E324" s="6">
        <v>25</v>
      </c>
      <c r="F324" s="6">
        <v>20</v>
      </c>
    </row>
    <row r="325" spans="1:6">
      <c r="A325" s="7"/>
      <c r="B325" s="6">
        <v>601</v>
      </c>
      <c r="C325" s="6">
        <v>1000</v>
      </c>
      <c r="D325" s="1081">
        <v>6936.4125475662022</v>
      </c>
      <c r="E325" s="6">
        <v>25</v>
      </c>
      <c r="F325" s="6">
        <v>20</v>
      </c>
    </row>
    <row r="326" spans="1:6">
      <c r="A326" s="7"/>
      <c r="B326" s="6">
        <v>1001</v>
      </c>
      <c r="C326" s="6">
        <v>1470</v>
      </c>
      <c r="D326" s="1081">
        <v>6051.9186750020572</v>
      </c>
      <c r="E326" s="6">
        <v>25</v>
      </c>
      <c r="F326" s="6">
        <v>20</v>
      </c>
    </row>
    <row r="327" spans="1:6">
      <c r="A327" s="7"/>
      <c r="B327" s="6">
        <v>1471</v>
      </c>
      <c r="C327" s="6">
        <v>1500</v>
      </c>
      <c r="D327" s="1081">
        <v>9810.719882327965</v>
      </c>
      <c r="E327" s="6">
        <v>25</v>
      </c>
      <c r="F327" s="6">
        <v>20</v>
      </c>
    </row>
    <row r="328" spans="1:6">
      <c r="A328" s="7"/>
      <c r="B328" s="6">
        <v>1501</v>
      </c>
      <c r="C328" s="6">
        <v>2000</v>
      </c>
      <c r="D328" s="1081">
        <v>11369.52674651807</v>
      </c>
      <c r="E328" s="6">
        <v>25</v>
      </c>
      <c r="F328" s="6">
        <v>20</v>
      </c>
    </row>
    <row r="329" spans="1:6">
      <c r="A329" s="7"/>
      <c r="B329" s="6">
        <v>2001</v>
      </c>
      <c r="C329" s="6">
        <v>3000</v>
      </c>
      <c r="D329" s="1081">
        <v>12029.140115080923</v>
      </c>
      <c r="E329" s="6">
        <v>25</v>
      </c>
      <c r="F329" s="6">
        <v>20</v>
      </c>
    </row>
    <row r="330" spans="1:6">
      <c r="A330" s="7"/>
      <c r="B330" s="6">
        <v>3001</v>
      </c>
      <c r="C330" s="6">
        <v>4000</v>
      </c>
      <c r="D330" s="1081">
        <v>13636.433296587909</v>
      </c>
      <c r="E330" s="6">
        <v>25</v>
      </c>
      <c r="F330" s="6">
        <v>20</v>
      </c>
    </row>
    <row r="331" spans="1:6">
      <c r="A331" s="7"/>
      <c r="B331" s="6">
        <v>4001</v>
      </c>
      <c r="C331" s="6">
        <v>4500</v>
      </c>
      <c r="D331" s="1081">
        <v>9440.0694598663031</v>
      </c>
      <c r="E331" s="6">
        <v>25</v>
      </c>
      <c r="F331" s="6">
        <v>20</v>
      </c>
    </row>
    <row r="332" spans="1:6">
      <c r="A332" s="7"/>
      <c r="B332" s="6">
        <v>4501</v>
      </c>
      <c r="C332" s="6">
        <v>5000</v>
      </c>
      <c r="D332" s="1081">
        <v>15215.921184518298</v>
      </c>
      <c r="E332" s="6">
        <v>25</v>
      </c>
      <c r="F332" s="6">
        <v>20</v>
      </c>
    </row>
    <row r="333" spans="1:6">
      <c r="A333" s="7"/>
      <c r="B333" s="6">
        <v>5001</v>
      </c>
      <c r="C333" s="6">
        <v>6000</v>
      </c>
      <c r="D333" s="1081">
        <v>17066.264862102918</v>
      </c>
      <c r="E333" s="6">
        <v>25</v>
      </c>
      <c r="F333" s="6">
        <v>20</v>
      </c>
    </row>
    <row r="334" spans="1:6">
      <c r="A334" s="7"/>
      <c r="B334" s="6">
        <v>6001</v>
      </c>
      <c r="C334" s="6">
        <v>7000</v>
      </c>
      <c r="D334" s="1081">
        <v>18658.096081271058</v>
      </c>
      <c r="E334" s="6">
        <v>25</v>
      </c>
      <c r="F334" s="6">
        <v>20</v>
      </c>
    </row>
    <row r="335" spans="1:6">
      <c r="A335" s="7"/>
      <c r="B335" s="6">
        <v>7001</v>
      </c>
      <c r="C335" s="6">
        <v>8000</v>
      </c>
      <c r="D335" s="1081">
        <v>20248.762829905791</v>
      </c>
      <c r="E335" s="6">
        <v>25</v>
      </c>
      <c r="F335" s="6">
        <v>20</v>
      </c>
    </row>
    <row r="336" spans="1:6">
      <c r="A336" s="7"/>
      <c r="B336" s="6">
        <v>8001</v>
      </c>
      <c r="C336" s="6">
        <v>9000</v>
      </c>
      <c r="D336" s="1081">
        <v>21719.378733915408</v>
      </c>
      <c r="E336" s="6">
        <v>25</v>
      </c>
      <c r="F336" s="6">
        <v>20</v>
      </c>
    </row>
    <row r="337" spans="1:6">
      <c r="A337" s="7"/>
      <c r="B337" s="6">
        <v>9001</v>
      </c>
      <c r="C337" s="6">
        <v>10000</v>
      </c>
      <c r="D337" s="1081">
        <v>17580.482582130477</v>
      </c>
      <c r="E337" s="6">
        <v>25</v>
      </c>
      <c r="F337" s="6">
        <v>20</v>
      </c>
    </row>
    <row r="338" spans="1:6">
      <c r="A338" s="7"/>
      <c r="B338" s="6">
        <v>10001</v>
      </c>
      <c r="C338" s="6">
        <v>11000</v>
      </c>
      <c r="D338" s="1081">
        <v>24724.661504472868</v>
      </c>
      <c r="E338" s="6">
        <v>25</v>
      </c>
      <c r="F338" s="6">
        <v>20</v>
      </c>
    </row>
    <row r="339" spans="1:6">
      <c r="A339" s="7"/>
      <c r="B339" s="6">
        <v>11001</v>
      </c>
      <c r="C339" s="6">
        <v>11750</v>
      </c>
      <c r="D339" s="1081">
        <v>16016.999146271315</v>
      </c>
      <c r="E339" s="6">
        <v>25</v>
      </c>
      <c r="F339" s="6">
        <v>20</v>
      </c>
    </row>
    <row r="340" spans="1:6">
      <c r="A340" s="7"/>
      <c r="B340" s="6">
        <v>11751</v>
      </c>
      <c r="C340" s="6">
        <v>12000</v>
      </c>
      <c r="D340" s="1081">
        <v>26276.946423146266</v>
      </c>
      <c r="E340" s="6">
        <v>25</v>
      </c>
      <c r="F340" s="6">
        <v>20</v>
      </c>
    </row>
    <row r="341" spans="1:6">
      <c r="A341" s="7"/>
      <c r="B341" s="6">
        <v>12001</v>
      </c>
      <c r="C341" s="6">
        <v>13000</v>
      </c>
      <c r="D341" s="1081">
        <v>31013.145222032254</v>
      </c>
      <c r="E341" s="6">
        <v>25</v>
      </c>
      <c r="F341" s="6">
        <v>20</v>
      </c>
    </row>
    <row r="342" spans="1:6">
      <c r="A342" s="7"/>
      <c r="B342" s="6">
        <v>13001</v>
      </c>
      <c r="C342" s="6">
        <v>14000</v>
      </c>
      <c r="D342" s="1081">
        <v>32828.044935204933</v>
      </c>
      <c r="E342" s="6">
        <v>25</v>
      </c>
      <c r="F342" s="6">
        <v>20</v>
      </c>
    </row>
    <row r="343" spans="1:6">
      <c r="A343" s="7"/>
      <c r="B343" s="6">
        <v>14001</v>
      </c>
      <c r="C343" s="6">
        <v>15000</v>
      </c>
      <c r="D343" s="1081">
        <v>34254.506132763221</v>
      </c>
      <c r="E343" s="6">
        <v>25</v>
      </c>
      <c r="F343" s="6">
        <v>20</v>
      </c>
    </row>
    <row r="344" spans="1:6">
      <c r="A344" s="7"/>
      <c r="B344" s="6">
        <v>15001</v>
      </c>
      <c r="C344" s="6">
        <v>20000</v>
      </c>
      <c r="D344" s="1081">
        <v>32816.953171440051</v>
      </c>
      <c r="E344" s="6">
        <v>25</v>
      </c>
      <c r="F344" s="6">
        <v>20</v>
      </c>
    </row>
    <row r="345" spans="1:6">
      <c r="A345" s="7"/>
      <c r="B345" s="6">
        <v>20001</v>
      </c>
      <c r="C345" s="6">
        <v>20300</v>
      </c>
      <c r="D345" s="1081">
        <v>24271.220669820304</v>
      </c>
      <c r="E345" s="6">
        <v>25</v>
      </c>
      <c r="F345" s="6">
        <v>20</v>
      </c>
    </row>
    <row r="346" spans="1:6">
      <c r="A346" s="7"/>
      <c r="B346" s="6">
        <v>20301</v>
      </c>
      <c r="C346" s="6">
        <v>35000</v>
      </c>
      <c r="D346" s="1081">
        <v>64655.703187286577</v>
      </c>
      <c r="E346" s="6">
        <v>25</v>
      </c>
      <c r="F346" s="6">
        <v>20</v>
      </c>
    </row>
    <row r="347" spans="1:6">
      <c r="A347" s="7"/>
      <c r="B347" s="6">
        <v>35001</v>
      </c>
      <c r="C347" s="6">
        <v>50000</v>
      </c>
      <c r="D347" s="1081">
        <v>63062.96337271182</v>
      </c>
      <c r="E347" s="6">
        <v>25</v>
      </c>
      <c r="F347" s="6">
        <v>20</v>
      </c>
    </row>
    <row r="348" spans="1:6">
      <c r="A348" s="7"/>
      <c r="B348" s="6">
        <v>50001</v>
      </c>
      <c r="C348" s="6" t="s">
        <v>3658</v>
      </c>
      <c r="D348" s="1081" t="s">
        <v>3658</v>
      </c>
      <c r="E348" s="6">
        <v>25</v>
      </c>
      <c r="F348" s="6">
        <v>20</v>
      </c>
    </row>
    <row r="351" spans="1:6">
      <c r="A351" s="1061" t="s">
        <v>3785</v>
      </c>
      <c r="B351" s="1061" t="s">
        <v>3792</v>
      </c>
      <c r="C351" s="1061"/>
      <c r="D351" s="1061"/>
      <c r="E351" s="1061"/>
      <c r="F351" s="1061"/>
    </row>
    <row r="352" spans="1:6">
      <c r="A352" s="1080">
        <v>16</v>
      </c>
      <c r="B352" s="1094" t="s">
        <v>3793</v>
      </c>
      <c r="C352" s="742" t="s">
        <v>3794</v>
      </c>
      <c r="D352" s="1060" t="s">
        <v>3657</v>
      </c>
      <c r="E352" s="1060" t="s">
        <v>3650</v>
      </c>
      <c r="F352" s="1060" t="s">
        <v>3651</v>
      </c>
    </row>
    <row r="353" spans="1:6">
      <c r="A353" s="7" t="s">
        <v>3795</v>
      </c>
      <c r="B353" s="6">
        <v>0</v>
      </c>
      <c r="C353" s="6">
        <v>564</v>
      </c>
      <c r="D353" s="1081">
        <v>5277.3168999819209</v>
      </c>
      <c r="E353" s="6">
        <v>10</v>
      </c>
      <c r="F353" s="6">
        <v>7</v>
      </c>
    </row>
    <row r="354" spans="1:6">
      <c r="A354" s="7"/>
      <c r="B354" s="6">
        <v>565</v>
      </c>
      <c r="C354" s="6">
        <v>600</v>
      </c>
      <c r="D354" s="1081">
        <v>5552.6516400253677</v>
      </c>
      <c r="E354" s="6">
        <v>10</v>
      </c>
      <c r="F354" s="6">
        <v>7</v>
      </c>
    </row>
    <row r="355" spans="1:6">
      <c r="A355" s="7"/>
      <c r="B355" s="6">
        <v>601</v>
      </c>
      <c r="C355" s="6">
        <v>1000</v>
      </c>
      <c r="D355" s="1081">
        <v>6705.9062420036162</v>
      </c>
      <c r="E355" s="6">
        <v>10</v>
      </c>
      <c r="F355" s="6">
        <v>7</v>
      </c>
    </row>
    <row r="356" spans="1:6">
      <c r="A356" s="7"/>
      <c r="B356" s="6">
        <v>1001</v>
      </c>
      <c r="C356" s="6">
        <v>1470</v>
      </c>
      <c r="D356" s="1081">
        <v>6051.9186750020572</v>
      </c>
      <c r="E356" s="6">
        <v>10</v>
      </c>
      <c r="F356" s="6">
        <v>7</v>
      </c>
    </row>
    <row r="357" spans="1:6">
      <c r="A357" s="7"/>
      <c r="B357" s="6">
        <v>1471</v>
      </c>
      <c r="C357" s="6">
        <v>1500</v>
      </c>
      <c r="D357" s="1081">
        <v>8836.5188787985389</v>
      </c>
      <c r="E357" s="6">
        <v>10</v>
      </c>
      <c r="F357" s="6">
        <v>7</v>
      </c>
    </row>
    <row r="358" spans="1:6">
      <c r="A358" s="7"/>
      <c r="B358" s="6">
        <v>1501</v>
      </c>
      <c r="C358" s="6">
        <v>2000</v>
      </c>
      <c r="D358" s="1081">
        <v>9134.3662944004536</v>
      </c>
      <c r="E358" s="6">
        <v>10</v>
      </c>
      <c r="F358" s="6">
        <v>7</v>
      </c>
    </row>
    <row r="359" spans="1:6">
      <c r="A359" s="7"/>
      <c r="B359" s="6">
        <v>2001</v>
      </c>
      <c r="C359" s="6">
        <v>3000</v>
      </c>
      <c r="D359" s="1081">
        <v>10749.889945746907</v>
      </c>
      <c r="E359" s="6">
        <v>10</v>
      </c>
      <c r="F359" s="6">
        <v>7</v>
      </c>
    </row>
    <row r="360" spans="1:6">
      <c r="A360" s="7"/>
      <c r="B360" s="6">
        <v>3001</v>
      </c>
      <c r="C360" s="6">
        <v>4000</v>
      </c>
      <c r="D360" s="1081">
        <v>12406.565946290682</v>
      </c>
      <c r="E360" s="6">
        <v>10</v>
      </c>
      <c r="F360" s="6">
        <v>7</v>
      </c>
    </row>
    <row r="361" spans="1:6">
      <c r="A361" s="7"/>
      <c r="B361" s="6">
        <v>4001</v>
      </c>
      <c r="C361" s="6">
        <v>4500</v>
      </c>
      <c r="D361" s="1081">
        <v>9440.0694598663031</v>
      </c>
      <c r="E361" s="6">
        <v>10</v>
      </c>
      <c r="F361" s="6">
        <v>7</v>
      </c>
    </row>
    <row r="362" spans="1:6">
      <c r="A362" s="7"/>
      <c r="B362" s="6">
        <v>4501</v>
      </c>
      <c r="C362" s="6">
        <v>5000</v>
      </c>
      <c r="D362" s="1081">
        <v>13586.826908281115</v>
      </c>
      <c r="E362" s="6">
        <v>10</v>
      </c>
      <c r="F362" s="6">
        <v>7</v>
      </c>
    </row>
    <row r="363" spans="1:6">
      <c r="A363" s="7"/>
      <c r="B363" s="6">
        <v>5001</v>
      </c>
      <c r="C363" s="6">
        <v>6000</v>
      </c>
      <c r="D363" s="1081">
        <v>15185.644950649701</v>
      </c>
      <c r="E363" s="6">
        <v>10</v>
      </c>
      <c r="F363" s="6">
        <v>7</v>
      </c>
    </row>
    <row r="364" spans="1:6">
      <c r="A364" s="7"/>
      <c r="B364" s="6">
        <v>6001</v>
      </c>
      <c r="C364" s="6">
        <v>7000</v>
      </c>
      <c r="D364" s="1081">
        <v>15016.796723305602</v>
      </c>
      <c r="E364" s="6">
        <v>10</v>
      </c>
      <c r="F364" s="6">
        <v>7</v>
      </c>
    </row>
    <row r="365" spans="1:6">
      <c r="A365" s="7"/>
      <c r="B365" s="6">
        <v>7001</v>
      </c>
      <c r="C365" s="6">
        <v>8000</v>
      </c>
      <c r="D365" s="1081">
        <v>16303.536662720962</v>
      </c>
      <c r="E365" s="6">
        <v>10</v>
      </c>
      <c r="F365" s="6">
        <v>7</v>
      </c>
    </row>
    <row r="366" spans="1:6">
      <c r="A366" s="7"/>
      <c r="B366" s="6">
        <v>8001</v>
      </c>
      <c r="C366" s="6">
        <v>9000</v>
      </c>
      <c r="D366" s="1081">
        <v>17513.311167247281</v>
      </c>
      <c r="E366" s="6">
        <v>10</v>
      </c>
      <c r="F366" s="6">
        <v>7</v>
      </c>
    </row>
    <row r="367" spans="1:6">
      <c r="A367" s="7"/>
      <c r="B367" s="6">
        <v>9001</v>
      </c>
      <c r="C367" s="6">
        <v>10000</v>
      </c>
      <c r="D367" s="1081">
        <v>23197.359851647856</v>
      </c>
      <c r="E367" s="6">
        <v>10</v>
      </c>
      <c r="F367" s="6">
        <v>7</v>
      </c>
    </row>
    <row r="368" spans="1:6">
      <c r="A368" s="7"/>
      <c r="B368" s="6">
        <v>10001</v>
      </c>
      <c r="C368" s="6">
        <v>11000</v>
      </c>
      <c r="D368" s="1081">
        <v>23944.951207530296</v>
      </c>
      <c r="E368" s="6">
        <v>10</v>
      </c>
      <c r="F368" s="6">
        <v>7</v>
      </c>
    </row>
    <row r="369" spans="1:6">
      <c r="A369" s="7"/>
      <c r="B369" s="6">
        <v>11001</v>
      </c>
      <c r="C369" s="6">
        <v>11750</v>
      </c>
      <c r="D369" s="1081">
        <v>16016.999146271315</v>
      </c>
      <c r="E369" s="6">
        <v>10</v>
      </c>
      <c r="F369" s="6">
        <v>7</v>
      </c>
    </row>
    <row r="370" spans="1:6">
      <c r="A370" s="7"/>
      <c r="B370" s="6">
        <v>11751</v>
      </c>
      <c r="C370" s="6">
        <v>12000</v>
      </c>
      <c r="D370" s="1081">
        <v>25668.051943864732</v>
      </c>
      <c r="E370" s="6">
        <v>10</v>
      </c>
      <c r="F370" s="6">
        <v>7</v>
      </c>
    </row>
    <row r="371" spans="1:6">
      <c r="A371" s="7"/>
      <c r="B371" s="6">
        <v>12001</v>
      </c>
      <c r="C371" s="6">
        <v>13000</v>
      </c>
      <c r="D371" s="1081">
        <v>27072.761292177911</v>
      </c>
      <c r="E371" s="6">
        <v>10</v>
      </c>
      <c r="F371" s="6">
        <v>7</v>
      </c>
    </row>
    <row r="372" spans="1:6">
      <c r="A372" s="7"/>
      <c r="B372" s="6">
        <v>13001</v>
      </c>
      <c r="C372" s="6">
        <v>14000</v>
      </c>
      <c r="D372" s="1081">
        <v>28482.11868995125</v>
      </c>
      <c r="E372" s="6">
        <v>10</v>
      </c>
      <c r="F372" s="6">
        <v>7</v>
      </c>
    </row>
    <row r="373" spans="1:6">
      <c r="A373" s="7"/>
      <c r="B373" s="6">
        <v>14001</v>
      </c>
      <c r="C373" s="6">
        <v>15000</v>
      </c>
      <c r="D373" s="1081">
        <v>31384.727638745568</v>
      </c>
      <c r="E373" s="6">
        <v>10</v>
      </c>
      <c r="F373" s="6">
        <v>7</v>
      </c>
    </row>
    <row r="374" spans="1:6">
      <c r="A374" s="7"/>
      <c r="B374" s="6">
        <v>15001</v>
      </c>
      <c r="C374" s="6">
        <v>20000</v>
      </c>
      <c r="D374" s="1081">
        <v>38293.808427895201</v>
      </c>
      <c r="E374" s="6">
        <v>10</v>
      </c>
      <c r="F374" s="6">
        <v>7</v>
      </c>
    </row>
    <row r="375" spans="1:6">
      <c r="A375" s="7"/>
      <c r="B375" s="6">
        <v>20001</v>
      </c>
      <c r="C375" s="6">
        <v>20300</v>
      </c>
      <c r="D375" s="1081">
        <v>24271.220669820304</v>
      </c>
      <c r="E375" s="6">
        <v>10</v>
      </c>
      <c r="F375" s="6">
        <v>7</v>
      </c>
    </row>
    <row r="376" spans="1:6">
      <c r="A376" s="7"/>
      <c r="B376" s="6">
        <v>20301</v>
      </c>
      <c r="C376" s="6">
        <v>30000</v>
      </c>
      <c r="D376" s="1081">
        <v>36893.644196584835</v>
      </c>
      <c r="E376" s="6">
        <v>10</v>
      </c>
      <c r="F376" s="6">
        <v>7</v>
      </c>
    </row>
    <row r="377" spans="1:6">
      <c r="A377" s="7"/>
      <c r="B377" s="6">
        <v>30001</v>
      </c>
      <c r="C377" s="6" t="s">
        <v>3658</v>
      </c>
      <c r="D377" s="1081" t="s">
        <v>3658</v>
      </c>
      <c r="E377" s="6">
        <v>10</v>
      </c>
      <c r="F377" s="6">
        <v>7</v>
      </c>
    </row>
    <row r="380" spans="1:6">
      <c r="A380" s="1061" t="s">
        <v>3785</v>
      </c>
      <c r="B380" s="1061" t="s">
        <v>3796</v>
      </c>
      <c r="C380" s="1061"/>
      <c r="D380" s="1061"/>
      <c r="E380" s="1061"/>
      <c r="F380" s="1061"/>
    </row>
    <row r="381" spans="1:6">
      <c r="A381" s="1080">
        <v>16</v>
      </c>
      <c r="B381" s="1060" t="s">
        <v>3768</v>
      </c>
      <c r="C381" s="1060" t="s">
        <v>3769</v>
      </c>
      <c r="D381" s="1060" t="s">
        <v>3657</v>
      </c>
      <c r="E381" s="1060" t="s">
        <v>3650</v>
      </c>
      <c r="F381" s="1060" t="s">
        <v>3651</v>
      </c>
    </row>
    <row r="382" spans="1:6">
      <c r="A382" s="7" t="s">
        <v>3797</v>
      </c>
      <c r="B382" s="6">
        <v>0</v>
      </c>
      <c r="C382" s="6">
        <v>187</v>
      </c>
      <c r="D382" s="1081">
        <v>4261.983850635198</v>
      </c>
      <c r="E382" s="6">
        <v>25</v>
      </c>
      <c r="F382" s="6">
        <v>20</v>
      </c>
    </row>
    <row r="383" spans="1:6">
      <c r="A383" s="7"/>
      <c r="B383" s="6">
        <v>188</v>
      </c>
      <c r="C383" s="6">
        <v>264</v>
      </c>
      <c r="D383" s="1081">
        <v>5458.0960645075593</v>
      </c>
      <c r="E383" s="6">
        <v>25</v>
      </c>
      <c r="F383" s="6">
        <v>20</v>
      </c>
    </row>
    <row r="384" spans="1:6">
      <c r="A384" s="7"/>
      <c r="B384" s="6">
        <v>265</v>
      </c>
      <c r="C384" s="6">
        <v>345</v>
      </c>
      <c r="D384" s="1081">
        <v>7392.2312471870036</v>
      </c>
      <c r="E384" s="6">
        <v>25</v>
      </c>
      <c r="F384" s="6">
        <v>20</v>
      </c>
    </row>
    <row r="385" spans="1:6">
      <c r="A385" s="7"/>
      <c r="B385" s="6">
        <v>346</v>
      </c>
      <c r="C385" s="6">
        <v>463</v>
      </c>
      <c r="D385" s="1081">
        <v>9163.5633750943343</v>
      </c>
      <c r="E385" s="6">
        <v>25</v>
      </c>
      <c r="F385" s="6">
        <v>20</v>
      </c>
    </row>
    <row r="386" spans="1:6">
      <c r="A386" s="7"/>
      <c r="B386" s="6">
        <v>464</v>
      </c>
      <c r="C386" s="6">
        <v>900</v>
      </c>
      <c r="D386" s="1081">
        <v>17069.533428985611</v>
      </c>
      <c r="E386" s="6">
        <v>25</v>
      </c>
      <c r="F386" s="6">
        <v>20</v>
      </c>
    </row>
    <row r="387" spans="1:6">
      <c r="A387" s="7"/>
      <c r="B387" s="6">
        <v>901</v>
      </c>
      <c r="C387" s="6" t="s">
        <v>3658</v>
      </c>
      <c r="D387" s="1081" t="s">
        <v>3658</v>
      </c>
      <c r="E387" s="6">
        <v>25</v>
      </c>
      <c r="F387" s="6">
        <v>20</v>
      </c>
    </row>
    <row r="390" spans="1:6">
      <c r="A390" s="1061" t="s">
        <v>3798</v>
      </c>
      <c r="B390" s="1061" t="s">
        <v>3799</v>
      </c>
      <c r="C390" s="1061"/>
      <c r="D390" s="1061"/>
      <c r="E390" s="1061"/>
      <c r="F390" s="1061"/>
    </row>
    <row r="391" spans="1:6">
      <c r="A391" s="1080">
        <v>45</v>
      </c>
      <c r="B391" s="1094" t="s">
        <v>3800</v>
      </c>
      <c r="C391" s="1060" t="s">
        <v>3801</v>
      </c>
      <c r="D391" s="742" t="s">
        <v>3802</v>
      </c>
      <c r="E391" s="1094" t="s">
        <v>3760</v>
      </c>
      <c r="F391" s="742" t="s">
        <v>3651</v>
      </c>
    </row>
    <row r="392" spans="1:6">
      <c r="A392" s="7" t="s">
        <v>3803</v>
      </c>
      <c r="B392" s="538">
        <v>0</v>
      </c>
      <c r="C392" s="6">
        <v>1000</v>
      </c>
      <c r="D392" s="1082">
        <v>1.8993984142164704</v>
      </c>
      <c r="E392" s="793" t="s">
        <v>3662</v>
      </c>
      <c r="F392" s="793" t="s">
        <v>3662</v>
      </c>
    </row>
    <row r="393" spans="1:6">
      <c r="A393" s="7"/>
      <c r="B393" s="6">
        <v>2000</v>
      </c>
      <c r="C393" s="6">
        <v>21000</v>
      </c>
      <c r="D393" s="1082">
        <v>1.7700227484297997</v>
      </c>
      <c r="E393" s="597" t="s">
        <v>3662</v>
      </c>
      <c r="F393" s="597" t="s">
        <v>3662</v>
      </c>
    </row>
    <row r="394" spans="1:6">
      <c r="A394" s="7"/>
      <c r="B394" s="6">
        <v>40000</v>
      </c>
      <c r="C394" s="6">
        <v>40000</v>
      </c>
      <c r="D394" s="1082">
        <v>1.6518971405376224</v>
      </c>
      <c r="E394" s="597" t="s">
        <v>3662</v>
      </c>
      <c r="F394" s="597" t="s">
        <v>3662</v>
      </c>
    </row>
    <row r="397" spans="1:6">
      <c r="A397" s="1061" t="s">
        <v>3653</v>
      </c>
      <c r="B397" s="1061" t="s">
        <v>3804</v>
      </c>
      <c r="C397" s="1061"/>
      <c r="D397" s="1061"/>
      <c r="E397" s="1061"/>
      <c r="F397" s="1061"/>
    </row>
    <row r="398" spans="1:6">
      <c r="A398" s="1080">
        <v>30</v>
      </c>
      <c r="B398" s="1094" t="s">
        <v>3805</v>
      </c>
      <c r="C398" s="1060" t="s">
        <v>3806</v>
      </c>
      <c r="D398" s="742" t="s">
        <v>3657</v>
      </c>
      <c r="E398" s="1094" t="s">
        <v>3760</v>
      </c>
      <c r="F398" s="742" t="s">
        <v>3651</v>
      </c>
    </row>
    <row r="399" spans="1:6">
      <c r="A399" s="7" t="s">
        <v>3807</v>
      </c>
      <c r="B399" s="6">
        <v>0</v>
      </c>
      <c r="C399" s="6">
        <v>1165</v>
      </c>
      <c r="D399" s="1081">
        <v>7225.2868398928158</v>
      </c>
      <c r="E399" s="6">
        <v>20</v>
      </c>
      <c r="F399" s="6">
        <v>15</v>
      </c>
    </row>
    <row r="400" spans="1:6">
      <c r="A400" s="7"/>
      <c r="B400" s="6">
        <v>1166</v>
      </c>
      <c r="C400" s="6">
        <v>11014</v>
      </c>
      <c r="D400" s="1081">
        <v>10353.435562123992</v>
      </c>
      <c r="E400" s="6">
        <v>20</v>
      </c>
      <c r="F400" s="6">
        <v>15</v>
      </c>
    </row>
    <row r="401" spans="1:6">
      <c r="A401" s="7"/>
      <c r="B401" s="6">
        <v>11015</v>
      </c>
      <c r="C401" s="6">
        <v>31241</v>
      </c>
      <c r="D401" s="1081">
        <v>30463.647254862823</v>
      </c>
      <c r="E401" s="6">
        <v>20</v>
      </c>
      <c r="F401" s="6">
        <v>15</v>
      </c>
    </row>
    <row r="402" spans="1:6">
      <c r="A402" s="7"/>
      <c r="B402" s="6">
        <v>31242</v>
      </c>
      <c r="C402" s="6" t="s">
        <v>3658</v>
      </c>
      <c r="D402" s="1081" t="s">
        <v>3658</v>
      </c>
      <c r="E402" s="6">
        <v>20</v>
      </c>
      <c r="F402" s="6">
        <v>15</v>
      </c>
    </row>
    <row r="405" spans="1:6">
      <c r="A405" s="1061" t="s">
        <v>3808</v>
      </c>
      <c r="B405" s="1061" t="s">
        <v>3809</v>
      </c>
      <c r="C405" s="1061"/>
      <c r="D405" s="1061"/>
      <c r="E405" s="1061"/>
      <c r="F405" s="1061"/>
    </row>
    <row r="406" spans="1:6">
      <c r="A406" s="1080">
        <v>29</v>
      </c>
      <c r="B406" s="1094" t="s">
        <v>3810</v>
      </c>
      <c r="C406" s="1060" t="s">
        <v>3811</v>
      </c>
      <c r="D406" s="1098" t="s">
        <v>3657</v>
      </c>
      <c r="E406" s="1094" t="s">
        <v>3760</v>
      </c>
      <c r="F406" s="742" t="s">
        <v>3651</v>
      </c>
    </row>
    <row r="407" spans="1:6">
      <c r="A407" s="7" t="s">
        <v>3812</v>
      </c>
      <c r="B407" s="538">
        <v>0</v>
      </c>
      <c r="C407" s="6">
        <v>0.02</v>
      </c>
      <c r="D407" s="1081">
        <v>33289.109494412696</v>
      </c>
      <c r="E407" s="6">
        <v>25</v>
      </c>
      <c r="F407" s="6">
        <v>20</v>
      </c>
    </row>
    <row r="408" spans="1:6">
      <c r="A408" s="7"/>
      <c r="B408" s="538">
        <v>0.4</v>
      </c>
      <c r="C408" s="6">
        <v>4.5</v>
      </c>
      <c r="D408" s="1081">
        <v>32530.921908852837</v>
      </c>
      <c r="E408" s="6">
        <v>25</v>
      </c>
      <c r="F408" s="6">
        <v>20</v>
      </c>
    </row>
    <row r="409" spans="1:6">
      <c r="A409" s="7"/>
      <c r="B409" s="538">
        <v>4.51</v>
      </c>
      <c r="C409" s="6">
        <v>44</v>
      </c>
      <c r="D409" s="1081">
        <v>34906.622843918958</v>
      </c>
      <c r="E409" s="6">
        <v>25</v>
      </c>
      <c r="F409" s="6">
        <v>20</v>
      </c>
    </row>
    <row r="410" spans="1:6">
      <c r="A410" s="7"/>
      <c r="B410" s="538">
        <v>44.1</v>
      </c>
      <c r="C410" s="6">
        <v>107.5</v>
      </c>
      <c r="D410" s="1081">
        <v>36949.615254316115</v>
      </c>
      <c r="E410" s="6">
        <v>25</v>
      </c>
      <c r="F410" s="6">
        <v>20</v>
      </c>
    </row>
    <row r="411" spans="1:6">
      <c r="A411" s="7"/>
      <c r="B411" s="538">
        <v>107.5</v>
      </c>
      <c r="C411" s="6" t="s">
        <v>3658</v>
      </c>
      <c r="D411" s="1081" t="s">
        <v>3658</v>
      </c>
      <c r="E411" s="6">
        <v>25</v>
      </c>
      <c r="F411" s="6">
        <v>20</v>
      </c>
    </row>
    <row r="414" spans="1:6">
      <c r="A414" s="1061" t="s">
        <v>3785</v>
      </c>
      <c r="B414" s="1061" t="s">
        <v>3813</v>
      </c>
      <c r="C414" s="1061"/>
      <c r="D414" s="1061"/>
      <c r="E414" s="1061"/>
      <c r="F414" s="1061"/>
    </row>
    <row r="415" spans="1:6">
      <c r="A415" s="1080">
        <v>16</v>
      </c>
      <c r="B415" s="1094" t="s">
        <v>3793</v>
      </c>
      <c r="C415" s="742" t="s">
        <v>3794</v>
      </c>
      <c r="D415" s="1060" t="s">
        <v>3657</v>
      </c>
      <c r="E415" s="1060" t="s">
        <v>3650</v>
      </c>
      <c r="F415" s="1060" t="s">
        <v>3651</v>
      </c>
    </row>
    <row r="416" spans="1:6">
      <c r="A416" s="7" t="s">
        <v>3814</v>
      </c>
      <c r="B416" s="793">
        <v>0</v>
      </c>
      <c r="C416" s="538">
        <v>300</v>
      </c>
      <c r="D416" s="1081">
        <v>1699.9664848087077</v>
      </c>
      <c r="E416" s="6">
        <v>25</v>
      </c>
      <c r="F416" s="6">
        <v>20</v>
      </c>
    </row>
    <row r="417" spans="1:6">
      <c r="A417" s="7"/>
      <c r="B417" s="793">
        <v>301</v>
      </c>
      <c r="C417" s="538">
        <v>550</v>
      </c>
      <c r="D417" s="1081">
        <v>1501.4649147274363</v>
      </c>
      <c r="E417" s="6">
        <v>25</v>
      </c>
      <c r="F417" s="6">
        <v>20</v>
      </c>
    </row>
    <row r="418" spans="1:6">
      <c r="B418" s="793">
        <v>551</v>
      </c>
      <c r="C418" s="6">
        <v>850</v>
      </c>
      <c r="D418" s="1081">
        <v>1992.3402512013872</v>
      </c>
      <c r="E418" s="6">
        <v>25</v>
      </c>
      <c r="F418" s="6">
        <v>20</v>
      </c>
    </row>
    <row r="419" spans="1:6">
      <c r="B419" s="793">
        <v>851</v>
      </c>
      <c r="C419" s="6">
        <v>905</v>
      </c>
      <c r="D419" s="1081">
        <v>3433.3319437276423</v>
      </c>
      <c r="E419" s="6">
        <v>25</v>
      </c>
      <c r="F419" s="6">
        <v>20</v>
      </c>
    </row>
    <row r="420" spans="1:6">
      <c r="B420" s="793">
        <v>906</v>
      </c>
      <c r="C420" s="6">
        <v>1000</v>
      </c>
      <c r="D420" s="1081">
        <v>1978.3513239981737</v>
      </c>
      <c r="E420" s="6">
        <v>25</v>
      </c>
      <c r="F420" s="6">
        <v>20</v>
      </c>
    </row>
    <row r="421" spans="1:6">
      <c r="B421" s="793">
        <v>1001</v>
      </c>
      <c r="C421" s="6">
        <v>1050</v>
      </c>
      <c r="D421" s="1081">
        <v>3894.2459400062044</v>
      </c>
      <c r="E421" s="6">
        <v>25</v>
      </c>
      <c r="F421" s="6">
        <v>20</v>
      </c>
    </row>
    <row r="422" spans="1:6">
      <c r="B422" s="793">
        <v>1051</v>
      </c>
      <c r="C422" s="6">
        <v>1200</v>
      </c>
      <c r="D422" s="1081">
        <v>2202.7658101965417</v>
      </c>
      <c r="E422" s="6">
        <v>25</v>
      </c>
      <c r="F422" s="6">
        <v>20</v>
      </c>
    </row>
    <row r="423" spans="1:6">
      <c r="B423" s="793">
        <v>1201</v>
      </c>
      <c r="C423" s="6">
        <v>1500</v>
      </c>
      <c r="D423" s="1081">
        <v>2417.9796306026951</v>
      </c>
      <c r="E423" s="6">
        <v>25</v>
      </c>
      <c r="F423" s="6">
        <v>20</v>
      </c>
    </row>
    <row r="424" spans="1:6">
      <c r="B424" s="793">
        <v>1501</v>
      </c>
      <c r="C424" s="6">
        <v>2000</v>
      </c>
      <c r="D424" s="1081">
        <v>2689.0661988477036</v>
      </c>
      <c r="E424" s="6">
        <v>25</v>
      </c>
      <c r="F424" s="6">
        <v>20</v>
      </c>
    </row>
    <row r="425" spans="1:6">
      <c r="B425" s="793">
        <v>2001</v>
      </c>
      <c r="C425" s="6">
        <v>2500</v>
      </c>
      <c r="D425" s="1081">
        <v>3806.9894549902042</v>
      </c>
      <c r="E425" s="6">
        <v>25</v>
      </c>
      <c r="F425" s="6">
        <v>20</v>
      </c>
    </row>
    <row r="426" spans="1:6">
      <c r="B426" s="793">
        <v>2501</v>
      </c>
      <c r="C426" s="6">
        <v>3000</v>
      </c>
      <c r="D426" s="1081">
        <v>4072.2018716445364</v>
      </c>
      <c r="E426" s="6">
        <v>25</v>
      </c>
      <c r="F426" s="6">
        <v>20</v>
      </c>
    </row>
    <row r="427" spans="1:6">
      <c r="B427" s="793">
        <v>3001</v>
      </c>
      <c r="C427" s="6">
        <v>4200</v>
      </c>
      <c r="D427" s="1081">
        <v>5652.486881794468</v>
      </c>
      <c r="E427" s="6">
        <v>25</v>
      </c>
      <c r="F427" s="6">
        <v>20</v>
      </c>
    </row>
    <row r="428" spans="1:6">
      <c r="B428" s="793">
        <v>4201</v>
      </c>
      <c r="C428" s="6">
        <v>5200</v>
      </c>
      <c r="D428" s="1081">
        <v>8327.3710600297982</v>
      </c>
      <c r="E428" s="6">
        <v>25</v>
      </c>
      <c r="F428" s="6">
        <v>20</v>
      </c>
    </row>
    <row r="429" spans="1:6">
      <c r="B429" s="793">
        <v>5201</v>
      </c>
      <c r="C429" s="6">
        <v>6500</v>
      </c>
      <c r="D429" s="1081">
        <v>9369.5963437450737</v>
      </c>
      <c r="E429" s="6">
        <v>25</v>
      </c>
      <c r="F429" s="6">
        <v>20</v>
      </c>
    </row>
    <row r="430" spans="1:6">
      <c r="B430" s="793">
        <v>6501</v>
      </c>
      <c r="C430" s="6">
        <v>8000</v>
      </c>
      <c r="D430" s="1081">
        <v>12241.520269703613</v>
      </c>
      <c r="E430" s="6">
        <v>25</v>
      </c>
      <c r="F430" s="6">
        <v>20</v>
      </c>
    </row>
    <row r="431" spans="1:6">
      <c r="B431" s="793">
        <v>8001</v>
      </c>
      <c r="C431" s="6">
        <v>10000</v>
      </c>
      <c r="D431" s="1081">
        <v>7764.139611479729</v>
      </c>
      <c r="E431" s="6">
        <v>25</v>
      </c>
      <c r="F431" s="6">
        <v>20</v>
      </c>
    </row>
    <row r="432" spans="1:6">
      <c r="B432" s="793">
        <v>10001</v>
      </c>
      <c r="C432" s="6">
        <v>12000</v>
      </c>
      <c r="D432" s="1081">
        <v>12508.576592220186</v>
      </c>
      <c r="E432" s="6">
        <v>25</v>
      </c>
      <c r="F432" s="6">
        <v>20</v>
      </c>
    </row>
    <row r="433" spans="1:6">
      <c r="B433" s="793">
        <v>12001</v>
      </c>
      <c r="C433" s="6">
        <v>15000</v>
      </c>
      <c r="D433" s="1081">
        <v>17317.273987417306</v>
      </c>
      <c r="E433" s="6">
        <v>25</v>
      </c>
      <c r="F433" s="6">
        <v>20</v>
      </c>
    </row>
    <row r="434" spans="1:6">
      <c r="B434" s="793">
        <v>15001</v>
      </c>
      <c r="C434" s="6" t="s">
        <v>3658</v>
      </c>
      <c r="D434" s="1081" t="s">
        <v>3658</v>
      </c>
      <c r="E434" s="6">
        <v>25</v>
      </c>
      <c r="F434" s="6">
        <v>20</v>
      </c>
    </row>
    <row r="437" spans="1:6">
      <c r="A437" s="1061" t="s">
        <v>3648</v>
      </c>
      <c r="B437" s="1061" t="s">
        <v>3815</v>
      </c>
      <c r="C437" s="1061"/>
      <c r="D437" s="1061"/>
      <c r="E437" s="1061"/>
      <c r="F437" s="1061"/>
    </row>
    <row r="438" spans="1:6">
      <c r="A438" s="1080">
        <v>43</v>
      </c>
      <c r="B438" s="1060"/>
      <c r="C438" s="1060"/>
      <c r="D438" s="1060" t="s">
        <v>14</v>
      </c>
      <c r="E438" s="1060" t="s">
        <v>3650</v>
      </c>
      <c r="F438" s="1060" t="s">
        <v>3651</v>
      </c>
    </row>
    <row r="439" spans="1:6">
      <c r="A439" s="7" t="s">
        <v>3816</v>
      </c>
      <c r="B439" s="6">
        <v>0</v>
      </c>
      <c r="C439" s="6">
        <v>0</v>
      </c>
      <c r="D439" s="1081">
        <v>2078.272395481446</v>
      </c>
      <c r="E439" s="6">
        <v>15</v>
      </c>
      <c r="F439" s="6">
        <v>14</v>
      </c>
    </row>
    <row r="442" spans="1:6">
      <c r="A442" s="1061" t="s">
        <v>3808</v>
      </c>
      <c r="B442" s="1061" t="s">
        <v>3817</v>
      </c>
      <c r="C442" s="1061"/>
      <c r="D442" s="1061"/>
      <c r="E442" s="1061"/>
      <c r="F442" s="1061"/>
    </row>
    <row r="443" spans="1:6">
      <c r="A443" s="1080">
        <v>29</v>
      </c>
      <c r="B443" s="1060" t="s">
        <v>3818</v>
      </c>
      <c r="C443" s="1060" t="s">
        <v>3819</v>
      </c>
      <c r="D443" s="742" t="s">
        <v>3657</v>
      </c>
      <c r="E443" s="1060" t="s">
        <v>3650</v>
      </c>
      <c r="F443" s="1060" t="s">
        <v>3651</v>
      </c>
    </row>
    <row r="444" spans="1:6">
      <c r="A444" s="7" t="s">
        <v>3820</v>
      </c>
      <c r="B444" s="6">
        <v>0</v>
      </c>
      <c r="C444" s="6">
        <v>1</v>
      </c>
      <c r="D444" s="1081">
        <v>4586.9762332208302</v>
      </c>
      <c r="E444" s="6">
        <v>25</v>
      </c>
      <c r="F444" s="6">
        <v>20</v>
      </c>
    </row>
    <row r="445" spans="1:6">
      <c r="A445" s="7"/>
      <c r="B445" s="6">
        <v>1.1000000000000001</v>
      </c>
      <c r="C445" s="6">
        <v>1.5</v>
      </c>
      <c r="D445" s="1081">
        <v>5093.8052417354429</v>
      </c>
      <c r="E445" s="6">
        <v>25</v>
      </c>
      <c r="F445" s="6">
        <v>20</v>
      </c>
    </row>
    <row r="446" spans="1:6">
      <c r="A446" s="7"/>
      <c r="B446" s="6">
        <v>1.6</v>
      </c>
      <c r="C446" s="6">
        <v>2</v>
      </c>
      <c r="D446" s="1081">
        <v>5665.6513472483821</v>
      </c>
      <c r="E446" s="6">
        <v>25</v>
      </c>
      <c r="F446" s="6">
        <v>20</v>
      </c>
    </row>
    <row r="447" spans="1:6">
      <c r="A447" s="7"/>
      <c r="B447" s="6">
        <v>2.1</v>
      </c>
      <c r="C447" s="6">
        <v>3</v>
      </c>
      <c r="D447" s="1081">
        <v>9251.6291506655125</v>
      </c>
      <c r="E447" s="6">
        <v>25</v>
      </c>
      <c r="F447" s="6">
        <v>20</v>
      </c>
    </row>
    <row r="448" spans="1:6">
      <c r="A448" s="7"/>
      <c r="B448" s="6">
        <v>3.1</v>
      </c>
      <c r="C448" s="6">
        <v>5</v>
      </c>
      <c r="D448" s="1081">
        <v>11463.537667642666</v>
      </c>
      <c r="E448" s="6">
        <v>25</v>
      </c>
      <c r="F448" s="6">
        <v>20</v>
      </c>
    </row>
    <row r="449" spans="1:6">
      <c r="A449" s="7"/>
      <c r="B449" s="6">
        <v>5.0999999999999996</v>
      </c>
      <c r="C449" s="6">
        <v>7.5</v>
      </c>
      <c r="D449" s="1081">
        <v>19192.953754198152</v>
      </c>
      <c r="E449" s="6">
        <v>25</v>
      </c>
      <c r="F449" s="6">
        <v>20</v>
      </c>
    </row>
    <row r="450" spans="1:6">
      <c r="A450" s="7"/>
      <c r="B450" s="6">
        <v>7.6</v>
      </c>
      <c r="C450" s="6">
        <v>10</v>
      </c>
      <c r="D450" s="1081">
        <v>20005.690705897585</v>
      </c>
      <c r="E450" s="6">
        <v>25</v>
      </c>
      <c r="F450" s="6">
        <v>20</v>
      </c>
    </row>
    <row r="451" spans="1:6">
      <c r="A451" s="7"/>
      <c r="B451" s="6">
        <v>10.1</v>
      </c>
      <c r="C451" s="6">
        <v>20</v>
      </c>
      <c r="D451" s="1081">
        <v>23165.897066909696</v>
      </c>
      <c r="E451" s="6">
        <v>25</v>
      </c>
      <c r="F451" s="6">
        <v>20</v>
      </c>
    </row>
    <row r="452" spans="1:6">
      <c r="A452" s="7"/>
      <c r="B452" s="6">
        <v>20.100000000000001</v>
      </c>
      <c r="C452" s="6" t="s">
        <v>3658</v>
      </c>
      <c r="D452" s="1081" t="s">
        <v>3658</v>
      </c>
      <c r="E452" s="6">
        <v>25</v>
      </c>
      <c r="F452" s="6">
        <v>20</v>
      </c>
    </row>
    <row r="455" spans="1:6">
      <c r="A455" s="1061" t="s">
        <v>3778</v>
      </c>
      <c r="B455" s="1061" t="s">
        <v>3821</v>
      </c>
      <c r="C455" s="1061"/>
      <c r="D455" s="1061"/>
      <c r="E455" s="1061"/>
      <c r="F455" s="1061"/>
    </row>
    <row r="456" spans="1:6">
      <c r="A456" s="1080">
        <v>38</v>
      </c>
      <c r="B456" s="1060"/>
      <c r="C456" s="1060"/>
      <c r="D456" s="742" t="s">
        <v>3657</v>
      </c>
      <c r="E456" s="1060" t="s">
        <v>3650</v>
      </c>
      <c r="F456" s="1060" t="s">
        <v>3651</v>
      </c>
    </row>
    <row r="457" spans="1:6">
      <c r="A457" s="7" t="s">
        <v>3822</v>
      </c>
      <c r="B457" s="6">
        <v>0</v>
      </c>
      <c r="C457" s="6">
        <v>0</v>
      </c>
      <c r="D457" s="1081">
        <v>608.80486915637061</v>
      </c>
      <c r="E457" s="6">
        <v>10</v>
      </c>
      <c r="F457" s="6">
        <v>8</v>
      </c>
    </row>
    <row r="460" spans="1:6">
      <c r="A460" s="1061" t="s">
        <v>3648</v>
      </c>
      <c r="B460" s="1061" t="s">
        <v>3823</v>
      </c>
      <c r="C460" s="1061"/>
      <c r="D460" s="1061"/>
      <c r="E460" s="1061"/>
      <c r="F460" s="1061"/>
    </row>
    <row r="461" spans="1:6">
      <c r="A461" s="1080">
        <v>43</v>
      </c>
      <c r="B461" s="1060" t="s">
        <v>3745</v>
      </c>
      <c r="C461" s="1060" t="s">
        <v>3746</v>
      </c>
      <c r="D461" s="742" t="s">
        <v>3657</v>
      </c>
      <c r="E461" s="1060" t="s">
        <v>3650</v>
      </c>
      <c r="F461" s="1060" t="s">
        <v>3651</v>
      </c>
    </row>
    <row r="462" spans="1:6">
      <c r="A462" s="7" t="s">
        <v>3824</v>
      </c>
      <c r="B462" s="6">
        <v>0</v>
      </c>
      <c r="C462" s="6">
        <v>0.75</v>
      </c>
      <c r="D462" s="1081">
        <v>5161.9805217900648</v>
      </c>
      <c r="E462" s="6">
        <v>15</v>
      </c>
      <c r="F462" s="6">
        <v>14</v>
      </c>
    </row>
    <row r="463" spans="1:6">
      <c r="A463" s="7"/>
      <c r="B463" s="6">
        <v>0.76</v>
      </c>
      <c r="C463" s="6">
        <v>1</v>
      </c>
      <c r="D463" s="1081">
        <v>3662.7980893127765</v>
      </c>
      <c r="E463" s="6">
        <v>15</v>
      </c>
      <c r="F463" s="6">
        <v>14</v>
      </c>
    </row>
    <row r="464" spans="1:6">
      <c r="A464" s="7"/>
      <c r="B464" s="6">
        <v>1.1000000000000001</v>
      </c>
      <c r="C464" s="6">
        <v>1.5</v>
      </c>
      <c r="D464" s="1081">
        <v>3754.8425353801968</v>
      </c>
      <c r="E464" s="6">
        <v>15</v>
      </c>
      <c r="F464" s="6">
        <v>14</v>
      </c>
    </row>
    <row r="465" spans="1:6">
      <c r="A465" s="7"/>
      <c r="B465" s="6">
        <v>1.6</v>
      </c>
      <c r="C465" s="6">
        <v>2</v>
      </c>
      <c r="D465" s="1081">
        <v>4124.9829564881011</v>
      </c>
      <c r="E465" s="6">
        <v>15</v>
      </c>
      <c r="F465" s="6">
        <v>14</v>
      </c>
    </row>
    <row r="466" spans="1:6">
      <c r="A466" s="7"/>
      <c r="B466" s="6">
        <v>2.1</v>
      </c>
      <c r="C466" s="6">
        <v>2.5</v>
      </c>
      <c r="D466" s="1081">
        <v>4023.8195371008878</v>
      </c>
      <c r="E466" s="6">
        <v>15</v>
      </c>
      <c r="F466" s="6">
        <v>14</v>
      </c>
    </row>
    <row r="467" spans="1:6">
      <c r="A467" s="7"/>
      <c r="B467" s="6">
        <v>2.6</v>
      </c>
      <c r="C467" s="6">
        <v>3</v>
      </c>
      <c r="D467" s="1081">
        <v>4391.5803710668997</v>
      </c>
      <c r="E467" s="6">
        <v>15</v>
      </c>
      <c r="F467" s="6">
        <v>14</v>
      </c>
    </row>
    <row r="468" spans="1:6">
      <c r="A468" s="7"/>
      <c r="B468" s="6">
        <v>3.1</v>
      </c>
      <c r="C468" s="6">
        <v>4</v>
      </c>
      <c r="D468" s="1081">
        <v>4620.099669761923</v>
      </c>
      <c r="E468" s="6">
        <v>15</v>
      </c>
      <c r="F468" s="6">
        <v>14</v>
      </c>
    </row>
    <row r="469" spans="1:6">
      <c r="A469" s="7"/>
      <c r="B469" s="6">
        <v>4.0999999999999996</v>
      </c>
      <c r="C469" s="6">
        <v>6</v>
      </c>
      <c r="D469" s="1081">
        <v>7584.8181380101014</v>
      </c>
      <c r="E469" s="6">
        <v>15</v>
      </c>
      <c r="F469" s="6">
        <v>14</v>
      </c>
    </row>
    <row r="470" spans="1:6">
      <c r="A470" s="7"/>
      <c r="B470" s="6">
        <v>6.1</v>
      </c>
      <c r="C470" s="6">
        <v>8</v>
      </c>
      <c r="D470" s="1081">
        <v>9770.5011146076995</v>
      </c>
      <c r="E470" s="6">
        <v>15</v>
      </c>
      <c r="F470" s="6">
        <v>14</v>
      </c>
    </row>
    <row r="471" spans="1:6">
      <c r="A471" s="7"/>
      <c r="B471" s="6">
        <v>8.1</v>
      </c>
      <c r="C471" s="6">
        <v>10</v>
      </c>
      <c r="D471" s="1081">
        <v>11830.127163362988</v>
      </c>
      <c r="E471" s="6">
        <v>15</v>
      </c>
      <c r="F471" s="6">
        <v>14</v>
      </c>
    </row>
    <row r="472" spans="1:6">
      <c r="A472" s="7"/>
      <c r="B472" s="6">
        <v>10.1</v>
      </c>
      <c r="C472" s="6">
        <v>12</v>
      </c>
      <c r="D472" s="1081">
        <v>14064.65176479902</v>
      </c>
      <c r="E472" s="6">
        <v>15</v>
      </c>
      <c r="F472" s="6">
        <v>14</v>
      </c>
    </row>
    <row r="473" spans="1:6">
      <c r="A473" s="7"/>
      <c r="B473" s="6">
        <v>12.1</v>
      </c>
      <c r="C473" s="6">
        <v>14</v>
      </c>
      <c r="D473" s="1081">
        <v>17254.833359837939</v>
      </c>
      <c r="E473" s="6">
        <v>15</v>
      </c>
      <c r="F473" s="6">
        <v>14</v>
      </c>
    </row>
    <row r="474" spans="1:6">
      <c r="A474" s="7"/>
      <c r="B474" s="6">
        <v>14.1</v>
      </c>
      <c r="C474" s="6">
        <v>16</v>
      </c>
      <c r="D474" s="1081">
        <v>21073.29314637035</v>
      </c>
      <c r="E474" s="6">
        <v>15</v>
      </c>
      <c r="F474" s="6">
        <v>14</v>
      </c>
    </row>
    <row r="475" spans="1:6">
      <c r="A475" s="7"/>
      <c r="B475" s="6">
        <v>16.100000000000001</v>
      </c>
      <c r="C475" s="6">
        <v>18</v>
      </c>
      <c r="D475" s="1081">
        <v>24607.688074016798</v>
      </c>
      <c r="E475" s="6">
        <v>15</v>
      </c>
      <c r="F475" s="6">
        <v>14</v>
      </c>
    </row>
    <row r="476" spans="1:6">
      <c r="A476" s="7"/>
      <c r="B476" s="6">
        <v>18.100000000000001</v>
      </c>
      <c r="C476" s="6">
        <v>20</v>
      </c>
      <c r="D476" s="1081">
        <v>27695.287520098893</v>
      </c>
      <c r="E476" s="6">
        <v>15</v>
      </c>
      <c r="F476" s="6">
        <v>14</v>
      </c>
    </row>
    <row r="477" spans="1:6">
      <c r="A477" s="7"/>
      <c r="B477" s="6">
        <v>20.100000000000001</v>
      </c>
      <c r="C477" s="6" t="s">
        <v>3658</v>
      </c>
      <c r="D477" s="1081" t="s">
        <v>3658</v>
      </c>
      <c r="E477" s="6">
        <v>15</v>
      </c>
      <c r="F477" s="6">
        <v>14</v>
      </c>
    </row>
    <row r="480" spans="1:6">
      <c r="A480" s="1061" t="s">
        <v>3664</v>
      </c>
      <c r="B480" s="1061" t="s">
        <v>3825</v>
      </c>
      <c r="C480" s="1061"/>
      <c r="D480" s="1061"/>
      <c r="E480" s="1061"/>
      <c r="F480" s="1061"/>
    </row>
    <row r="481" spans="1:6">
      <c r="A481" s="1080">
        <v>2</v>
      </c>
      <c r="B481" s="1060"/>
      <c r="C481" s="1060" t="s">
        <v>1435</v>
      </c>
      <c r="D481" s="1060" t="s">
        <v>3657</v>
      </c>
      <c r="E481" s="1060" t="s">
        <v>3650</v>
      </c>
      <c r="F481" s="1060" t="s">
        <v>3651</v>
      </c>
    </row>
    <row r="482" spans="1:6">
      <c r="A482" s="7" t="s">
        <v>3829</v>
      </c>
      <c r="B482" s="6" t="s">
        <v>1324</v>
      </c>
      <c r="C482" s="6" t="s">
        <v>2625</v>
      </c>
      <c r="D482" s="1082">
        <v>36.004870639991616</v>
      </c>
      <c r="E482" s="538">
        <v>40</v>
      </c>
      <c r="F482" s="538">
        <v>35</v>
      </c>
    </row>
    <row r="483" spans="1:6">
      <c r="A483" s="7"/>
      <c r="B483" s="6" t="s">
        <v>1325</v>
      </c>
      <c r="C483" s="6" t="s">
        <v>3826</v>
      </c>
      <c r="D483" s="1082">
        <v>541.42662616528742</v>
      </c>
      <c r="E483" s="538">
        <v>40</v>
      </c>
      <c r="F483" s="538">
        <v>35</v>
      </c>
    </row>
    <row r="484" spans="1:6">
      <c r="A484" s="7"/>
      <c r="B484" s="6" t="s">
        <v>3827</v>
      </c>
      <c r="C484" s="6" t="s">
        <v>2977</v>
      </c>
      <c r="D484" s="1082">
        <v>47.422204619252113</v>
      </c>
      <c r="E484" s="538">
        <v>40</v>
      </c>
      <c r="F484" s="538">
        <v>35</v>
      </c>
    </row>
    <row r="485" spans="1:6">
      <c r="A485" s="7"/>
      <c r="B485" s="6" t="s">
        <v>3828</v>
      </c>
      <c r="C485" s="6" t="s">
        <v>2977</v>
      </c>
      <c r="D485" s="1082">
        <v>44.396983345553572</v>
      </c>
      <c r="E485" s="538">
        <v>40</v>
      </c>
      <c r="F485" s="538">
        <v>35</v>
      </c>
    </row>
    <row r="488" spans="1:6">
      <c r="A488" s="1061" t="s">
        <v>3808</v>
      </c>
      <c r="B488" s="1061" t="s">
        <v>3830</v>
      </c>
      <c r="C488" s="1061"/>
      <c r="D488" s="1061"/>
      <c r="E488" s="1061"/>
      <c r="F488" s="1061"/>
    </row>
    <row r="489" spans="1:6">
      <c r="A489" s="1080">
        <v>29</v>
      </c>
      <c r="B489" s="1060" t="s">
        <v>3818</v>
      </c>
      <c r="C489" s="1060" t="s">
        <v>3819</v>
      </c>
      <c r="D489" s="742" t="s">
        <v>3657</v>
      </c>
      <c r="E489" s="1060" t="s">
        <v>3650</v>
      </c>
      <c r="F489" s="1060" t="s">
        <v>3651</v>
      </c>
    </row>
    <row r="490" spans="1:6">
      <c r="A490" s="7" t="s">
        <v>3831</v>
      </c>
      <c r="B490" s="6">
        <v>0</v>
      </c>
      <c r="C490" s="6">
        <v>0.33333333333333331</v>
      </c>
      <c r="D490" s="1081">
        <v>2114.4674855273456</v>
      </c>
      <c r="E490" s="6">
        <v>25</v>
      </c>
      <c r="F490" s="6">
        <v>22</v>
      </c>
    </row>
    <row r="491" spans="1:6">
      <c r="A491" s="7"/>
      <c r="B491" s="6">
        <v>0.34</v>
      </c>
      <c r="C491" s="6">
        <v>0.5</v>
      </c>
      <c r="D491" s="1081">
        <v>2210.1417377958564</v>
      </c>
      <c r="E491" s="6">
        <v>25</v>
      </c>
      <c r="F491" s="6">
        <v>22</v>
      </c>
    </row>
    <row r="492" spans="1:6">
      <c r="A492" s="7"/>
      <c r="B492" s="6">
        <v>0.51</v>
      </c>
      <c r="C492" s="6">
        <v>0.75</v>
      </c>
      <c r="D492" s="1081">
        <v>2390.7026692801619</v>
      </c>
      <c r="E492" s="6">
        <v>25</v>
      </c>
      <c r="F492" s="6">
        <v>22</v>
      </c>
    </row>
    <row r="493" spans="1:6">
      <c r="A493" s="7"/>
      <c r="B493" s="6">
        <v>0.76</v>
      </c>
      <c r="C493" s="6">
        <v>1</v>
      </c>
      <c r="D493" s="1081">
        <v>2651.7514637840086</v>
      </c>
      <c r="E493" s="6">
        <v>25</v>
      </c>
      <c r="F493" s="6">
        <v>22</v>
      </c>
    </row>
    <row r="494" spans="1:6">
      <c r="A494" s="7"/>
      <c r="B494" s="6">
        <v>1.1000000000000001</v>
      </c>
      <c r="C494" s="6">
        <v>1.5</v>
      </c>
      <c r="D494" s="1081">
        <v>2859.9097302138557</v>
      </c>
      <c r="E494" s="6">
        <v>25</v>
      </c>
      <c r="F494" s="6">
        <v>22</v>
      </c>
    </row>
    <row r="495" spans="1:6">
      <c r="A495" s="7"/>
      <c r="B495" s="6">
        <v>1.6</v>
      </c>
      <c r="C495" s="6">
        <v>2</v>
      </c>
      <c r="D495" s="1081">
        <v>4122.9983808523257</v>
      </c>
      <c r="E495" s="6">
        <v>25</v>
      </c>
      <c r="F495" s="6">
        <v>22</v>
      </c>
    </row>
    <row r="496" spans="1:6">
      <c r="A496" s="7"/>
      <c r="B496" s="6">
        <v>2.1</v>
      </c>
      <c r="C496" s="6">
        <v>3</v>
      </c>
      <c r="D496" s="1081">
        <v>4805.4432935853501</v>
      </c>
      <c r="E496" s="6">
        <v>25</v>
      </c>
      <c r="F496" s="6">
        <v>22</v>
      </c>
    </row>
    <row r="497" spans="1:6">
      <c r="A497" s="7"/>
      <c r="B497" s="6">
        <v>3.1</v>
      </c>
      <c r="C497" s="6">
        <v>4</v>
      </c>
      <c r="D497" s="1081">
        <v>4508.2089991813718</v>
      </c>
      <c r="E497" s="6">
        <v>25</v>
      </c>
      <c r="F497" s="6">
        <v>22</v>
      </c>
    </row>
    <row r="498" spans="1:6">
      <c r="A498" s="7"/>
      <c r="B498" s="6">
        <v>4.0999999999999996</v>
      </c>
      <c r="C498" s="6" t="s">
        <v>3658</v>
      </c>
      <c r="D498" s="1081" t="s">
        <v>3658</v>
      </c>
      <c r="E498" s="6">
        <v>25</v>
      </c>
      <c r="F498" s="6">
        <v>22</v>
      </c>
    </row>
    <row r="501" spans="1:6">
      <c r="A501" s="1061" t="s">
        <v>3832</v>
      </c>
      <c r="B501" s="1061" t="s">
        <v>3833</v>
      </c>
      <c r="C501" s="1061"/>
      <c r="D501" s="1061"/>
      <c r="E501" s="1061"/>
      <c r="F501" s="1061"/>
    </row>
    <row r="502" spans="1:6">
      <c r="A502" s="1080">
        <v>5</v>
      </c>
      <c r="B502" s="1094" t="s">
        <v>3800</v>
      </c>
      <c r="C502" s="1060" t="s">
        <v>3801</v>
      </c>
      <c r="D502" s="742" t="s">
        <v>3802</v>
      </c>
      <c r="E502" s="1094" t="s">
        <v>3760</v>
      </c>
      <c r="F502" s="742" t="s">
        <v>3651</v>
      </c>
    </row>
    <row r="503" spans="1:6">
      <c r="A503" s="7" t="s">
        <v>3834</v>
      </c>
      <c r="B503" s="538">
        <v>0</v>
      </c>
      <c r="C503" s="6">
        <v>1000</v>
      </c>
      <c r="D503" s="1082">
        <v>1.2151381546471351</v>
      </c>
      <c r="E503" s="793" t="s">
        <v>3662</v>
      </c>
      <c r="F503" s="793" t="s">
        <v>3662</v>
      </c>
    </row>
    <row r="504" spans="1:6">
      <c r="A504" s="7"/>
      <c r="B504" s="538">
        <v>2000</v>
      </c>
      <c r="C504" s="6">
        <v>21000</v>
      </c>
      <c r="D504" s="1082">
        <v>1.113876641759874</v>
      </c>
      <c r="E504" s="793" t="s">
        <v>3662</v>
      </c>
      <c r="F504" s="793" t="s">
        <v>3662</v>
      </c>
    </row>
    <row r="505" spans="1:6">
      <c r="A505" s="7"/>
      <c r="B505" s="538">
        <v>40000</v>
      </c>
      <c r="C505" s="6">
        <v>40000</v>
      </c>
      <c r="D505" s="1082">
        <v>1.0126151288726126</v>
      </c>
      <c r="E505" s="793" t="s">
        <v>3662</v>
      </c>
      <c r="F505" s="793" t="s">
        <v>3662</v>
      </c>
    </row>
    <row r="508" spans="1:6">
      <c r="A508" s="1061" t="s">
        <v>3835</v>
      </c>
      <c r="B508" s="1061" t="s">
        <v>3836</v>
      </c>
      <c r="C508" s="1061"/>
      <c r="D508" s="1061"/>
      <c r="E508" s="1061"/>
      <c r="F508" s="1061"/>
    </row>
    <row r="509" spans="1:6">
      <c r="A509" s="1080">
        <v>28</v>
      </c>
      <c r="B509" s="1094" t="s">
        <v>3837</v>
      </c>
      <c r="C509" s="1060" t="s">
        <v>3838</v>
      </c>
      <c r="D509" s="742" t="s">
        <v>3657</v>
      </c>
      <c r="E509" s="1094" t="s">
        <v>3760</v>
      </c>
      <c r="F509" s="742" t="s">
        <v>3651</v>
      </c>
    </row>
    <row r="510" spans="1:6">
      <c r="A510" s="7" t="s">
        <v>3839</v>
      </c>
      <c r="B510" s="6">
        <v>0</v>
      </c>
      <c r="C510" s="6">
        <v>2500</v>
      </c>
      <c r="D510" s="1081">
        <v>1872363.760608389</v>
      </c>
      <c r="E510" s="6">
        <v>20</v>
      </c>
      <c r="F510" s="6">
        <v>20</v>
      </c>
    </row>
    <row r="511" spans="1:6">
      <c r="A511" s="7"/>
      <c r="B511" s="6">
        <v>2501</v>
      </c>
      <c r="C511" s="6">
        <v>5000</v>
      </c>
      <c r="D511" s="1081">
        <v>2530348.4051707811</v>
      </c>
      <c r="E511" s="6">
        <v>20</v>
      </c>
      <c r="F511" s="6">
        <v>20</v>
      </c>
    </row>
    <row r="512" spans="1:6">
      <c r="A512" s="7"/>
      <c r="B512" s="6">
        <v>5001</v>
      </c>
      <c r="C512" s="6">
        <v>10000</v>
      </c>
      <c r="D512" s="1081">
        <v>3466530.2854749756</v>
      </c>
      <c r="E512" s="6">
        <v>20</v>
      </c>
      <c r="F512" s="6">
        <v>20</v>
      </c>
    </row>
    <row r="513" spans="1:6">
      <c r="A513" s="7"/>
      <c r="B513" s="6">
        <v>10001</v>
      </c>
      <c r="C513" s="6">
        <v>25000</v>
      </c>
      <c r="D513" s="1081">
        <v>4402712.1657791706</v>
      </c>
      <c r="E513" s="6">
        <v>20</v>
      </c>
      <c r="F513" s="6">
        <v>20</v>
      </c>
    </row>
    <row r="514" spans="1:6">
      <c r="A514" s="7"/>
      <c r="B514" s="6">
        <v>25001</v>
      </c>
      <c r="C514" s="6">
        <v>50000</v>
      </c>
      <c r="D514" s="1081">
        <v>6173485.7533087712</v>
      </c>
      <c r="E514" s="6">
        <v>20</v>
      </c>
      <c r="F514" s="6">
        <v>20</v>
      </c>
    </row>
    <row r="515" spans="1:6">
      <c r="A515" s="7"/>
      <c r="B515" s="6">
        <v>50001</v>
      </c>
      <c r="C515" s="6">
        <v>75000</v>
      </c>
      <c r="D515" s="1081">
        <v>7387864.8693547687</v>
      </c>
      <c r="E515" s="6">
        <v>20</v>
      </c>
      <c r="F515" s="6">
        <v>20</v>
      </c>
    </row>
    <row r="516" spans="1:6">
      <c r="A516" s="7"/>
      <c r="B516" s="6">
        <v>75001</v>
      </c>
      <c r="C516" s="6">
        <v>100000</v>
      </c>
      <c r="D516" s="1081">
        <v>8045849.5139171612</v>
      </c>
      <c r="E516" s="6">
        <v>20</v>
      </c>
      <c r="F516" s="6">
        <v>20</v>
      </c>
    </row>
    <row r="517" spans="1:6">
      <c r="A517" s="7"/>
      <c r="B517" s="6">
        <v>100001</v>
      </c>
      <c r="C517" s="6" t="s">
        <v>3658</v>
      </c>
      <c r="D517" s="1081" t="s">
        <v>3658</v>
      </c>
    </row>
    <row r="520" spans="1:6">
      <c r="A520" s="1061" t="s">
        <v>3648</v>
      </c>
      <c r="B520" s="1061" t="s">
        <v>3840</v>
      </c>
      <c r="C520" s="1061"/>
      <c r="D520" s="1061"/>
      <c r="E520" s="1061"/>
      <c r="F520" s="1061"/>
    </row>
    <row r="521" spans="1:6">
      <c r="A521" s="1080">
        <v>43</v>
      </c>
      <c r="B521" s="1060" t="s">
        <v>3745</v>
      </c>
      <c r="C521" s="1060" t="s">
        <v>3746</v>
      </c>
      <c r="D521" s="742" t="s">
        <v>3657</v>
      </c>
      <c r="E521" s="1060" t="s">
        <v>3650</v>
      </c>
      <c r="F521" s="1060" t="s">
        <v>3651</v>
      </c>
    </row>
    <row r="522" spans="1:6">
      <c r="A522" s="7" t="s">
        <v>3841</v>
      </c>
      <c r="B522" s="6">
        <v>0</v>
      </c>
      <c r="C522" s="6">
        <v>2</v>
      </c>
      <c r="D522" s="1081">
        <v>3273.7920911213764</v>
      </c>
      <c r="E522" s="6">
        <v>15</v>
      </c>
      <c r="F522" s="6">
        <v>14</v>
      </c>
    </row>
    <row r="523" spans="1:6">
      <c r="A523" s="7"/>
      <c r="B523" s="6">
        <v>2.1</v>
      </c>
      <c r="C523" s="6">
        <v>3</v>
      </c>
      <c r="D523" s="1081">
        <v>3379.627548946592</v>
      </c>
      <c r="E523" s="6">
        <v>15</v>
      </c>
      <c r="F523" s="6">
        <v>14</v>
      </c>
    </row>
    <row r="524" spans="1:6">
      <c r="A524" s="7"/>
      <c r="B524" s="6">
        <v>3.1</v>
      </c>
      <c r="C524" s="6">
        <v>6</v>
      </c>
      <c r="D524" s="1081">
        <v>4985.9842502656074</v>
      </c>
      <c r="E524" s="6">
        <v>15</v>
      </c>
      <c r="F524" s="6">
        <v>14</v>
      </c>
    </row>
    <row r="525" spans="1:6">
      <c r="A525" s="7"/>
      <c r="B525" s="6">
        <v>6.1</v>
      </c>
      <c r="C525" s="6">
        <v>12</v>
      </c>
      <c r="D525" s="1081">
        <v>6091.5288934885393</v>
      </c>
      <c r="E525" s="6">
        <v>15</v>
      </c>
      <c r="F525" s="6">
        <v>14</v>
      </c>
    </row>
    <row r="526" spans="1:6">
      <c r="A526" s="7"/>
      <c r="B526" s="6">
        <v>12.1</v>
      </c>
      <c r="C526" s="6">
        <v>24</v>
      </c>
      <c r="D526" s="1081">
        <v>10222.824325925792</v>
      </c>
      <c r="E526" s="6">
        <v>15</v>
      </c>
      <c r="F526" s="6">
        <v>14</v>
      </c>
    </row>
    <row r="527" spans="1:6">
      <c r="A527" s="7"/>
      <c r="B527" s="6">
        <v>48.1</v>
      </c>
      <c r="C527" s="6">
        <v>60</v>
      </c>
      <c r="D527" s="1081">
        <v>29662.510948917716</v>
      </c>
      <c r="E527" s="6">
        <v>15</v>
      </c>
      <c r="F527" s="6">
        <v>14</v>
      </c>
    </row>
    <row r="528" spans="1:6">
      <c r="A528" s="7"/>
      <c r="B528" s="6">
        <v>60.1</v>
      </c>
      <c r="C528" s="6" t="s">
        <v>3658</v>
      </c>
      <c r="D528" s="1081" t="s">
        <v>3658</v>
      </c>
      <c r="E528" s="6">
        <v>15</v>
      </c>
      <c r="F528" s="6">
        <v>14</v>
      </c>
    </row>
    <row r="531" spans="1:6">
      <c r="A531" s="1061" t="s">
        <v>3842</v>
      </c>
      <c r="B531" s="1061" t="s">
        <v>3843</v>
      </c>
      <c r="C531" s="1061"/>
      <c r="D531" s="1061"/>
      <c r="E531" s="1061"/>
      <c r="F531" s="1061"/>
    </row>
    <row r="532" spans="1:6">
      <c r="A532" s="1080">
        <v>42</v>
      </c>
      <c r="B532" s="1060"/>
      <c r="C532" s="1060"/>
      <c r="D532" s="742" t="s">
        <v>3657</v>
      </c>
      <c r="E532" s="1060" t="s">
        <v>3650</v>
      </c>
      <c r="F532" s="1060" t="s">
        <v>3651</v>
      </c>
    </row>
    <row r="533" spans="1:6">
      <c r="A533" s="7" t="s">
        <v>3844</v>
      </c>
      <c r="B533" s="6">
        <v>0</v>
      </c>
      <c r="C533" s="6">
        <v>0</v>
      </c>
      <c r="D533" s="1081">
        <v>180.29842453713528</v>
      </c>
      <c r="E533" s="6">
        <v>10</v>
      </c>
      <c r="F533" s="6">
        <v>8</v>
      </c>
    </row>
    <row r="536" spans="1:6">
      <c r="A536" s="1061" t="s">
        <v>3845</v>
      </c>
      <c r="B536" s="1061" t="s">
        <v>3846</v>
      </c>
      <c r="C536" s="1061"/>
      <c r="D536" s="1061"/>
      <c r="E536" s="1061"/>
      <c r="F536" s="1061"/>
    </row>
    <row r="537" spans="1:6">
      <c r="A537" s="1080">
        <v>37</v>
      </c>
      <c r="B537" s="1060"/>
      <c r="C537" s="1060"/>
      <c r="D537" s="742" t="s">
        <v>3657</v>
      </c>
      <c r="E537" s="1060" t="s">
        <v>3650</v>
      </c>
      <c r="F537" s="1060" t="s">
        <v>3651</v>
      </c>
    </row>
    <row r="538" spans="1:6">
      <c r="A538" s="7" t="s">
        <v>3847</v>
      </c>
      <c r="B538" s="6">
        <v>0</v>
      </c>
      <c r="C538" s="6">
        <v>0</v>
      </c>
      <c r="D538" s="1081">
        <v>1028.6562542174795</v>
      </c>
      <c r="E538" s="6">
        <v>10</v>
      </c>
      <c r="F538" s="6">
        <v>8</v>
      </c>
    </row>
    <row r="541" spans="1:6">
      <c r="A541" s="1061" t="s">
        <v>3648</v>
      </c>
      <c r="B541" s="1061" t="s">
        <v>3848</v>
      </c>
      <c r="C541" s="1061"/>
      <c r="D541" s="1061"/>
      <c r="E541" s="1061"/>
      <c r="F541" s="1061"/>
    </row>
    <row r="542" spans="1:6">
      <c r="A542" s="1080">
        <v>43</v>
      </c>
      <c r="B542" s="1060"/>
      <c r="C542" s="1060"/>
      <c r="D542" s="742" t="s">
        <v>3657</v>
      </c>
      <c r="E542" s="1060" t="s">
        <v>3650</v>
      </c>
      <c r="F542" s="1060" t="s">
        <v>3651</v>
      </c>
    </row>
    <row r="543" spans="1:6">
      <c r="A543" s="7" t="s">
        <v>3849</v>
      </c>
      <c r="B543" s="6">
        <v>0</v>
      </c>
      <c r="C543" s="6">
        <v>0</v>
      </c>
      <c r="D543" s="1081">
        <v>2579.2658773019957</v>
      </c>
      <c r="E543" s="6">
        <v>15</v>
      </c>
      <c r="F543" s="6">
        <v>14</v>
      </c>
    </row>
    <row r="546" spans="1:6">
      <c r="A546" s="142" t="s">
        <v>3670</v>
      </c>
      <c r="B546" s="1062">
        <v>0</v>
      </c>
      <c r="C546" s="1062">
        <v>0</v>
      </c>
      <c r="D546" s="1083">
        <v>77.965434167801391</v>
      </c>
      <c r="E546" s="1062" t="s">
        <v>3662</v>
      </c>
      <c r="F546" s="1062" t="s">
        <v>3662</v>
      </c>
    </row>
    <row r="547" spans="1:6">
      <c r="A547" s="142"/>
      <c r="B547" s="1062" t="s">
        <v>3850</v>
      </c>
      <c r="C547" s="1062"/>
      <c r="D547" s="1062" t="s">
        <v>3661</v>
      </c>
      <c r="E547" s="1062" t="s">
        <v>3650</v>
      </c>
      <c r="F547" s="1062" t="s">
        <v>3651</v>
      </c>
    </row>
    <row r="548" spans="1:6">
      <c r="A548" s="1067" t="s">
        <v>3851</v>
      </c>
      <c r="B548" s="1060">
        <v>0</v>
      </c>
      <c r="C548" s="1060">
        <v>0</v>
      </c>
      <c r="D548" s="1091">
        <v>256.63622080234626</v>
      </c>
      <c r="E548" s="1060" t="s">
        <v>3662</v>
      </c>
      <c r="F548" s="1060" t="s">
        <v>3662</v>
      </c>
    </row>
    <row r="551" spans="1:6">
      <c r="A551" s="1061" t="s">
        <v>3785</v>
      </c>
      <c r="B551" s="1061" t="s">
        <v>3852</v>
      </c>
      <c r="C551" s="1061"/>
      <c r="D551" s="1061"/>
      <c r="E551" s="1061"/>
      <c r="F551" s="1061"/>
    </row>
    <row r="552" spans="1:6">
      <c r="A552" s="1080">
        <v>16</v>
      </c>
      <c r="B552" s="1094" t="s">
        <v>3793</v>
      </c>
      <c r="C552" s="742" t="s">
        <v>3794</v>
      </c>
      <c r="D552" s="1060" t="s">
        <v>3657</v>
      </c>
      <c r="E552" s="1060" t="s">
        <v>3650</v>
      </c>
      <c r="F552" s="1060" t="s">
        <v>3651</v>
      </c>
    </row>
    <row r="553" spans="1:6">
      <c r="A553" s="7" t="s">
        <v>3853</v>
      </c>
      <c r="B553" s="6">
        <v>0</v>
      </c>
      <c r="C553" s="6">
        <v>60</v>
      </c>
      <c r="D553" s="1081">
        <v>593.15765052449933</v>
      </c>
      <c r="E553" s="6">
        <v>10</v>
      </c>
      <c r="F553" s="6">
        <v>7</v>
      </c>
    </row>
    <row r="554" spans="1:6">
      <c r="A554" s="7"/>
      <c r="B554" s="6">
        <v>61</v>
      </c>
      <c r="C554" s="6">
        <v>65</v>
      </c>
      <c r="D554" s="1081">
        <v>475.99186028766724</v>
      </c>
      <c r="E554" s="6">
        <v>10</v>
      </c>
      <c r="F554" s="6">
        <v>7</v>
      </c>
    </row>
    <row r="555" spans="1:6">
      <c r="A555" s="7"/>
      <c r="B555" s="6">
        <v>66</v>
      </c>
      <c r="C555" s="6">
        <v>100</v>
      </c>
      <c r="D555" s="1081">
        <v>1555.7738629740609</v>
      </c>
      <c r="E555" s="6">
        <v>10</v>
      </c>
      <c r="F555" s="6">
        <v>7</v>
      </c>
    </row>
    <row r="556" spans="1:6">
      <c r="A556" s="7"/>
      <c r="B556" s="6">
        <v>101</v>
      </c>
      <c r="C556" s="6">
        <v>125</v>
      </c>
      <c r="D556" s="1081">
        <v>1434.3990745591741</v>
      </c>
      <c r="E556" s="6">
        <v>10</v>
      </c>
      <c r="F556" s="6">
        <v>7</v>
      </c>
    </row>
    <row r="557" spans="1:6">
      <c r="A557" s="7"/>
      <c r="B557" s="6">
        <v>126</v>
      </c>
      <c r="C557" s="6">
        <v>130</v>
      </c>
      <c r="D557" s="1081">
        <v>1355.8087944631643</v>
      </c>
      <c r="E557" s="6">
        <v>10</v>
      </c>
      <c r="F557" s="6">
        <v>7</v>
      </c>
    </row>
    <row r="558" spans="1:6">
      <c r="A558" s="7"/>
      <c r="B558" s="6">
        <v>131</v>
      </c>
      <c r="C558" s="6">
        <v>150</v>
      </c>
      <c r="D558" s="1081">
        <v>1518.0769707431705</v>
      </c>
      <c r="E558" s="6">
        <v>10</v>
      </c>
      <c r="F558" s="6">
        <v>7</v>
      </c>
    </row>
    <row r="559" spans="1:6">
      <c r="A559" s="7"/>
      <c r="B559" s="6">
        <v>151</v>
      </c>
      <c r="C559" s="6">
        <v>200</v>
      </c>
      <c r="D559" s="1081">
        <v>1578.3250559956482</v>
      </c>
      <c r="E559" s="6">
        <v>10</v>
      </c>
      <c r="F559" s="6">
        <v>7</v>
      </c>
    </row>
    <row r="560" spans="1:6">
      <c r="A560" s="7"/>
      <c r="B560" s="6">
        <v>201</v>
      </c>
      <c r="C560" s="6">
        <v>205</v>
      </c>
      <c r="D560" s="1081">
        <v>1903.0789710857393</v>
      </c>
      <c r="E560" s="6">
        <v>10</v>
      </c>
      <c r="F560" s="6">
        <v>7</v>
      </c>
    </row>
    <row r="561" spans="1:6">
      <c r="A561" s="7"/>
      <c r="B561" s="6">
        <v>206</v>
      </c>
      <c r="C561" s="6">
        <v>220</v>
      </c>
      <c r="D561" s="1081">
        <v>1434.4660168761211</v>
      </c>
      <c r="E561" s="6">
        <v>10</v>
      </c>
      <c r="F561" s="6">
        <v>7</v>
      </c>
    </row>
    <row r="562" spans="1:6">
      <c r="A562" s="7"/>
      <c r="B562" s="6">
        <v>221</v>
      </c>
      <c r="C562" s="6">
        <v>230</v>
      </c>
      <c r="D562" s="1081">
        <v>1506.4290075943582</v>
      </c>
      <c r="E562" s="6">
        <v>10</v>
      </c>
      <c r="F562" s="6">
        <v>7</v>
      </c>
    </row>
    <row r="563" spans="1:6">
      <c r="A563" s="7"/>
      <c r="B563" s="6">
        <v>231</v>
      </c>
      <c r="C563" s="6">
        <v>250</v>
      </c>
      <c r="D563" s="1081">
        <v>1727.2717112031623</v>
      </c>
      <c r="E563" s="6">
        <v>10</v>
      </c>
      <c r="F563" s="6">
        <v>7</v>
      </c>
    </row>
    <row r="564" spans="1:6">
      <c r="A564" s="7"/>
      <c r="B564" s="6">
        <v>251</v>
      </c>
      <c r="C564" s="6">
        <v>300</v>
      </c>
      <c r="D564" s="1081">
        <v>2010.7054811575956</v>
      </c>
      <c r="E564" s="6">
        <v>10</v>
      </c>
      <c r="F564" s="6">
        <v>7</v>
      </c>
    </row>
    <row r="565" spans="1:6">
      <c r="A565" s="7"/>
      <c r="B565" s="6">
        <v>301</v>
      </c>
      <c r="C565" s="6">
        <v>310</v>
      </c>
      <c r="D565" s="1081">
        <v>1737.380001062189</v>
      </c>
      <c r="E565" s="6">
        <v>10</v>
      </c>
      <c r="F565" s="6">
        <v>7</v>
      </c>
    </row>
    <row r="566" spans="1:6">
      <c r="A566" s="7"/>
      <c r="B566" s="6">
        <v>311</v>
      </c>
      <c r="C566" s="6">
        <v>325</v>
      </c>
      <c r="D566" s="1081">
        <v>1961.569820518353</v>
      </c>
      <c r="E566" s="6">
        <v>10</v>
      </c>
      <c r="F566" s="6">
        <v>7</v>
      </c>
    </row>
    <row r="567" spans="1:6">
      <c r="A567" s="7"/>
      <c r="B567" s="6">
        <v>326</v>
      </c>
      <c r="C567" s="6">
        <v>330</v>
      </c>
      <c r="D567" s="1081">
        <v>1688.846821275471</v>
      </c>
      <c r="E567" s="6">
        <v>10</v>
      </c>
      <c r="F567" s="6">
        <v>7</v>
      </c>
    </row>
    <row r="568" spans="1:6">
      <c r="A568" s="7"/>
      <c r="B568" s="6">
        <v>331</v>
      </c>
      <c r="C568" s="6">
        <v>450</v>
      </c>
      <c r="D568" s="1081">
        <v>1643.6607573361127</v>
      </c>
      <c r="E568" s="6">
        <v>10</v>
      </c>
      <c r="F568" s="6">
        <v>7</v>
      </c>
    </row>
    <row r="569" spans="1:6">
      <c r="A569" s="7"/>
      <c r="B569" s="6">
        <v>451</v>
      </c>
      <c r="C569" s="6">
        <v>500</v>
      </c>
      <c r="D569" s="1081">
        <v>2254.4424571623413</v>
      </c>
      <c r="E569" s="6">
        <v>10</v>
      </c>
      <c r="F569" s="6">
        <v>7</v>
      </c>
    </row>
    <row r="570" spans="1:6">
      <c r="A570" s="7"/>
      <c r="B570" s="6">
        <v>501</v>
      </c>
      <c r="C570" s="6">
        <v>525</v>
      </c>
      <c r="D570" s="1081">
        <v>1903.0622355065025</v>
      </c>
      <c r="E570" s="6">
        <v>10</v>
      </c>
      <c r="F570" s="6">
        <v>7</v>
      </c>
    </row>
    <row r="571" spans="1:6">
      <c r="A571" s="7"/>
      <c r="B571" s="6">
        <v>526</v>
      </c>
      <c r="C571" s="6">
        <v>540</v>
      </c>
      <c r="D571" s="1081">
        <v>2932.3170941488979</v>
      </c>
      <c r="E571" s="6">
        <v>10</v>
      </c>
      <c r="F571" s="6">
        <v>7</v>
      </c>
    </row>
    <row r="572" spans="1:6">
      <c r="A572" s="7"/>
      <c r="B572" s="6">
        <v>541</v>
      </c>
      <c r="C572" s="6">
        <v>550</v>
      </c>
      <c r="D572" s="1081">
        <v>1788.6489231561895</v>
      </c>
      <c r="E572" s="6">
        <v>10</v>
      </c>
      <c r="F572" s="6">
        <v>7</v>
      </c>
    </row>
    <row r="573" spans="1:6">
      <c r="A573" s="7"/>
      <c r="B573" s="6">
        <v>551</v>
      </c>
      <c r="C573" s="6">
        <v>600</v>
      </c>
      <c r="D573" s="1081">
        <v>1879.7746180834129</v>
      </c>
      <c r="E573" s="6">
        <v>10</v>
      </c>
      <c r="F573" s="6">
        <v>7</v>
      </c>
    </row>
    <row r="574" spans="1:6">
      <c r="A574" s="7"/>
      <c r="B574" s="6">
        <v>601</v>
      </c>
      <c r="C574" s="6">
        <v>750</v>
      </c>
      <c r="D574" s="1081">
        <v>1627.2244592802585</v>
      </c>
      <c r="E574" s="6">
        <v>10</v>
      </c>
      <c r="F574" s="6">
        <v>7</v>
      </c>
    </row>
    <row r="575" spans="1:6">
      <c r="A575" s="7"/>
      <c r="B575" s="6">
        <v>751</v>
      </c>
      <c r="C575" s="6">
        <v>825</v>
      </c>
      <c r="D575" s="1081">
        <v>1735.8427512240037</v>
      </c>
      <c r="E575" s="6">
        <v>10</v>
      </c>
      <c r="F575" s="6">
        <v>7</v>
      </c>
    </row>
    <row r="576" spans="1:6">
      <c r="A576" s="7"/>
      <c r="B576" s="6">
        <v>826</v>
      </c>
      <c r="C576" s="6">
        <v>850</v>
      </c>
      <c r="D576" s="1081">
        <v>2457.3839605791454</v>
      </c>
      <c r="E576" s="6">
        <v>10</v>
      </c>
      <c r="F576" s="6">
        <v>7</v>
      </c>
    </row>
    <row r="577" spans="1:6">
      <c r="A577" s="7"/>
      <c r="B577" s="6">
        <v>851</v>
      </c>
      <c r="C577" s="6">
        <v>1000</v>
      </c>
      <c r="D577" s="1081">
        <v>2067.9390615272082</v>
      </c>
      <c r="E577" s="6">
        <v>10</v>
      </c>
      <c r="F577" s="6">
        <v>7</v>
      </c>
    </row>
    <row r="578" spans="1:6">
      <c r="A578" s="7"/>
      <c r="B578" s="6">
        <v>1001</v>
      </c>
      <c r="C578" s="6">
        <v>1025</v>
      </c>
      <c r="D578" s="1081">
        <v>2034.3806660507091</v>
      </c>
      <c r="E578" s="6">
        <v>10</v>
      </c>
      <c r="F578" s="6">
        <v>7</v>
      </c>
    </row>
    <row r="579" spans="1:6">
      <c r="A579" s="7"/>
      <c r="B579" s="6">
        <v>1026</v>
      </c>
      <c r="C579" s="6">
        <v>1050</v>
      </c>
      <c r="D579" s="1081">
        <v>3553.8806634998168</v>
      </c>
      <c r="E579" s="6">
        <v>10</v>
      </c>
      <c r="F579" s="6">
        <v>7</v>
      </c>
    </row>
    <row r="580" spans="1:6">
      <c r="A580" s="7"/>
      <c r="B580" s="6">
        <v>1051</v>
      </c>
      <c r="C580" s="6">
        <v>1200</v>
      </c>
      <c r="D580" s="1081">
        <v>2937.1630942757065</v>
      </c>
      <c r="E580" s="6">
        <v>10</v>
      </c>
      <c r="F580" s="6">
        <v>7</v>
      </c>
    </row>
    <row r="581" spans="1:6">
      <c r="A581" s="7"/>
      <c r="B581" s="6">
        <v>1201</v>
      </c>
      <c r="C581" s="6">
        <v>1500</v>
      </c>
      <c r="D581" s="1081">
        <v>2829.1723051070899</v>
      </c>
      <c r="E581" s="6">
        <v>10</v>
      </c>
      <c r="F581" s="6">
        <v>7</v>
      </c>
    </row>
    <row r="582" spans="1:6">
      <c r="A582" s="7"/>
      <c r="B582" s="6">
        <v>1501</v>
      </c>
      <c r="C582" s="6">
        <v>1600</v>
      </c>
      <c r="D582" s="1081">
        <v>2600.6677828448501</v>
      </c>
      <c r="E582" s="6">
        <v>10</v>
      </c>
      <c r="F582" s="6">
        <v>7</v>
      </c>
    </row>
    <row r="583" spans="1:6">
      <c r="A583" s="7"/>
      <c r="B583" s="6">
        <v>1601</v>
      </c>
      <c r="C583" s="6">
        <v>2000</v>
      </c>
      <c r="D583" s="1081">
        <v>3248.1106324258017</v>
      </c>
      <c r="E583" s="6">
        <v>10</v>
      </c>
      <c r="F583" s="6">
        <v>7</v>
      </c>
    </row>
    <row r="584" spans="1:6">
      <c r="A584" s="7"/>
      <c r="B584" s="6">
        <v>2001</v>
      </c>
      <c r="C584" s="6">
        <v>2400</v>
      </c>
      <c r="D584" s="1081">
        <v>3525.8772316936943</v>
      </c>
      <c r="E584" s="6">
        <v>10</v>
      </c>
      <c r="F584" s="6">
        <v>7</v>
      </c>
    </row>
    <row r="585" spans="1:6">
      <c r="A585" s="7"/>
      <c r="B585" s="6">
        <v>2401</v>
      </c>
      <c r="C585" s="6">
        <v>2500</v>
      </c>
      <c r="D585" s="1081">
        <v>3993.5286087007539</v>
      </c>
      <c r="E585" s="6">
        <v>10</v>
      </c>
      <c r="F585" s="6">
        <v>7</v>
      </c>
    </row>
    <row r="586" spans="1:6">
      <c r="A586" s="7"/>
      <c r="B586" s="6">
        <v>2501</v>
      </c>
      <c r="C586" s="6">
        <v>2550</v>
      </c>
      <c r="D586" s="1081">
        <v>6418.3112473769434</v>
      </c>
      <c r="E586" s="6">
        <v>10</v>
      </c>
      <c r="F586" s="6">
        <v>7</v>
      </c>
    </row>
    <row r="587" spans="1:6">
      <c r="A587" s="7"/>
      <c r="B587" s="6">
        <v>2551</v>
      </c>
      <c r="C587" s="6">
        <v>3000</v>
      </c>
      <c r="D587" s="1081">
        <v>4705.9071274772823</v>
      </c>
      <c r="E587" s="6">
        <v>10</v>
      </c>
      <c r="F587" s="6">
        <v>7</v>
      </c>
    </row>
    <row r="588" spans="1:6">
      <c r="A588" s="7"/>
      <c r="B588" s="6">
        <v>3001</v>
      </c>
      <c r="C588" s="6">
        <v>4200</v>
      </c>
      <c r="D588" s="1081">
        <v>7528.6839334191918</v>
      </c>
      <c r="E588" s="6">
        <v>10</v>
      </c>
      <c r="F588" s="6">
        <v>7</v>
      </c>
    </row>
    <row r="589" spans="1:6">
      <c r="A589" s="7"/>
      <c r="B589" s="6">
        <v>4201</v>
      </c>
      <c r="C589" s="6">
        <v>5200</v>
      </c>
      <c r="D589" s="1081">
        <v>10764.488031755865</v>
      </c>
      <c r="E589" s="6">
        <v>10</v>
      </c>
      <c r="F589" s="6">
        <v>7</v>
      </c>
    </row>
    <row r="590" spans="1:6">
      <c r="A590" s="7"/>
      <c r="B590" s="6">
        <v>5201</v>
      </c>
      <c r="C590" s="6">
        <v>5300</v>
      </c>
      <c r="D590" s="1081">
        <v>12371.119671403616</v>
      </c>
      <c r="E590" s="6">
        <v>10</v>
      </c>
      <c r="F590" s="6">
        <v>7</v>
      </c>
    </row>
    <row r="591" spans="1:6">
      <c r="A591" s="7"/>
      <c r="B591" s="6">
        <v>5301</v>
      </c>
      <c r="C591" s="6">
        <v>6500</v>
      </c>
      <c r="D591" s="1081">
        <v>13792.588851534232</v>
      </c>
      <c r="E591" s="6">
        <v>10</v>
      </c>
      <c r="F591" s="6">
        <v>7</v>
      </c>
    </row>
    <row r="592" spans="1:6">
      <c r="A592" s="7"/>
      <c r="B592" s="6">
        <v>6501</v>
      </c>
      <c r="C592" s="6">
        <v>6600</v>
      </c>
      <c r="D592" s="1081">
        <v>13914.04312816864</v>
      </c>
      <c r="E592" s="6">
        <v>10</v>
      </c>
      <c r="F592" s="6">
        <v>7</v>
      </c>
    </row>
    <row r="593" spans="1:6">
      <c r="A593" s="7"/>
      <c r="B593" s="6">
        <v>6601</v>
      </c>
      <c r="C593" s="6" t="s">
        <v>3658</v>
      </c>
      <c r="D593" s="1081" t="s">
        <v>3658</v>
      </c>
      <c r="E593" s="6">
        <v>10</v>
      </c>
      <c r="F593" s="6">
        <v>7</v>
      </c>
    </row>
    <row r="596" spans="1:6">
      <c r="A596" s="1061" t="s">
        <v>3854</v>
      </c>
      <c r="B596" s="1061" t="s">
        <v>3855</v>
      </c>
      <c r="C596" s="1061"/>
      <c r="D596" s="1061"/>
      <c r="E596" s="1061"/>
      <c r="F596" s="1061"/>
    </row>
    <row r="597" spans="1:6">
      <c r="A597" s="1080">
        <v>36</v>
      </c>
      <c r="B597" s="1060"/>
      <c r="C597" s="1060"/>
      <c r="D597" s="742" t="s">
        <v>3657</v>
      </c>
      <c r="E597" s="1060" t="s">
        <v>3650</v>
      </c>
      <c r="F597" s="1060" t="s">
        <v>3651</v>
      </c>
    </row>
    <row r="598" spans="1:6">
      <c r="A598" s="7" t="s">
        <v>3856</v>
      </c>
      <c r="B598" s="6">
        <v>0</v>
      </c>
      <c r="C598" s="6">
        <v>0</v>
      </c>
      <c r="D598" s="1081">
        <v>11389.158237904454</v>
      </c>
      <c r="E598" s="6">
        <v>10</v>
      </c>
      <c r="F598" s="6">
        <v>8</v>
      </c>
    </row>
    <row r="601" spans="1:6">
      <c r="A601" s="1061" t="s">
        <v>3854</v>
      </c>
      <c r="B601" s="1061" t="s">
        <v>3857</v>
      </c>
      <c r="C601" s="1061"/>
      <c r="D601" s="1061"/>
      <c r="E601" s="1061"/>
      <c r="F601" s="1061"/>
    </row>
    <row r="602" spans="1:6">
      <c r="A602" s="1080">
        <v>36</v>
      </c>
      <c r="B602" s="1060"/>
      <c r="C602" s="1060"/>
      <c r="D602" s="742" t="s">
        <v>3657</v>
      </c>
      <c r="E602" s="1060" t="s">
        <v>3650</v>
      </c>
      <c r="F602" s="1060" t="s">
        <v>3651</v>
      </c>
    </row>
    <row r="603" spans="1:6">
      <c r="A603" s="7" t="s">
        <v>3858</v>
      </c>
      <c r="B603" s="6">
        <v>0</v>
      </c>
      <c r="C603" s="6">
        <v>0</v>
      </c>
      <c r="D603" s="1081">
        <v>85.720842037036689</v>
      </c>
      <c r="E603" s="6">
        <v>10</v>
      </c>
      <c r="F603" s="6">
        <v>8</v>
      </c>
    </row>
    <row r="606" spans="1:6">
      <c r="A606" s="1061" t="s">
        <v>3842</v>
      </c>
      <c r="B606" s="1061" t="s">
        <v>3859</v>
      </c>
      <c r="C606" s="1061"/>
      <c r="D606" s="1061"/>
      <c r="E606" s="1061"/>
      <c r="F606" s="1061"/>
    </row>
    <row r="607" spans="1:6">
      <c r="A607" s="1080">
        <v>42</v>
      </c>
      <c r="B607" s="1060"/>
      <c r="C607" s="1060"/>
      <c r="D607" s="742" t="s">
        <v>3657</v>
      </c>
      <c r="E607" s="1060" t="s">
        <v>3650</v>
      </c>
      <c r="F607" s="1060" t="s">
        <v>3651</v>
      </c>
    </row>
    <row r="608" spans="1:6">
      <c r="A608" s="7" t="s">
        <v>3860</v>
      </c>
      <c r="B608" s="6">
        <v>0</v>
      </c>
      <c r="C608" s="6">
        <v>0</v>
      </c>
      <c r="D608" s="1081">
        <v>116.47910851149946</v>
      </c>
      <c r="E608" s="6">
        <v>10</v>
      </c>
      <c r="F608" s="6">
        <v>8</v>
      </c>
    </row>
    <row r="611" spans="1:6">
      <c r="A611" s="1061" t="s">
        <v>3842</v>
      </c>
      <c r="B611" s="1061" t="s">
        <v>3861</v>
      </c>
      <c r="C611" s="1061"/>
      <c r="D611" s="1061"/>
      <c r="E611" s="1061"/>
      <c r="F611" s="1061"/>
    </row>
    <row r="612" spans="1:6">
      <c r="A612" s="1080">
        <v>42</v>
      </c>
      <c r="B612" s="1060"/>
      <c r="C612" s="1060"/>
      <c r="D612" s="742" t="s">
        <v>3657</v>
      </c>
      <c r="E612" s="1060" t="s">
        <v>3650</v>
      </c>
      <c r="F612" s="1060" t="s">
        <v>3651</v>
      </c>
    </row>
    <row r="613" spans="1:6">
      <c r="A613" s="7" t="s">
        <v>3862</v>
      </c>
      <c r="B613" s="6">
        <v>0</v>
      </c>
      <c r="C613" s="6">
        <v>0</v>
      </c>
      <c r="D613" s="1081">
        <v>642.24196698280605</v>
      </c>
      <c r="E613" s="6">
        <v>10</v>
      </c>
      <c r="F613" s="6">
        <v>8</v>
      </c>
    </row>
    <row r="616" spans="1:6">
      <c r="A616" s="1061" t="s">
        <v>3842</v>
      </c>
      <c r="B616" s="1061" t="s">
        <v>3863</v>
      </c>
      <c r="C616" s="1061"/>
      <c r="D616" s="1061"/>
      <c r="E616" s="1061"/>
      <c r="F616" s="1061"/>
    </row>
    <row r="617" spans="1:6">
      <c r="A617" s="1080">
        <v>42</v>
      </c>
      <c r="B617" s="1060"/>
      <c r="C617" s="1060"/>
      <c r="D617" s="742" t="s">
        <v>3657</v>
      </c>
      <c r="E617" s="1060" t="s">
        <v>3650</v>
      </c>
      <c r="F617" s="1060" t="s">
        <v>3651</v>
      </c>
    </row>
    <row r="618" spans="1:6">
      <c r="A618" s="7" t="s">
        <v>3864</v>
      </c>
      <c r="B618" s="6">
        <v>0</v>
      </c>
      <c r="C618" s="6">
        <v>0</v>
      </c>
      <c r="D618" s="1081">
        <v>618.14492116364784</v>
      </c>
      <c r="E618" s="6">
        <v>10</v>
      </c>
      <c r="F618" s="6">
        <v>8</v>
      </c>
    </row>
    <row r="621" spans="1:6">
      <c r="A621" s="1061" t="s">
        <v>3842</v>
      </c>
      <c r="B621" s="1061" t="s">
        <v>3865</v>
      </c>
      <c r="C621" s="1061"/>
      <c r="D621" s="1061"/>
      <c r="E621" s="1061"/>
      <c r="F621" s="1061"/>
    </row>
    <row r="622" spans="1:6">
      <c r="A622" s="1080">
        <v>42</v>
      </c>
      <c r="B622" s="1060"/>
      <c r="C622" s="1060"/>
      <c r="D622" s="742" t="s">
        <v>3657</v>
      </c>
      <c r="E622" s="1060" t="s">
        <v>3650</v>
      </c>
      <c r="F622" s="1060" t="s">
        <v>3651</v>
      </c>
    </row>
    <row r="623" spans="1:6">
      <c r="A623" s="7" t="s">
        <v>3866</v>
      </c>
      <c r="B623" s="6">
        <v>0</v>
      </c>
      <c r="C623" s="6">
        <v>0</v>
      </c>
      <c r="D623" s="1081">
        <v>679.18732836164361</v>
      </c>
      <c r="E623" s="6">
        <v>10</v>
      </c>
      <c r="F623" s="6">
        <v>8</v>
      </c>
    </row>
    <row r="626" spans="1:6">
      <c r="A626" s="1061" t="s">
        <v>3842</v>
      </c>
      <c r="B626" s="1061" t="s">
        <v>3867</v>
      </c>
      <c r="C626" s="1061"/>
      <c r="D626" s="1061"/>
      <c r="E626" s="1061"/>
      <c r="F626" s="1061"/>
    </row>
    <row r="627" spans="1:6">
      <c r="A627" s="1080">
        <v>42</v>
      </c>
      <c r="B627" s="1060"/>
      <c r="C627" s="1060"/>
      <c r="D627" s="742" t="s">
        <v>3657</v>
      </c>
      <c r="E627" s="1060" t="s">
        <v>3650</v>
      </c>
      <c r="F627" s="1060" t="s">
        <v>3651</v>
      </c>
    </row>
    <row r="628" spans="1:6">
      <c r="A628" s="7" t="s">
        <v>3868</v>
      </c>
      <c r="B628" s="6">
        <v>0</v>
      </c>
      <c r="C628" s="6">
        <v>0</v>
      </c>
      <c r="D628" s="1081">
        <v>301.96506666689612</v>
      </c>
      <c r="E628" s="6">
        <v>10</v>
      </c>
      <c r="F628" s="6">
        <v>8</v>
      </c>
    </row>
    <row r="631" spans="1:6">
      <c r="A631" s="1061" t="s">
        <v>3842</v>
      </c>
      <c r="B631" s="1061" t="s">
        <v>3869</v>
      </c>
      <c r="C631" s="1061"/>
      <c r="D631" s="1061"/>
      <c r="E631" s="1061"/>
      <c r="F631" s="1061"/>
    </row>
    <row r="632" spans="1:6">
      <c r="A632" s="1080">
        <v>42</v>
      </c>
      <c r="B632" s="1060"/>
      <c r="C632" s="1060"/>
      <c r="D632" s="742" t="s">
        <v>3657</v>
      </c>
      <c r="E632" s="1060" t="s">
        <v>3650</v>
      </c>
      <c r="F632" s="1060" t="s">
        <v>3651</v>
      </c>
    </row>
    <row r="633" spans="1:6">
      <c r="A633" s="7" t="s">
        <v>3870</v>
      </c>
      <c r="B633" s="6">
        <v>0</v>
      </c>
      <c r="C633" s="6">
        <v>0</v>
      </c>
      <c r="D633" s="1081">
        <v>368.94751294756935</v>
      </c>
      <c r="E633" s="6">
        <v>10</v>
      </c>
      <c r="F633" s="6">
        <v>8</v>
      </c>
    </row>
    <row r="636" spans="1:6">
      <c r="A636" s="1061" t="s">
        <v>3842</v>
      </c>
      <c r="B636" s="1061" t="s">
        <v>3871</v>
      </c>
      <c r="C636" s="1061"/>
      <c r="D636" s="1061"/>
      <c r="E636" s="1061"/>
      <c r="F636" s="1061"/>
    </row>
    <row r="637" spans="1:6">
      <c r="A637" s="1080">
        <v>42</v>
      </c>
      <c r="B637" s="1060"/>
      <c r="C637" s="1060"/>
      <c r="D637" s="742" t="s">
        <v>3657</v>
      </c>
      <c r="E637" s="1060" t="s">
        <v>3650</v>
      </c>
      <c r="F637" s="1060" t="s">
        <v>3651</v>
      </c>
    </row>
    <row r="638" spans="1:6">
      <c r="A638" s="7" t="s">
        <v>3872</v>
      </c>
      <c r="B638" s="6">
        <v>0</v>
      </c>
      <c r="C638" s="6">
        <v>0</v>
      </c>
      <c r="D638" s="1081">
        <v>851.38813944588287</v>
      </c>
      <c r="E638" s="6">
        <v>10</v>
      </c>
      <c r="F638" s="6">
        <v>8</v>
      </c>
    </row>
    <row r="641" spans="1:6">
      <c r="A641" s="1061" t="s">
        <v>3854</v>
      </c>
      <c r="B641" s="1061" t="s">
        <v>3873</v>
      </c>
      <c r="C641" s="1061"/>
      <c r="D641" s="1061"/>
      <c r="E641" s="1061"/>
      <c r="F641" s="1061"/>
    </row>
    <row r="642" spans="1:6">
      <c r="A642" s="1080">
        <v>36</v>
      </c>
      <c r="B642" s="1060" t="s">
        <v>1963</v>
      </c>
      <c r="C642" s="1060"/>
      <c r="D642" s="742" t="s">
        <v>3657</v>
      </c>
      <c r="E642" s="1060" t="s">
        <v>3650</v>
      </c>
      <c r="F642" s="1060" t="s">
        <v>3651</v>
      </c>
    </row>
    <row r="643" spans="1:6">
      <c r="A643" s="7" t="s">
        <v>3876</v>
      </c>
      <c r="B643" s="6" t="s">
        <v>3874</v>
      </c>
      <c r="C643" s="6" t="s">
        <v>3874</v>
      </c>
      <c r="D643" s="1081">
        <v>1956.6973443540548</v>
      </c>
      <c r="E643" s="6">
        <v>10</v>
      </c>
      <c r="F643" s="6">
        <v>8</v>
      </c>
    </row>
    <row r="644" spans="1:6">
      <c r="A644" s="7"/>
      <c r="B644" s="6" t="s">
        <v>3875</v>
      </c>
      <c r="C644" s="6" t="s">
        <v>3875</v>
      </c>
      <c r="D644" s="1081">
        <v>460.12283271511131</v>
      </c>
      <c r="E644" s="6">
        <v>10</v>
      </c>
      <c r="F644" s="6">
        <v>8</v>
      </c>
    </row>
    <row r="647" spans="1:6">
      <c r="A647" s="1061" t="s">
        <v>3854</v>
      </c>
      <c r="B647" s="1061" t="s">
        <v>3877</v>
      </c>
      <c r="C647" s="1061"/>
      <c r="D647" s="1061"/>
      <c r="E647" s="1061"/>
      <c r="F647" s="1061"/>
    </row>
    <row r="648" spans="1:6">
      <c r="A648" s="1080">
        <v>36</v>
      </c>
      <c r="B648" s="1060"/>
      <c r="C648" s="1060"/>
      <c r="D648" s="742" t="s">
        <v>3657</v>
      </c>
      <c r="E648" s="1060" t="s">
        <v>3650</v>
      </c>
      <c r="F648" s="1060" t="s">
        <v>3651</v>
      </c>
    </row>
    <row r="649" spans="1:6">
      <c r="A649" s="7" t="s">
        <v>3878</v>
      </c>
      <c r="B649" s="6">
        <v>0</v>
      </c>
      <c r="C649" s="6">
        <v>0</v>
      </c>
      <c r="D649" s="1081">
        <v>340.32753899046696</v>
      </c>
      <c r="E649" s="6">
        <v>10</v>
      </c>
      <c r="F649" s="6">
        <v>8</v>
      </c>
    </row>
    <row r="652" spans="1:6">
      <c r="A652" s="1061" t="s">
        <v>3842</v>
      </c>
      <c r="B652" s="1061" t="s">
        <v>3879</v>
      </c>
      <c r="C652" s="1061"/>
      <c r="D652" s="1061"/>
      <c r="E652" s="1061"/>
      <c r="F652" s="1061"/>
    </row>
    <row r="653" spans="1:6">
      <c r="A653" s="1080">
        <v>42</v>
      </c>
      <c r="B653" s="1060"/>
      <c r="C653" s="1060"/>
      <c r="D653" s="742" t="s">
        <v>3657</v>
      </c>
      <c r="E653" s="1060" t="s">
        <v>3650</v>
      </c>
      <c r="F653" s="1060" t="s">
        <v>3651</v>
      </c>
    </row>
    <row r="654" spans="1:6">
      <c r="A654" s="7" t="s">
        <v>3880</v>
      </c>
      <c r="B654" s="6">
        <v>0</v>
      </c>
      <c r="C654" s="6">
        <v>0</v>
      </c>
      <c r="D654" s="1081">
        <v>466.11887438232026</v>
      </c>
      <c r="E654" s="6">
        <v>10</v>
      </c>
      <c r="F654" s="6">
        <v>8</v>
      </c>
    </row>
    <row r="657" spans="1:6">
      <c r="A657" s="1061" t="s">
        <v>3808</v>
      </c>
      <c r="B657" s="1061" t="s">
        <v>3881</v>
      </c>
      <c r="C657" s="1061"/>
      <c r="D657" s="1061"/>
      <c r="E657" s="1061"/>
      <c r="F657" s="1061"/>
    </row>
    <row r="658" spans="1:6">
      <c r="A658" s="1080">
        <v>29</v>
      </c>
      <c r="B658" s="1060" t="s">
        <v>3818</v>
      </c>
      <c r="C658" s="1060" t="s">
        <v>3819</v>
      </c>
      <c r="D658" s="742" t="s">
        <v>3657</v>
      </c>
      <c r="E658" s="1060" t="s">
        <v>3650</v>
      </c>
      <c r="F658" s="1060" t="s">
        <v>3651</v>
      </c>
    </row>
    <row r="659" spans="1:6">
      <c r="A659" s="7" t="s">
        <v>3882</v>
      </c>
      <c r="B659" s="6">
        <v>0</v>
      </c>
      <c r="C659" s="6">
        <v>1</v>
      </c>
      <c r="D659" s="1081">
        <v>2063.6606419989553</v>
      </c>
      <c r="E659" s="6">
        <v>25</v>
      </c>
      <c r="F659" s="6">
        <v>20</v>
      </c>
    </row>
    <row r="660" spans="1:6">
      <c r="A660" s="7"/>
      <c r="B660" s="6">
        <v>1.1000000000000001</v>
      </c>
      <c r="C660" s="6" t="s">
        <v>3658</v>
      </c>
      <c r="D660" s="1081" t="s">
        <v>3658</v>
      </c>
      <c r="E660" s="6">
        <v>25</v>
      </c>
      <c r="F660" s="6">
        <v>20</v>
      </c>
    </row>
    <row r="663" spans="1:6">
      <c r="A663" s="1061" t="s">
        <v>3743</v>
      </c>
      <c r="B663" s="1061" t="s">
        <v>3883</v>
      </c>
      <c r="C663" s="1061"/>
      <c r="D663" s="1061"/>
      <c r="E663" s="1061"/>
      <c r="F663" s="1061"/>
    </row>
    <row r="664" spans="1:6">
      <c r="A664" s="1080">
        <v>35</v>
      </c>
      <c r="B664" s="1060" t="s">
        <v>3745</v>
      </c>
      <c r="C664" s="1060" t="s">
        <v>3746</v>
      </c>
      <c r="D664" s="742" t="s">
        <v>3657</v>
      </c>
      <c r="E664" s="1060" t="s">
        <v>3650</v>
      </c>
      <c r="F664" s="1060" t="s">
        <v>3651</v>
      </c>
    </row>
    <row r="665" spans="1:6">
      <c r="A665" s="7" t="s">
        <v>3884</v>
      </c>
      <c r="B665" s="6">
        <v>0</v>
      </c>
      <c r="C665" s="6">
        <v>0.5</v>
      </c>
      <c r="D665" s="1081">
        <v>78.966836734693871</v>
      </c>
      <c r="E665" s="6">
        <v>25</v>
      </c>
      <c r="F665" s="6">
        <v>20</v>
      </c>
    </row>
    <row r="666" spans="1:6">
      <c r="A666" s="7"/>
      <c r="B666" s="6">
        <v>0.6</v>
      </c>
      <c r="C666" s="6">
        <v>0.75</v>
      </c>
      <c r="D666" s="1081">
        <v>86.288265306122454</v>
      </c>
      <c r="E666" s="6">
        <v>25</v>
      </c>
      <c r="F666" s="6">
        <v>20</v>
      </c>
    </row>
    <row r="667" spans="1:6">
      <c r="A667" s="7"/>
      <c r="B667" s="6">
        <v>0.76</v>
      </c>
      <c r="C667" s="6">
        <v>1</v>
      </c>
      <c r="D667" s="1081">
        <v>103.02295918367346</v>
      </c>
      <c r="E667" s="6">
        <v>25</v>
      </c>
      <c r="F667" s="6">
        <v>20</v>
      </c>
    </row>
    <row r="668" spans="1:6">
      <c r="A668" s="7"/>
      <c r="B668" s="6">
        <v>1.1000000000000001</v>
      </c>
      <c r="C668" s="6">
        <v>1.5</v>
      </c>
      <c r="D668" s="1081">
        <v>156.88775510204081</v>
      </c>
      <c r="E668" s="6">
        <v>25</v>
      </c>
      <c r="F668" s="6">
        <v>20</v>
      </c>
    </row>
    <row r="669" spans="1:6">
      <c r="A669" s="7"/>
      <c r="B669" s="6">
        <v>1.51</v>
      </c>
      <c r="C669" s="6">
        <v>2</v>
      </c>
      <c r="D669" s="1081">
        <v>206.04591836734693</v>
      </c>
      <c r="E669" s="6">
        <v>25</v>
      </c>
      <c r="F669" s="6">
        <v>20</v>
      </c>
    </row>
    <row r="670" spans="1:6">
      <c r="A670" s="7"/>
      <c r="B670" s="6">
        <v>2.1</v>
      </c>
      <c r="C670" s="6">
        <v>2.5</v>
      </c>
      <c r="D670" s="1081">
        <v>834.85847121606685</v>
      </c>
      <c r="E670" s="6">
        <v>25</v>
      </c>
      <c r="F670" s="6">
        <v>20</v>
      </c>
    </row>
    <row r="671" spans="1:6">
      <c r="A671" s="7"/>
      <c r="B671" s="6">
        <v>2.6</v>
      </c>
      <c r="C671" s="6">
        <v>3</v>
      </c>
      <c r="D671" s="1081">
        <v>507.2704081632653</v>
      </c>
      <c r="E671" s="6">
        <v>25</v>
      </c>
      <c r="F671" s="6">
        <v>20</v>
      </c>
    </row>
    <row r="672" spans="1:6">
      <c r="A672" s="7"/>
      <c r="B672" s="6">
        <v>3.1</v>
      </c>
      <c r="C672" s="6">
        <v>4</v>
      </c>
      <c r="D672" s="1081">
        <v>700.76530612244903</v>
      </c>
      <c r="E672" s="6">
        <v>25</v>
      </c>
      <c r="F672" s="6">
        <v>20</v>
      </c>
    </row>
    <row r="673" spans="1:6">
      <c r="A673" s="7"/>
      <c r="B673" s="6">
        <v>4.0999999999999996</v>
      </c>
      <c r="C673" s="6">
        <v>6</v>
      </c>
      <c r="D673" s="1081">
        <v>1441.7964730019314</v>
      </c>
      <c r="E673" s="6">
        <v>25</v>
      </c>
      <c r="F673" s="6">
        <v>20</v>
      </c>
    </row>
    <row r="674" spans="1:6">
      <c r="A674" s="7"/>
      <c r="B674" s="6">
        <v>6.1</v>
      </c>
      <c r="C674" s="6">
        <v>8</v>
      </c>
      <c r="D674" s="1081">
        <v>2132.6875834667753</v>
      </c>
      <c r="E674" s="6">
        <v>25</v>
      </c>
      <c r="F674" s="6">
        <v>20</v>
      </c>
    </row>
    <row r="675" spans="1:6">
      <c r="A675" s="7"/>
      <c r="B675" s="6">
        <v>8.1</v>
      </c>
      <c r="C675" s="6">
        <v>10</v>
      </c>
      <c r="D675" s="1081">
        <v>3178.1785811094187</v>
      </c>
      <c r="E675" s="6">
        <v>25</v>
      </c>
      <c r="F675" s="6">
        <v>20</v>
      </c>
    </row>
    <row r="676" spans="1:6">
      <c r="A676" s="7"/>
      <c r="B676" s="6">
        <v>10.1</v>
      </c>
      <c r="C676" s="6">
        <v>12</v>
      </c>
      <c r="D676" s="1081">
        <v>4456.8269087159224</v>
      </c>
      <c r="E676" s="6">
        <v>25</v>
      </c>
      <c r="F676" s="6">
        <v>20</v>
      </c>
    </row>
    <row r="677" spans="1:6">
      <c r="A677" s="7"/>
      <c r="B677" s="6">
        <v>12.1</v>
      </c>
      <c r="C677" s="6" t="s">
        <v>3658</v>
      </c>
      <c r="D677" s="1081" t="s">
        <v>3658</v>
      </c>
      <c r="E677" s="6">
        <v>25</v>
      </c>
      <c r="F677" s="6">
        <v>20</v>
      </c>
    </row>
    <row r="680" spans="1:6">
      <c r="A680" s="1061" t="s">
        <v>3743</v>
      </c>
      <c r="B680" s="1061" t="s">
        <v>3885</v>
      </c>
      <c r="C680" s="1061"/>
      <c r="D680" s="1061"/>
      <c r="E680" s="1061"/>
      <c r="F680" s="1061"/>
    </row>
    <row r="681" spans="1:6">
      <c r="A681" s="1080">
        <v>35</v>
      </c>
      <c r="B681" s="1060" t="s">
        <v>3745</v>
      </c>
      <c r="C681" s="1060" t="s">
        <v>3746</v>
      </c>
      <c r="D681" s="742" t="s">
        <v>3657</v>
      </c>
      <c r="E681" s="1060" t="s">
        <v>3650</v>
      </c>
      <c r="F681" s="1060" t="s">
        <v>3651</v>
      </c>
    </row>
    <row r="682" spans="1:6">
      <c r="A682" s="7" t="s">
        <v>3886</v>
      </c>
      <c r="B682" s="6">
        <v>0</v>
      </c>
      <c r="C682" s="6">
        <v>0.5</v>
      </c>
      <c r="D682" s="1081">
        <v>120.97624083884864</v>
      </c>
      <c r="E682" s="6">
        <v>25</v>
      </c>
      <c r="F682" s="6">
        <v>20</v>
      </c>
    </row>
    <row r="683" spans="1:6">
      <c r="A683" s="7"/>
      <c r="B683" s="6">
        <v>0.6</v>
      </c>
      <c r="C683" s="6">
        <v>0.75</v>
      </c>
      <c r="D683" s="1081">
        <v>133.66152648053756</v>
      </c>
      <c r="E683" s="6">
        <v>25</v>
      </c>
      <c r="F683" s="6">
        <v>20</v>
      </c>
    </row>
    <row r="684" spans="1:6">
      <c r="A684" s="7"/>
      <c r="B684" s="6">
        <v>0.76</v>
      </c>
      <c r="C684" s="6">
        <v>1</v>
      </c>
      <c r="D684" s="1081">
        <v>150.81313998655642</v>
      </c>
      <c r="E684" s="6">
        <v>25</v>
      </c>
      <c r="F684" s="6">
        <v>20</v>
      </c>
    </row>
    <row r="685" spans="1:6">
      <c r="A685" s="7"/>
      <c r="B685" s="6">
        <v>1.1000000000000001</v>
      </c>
      <c r="C685" s="6">
        <v>1.5</v>
      </c>
      <c r="D685" s="1081">
        <v>320.34852290609871</v>
      </c>
      <c r="E685" s="6">
        <v>25</v>
      </c>
      <c r="F685" s="6">
        <v>20</v>
      </c>
    </row>
    <row r="686" spans="1:6">
      <c r="A686" s="7"/>
      <c r="B686" s="6">
        <v>1.6</v>
      </c>
      <c r="C686" s="6">
        <v>2</v>
      </c>
      <c r="D686" s="1081">
        <v>324.80120175694356</v>
      </c>
      <c r="E686" s="6">
        <v>25</v>
      </c>
      <c r="F686" s="6">
        <v>20</v>
      </c>
    </row>
    <row r="687" spans="1:6">
      <c r="A687" s="7"/>
      <c r="B687" s="6">
        <v>2.1</v>
      </c>
      <c r="C687" s="6">
        <v>3</v>
      </c>
      <c r="D687" s="1081">
        <v>353.30793774228283</v>
      </c>
      <c r="E687" s="6">
        <v>25</v>
      </c>
      <c r="F687" s="6">
        <v>20</v>
      </c>
    </row>
    <row r="688" spans="1:6">
      <c r="A688" s="7"/>
      <c r="B688" s="6">
        <v>3.1</v>
      </c>
      <c r="C688" s="6">
        <v>4</v>
      </c>
      <c r="D688" s="1081">
        <v>464.29529410866712</v>
      </c>
      <c r="E688" s="6">
        <v>25</v>
      </c>
      <c r="F688" s="6">
        <v>20</v>
      </c>
    </row>
    <row r="689" spans="1:6">
      <c r="A689" s="7"/>
      <c r="B689" s="6">
        <v>4.0999999999999996</v>
      </c>
      <c r="C689" s="6">
        <v>6</v>
      </c>
      <c r="D689" s="1081">
        <v>547.93089683324877</v>
      </c>
      <c r="E689" s="6">
        <v>25</v>
      </c>
      <c r="F689" s="6">
        <v>20</v>
      </c>
    </row>
    <row r="690" spans="1:6">
      <c r="A690" s="7"/>
      <c r="B690" s="6">
        <v>6.1</v>
      </c>
      <c r="C690" s="6">
        <v>8</v>
      </c>
      <c r="D690" s="1081">
        <v>1112.3356705186295</v>
      </c>
      <c r="E690" s="6">
        <v>25</v>
      </c>
      <c r="F690" s="6">
        <v>20</v>
      </c>
    </row>
    <row r="691" spans="1:6">
      <c r="A691" s="7"/>
      <c r="B691" s="6">
        <v>8.1</v>
      </c>
      <c r="C691" s="6">
        <v>10</v>
      </c>
      <c r="D691" s="1081">
        <v>1865.5213700945071</v>
      </c>
      <c r="E691" s="6">
        <v>25</v>
      </c>
      <c r="F691" s="6">
        <v>20</v>
      </c>
    </row>
    <row r="692" spans="1:6">
      <c r="A692" s="7"/>
      <c r="B692" s="538">
        <v>10.1</v>
      </c>
      <c r="C692" s="6">
        <v>12</v>
      </c>
      <c r="D692" s="1081">
        <v>2412.2083142432461</v>
      </c>
      <c r="E692" s="6">
        <v>25</v>
      </c>
      <c r="F692" s="6">
        <v>20</v>
      </c>
    </row>
    <row r="693" spans="1:6">
      <c r="A693" s="7"/>
      <c r="B693" s="538">
        <v>12.1</v>
      </c>
      <c r="C693" s="6">
        <v>14</v>
      </c>
      <c r="D693" s="1081">
        <v>7297.0145307716721</v>
      </c>
      <c r="E693" s="6">
        <v>25</v>
      </c>
      <c r="F693" s="6">
        <v>20</v>
      </c>
    </row>
    <row r="694" spans="1:6">
      <c r="A694" s="7"/>
      <c r="B694" s="538">
        <v>14.1</v>
      </c>
      <c r="C694" s="6">
        <v>16</v>
      </c>
      <c r="D694" s="1081">
        <v>11705.063660566921</v>
      </c>
      <c r="E694" s="6">
        <v>25</v>
      </c>
      <c r="F694" s="6">
        <v>20</v>
      </c>
    </row>
    <row r="695" spans="1:6">
      <c r="A695" s="7"/>
      <c r="B695" s="538">
        <v>16.100000000000001</v>
      </c>
      <c r="C695" s="6">
        <v>18</v>
      </c>
      <c r="D695" s="1081">
        <v>15067.867098050701</v>
      </c>
      <c r="E695" s="6">
        <v>25</v>
      </c>
      <c r="F695" s="6">
        <v>20</v>
      </c>
    </row>
    <row r="696" spans="1:6">
      <c r="A696" s="7"/>
      <c r="B696" s="538">
        <v>18.100000000000001</v>
      </c>
      <c r="C696" s="6">
        <v>20</v>
      </c>
      <c r="D696" s="1081">
        <v>16788.141590473595</v>
      </c>
      <c r="E696" s="6">
        <v>25</v>
      </c>
      <c r="F696" s="6">
        <v>20</v>
      </c>
    </row>
    <row r="697" spans="1:6">
      <c r="A697" s="7"/>
      <c r="B697" s="538">
        <v>20.100000000000001</v>
      </c>
      <c r="C697" s="6">
        <v>24</v>
      </c>
      <c r="D697" s="1081">
        <v>23966.030102078883</v>
      </c>
      <c r="E697" s="6">
        <v>25</v>
      </c>
      <c r="F697" s="6">
        <v>20</v>
      </c>
    </row>
    <row r="698" spans="1:6">
      <c r="A698" s="7"/>
      <c r="B698" s="538">
        <v>24.1</v>
      </c>
      <c r="C698" s="6" t="s">
        <v>3658</v>
      </c>
      <c r="D698" s="1081" t="s">
        <v>3658</v>
      </c>
      <c r="E698" s="6">
        <v>25</v>
      </c>
      <c r="F698" s="6">
        <v>20</v>
      </c>
    </row>
    <row r="701" spans="1:6">
      <c r="A701" s="1061" t="s">
        <v>3743</v>
      </c>
      <c r="B701" s="1061" t="s">
        <v>3887</v>
      </c>
      <c r="C701" s="1061"/>
      <c r="D701" s="1061"/>
      <c r="E701" s="1061"/>
      <c r="F701" s="1061"/>
    </row>
    <row r="702" spans="1:6">
      <c r="A702" s="1080">
        <v>35</v>
      </c>
      <c r="B702" s="1060" t="s">
        <v>3745</v>
      </c>
      <c r="C702" s="1060" t="s">
        <v>3746</v>
      </c>
      <c r="D702" s="742" t="s">
        <v>3657</v>
      </c>
      <c r="E702" s="1060" t="s">
        <v>3650</v>
      </c>
      <c r="F702" s="1060" t="s">
        <v>3651</v>
      </c>
    </row>
    <row r="703" spans="1:6">
      <c r="A703" s="7" t="s">
        <v>3888</v>
      </c>
      <c r="B703" s="6">
        <v>0</v>
      </c>
      <c r="C703" s="6">
        <v>1.5</v>
      </c>
      <c r="D703" s="1081">
        <v>692.93602994131879</v>
      </c>
      <c r="E703" s="6">
        <v>25</v>
      </c>
      <c r="F703" s="6">
        <v>20</v>
      </c>
    </row>
    <row r="704" spans="1:6">
      <c r="A704" s="7"/>
      <c r="B704" s="6">
        <v>1.6</v>
      </c>
      <c r="C704" s="6">
        <v>2</v>
      </c>
      <c r="D704" s="1081">
        <v>692.93602994131879</v>
      </c>
      <c r="E704" s="6">
        <v>25</v>
      </c>
      <c r="F704" s="6">
        <v>20</v>
      </c>
    </row>
    <row r="705" spans="1:6">
      <c r="A705" s="7"/>
      <c r="B705" s="6">
        <v>2.1</v>
      </c>
      <c r="C705" s="6">
        <v>2.5</v>
      </c>
      <c r="D705" s="1081">
        <v>564.61120550717055</v>
      </c>
      <c r="E705" s="6">
        <v>25</v>
      </c>
      <c r="F705" s="6">
        <v>20</v>
      </c>
    </row>
    <row r="706" spans="1:6">
      <c r="A706" s="7"/>
      <c r="B706" s="6">
        <v>2.6</v>
      </c>
      <c r="C706" s="6">
        <v>3</v>
      </c>
      <c r="D706" s="1081">
        <v>864.89561887997615</v>
      </c>
      <c r="E706" s="6">
        <v>25</v>
      </c>
      <c r="F706" s="6">
        <v>20</v>
      </c>
    </row>
    <row r="707" spans="1:6">
      <c r="A707" s="7"/>
      <c r="B707" s="6">
        <v>3.1</v>
      </c>
      <c r="C707" s="6">
        <v>4</v>
      </c>
      <c r="D707" s="1081">
        <v>1094.415936300677</v>
      </c>
      <c r="E707" s="6">
        <v>25</v>
      </c>
      <c r="F707" s="6">
        <v>20</v>
      </c>
    </row>
    <row r="708" spans="1:6">
      <c r="A708" s="7"/>
      <c r="B708" s="6">
        <v>4.0999999999999996</v>
      </c>
      <c r="C708" s="6">
        <v>6</v>
      </c>
      <c r="D708" s="1081">
        <v>1540.3201838527702</v>
      </c>
      <c r="E708" s="6">
        <v>25</v>
      </c>
      <c r="F708" s="6">
        <v>20</v>
      </c>
    </row>
    <row r="709" spans="1:6">
      <c r="A709" s="7"/>
      <c r="B709" s="6">
        <v>6.1</v>
      </c>
      <c r="C709" s="6">
        <v>8</v>
      </c>
      <c r="D709" s="1081">
        <v>2370.4794962951873</v>
      </c>
      <c r="E709" s="6">
        <v>25</v>
      </c>
      <c r="F709" s="6">
        <v>20</v>
      </c>
    </row>
    <row r="710" spans="1:6">
      <c r="A710" s="7"/>
      <c r="B710" s="6">
        <v>8.1</v>
      </c>
      <c r="C710" s="6">
        <v>10</v>
      </c>
      <c r="D710" s="1081">
        <v>4231.9628905604131</v>
      </c>
      <c r="E710" s="6">
        <v>25</v>
      </c>
      <c r="F710" s="6">
        <v>20</v>
      </c>
    </row>
    <row r="711" spans="1:6">
      <c r="A711" s="7"/>
      <c r="B711" s="6">
        <v>10.1</v>
      </c>
      <c r="C711" s="6">
        <v>12</v>
      </c>
      <c r="D711" s="1081">
        <v>5163.4311809772917</v>
      </c>
      <c r="E711" s="6">
        <v>25</v>
      </c>
      <c r="F711" s="6">
        <v>20</v>
      </c>
    </row>
    <row r="712" spans="1:6">
      <c r="A712" s="7"/>
      <c r="B712" s="6">
        <v>12.1</v>
      </c>
      <c r="C712" s="6">
        <v>14</v>
      </c>
      <c r="D712" s="1081">
        <v>9534.9946053551539</v>
      </c>
      <c r="E712" s="6">
        <v>25</v>
      </c>
      <c r="F712" s="6">
        <v>20</v>
      </c>
    </row>
    <row r="713" spans="1:6">
      <c r="A713" s="7"/>
      <c r="B713" s="6">
        <v>14.1</v>
      </c>
      <c r="C713" s="6">
        <v>16</v>
      </c>
      <c r="D713" s="1081">
        <v>13600.157796671978</v>
      </c>
      <c r="E713" s="6">
        <v>25</v>
      </c>
      <c r="F713" s="6">
        <v>20</v>
      </c>
    </row>
    <row r="714" spans="1:6">
      <c r="A714" s="7"/>
      <c r="B714" s="6">
        <v>16.100000000000001</v>
      </c>
      <c r="C714" s="6">
        <v>18</v>
      </c>
      <c r="D714" s="1081">
        <v>17603.393797883175</v>
      </c>
      <c r="E714" s="6">
        <v>25</v>
      </c>
      <c r="F714" s="6">
        <v>20</v>
      </c>
    </row>
    <row r="715" spans="1:6">
      <c r="A715" s="7"/>
      <c r="B715" s="6">
        <v>18.100000000000001</v>
      </c>
      <c r="C715" s="6">
        <v>20</v>
      </c>
      <c r="D715" s="1081">
        <v>19934.156001311945</v>
      </c>
      <c r="E715" s="6">
        <v>25</v>
      </c>
      <c r="F715" s="6">
        <v>20</v>
      </c>
    </row>
    <row r="716" spans="1:6">
      <c r="A716" s="7"/>
      <c r="B716" s="6">
        <v>20.100000000000001</v>
      </c>
      <c r="C716" s="6">
        <v>24</v>
      </c>
      <c r="D716" s="1081">
        <v>26822.726245874321</v>
      </c>
      <c r="E716" s="6">
        <v>25</v>
      </c>
      <c r="F716" s="6">
        <v>20</v>
      </c>
    </row>
    <row r="717" spans="1:6">
      <c r="A717" s="7"/>
      <c r="B717" s="6">
        <v>24.1</v>
      </c>
      <c r="C717" s="6" t="s">
        <v>3658</v>
      </c>
      <c r="D717" s="1081" t="s">
        <v>3658</v>
      </c>
      <c r="E717" s="6">
        <v>25</v>
      </c>
      <c r="F717" s="6">
        <v>20</v>
      </c>
    </row>
    <row r="720" spans="1:6">
      <c r="A720" s="1061" t="s">
        <v>3648</v>
      </c>
      <c r="B720" s="1061" t="s">
        <v>3889</v>
      </c>
      <c r="C720" s="1061"/>
      <c r="D720" s="1061"/>
      <c r="E720" s="1061"/>
      <c r="F720" s="1061"/>
    </row>
    <row r="721" spans="1:6">
      <c r="A721" s="1080">
        <v>43</v>
      </c>
      <c r="B721" s="1060" t="s">
        <v>3745</v>
      </c>
      <c r="C721" s="1060" t="s">
        <v>3746</v>
      </c>
      <c r="D721" s="742" t="s">
        <v>3657</v>
      </c>
      <c r="E721" s="1060" t="s">
        <v>3650</v>
      </c>
      <c r="F721" s="1060" t="s">
        <v>3651</v>
      </c>
    </row>
    <row r="722" spans="1:6">
      <c r="A722" s="7" t="s">
        <v>3890</v>
      </c>
      <c r="B722" s="6">
        <v>0</v>
      </c>
      <c r="C722" s="6">
        <v>2</v>
      </c>
      <c r="D722" s="1081">
        <v>2638.3115978130345</v>
      </c>
      <c r="E722" s="6">
        <v>15</v>
      </c>
      <c r="F722" s="6">
        <v>14</v>
      </c>
    </row>
    <row r="723" spans="1:6">
      <c r="A723" s="7"/>
      <c r="B723" s="6">
        <v>2.1</v>
      </c>
      <c r="C723" s="6">
        <v>3</v>
      </c>
      <c r="D723" s="1081">
        <v>3329.1558117820819</v>
      </c>
      <c r="E723" s="6">
        <v>15</v>
      </c>
      <c r="F723" s="6">
        <v>14</v>
      </c>
    </row>
    <row r="724" spans="1:6">
      <c r="A724" s="7"/>
      <c r="B724" s="6">
        <v>3.1</v>
      </c>
      <c r="C724" s="6">
        <v>4</v>
      </c>
      <c r="D724" s="1081">
        <v>3100.078155222338</v>
      </c>
      <c r="E724" s="6">
        <v>15</v>
      </c>
      <c r="F724" s="6">
        <v>14</v>
      </c>
    </row>
    <row r="725" spans="1:6">
      <c r="A725" s="7"/>
      <c r="B725" s="6">
        <v>4.0999999999999996</v>
      </c>
      <c r="C725" s="6">
        <v>6</v>
      </c>
      <c r="D725" s="1081">
        <v>4364.6299496133752</v>
      </c>
      <c r="E725" s="6">
        <v>15</v>
      </c>
      <c r="F725" s="6">
        <v>14</v>
      </c>
    </row>
    <row r="726" spans="1:6">
      <c r="A726" s="7"/>
      <c r="B726" s="6">
        <v>6.1</v>
      </c>
      <c r="C726" s="6">
        <v>8</v>
      </c>
      <c r="D726" s="1081">
        <v>4952.1634805810227</v>
      </c>
      <c r="E726" s="6">
        <v>15</v>
      </c>
      <c r="F726" s="6">
        <v>14</v>
      </c>
    </row>
    <row r="727" spans="1:6">
      <c r="A727" s="7"/>
      <c r="B727" s="6">
        <v>8.1</v>
      </c>
      <c r="C727" s="6">
        <v>10</v>
      </c>
      <c r="D727" s="1081">
        <v>5299.8424393860041</v>
      </c>
      <c r="E727" s="6">
        <v>15</v>
      </c>
      <c r="F727" s="6">
        <v>14</v>
      </c>
    </row>
    <row r="728" spans="1:6">
      <c r="A728" s="7"/>
      <c r="B728" s="6">
        <v>10.1</v>
      </c>
      <c r="C728" s="6">
        <v>12</v>
      </c>
      <c r="D728" s="1081">
        <v>5686.6845336477927</v>
      </c>
      <c r="E728" s="6">
        <v>15</v>
      </c>
      <c r="F728" s="6">
        <v>14</v>
      </c>
    </row>
    <row r="729" spans="1:6">
      <c r="A729" s="7"/>
      <c r="B729" s="6">
        <v>12.1</v>
      </c>
      <c r="C729" s="6">
        <v>14</v>
      </c>
      <c r="D729" s="1081">
        <v>10737.043683087666</v>
      </c>
      <c r="E729" s="6">
        <v>15</v>
      </c>
      <c r="F729" s="6">
        <v>14</v>
      </c>
    </row>
    <row r="730" spans="1:6">
      <c r="A730" s="7"/>
      <c r="B730" s="6">
        <v>14.1</v>
      </c>
      <c r="C730" s="6" t="s">
        <v>3658</v>
      </c>
      <c r="D730" s="1081" t="s">
        <v>3658</v>
      </c>
      <c r="E730" s="6">
        <v>15</v>
      </c>
      <c r="F730" s="6">
        <v>14</v>
      </c>
    </row>
    <row r="733" spans="1:6">
      <c r="A733" s="1061" t="s">
        <v>3653</v>
      </c>
      <c r="B733" s="1061" t="s">
        <v>3891</v>
      </c>
      <c r="C733" s="1061"/>
      <c r="D733" s="1061"/>
      <c r="E733" s="1061"/>
      <c r="F733" s="1061"/>
    </row>
    <row r="734" spans="1:6">
      <c r="A734" s="1080">
        <v>30</v>
      </c>
      <c r="B734" s="1060" t="s">
        <v>3655</v>
      </c>
      <c r="C734" s="1060" t="s">
        <v>3656</v>
      </c>
      <c r="D734" s="742" t="s">
        <v>3657</v>
      </c>
      <c r="E734" s="1060" t="s">
        <v>3650</v>
      </c>
      <c r="F734" s="1060" t="s">
        <v>3651</v>
      </c>
    </row>
    <row r="735" spans="1:6">
      <c r="A735" s="7" t="s">
        <v>3892</v>
      </c>
      <c r="B735" s="6">
        <v>0</v>
      </c>
      <c r="C735" s="6">
        <v>10</v>
      </c>
      <c r="D735" s="1081">
        <v>5569.3884955742142</v>
      </c>
      <c r="E735" s="6">
        <v>20</v>
      </c>
      <c r="F735" s="6">
        <v>17</v>
      </c>
    </row>
    <row r="736" spans="1:6">
      <c r="A736" s="7"/>
      <c r="B736" s="6">
        <v>11</v>
      </c>
      <c r="C736" s="6">
        <v>30</v>
      </c>
      <c r="D736" s="1081">
        <v>5795.5507406017077</v>
      </c>
      <c r="E736" s="6">
        <v>20</v>
      </c>
      <c r="F736" s="6">
        <v>17</v>
      </c>
    </row>
    <row r="737" spans="1:6">
      <c r="A737" s="7"/>
      <c r="B737" s="6">
        <v>31</v>
      </c>
      <c r="C737" s="6">
        <v>50</v>
      </c>
      <c r="D737" s="1081">
        <v>6608.4783657838652</v>
      </c>
      <c r="E737" s="6">
        <v>20</v>
      </c>
      <c r="F737" s="6">
        <v>17</v>
      </c>
    </row>
    <row r="738" spans="1:6">
      <c r="A738" s="7"/>
      <c r="B738" s="6">
        <v>51</v>
      </c>
      <c r="C738" s="6">
        <v>55</v>
      </c>
      <c r="D738" s="1081">
        <v>7767.8599401083775</v>
      </c>
      <c r="E738" s="6">
        <v>20</v>
      </c>
      <c r="F738" s="6">
        <v>17</v>
      </c>
    </row>
    <row r="739" spans="1:6">
      <c r="A739" s="7"/>
      <c r="B739" s="6">
        <v>56</v>
      </c>
      <c r="C739" s="6">
        <v>75</v>
      </c>
      <c r="D739" s="1081">
        <v>8244.055402912285</v>
      </c>
      <c r="E739" s="6">
        <v>20</v>
      </c>
      <c r="F739" s="6">
        <v>17</v>
      </c>
    </row>
    <row r="740" spans="1:6">
      <c r="A740" s="7"/>
      <c r="B740" s="6">
        <v>76</v>
      </c>
      <c r="C740" s="6">
        <v>100</v>
      </c>
      <c r="D740" s="1081">
        <v>8244.055402912285</v>
      </c>
      <c r="E740" s="6">
        <v>20</v>
      </c>
      <c r="F740" s="6">
        <v>17</v>
      </c>
    </row>
    <row r="741" spans="1:6">
      <c r="A741" s="7"/>
      <c r="B741" s="6">
        <v>101</v>
      </c>
      <c r="C741" s="6">
        <v>120</v>
      </c>
      <c r="D741" s="1081">
        <v>10543.373269362453</v>
      </c>
      <c r="E741" s="6">
        <v>20</v>
      </c>
      <c r="F741" s="6">
        <v>17</v>
      </c>
    </row>
    <row r="742" spans="1:6">
      <c r="A742" s="7"/>
      <c r="B742" s="6">
        <v>121</v>
      </c>
      <c r="C742" s="6">
        <v>125</v>
      </c>
      <c r="D742" s="1081">
        <v>8886.1187947329745</v>
      </c>
      <c r="E742" s="6">
        <v>20</v>
      </c>
      <c r="F742" s="6">
        <v>17</v>
      </c>
    </row>
    <row r="743" spans="1:6">
      <c r="A743" s="7"/>
      <c r="B743" s="6">
        <v>126</v>
      </c>
      <c r="C743" s="6">
        <v>140</v>
      </c>
      <c r="D743" s="1081">
        <v>10543.373269362453</v>
      </c>
      <c r="E743" s="6">
        <v>20</v>
      </c>
      <c r="F743" s="6">
        <v>17</v>
      </c>
    </row>
    <row r="744" spans="1:6">
      <c r="A744" s="7"/>
      <c r="B744" s="6">
        <v>141</v>
      </c>
      <c r="C744" s="6">
        <v>200</v>
      </c>
      <c r="D744" s="1081">
        <v>9860.8553353628813</v>
      </c>
      <c r="E744" s="6">
        <v>20</v>
      </c>
      <c r="F744" s="6">
        <v>17</v>
      </c>
    </row>
    <row r="745" spans="1:6">
      <c r="A745" s="7"/>
      <c r="B745" s="6">
        <v>201</v>
      </c>
      <c r="C745" s="6">
        <v>250</v>
      </c>
      <c r="D745" s="1081">
        <v>10403.831912339216</v>
      </c>
      <c r="E745" s="6">
        <v>20</v>
      </c>
      <c r="F745" s="6">
        <v>17</v>
      </c>
    </row>
    <row r="746" spans="1:6">
      <c r="A746" s="7"/>
      <c r="B746" s="538">
        <v>251</v>
      </c>
      <c r="C746" s="6">
        <v>300</v>
      </c>
      <c r="D746" s="1081">
        <v>10950.756520321143</v>
      </c>
      <c r="E746" s="6">
        <v>20</v>
      </c>
      <c r="F746" s="6">
        <v>17</v>
      </c>
    </row>
    <row r="747" spans="1:6">
      <c r="A747" s="7"/>
      <c r="B747" s="6">
        <v>301</v>
      </c>
      <c r="C747" s="6">
        <v>500</v>
      </c>
      <c r="D747" s="1081">
        <v>14817.74953427314</v>
      </c>
      <c r="E747" s="6">
        <v>20</v>
      </c>
      <c r="F747" s="6">
        <v>17</v>
      </c>
    </row>
    <row r="748" spans="1:6">
      <c r="A748" s="7"/>
      <c r="B748" s="6">
        <v>501</v>
      </c>
      <c r="C748" s="6">
        <v>750</v>
      </c>
      <c r="D748" s="1081">
        <v>15245.234456192235</v>
      </c>
      <c r="E748" s="6">
        <v>20</v>
      </c>
      <c r="F748" s="6">
        <v>17</v>
      </c>
    </row>
    <row r="749" spans="1:6">
      <c r="A749" s="7"/>
      <c r="B749" s="6">
        <v>751</v>
      </c>
      <c r="C749" s="6">
        <v>1000</v>
      </c>
      <c r="D749" s="1081">
        <v>17479.380929028201</v>
      </c>
      <c r="E749" s="6">
        <v>20</v>
      </c>
      <c r="F749" s="6">
        <v>17</v>
      </c>
    </row>
    <row r="750" spans="1:6">
      <c r="A750" s="7"/>
      <c r="B750" s="6">
        <v>1001</v>
      </c>
      <c r="C750" s="6">
        <v>1500</v>
      </c>
      <c r="D750" s="1081">
        <v>20907.303159775358</v>
      </c>
      <c r="E750" s="6">
        <v>20</v>
      </c>
      <c r="F750" s="6">
        <v>17</v>
      </c>
    </row>
    <row r="751" spans="1:6">
      <c r="A751" s="7"/>
      <c r="B751" s="6">
        <v>1501</v>
      </c>
      <c r="C751" s="6">
        <v>2000</v>
      </c>
      <c r="D751" s="1081">
        <v>31037.800609660451</v>
      </c>
      <c r="E751" s="6">
        <v>20</v>
      </c>
      <c r="F751" s="6">
        <v>17</v>
      </c>
    </row>
    <row r="752" spans="1:6">
      <c r="A752" s="7"/>
      <c r="B752" s="6">
        <v>2001</v>
      </c>
      <c r="C752" s="6">
        <v>3000</v>
      </c>
      <c r="D752" s="1081">
        <v>35660.896102217455</v>
      </c>
      <c r="E752" s="6">
        <v>20</v>
      </c>
      <c r="F752" s="6">
        <v>17</v>
      </c>
    </row>
    <row r="753" spans="1:6">
      <c r="A753" s="7"/>
      <c r="B753" s="6">
        <v>3001</v>
      </c>
      <c r="C753" s="6">
        <v>3500</v>
      </c>
      <c r="D753" s="1081">
        <v>40615.454496523613</v>
      </c>
      <c r="E753" s="6">
        <v>20</v>
      </c>
      <c r="F753" s="6">
        <v>17</v>
      </c>
    </row>
    <row r="754" spans="1:6">
      <c r="A754" s="7"/>
      <c r="B754" s="6">
        <v>3501</v>
      </c>
      <c r="C754" s="6">
        <v>4000</v>
      </c>
      <c r="D754" s="1081">
        <v>42599.858223068601</v>
      </c>
      <c r="E754" s="6">
        <v>20</v>
      </c>
      <c r="F754" s="6">
        <v>17</v>
      </c>
    </row>
    <row r="755" spans="1:6">
      <c r="A755" s="7"/>
      <c r="B755" s="6">
        <v>4001</v>
      </c>
      <c r="C755" s="6">
        <v>6000</v>
      </c>
      <c r="D755" s="1081">
        <v>88269.221898713586</v>
      </c>
      <c r="E755" s="6">
        <v>20</v>
      </c>
      <c r="F755" s="6">
        <v>17</v>
      </c>
    </row>
    <row r="756" spans="1:6">
      <c r="A756" s="7"/>
      <c r="B756" s="6">
        <v>6001</v>
      </c>
      <c r="C756" s="6">
        <v>10000</v>
      </c>
      <c r="D756" s="1081">
        <v>79060.747372874335</v>
      </c>
      <c r="E756" s="6">
        <v>20</v>
      </c>
      <c r="F756" s="6">
        <v>17</v>
      </c>
    </row>
    <row r="757" spans="1:6">
      <c r="A757" s="7"/>
      <c r="B757" s="6">
        <v>10001</v>
      </c>
      <c r="C757" s="6" t="s">
        <v>3658</v>
      </c>
      <c r="D757" s="1081" t="s">
        <v>3658</v>
      </c>
      <c r="E757" s="6">
        <v>20</v>
      </c>
      <c r="F757" s="6">
        <v>17</v>
      </c>
    </row>
    <row r="760" spans="1:6">
      <c r="A760" s="1061" t="s">
        <v>3653</v>
      </c>
      <c r="B760" s="1061" t="s">
        <v>3893</v>
      </c>
      <c r="C760" s="1061"/>
      <c r="D760" s="1061"/>
      <c r="E760" s="1061"/>
      <c r="F760" s="1061"/>
    </row>
    <row r="761" spans="1:6">
      <c r="A761" s="1080">
        <v>30</v>
      </c>
      <c r="B761" s="1060" t="s">
        <v>3894</v>
      </c>
      <c r="C761" s="1060" t="s">
        <v>3895</v>
      </c>
      <c r="D761" s="742" t="s">
        <v>3657</v>
      </c>
      <c r="E761" s="1060" t="s">
        <v>3650</v>
      </c>
      <c r="F761" s="1060" t="s">
        <v>3651</v>
      </c>
    </row>
    <row r="762" spans="1:6">
      <c r="A762" s="7" t="s">
        <v>3896</v>
      </c>
      <c r="B762" s="6">
        <v>0</v>
      </c>
      <c r="C762" s="6">
        <v>0.25</v>
      </c>
      <c r="D762" s="1081">
        <v>521.11615518988742</v>
      </c>
      <c r="E762" s="6">
        <v>20</v>
      </c>
      <c r="F762" s="6">
        <v>15</v>
      </c>
    </row>
    <row r="763" spans="1:6">
      <c r="A763" s="7"/>
      <c r="B763" s="6">
        <v>0.26</v>
      </c>
      <c r="C763" s="6">
        <v>0.5</v>
      </c>
      <c r="D763" s="1081">
        <v>1012.0867302630941</v>
      </c>
      <c r="E763" s="6">
        <v>20</v>
      </c>
      <c r="F763" s="6">
        <v>15</v>
      </c>
    </row>
    <row r="764" spans="1:6">
      <c r="A764" s="7"/>
      <c r="B764" s="6">
        <v>0.51</v>
      </c>
      <c r="C764" s="6">
        <v>0.85</v>
      </c>
      <c r="D764" s="1081">
        <v>536.94753205641575</v>
      </c>
      <c r="E764" s="6">
        <v>20</v>
      </c>
      <c r="F764" s="6">
        <v>15</v>
      </c>
    </row>
    <row r="765" spans="1:6">
      <c r="A765" s="7"/>
      <c r="B765" s="6">
        <v>0.86</v>
      </c>
      <c r="C765" s="6">
        <v>1</v>
      </c>
      <c r="D765" s="1081">
        <v>521.11615518988742</v>
      </c>
      <c r="E765" s="6">
        <v>20</v>
      </c>
      <c r="F765" s="6">
        <v>15</v>
      </c>
    </row>
    <row r="766" spans="1:6">
      <c r="A766" s="7"/>
      <c r="B766" s="6">
        <v>1.01</v>
      </c>
      <c r="C766" s="6">
        <v>1.3</v>
      </c>
      <c r="D766" s="1081">
        <v>1977.8666831915934</v>
      </c>
      <c r="E766" s="6">
        <v>20</v>
      </c>
      <c r="F766" s="6">
        <v>15</v>
      </c>
    </row>
    <row r="767" spans="1:6">
      <c r="A767" s="7"/>
      <c r="B767" s="6">
        <v>1.31</v>
      </c>
      <c r="C767" s="6">
        <v>1.75</v>
      </c>
      <c r="D767" s="1081">
        <v>600.27303952252862</v>
      </c>
      <c r="E767" s="6">
        <v>20</v>
      </c>
      <c r="F767" s="6">
        <v>15</v>
      </c>
    </row>
    <row r="768" spans="1:6">
      <c r="A768" s="7"/>
      <c r="B768" s="6">
        <v>1.76</v>
      </c>
      <c r="C768" s="6">
        <v>2.5</v>
      </c>
      <c r="D768" s="1081">
        <v>1358.5827986151751</v>
      </c>
      <c r="E768" s="6">
        <v>20</v>
      </c>
      <c r="F768" s="6">
        <v>15</v>
      </c>
    </row>
    <row r="769" spans="1:6">
      <c r="A769" s="7"/>
      <c r="B769" s="6">
        <v>2.5099999999999998</v>
      </c>
      <c r="C769" s="6">
        <v>3.17</v>
      </c>
      <c r="D769" s="1081">
        <v>1596.3568863363739</v>
      </c>
      <c r="E769" s="6">
        <v>20</v>
      </c>
      <c r="F769" s="6">
        <v>15</v>
      </c>
    </row>
    <row r="770" spans="1:6">
      <c r="A770" s="7"/>
      <c r="B770" s="6">
        <v>3.1799999999999997</v>
      </c>
      <c r="C770" s="6">
        <v>3.39</v>
      </c>
      <c r="D770" s="1081">
        <v>1167.5640439064568</v>
      </c>
      <c r="E770" s="6">
        <v>20</v>
      </c>
      <c r="F770" s="6">
        <v>15</v>
      </c>
    </row>
    <row r="771" spans="1:6">
      <c r="A771" s="7"/>
      <c r="B771" s="6">
        <v>3.4</v>
      </c>
      <c r="C771" s="6">
        <v>5</v>
      </c>
      <c r="D771" s="1081">
        <v>1602.5443161283754</v>
      </c>
      <c r="E771" s="6">
        <v>20</v>
      </c>
      <c r="F771" s="6">
        <v>15</v>
      </c>
    </row>
    <row r="772" spans="1:6">
      <c r="A772" s="7"/>
      <c r="B772" s="6">
        <v>5.01</v>
      </c>
      <c r="C772" s="6">
        <v>5.93</v>
      </c>
      <c r="D772" s="1081">
        <v>893.15351155330086</v>
      </c>
      <c r="E772" s="6">
        <v>20</v>
      </c>
      <c r="F772" s="6">
        <v>15</v>
      </c>
    </row>
    <row r="773" spans="1:6">
      <c r="A773" s="7"/>
      <c r="B773" s="6">
        <v>5.9399999999999995</v>
      </c>
      <c r="C773" s="6">
        <v>8</v>
      </c>
      <c r="D773" s="1081">
        <v>1513.2685434152115</v>
      </c>
      <c r="E773" s="6">
        <v>20</v>
      </c>
      <c r="F773" s="6">
        <v>15</v>
      </c>
    </row>
    <row r="774" spans="1:6">
      <c r="A774" s="7"/>
      <c r="B774" s="6">
        <v>8.01</v>
      </c>
      <c r="C774" s="6">
        <v>10</v>
      </c>
      <c r="D774" s="1081">
        <v>1781.4784531623106</v>
      </c>
      <c r="E774" s="6">
        <v>20</v>
      </c>
      <c r="F774" s="6">
        <v>15</v>
      </c>
    </row>
    <row r="775" spans="1:6">
      <c r="A775" s="7"/>
      <c r="B775" s="6">
        <v>10.01</v>
      </c>
      <c r="C775" s="6">
        <v>20</v>
      </c>
      <c r="D775" s="1081">
        <v>2196.3396839496827</v>
      </c>
      <c r="E775" s="6">
        <v>20</v>
      </c>
      <c r="F775" s="6">
        <v>15</v>
      </c>
    </row>
    <row r="776" spans="1:6">
      <c r="A776" s="7"/>
      <c r="B776" s="6">
        <v>20.010000000000002</v>
      </c>
      <c r="C776" s="6">
        <v>25</v>
      </c>
      <c r="D776" s="1081">
        <v>2221.669886936128</v>
      </c>
      <c r="E776" s="6">
        <v>20</v>
      </c>
      <c r="F776" s="6">
        <v>15</v>
      </c>
    </row>
    <row r="777" spans="1:6">
      <c r="A777" s="7"/>
      <c r="B777" s="6">
        <v>25.01</v>
      </c>
      <c r="C777" s="6">
        <v>33.880000000000003</v>
      </c>
      <c r="D777" s="1081">
        <v>2653.0749065490227</v>
      </c>
      <c r="E777" s="6">
        <v>20</v>
      </c>
      <c r="F777" s="6">
        <v>15</v>
      </c>
    </row>
    <row r="778" spans="1:6">
      <c r="A778" s="7"/>
      <c r="B778" s="6">
        <v>33.89</v>
      </c>
      <c r="C778" s="6">
        <v>71.150000000000006</v>
      </c>
      <c r="D778" s="1081">
        <v>2706.5522649365148</v>
      </c>
      <c r="E778" s="6">
        <v>20</v>
      </c>
      <c r="F778" s="6">
        <v>15</v>
      </c>
    </row>
    <row r="779" spans="1:6">
      <c r="A779" s="7"/>
      <c r="B779" s="6">
        <v>71.160000000000011</v>
      </c>
      <c r="C779" s="6" t="s">
        <v>3658</v>
      </c>
      <c r="D779" s="1081" t="s">
        <v>3658</v>
      </c>
      <c r="E779" s="6">
        <v>20</v>
      </c>
      <c r="F779" s="6">
        <v>15</v>
      </c>
    </row>
    <row r="782" spans="1:6">
      <c r="A782" s="1061" t="s">
        <v>3653</v>
      </c>
      <c r="B782" s="1061" t="s">
        <v>3897</v>
      </c>
      <c r="C782" s="1061"/>
      <c r="D782" s="1061"/>
      <c r="E782" s="1061"/>
      <c r="F782" s="1061"/>
    </row>
    <row r="783" spans="1:6">
      <c r="A783" s="1080">
        <v>30</v>
      </c>
      <c r="B783" s="1060" t="s">
        <v>3894</v>
      </c>
      <c r="C783" s="1060" t="s">
        <v>3895</v>
      </c>
      <c r="D783" s="742" t="s">
        <v>3657</v>
      </c>
      <c r="E783" s="1060" t="s">
        <v>3650</v>
      </c>
      <c r="F783" s="1060" t="s">
        <v>3651</v>
      </c>
    </row>
    <row r="784" spans="1:6">
      <c r="A784" s="7" t="s">
        <v>3898</v>
      </c>
      <c r="B784" s="6">
        <v>0</v>
      </c>
      <c r="C784" s="6">
        <v>1</v>
      </c>
      <c r="D784" s="1081">
        <v>2414.284972145555</v>
      </c>
      <c r="E784" s="6">
        <v>20</v>
      </c>
      <c r="F784" s="6">
        <v>17</v>
      </c>
    </row>
    <row r="785" spans="1:6">
      <c r="A785" s="7"/>
      <c r="B785" s="6">
        <v>1.01</v>
      </c>
      <c r="C785" s="6">
        <v>2</v>
      </c>
      <c r="D785" s="1081">
        <v>2414.284972145555</v>
      </c>
      <c r="E785" s="6">
        <v>20</v>
      </c>
      <c r="F785" s="6">
        <v>17</v>
      </c>
    </row>
    <row r="786" spans="1:6">
      <c r="A786" s="7"/>
      <c r="B786" s="6">
        <v>2.0099999999999998</v>
      </c>
      <c r="C786" s="6">
        <v>4</v>
      </c>
      <c r="D786" s="1081">
        <v>2414.284972145555</v>
      </c>
      <c r="E786" s="6">
        <v>20</v>
      </c>
      <c r="F786" s="6">
        <v>17</v>
      </c>
    </row>
    <row r="787" spans="1:6">
      <c r="A787" s="7"/>
      <c r="B787" s="6">
        <v>4.01</v>
      </c>
      <c r="C787" s="6">
        <v>5</v>
      </c>
      <c r="D787" s="1081">
        <v>2414.284972145555</v>
      </c>
      <c r="E787" s="6">
        <v>20</v>
      </c>
      <c r="F787" s="6">
        <v>17</v>
      </c>
    </row>
    <row r="788" spans="1:6">
      <c r="A788" s="7"/>
      <c r="B788" s="6">
        <v>5.01</v>
      </c>
      <c r="C788" s="6">
        <v>7</v>
      </c>
      <c r="D788" s="1081">
        <v>2414.284972145555</v>
      </c>
      <c r="E788" s="6">
        <v>20</v>
      </c>
      <c r="F788" s="6">
        <v>17</v>
      </c>
    </row>
    <row r="789" spans="1:6">
      <c r="A789" s="7"/>
      <c r="B789" s="6">
        <v>7.01</v>
      </c>
      <c r="C789" s="6">
        <v>11</v>
      </c>
      <c r="D789" s="1081">
        <v>3476.3065036084904</v>
      </c>
      <c r="E789" s="6">
        <v>20</v>
      </c>
      <c r="F789" s="6">
        <v>17</v>
      </c>
    </row>
    <row r="790" spans="1:6">
      <c r="A790" s="7"/>
      <c r="B790" s="6">
        <v>10.01</v>
      </c>
      <c r="C790" s="6">
        <v>14</v>
      </c>
      <c r="D790" s="1081">
        <v>3476.3065036084904</v>
      </c>
      <c r="E790" s="6">
        <v>20</v>
      </c>
      <c r="F790" s="6">
        <v>17</v>
      </c>
    </row>
    <row r="791" spans="1:6">
      <c r="A791" s="7"/>
      <c r="B791" s="6">
        <v>14.01</v>
      </c>
      <c r="C791" s="6">
        <v>30</v>
      </c>
      <c r="D791" s="1081">
        <v>3585.9601032095024</v>
      </c>
      <c r="E791" s="6">
        <v>20</v>
      </c>
      <c r="F791" s="6">
        <v>17</v>
      </c>
    </row>
    <row r="792" spans="1:6">
      <c r="A792" s="7"/>
      <c r="B792" s="6">
        <v>30.01</v>
      </c>
      <c r="C792" s="6">
        <v>65</v>
      </c>
      <c r="D792" s="1081">
        <v>3824.2173803374826</v>
      </c>
      <c r="E792" s="6">
        <v>20</v>
      </c>
      <c r="F792" s="6">
        <v>17</v>
      </c>
    </row>
    <row r="793" spans="1:6">
      <c r="A793" s="7"/>
      <c r="B793" s="6">
        <v>65.010000000000005</v>
      </c>
      <c r="C793" s="6">
        <v>108</v>
      </c>
      <c r="D793" s="1081">
        <v>4598.3125458429859</v>
      </c>
      <c r="E793" s="6">
        <v>20</v>
      </c>
      <c r="F793" s="6">
        <v>17</v>
      </c>
    </row>
    <row r="794" spans="1:6">
      <c r="A794" s="7"/>
      <c r="B794" s="6">
        <v>108.01</v>
      </c>
      <c r="C794" s="6" t="s">
        <v>3658</v>
      </c>
      <c r="D794" s="1081" t="s">
        <v>3658</v>
      </c>
      <c r="E794" s="6">
        <v>20</v>
      </c>
      <c r="F794" s="6">
        <v>17</v>
      </c>
    </row>
    <row r="797" spans="1:6">
      <c r="A797" s="1061" t="s">
        <v>3762</v>
      </c>
      <c r="B797" s="1061" t="s">
        <v>3899</v>
      </c>
      <c r="C797" s="1061"/>
      <c r="D797" s="1061"/>
      <c r="E797" s="1061"/>
      <c r="F797" s="1061"/>
    </row>
    <row r="798" spans="1:6">
      <c r="A798" s="1080">
        <v>15</v>
      </c>
      <c r="B798" s="1060" t="s">
        <v>3745</v>
      </c>
      <c r="C798" s="1060" t="s">
        <v>3746</v>
      </c>
      <c r="D798" s="742" t="s">
        <v>3764</v>
      </c>
      <c r="E798" s="1060" t="s">
        <v>3650</v>
      </c>
      <c r="F798" s="1060" t="s">
        <v>3651</v>
      </c>
    </row>
    <row r="799" spans="1:6">
      <c r="A799" s="7" t="s">
        <v>3900</v>
      </c>
      <c r="B799" s="6">
        <v>0</v>
      </c>
      <c r="C799" s="6">
        <v>0.5</v>
      </c>
      <c r="D799" s="1081">
        <v>2.8946541326676147</v>
      </c>
      <c r="E799" s="6">
        <v>22</v>
      </c>
      <c r="F799" s="6">
        <v>17</v>
      </c>
    </row>
    <row r="800" spans="1:6">
      <c r="A800" s="7"/>
      <c r="B800" s="6">
        <v>0.6</v>
      </c>
      <c r="C800" s="6">
        <v>0.75</v>
      </c>
      <c r="D800" s="1081">
        <v>3.7808146773277085</v>
      </c>
      <c r="E800" s="6">
        <v>22</v>
      </c>
      <c r="F800" s="6">
        <v>17</v>
      </c>
    </row>
    <row r="801" spans="1:6">
      <c r="A801" s="7"/>
      <c r="B801" s="6">
        <v>0.76</v>
      </c>
      <c r="C801" s="6">
        <v>1</v>
      </c>
      <c r="D801" s="1081">
        <v>5.5983120477418034</v>
      </c>
      <c r="E801" s="6">
        <v>22</v>
      </c>
      <c r="F801" s="6">
        <v>17</v>
      </c>
    </row>
    <row r="802" spans="1:6">
      <c r="A802" s="7"/>
      <c r="B802" s="6">
        <v>1.1000000000000001</v>
      </c>
      <c r="C802" s="6">
        <v>1.5</v>
      </c>
      <c r="D802" s="1081">
        <v>8.7268562863438071</v>
      </c>
      <c r="E802" s="6">
        <v>22</v>
      </c>
      <c r="F802" s="6">
        <v>17</v>
      </c>
    </row>
    <row r="803" spans="1:6">
      <c r="A803" s="7"/>
      <c r="B803" s="6">
        <v>1.6</v>
      </c>
      <c r="C803" s="6">
        <v>2</v>
      </c>
      <c r="D803" s="1081">
        <v>1.8181060606060608</v>
      </c>
      <c r="E803" s="6">
        <v>22</v>
      </c>
      <c r="F803" s="6">
        <v>17</v>
      </c>
    </row>
    <row r="804" spans="1:6">
      <c r="A804" s="7"/>
      <c r="B804" s="6">
        <v>2.1</v>
      </c>
      <c r="C804" s="6">
        <v>2.5</v>
      </c>
      <c r="D804" s="1081">
        <v>2.8418939393939397</v>
      </c>
      <c r="E804" s="6">
        <v>22</v>
      </c>
      <c r="F804" s="6">
        <v>17</v>
      </c>
    </row>
    <row r="805" spans="1:6">
      <c r="A805" s="7"/>
      <c r="B805" s="6">
        <v>2.6</v>
      </c>
      <c r="C805" s="6">
        <v>3</v>
      </c>
      <c r="D805" s="1081">
        <v>4.6335227272727275</v>
      </c>
      <c r="E805" s="6">
        <v>22</v>
      </c>
      <c r="F805" s="6">
        <v>17</v>
      </c>
    </row>
    <row r="806" spans="1:6">
      <c r="A806" s="7"/>
      <c r="B806" s="6">
        <v>3.1</v>
      </c>
      <c r="C806" s="6">
        <v>4</v>
      </c>
      <c r="D806" s="1081">
        <v>7.8107954545454552</v>
      </c>
      <c r="E806" s="6">
        <v>22</v>
      </c>
      <c r="F806" s="6">
        <v>17</v>
      </c>
    </row>
    <row r="807" spans="1:6">
      <c r="A807" s="7"/>
      <c r="B807" s="6">
        <v>4.0999999999999996</v>
      </c>
      <c r="C807" s="6">
        <v>6</v>
      </c>
      <c r="D807" s="1081">
        <v>11.47348484848485</v>
      </c>
      <c r="E807" s="6">
        <v>22</v>
      </c>
      <c r="F807" s="6">
        <v>17</v>
      </c>
    </row>
    <row r="808" spans="1:6">
      <c r="A808" s="7"/>
      <c r="B808" s="6">
        <v>6.1</v>
      </c>
      <c r="C808" s="6">
        <v>8</v>
      </c>
      <c r="D808" s="1081">
        <v>16.239393939393938</v>
      </c>
      <c r="E808" s="6">
        <v>22</v>
      </c>
      <c r="F808" s="6">
        <v>17</v>
      </c>
    </row>
    <row r="809" spans="1:6">
      <c r="A809" s="7"/>
      <c r="B809" s="6">
        <v>8.1</v>
      </c>
      <c r="C809" s="6">
        <v>10</v>
      </c>
      <c r="D809" s="1081">
        <v>24.270833333333336</v>
      </c>
      <c r="E809" s="6">
        <v>22</v>
      </c>
      <c r="F809" s="6">
        <v>17</v>
      </c>
    </row>
    <row r="810" spans="1:6">
      <c r="A810" s="7"/>
      <c r="B810" s="6">
        <v>10.1</v>
      </c>
      <c r="C810" s="6">
        <v>12</v>
      </c>
      <c r="D810" s="1081">
        <v>30.890151515151519</v>
      </c>
      <c r="E810" s="6">
        <v>22</v>
      </c>
      <c r="F810" s="6">
        <v>17</v>
      </c>
    </row>
    <row r="811" spans="1:6">
      <c r="A811" s="7"/>
      <c r="B811" s="6">
        <v>12.1</v>
      </c>
      <c r="C811" s="6">
        <v>14</v>
      </c>
      <c r="D811" s="1081">
        <v>22.50568181818182</v>
      </c>
      <c r="E811" s="6">
        <v>22</v>
      </c>
      <c r="F811" s="6">
        <v>17</v>
      </c>
    </row>
    <row r="812" spans="1:6">
      <c r="A812" s="7"/>
      <c r="B812" s="6">
        <v>14.1</v>
      </c>
      <c r="C812" s="6">
        <v>16</v>
      </c>
      <c r="D812" s="1081">
        <v>28.683712121212125</v>
      </c>
      <c r="E812" s="6">
        <v>22</v>
      </c>
      <c r="F812" s="6">
        <v>17</v>
      </c>
    </row>
    <row r="813" spans="1:6">
      <c r="A813" s="7"/>
      <c r="B813" s="6">
        <v>16.100000000000001</v>
      </c>
      <c r="C813" s="6">
        <v>18</v>
      </c>
      <c r="D813" s="1081">
        <v>36.185606060606062</v>
      </c>
      <c r="E813" s="6">
        <v>22</v>
      </c>
      <c r="F813" s="6">
        <v>17</v>
      </c>
    </row>
    <row r="814" spans="1:6">
      <c r="A814" s="7"/>
      <c r="B814" s="6">
        <v>18.100000000000001</v>
      </c>
      <c r="C814" s="6">
        <v>20</v>
      </c>
      <c r="D814" s="1081">
        <v>44.128787878787882</v>
      </c>
      <c r="E814" s="6">
        <v>22</v>
      </c>
      <c r="F814" s="6">
        <v>17</v>
      </c>
    </row>
    <row r="815" spans="1:6">
      <c r="A815" s="7"/>
      <c r="B815" s="6">
        <v>20.100000000000001</v>
      </c>
      <c r="C815" s="6">
        <v>24</v>
      </c>
      <c r="D815" s="1081">
        <v>60.456439393939398</v>
      </c>
      <c r="E815" s="6">
        <v>22</v>
      </c>
      <c r="F815" s="6">
        <v>17</v>
      </c>
    </row>
    <row r="816" spans="1:6">
      <c r="A816" s="7"/>
      <c r="B816" s="6">
        <v>24.1</v>
      </c>
      <c r="C816" s="6">
        <v>30</v>
      </c>
      <c r="D816" s="1081">
        <v>104.14393939393941</v>
      </c>
      <c r="E816" s="6">
        <v>22</v>
      </c>
      <c r="F816" s="6">
        <v>17</v>
      </c>
    </row>
    <row r="817" spans="1:6">
      <c r="A817" s="7"/>
      <c r="B817" s="6">
        <v>30.1</v>
      </c>
      <c r="C817" s="6">
        <v>36</v>
      </c>
      <c r="D817" s="1081">
        <v>147.39015151515153</v>
      </c>
      <c r="E817" s="6">
        <v>22</v>
      </c>
      <c r="F817" s="6">
        <v>17</v>
      </c>
    </row>
    <row r="818" spans="1:6">
      <c r="A818" s="7"/>
      <c r="B818" s="6">
        <v>36.1</v>
      </c>
      <c r="C818" s="6">
        <v>42</v>
      </c>
      <c r="D818" s="1081">
        <v>196.81439393939397</v>
      </c>
      <c r="E818" s="6">
        <v>22</v>
      </c>
      <c r="F818" s="6">
        <v>17</v>
      </c>
    </row>
    <row r="819" spans="1:6">
      <c r="A819" s="7"/>
      <c r="B819" s="6">
        <v>42.1</v>
      </c>
      <c r="C819" s="6">
        <v>48</v>
      </c>
      <c r="D819" s="1081">
        <v>247.12121212121215</v>
      </c>
      <c r="E819" s="6">
        <v>22</v>
      </c>
      <c r="F819" s="6">
        <v>17</v>
      </c>
    </row>
    <row r="820" spans="1:6">
      <c r="A820" s="7"/>
      <c r="B820" s="6">
        <v>48.1</v>
      </c>
      <c r="C820" s="6" t="s">
        <v>3658</v>
      </c>
      <c r="D820" s="1081" t="s">
        <v>3658</v>
      </c>
      <c r="E820" s="6">
        <v>22</v>
      </c>
      <c r="F820" s="6">
        <v>17</v>
      </c>
    </row>
    <row r="823" spans="1:6">
      <c r="A823" s="1061" t="s">
        <v>3808</v>
      </c>
      <c r="B823" s="1061" t="s">
        <v>3901</v>
      </c>
      <c r="C823" s="1061"/>
      <c r="D823" s="1061"/>
      <c r="E823" s="1061"/>
      <c r="F823" s="1061"/>
    </row>
    <row r="824" spans="1:6">
      <c r="A824" s="1080">
        <v>29</v>
      </c>
      <c r="B824" s="1094" t="s">
        <v>3902</v>
      </c>
      <c r="C824" s="1060" t="s">
        <v>3903</v>
      </c>
      <c r="D824" s="742" t="s">
        <v>3657</v>
      </c>
      <c r="E824" s="1094" t="s">
        <v>3760</v>
      </c>
      <c r="F824" s="742" t="s">
        <v>3651</v>
      </c>
    </row>
    <row r="825" spans="1:6">
      <c r="A825" s="7" t="s">
        <v>3904</v>
      </c>
      <c r="B825" s="6">
        <v>0</v>
      </c>
      <c r="C825" s="6">
        <v>1.5</v>
      </c>
      <c r="D825" s="1081">
        <v>1814.3974813451682</v>
      </c>
      <c r="E825" s="6">
        <v>45</v>
      </c>
      <c r="F825" s="6">
        <v>40</v>
      </c>
    </row>
    <row r="826" spans="1:6">
      <c r="A826" s="7"/>
      <c r="B826" s="6">
        <v>1.6</v>
      </c>
      <c r="C826" s="6">
        <v>2</v>
      </c>
      <c r="D826" s="1081">
        <v>2773.3143925378831</v>
      </c>
      <c r="E826" s="6">
        <v>45</v>
      </c>
      <c r="F826" s="6">
        <v>40</v>
      </c>
    </row>
    <row r="827" spans="1:6">
      <c r="A827" s="7"/>
      <c r="B827" s="6">
        <v>2.1</v>
      </c>
      <c r="C827" s="6">
        <v>2.5</v>
      </c>
      <c r="D827" s="1081">
        <v>4076.7539989017082</v>
      </c>
      <c r="E827" s="6">
        <v>45</v>
      </c>
      <c r="F827" s="6">
        <v>40</v>
      </c>
    </row>
    <row r="828" spans="1:6">
      <c r="A828" s="7"/>
      <c r="B828" s="6">
        <v>2.6</v>
      </c>
      <c r="C828" s="6">
        <v>3</v>
      </c>
      <c r="D828" s="1081">
        <v>6611.2521334373059</v>
      </c>
      <c r="E828" s="6">
        <v>45</v>
      </c>
      <c r="F828" s="6">
        <v>40</v>
      </c>
    </row>
    <row r="829" spans="1:6">
      <c r="A829" s="7"/>
      <c r="B829" s="6">
        <v>3.1</v>
      </c>
      <c r="C829" s="6">
        <v>4</v>
      </c>
      <c r="D829" s="1081">
        <v>10504.326344040766</v>
      </c>
      <c r="E829" s="6">
        <v>45</v>
      </c>
      <c r="F829" s="6">
        <v>40</v>
      </c>
    </row>
    <row r="830" spans="1:6">
      <c r="A830" s="7"/>
      <c r="B830" s="6">
        <v>4.0999999999999996</v>
      </c>
      <c r="C830" s="6">
        <v>6</v>
      </c>
      <c r="D830" s="1081">
        <v>14523.137587377456</v>
      </c>
      <c r="E830" s="6">
        <v>45</v>
      </c>
      <c r="F830" s="6">
        <v>40</v>
      </c>
    </row>
    <row r="831" spans="1:6">
      <c r="A831" s="7"/>
      <c r="B831" s="6">
        <v>6.1</v>
      </c>
      <c r="C831" s="6" t="s">
        <v>3658</v>
      </c>
      <c r="D831" s="1081" t="s">
        <v>3658</v>
      </c>
      <c r="E831" s="6">
        <v>45</v>
      </c>
      <c r="F831" s="6">
        <v>40</v>
      </c>
    </row>
    <row r="834" spans="1:6">
      <c r="A834" s="1061" t="s">
        <v>3660</v>
      </c>
      <c r="B834" s="1061" t="s">
        <v>3905</v>
      </c>
      <c r="C834" s="1061"/>
      <c r="D834" s="1061"/>
      <c r="E834" s="1061"/>
      <c r="F834" s="1061"/>
    </row>
    <row r="835" spans="1:6">
      <c r="A835" s="1080">
        <v>3</v>
      </c>
      <c r="B835" s="1060" t="s">
        <v>3906</v>
      </c>
      <c r="C835" s="1060" t="s">
        <v>3907</v>
      </c>
      <c r="D835" s="742" t="s">
        <v>3787</v>
      </c>
      <c r="E835" s="742" t="s">
        <v>3650</v>
      </c>
      <c r="F835" s="742" t="s">
        <v>3651</v>
      </c>
    </row>
    <row r="836" spans="1:6">
      <c r="A836" s="7" t="s">
        <v>3908</v>
      </c>
      <c r="B836" s="6">
        <v>0</v>
      </c>
      <c r="C836" s="6">
        <v>0</v>
      </c>
      <c r="D836" s="1081">
        <v>156.15195149677908</v>
      </c>
      <c r="E836" s="538">
        <v>40</v>
      </c>
      <c r="F836" s="538">
        <v>37</v>
      </c>
    </row>
    <row r="839" spans="1:6">
      <c r="A839" s="1061" t="s">
        <v>3762</v>
      </c>
      <c r="B839" s="1061" t="s">
        <v>3909</v>
      </c>
      <c r="C839" s="1061"/>
      <c r="D839" s="1061"/>
      <c r="E839" s="1061"/>
      <c r="F839" s="1061"/>
    </row>
    <row r="840" spans="1:6">
      <c r="A840" s="1080">
        <v>15</v>
      </c>
      <c r="B840" s="1060" t="s">
        <v>3906</v>
      </c>
      <c r="C840" s="1060" t="s">
        <v>3907</v>
      </c>
      <c r="D840" s="742" t="s">
        <v>3787</v>
      </c>
      <c r="E840" s="742" t="s">
        <v>3650</v>
      </c>
      <c r="F840" s="742" t="s">
        <v>3651</v>
      </c>
    </row>
    <row r="841" spans="1:6">
      <c r="A841" s="7" t="s">
        <v>3910</v>
      </c>
      <c r="B841" s="6">
        <v>0</v>
      </c>
      <c r="C841" s="6">
        <v>4</v>
      </c>
      <c r="D841" s="1082">
        <v>11.076325757575759</v>
      </c>
      <c r="E841" s="538">
        <v>45</v>
      </c>
      <c r="F841" s="538">
        <v>40</v>
      </c>
    </row>
    <row r="844" spans="1:6">
      <c r="A844" s="7"/>
      <c r="B844" s="6" t="s">
        <v>3911</v>
      </c>
      <c r="C844" s="7" t="s">
        <v>3912</v>
      </c>
      <c r="D844" s="1082">
        <v>5.8824365289882534</v>
      </c>
      <c r="E844" s="6" t="s">
        <v>774</v>
      </c>
    </row>
    <row r="845" spans="1:6">
      <c r="A845" s="7"/>
      <c r="B845" s="6" t="s">
        <v>3913</v>
      </c>
      <c r="C845" s="7" t="s">
        <v>3914</v>
      </c>
      <c r="D845" s="1082">
        <v>37.433687002652519</v>
      </c>
      <c r="E845" s="6" t="s">
        <v>774</v>
      </c>
    </row>
    <row r="848" spans="1:6">
      <c r="A848" s="1061" t="s">
        <v>3660</v>
      </c>
      <c r="B848" s="1061" t="s">
        <v>3915</v>
      </c>
      <c r="C848" s="1061"/>
      <c r="D848" s="1061" t="s">
        <v>3661</v>
      </c>
      <c r="E848" s="1061" t="s">
        <v>3650</v>
      </c>
    </row>
    <row r="849" spans="1:6">
      <c r="A849" s="1099">
        <v>3</v>
      </c>
      <c r="B849" s="6" t="s">
        <v>3916</v>
      </c>
      <c r="C849" s="7" t="s">
        <v>3918</v>
      </c>
      <c r="D849" s="1082">
        <v>13.583080712391057</v>
      </c>
      <c r="E849" s="6" t="s">
        <v>774</v>
      </c>
    </row>
    <row r="852" spans="1:6">
      <c r="A852" s="1099">
        <v>3</v>
      </c>
      <c r="B852" s="6" t="s">
        <v>3916</v>
      </c>
      <c r="C852" s="7" t="s">
        <v>3917</v>
      </c>
      <c r="D852" s="1082">
        <v>13.583080712391057</v>
      </c>
      <c r="E852" s="6" t="s">
        <v>774</v>
      </c>
    </row>
    <row r="853" spans="1:6">
      <c r="A853" s="7"/>
      <c r="B853" s="6" t="s">
        <v>3911</v>
      </c>
      <c r="C853" s="7" t="s">
        <v>3919</v>
      </c>
      <c r="D853" s="1082">
        <v>5.8824365289882534</v>
      </c>
      <c r="E853" s="6" t="s">
        <v>774</v>
      </c>
    </row>
    <row r="856" spans="1:6">
      <c r="A856" s="1061" t="s">
        <v>3660</v>
      </c>
      <c r="B856" s="1061" t="s">
        <v>3068</v>
      </c>
      <c r="C856" s="1061"/>
      <c r="D856" s="1061"/>
      <c r="E856" s="1061"/>
      <c r="F856" s="1061"/>
    </row>
    <row r="857" spans="1:6">
      <c r="A857" s="1080">
        <v>3</v>
      </c>
      <c r="B857" s="1060" t="s">
        <v>3768</v>
      </c>
      <c r="C857" s="1060" t="s">
        <v>3769</v>
      </c>
      <c r="D857" s="742" t="s">
        <v>3787</v>
      </c>
      <c r="E857" s="742" t="s">
        <v>3650</v>
      </c>
      <c r="F857" s="742" t="s">
        <v>3651</v>
      </c>
    </row>
    <row r="858" spans="1:6">
      <c r="A858" s="7" t="s">
        <v>3920</v>
      </c>
      <c r="B858" s="6">
        <v>0</v>
      </c>
      <c r="C858" s="6">
        <v>1000</v>
      </c>
      <c r="D858" s="1081">
        <v>1550.8241758241759</v>
      </c>
      <c r="E858" s="538">
        <v>40</v>
      </c>
      <c r="F858" s="538">
        <v>37</v>
      </c>
    </row>
    <row r="859" spans="1:6">
      <c r="A859" s="7"/>
      <c r="B859" s="6">
        <v>1001</v>
      </c>
      <c r="C859" s="6">
        <v>1250</v>
      </c>
      <c r="D859" s="1081">
        <v>1577.5625236832134</v>
      </c>
      <c r="E859" s="538">
        <v>40</v>
      </c>
      <c r="F859" s="538">
        <v>37</v>
      </c>
    </row>
    <row r="860" spans="1:6">
      <c r="A860" s="7"/>
      <c r="B860" s="6">
        <v>1251</v>
      </c>
      <c r="C860" s="6">
        <v>1500</v>
      </c>
      <c r="D860" s="1081">
        <v>2085.5911330049262</v>
      </c>
      <c r="E860" s="538">
        <v>40</v>
      </c>
      <c r="F860" s="538">
        <v>37</v>
      </c>
    </row>
    <row r="861" spans="1:6">
      <c r="A861" s="7"/>
      <c r="B861" s="6">
        <v>1501</v>
      </c>
      <c r="C861" s="6">
        <v>2000</v>
      </c>
      <c r="D861" s="1081">
        <v>2754.049829480864</v>
      </c>
      <c r="E861" s="538">
        <v>40</v>
      </c>
      <c r="F861" s="538">
        <v>37</v>
      </c>
    </row>
    <row r="862" spans="1:6">
      <c r="A862" s="7"/>
      <c r="B862" s="6">
        <v>2001</v>
      </c>
      <c r="C862" s="6">
        <v>2500</v>
      </c>
      <c r="D862" s="1081">
        <v>3369.0318302387268</v>
      </c>
      <c r="E862" s="538">
        <v>40</v>
      </c>
      <c r="F862" s="538">
        <v>37</v>
      </c>
    </row>
    <row r="863" spans="1:6">
      <c r="A863" s="7"/>
      <c r="B863" s="6">
        <v>2501</v>
      </c>
      <c r="C863" s="6">
        <v>4000</v>
      </c>
      <c r="D863" s="1081">
        <v>7112.4005305039791</v>
      </c>
      <c r="E863" s="538">
        <v>40</v>
      </c>
      <c r="F863" s="538">
        <v>37</v>
      </c>
    </row>
    <row r="864" spans="1:6">
      <c r="A864" s="7"/>
      <c r="B864" s="6">
        <v>4001</v>
      </c>
      <c r="C864" s="6">
        <v>5000</v>
      </c>
      <c r="D864" s="1081">
        <v>13796.987495263358</v>
      </c>
      <c r="E864" s="538">
        <v>40</v>
      </c>
      <c r="F864" s="538">
        <v>37</v>
      </c>
    </row>
    <row r="865" spans="1:6">
      <c r="A865" s="7"/>
      <c r="B865" s="6">
        <v>5001</v>
      </c>
      <c r="C865" s="6">
        <v>15000</v>
      </c>
      <c r="D865" s="1081">
        <v>28663.508904888215</v>
      </c>
      <c r="E865" s="538">
        <v>40</v>
      </c>
      <c r="F865" s="538">
        <v>37</v>
      </c>
    </row>
    <row r="866" spans="1:6">
      <c r="A866" s="7"/>
      <c r="B866" s="6">
        <v>15001</v>
      </c>
      <c r="C866" s="6">
        <v>25000</v>
      </c>
      <c r="D866" s="1081">
        <v>54546.229632436531</v>
      </c>
      <c r="E866" s="538">
        <v>40</v>
      </c>
      <c r="F866" s="538">
        <v>37</v>
      </c>
    </row>
    <row r="867" spans="1:6">
      <c r="A867" s="7"/>
      <c r="B867" s="6">
        <v>25001</v>
      </c>
      <c r="C867" s="6">
        <v>40000</v>
      </c>
      <c r="D867" s="1081">
        <v>70054.471390678285</v>
      </c>
      <c r="E867" s="538">
        <v>40</v>
      </c>
      <c r="F867" s="538">
        <v>37</v>
      </c>
    </row>
    <row r="868" spans="1:6">
      <c r="A868" s="7"/>
      <c r="B868" s="6">
        <v>40001</v>
      </c>
      <c r="C868" s="6">
        <v>50000</v>
      </c>
      <c r="D868" s="1081">
        <v>82888.878363016294</v>
      </c>
      <c r="E868" s="538">
        <v>40</v>
      </c>
      <c r="F868" s="538">
        <v>37</v>
      </c>
    </row>
    <row r="869" spans="1:6">
      <c r="A869" s="7"/>
      <c r="B869" s="6">
        <v>50001</v>
      </c>
      <c r="C869" s="6">
        <v>75000</v>
      </c>
      <c r="D869" s="1081">
        <v>123531.16710875332</v>
      </c>
      <c r="E869" s="538">
        <v>40</v>
      </c>
      <c r="F869" s="538">
        <v>37</v>
      </c>
    </row>
    <row r="870" spans="1:6">
      <c r="A870" s="7"/>
      <c r="B870" s="6">
        <v>75001</v>
      </c>
      <c r="C870" s="6">
        <v>100000</v>
      </c>
      <c r="D870" s="1081">
        <v>167382.05759757484</v>
      </c>
      <c r="E870" s="538">
        <v>40</v>
      </c>
      <c r="F870" s="538">
        <v>37</v>
      </c>
    </row>
    <row r="871" spans="1:6">
      <c r="A871" s="7"/>
      <c r="B871" s="6">
        <v>100001</v>
      </c>
      <c r="C871" s="6" t="s">
        <v>3658</v>
      </c>
      <c r="D871" s="1081" t="s">
        <v>3658</v>
      </c>
      <c r="E871" s="538">
        <v>40</v>
      </c>
      <c r="F871" s="538">
        <v>37</v>
      </c>
    </row>
    <row r="874" spans="1:6">
      <c r="A874" s="1080">
        <v>3</v>
      </c>
      <c r="B874" s="1060"/>
      <c r="C874" s="1060"/>
      <c r="D874" s="1060" t="s">
        <v>3787</v>
      </c>
      <c r="E874" s="1060" t="s">
        <v>3650</v>
      </c>
    </row>
    <row r="875" spans="1:6">
      <c r="A875" s="7" t="s">
        <v>3922</v>
      </c>
      <c r="B875" s="6" t="s">
        <v>3921</v>
      </c>
      <c r="C875" s="7" t="s">
        <v>3922</v>
      </c>
      <c r="D875" s="1082">
        <v>12.406593406593407</v>
      </c>
      <c r="E875" s="6" t="s">
        <v>3662</v>
      </c>
    </row>
    <row r="878" spans="1:6">
      <c r="A878" s="1061" t="s">
        <v>3743</v>
      </c>
      <c r="B878" s="1061" t="s">
        <v>3923</v>
      </c>
      <c r="C878" s="1061"/>
      <c r="D878" s="1061"/>
      <c r="E878" s="1061"/>
      <c r="F878" s="1061"/>
    </row>
    <row r="879" spans="1:6">
      <c r="A879" s="1080">
        <v>35</v>
      </c>
      <c r="B879" s="1060" t="s">
        <v>3745</v>
      </c>
      <c r="C879" s="1060" t="s">
        <v>3746</v>
      </c>
      <c r="D879" s="742" t="s">
        <v>3657</v>
      </c>
      <c r="E879" s="1060" t="s">
        <v>3650</v>
      </c>
      <c r="F879" s="1060" t="s">
        <v>3651</v>
      </c>
    </row>
    <row r="880" spans="1:6">
      <c r="A880" s="7" t="s">
        <v>3924</v>
      </c>
      <c r="B880" s="6">
        <v>0</v>
      </c>
      <c r="C880" s="6">
        <v>0.5</v>
      </c>
      <c r="D880" s="1081">
        <v>290.01541080475738</v>
      </c>
      <c r="E880" s="6">
        <v>25</v>
      </c>
      <c r="F880" s="6">
        <v>20</v>
      </c>
    </row>
    <row r="881" spans="1:6">
      <c r="A881" s="7"/>
      <c r="B881" s="6">
        <v>0.6</v>
      </c>
      <c r="C881" s="6">
        <v>0.75</v>
      </c>
      <c r="D881" s="1081">
        <v>271.18613139554441</v>
      </c>
      <c r="E881" s="6">
        <v>25</v>
      </c>
      <c r="F881" s="6">
        <v>20</v>
      </c>
    </row>
    <row r="882" spans="1:6">
      <c r="A882" s="7"/>
      <c r="B882" s="6">
        <v>0.76</v>
      </c>
      <c r="C882" s="6">
        <v>1</v>
      </c>
      <c r="D882" s="1081">
        <v>501.56303271382831</v>
      </c>
      <c r="E882" s="6">
        <v>25</v>
      </c>
      <c r="F882" s="6">
        <v>20</v>
      </c>
    </row>
    <row r="883" spans="1:6">
      <c r="A883" s="7"/>
      <c r="B883" s="6">
        <v>1.1000000000000001</v>
      </c>
      <c r="C883" s="6">
        <v>1.5</v>
      </c>
      <c r="D883" s="1081">
        <v>773.638993380648</v>
      </c>
      <c r="E883" s="6">
        <v>25</v>
      </c>
      <c r="F883" s="6">
        <v>20</v>
      </c>
    </row>
    <row r="884" spans="1:6">
      <c r="A884" s="7"/>
      <c r="B884" s="6">
        <v>1.6</v>
      </c>
      <c r="C884" s="6">
        <v>2</v>
      </c>
      <c r="D884" s="1081">
        <v>831.15579717429205</v>
      </c>
      <c r="E884" s="6">
        <v>25</v>
      </c>
      <c r="F884" s="6">
        <v>20</v>
      </c>
    </row>
    <row r="885" spans="1:6">
      <c r="A885" s="7"/>
      <c r="B885" s="6">
        <v>2.1</v>
      </c>
      <c r="C885" s="6">
        <v>2.5</v>
      </c>
      <c r="D885" s="1081">
        <v>810.59811094879706</v>
      </c>
      <c r="E885" s="6">
        <v>25</v>
      </c>
      <c r="F885" s="6">
        <v>20</v>
      </c>
    </row>
    <row r="886" spans="1:6">
      <c r="A886" s="7"/>
      <c r="B886" s="6">
        <v>2.6</v>
      </c>
      <c r="C886" s="6">
        <v>3</v>
      </c>
      <c r="D886" s="1081">
        <v>2152.4263572466148</v>
      </c>
      <c r="E886" s="6">
        <v>25</v>
      </c>
      <c r="F886" s="6">
        <v>20</v>
      </c>
    </row>
    <row r="887" spans="1:6">
      <c r="A887" s="7"/>
      <c r="B887" s="6">
        <v>3.1</v>
      </c>
      <c r="C887" s="6">
        <v>4</v>
      </c>
      <c r="D887" s="1081">
        <v>2937.1221874453986</v>
      </c>
      <c r="E887" s="6">
        <v>25</v>
      </c>
      <c r="F887" s="6">
        <v>20</v>
      </c>
    </row>
    <row r="888" spans="1:6">
      <c r="A888" s="7"/>
      <c r="B888" s="6">
        <v>4.0999999999999996</v>
      </c>
      <c r="C888" s="6">
        <v>6</v>
      </c>
      <c r="D888" s="1081">
        <v>3158.4666687873764</v>
      </c>
      <c r="E888" s="6">
        <v>25</v>
      </c>
      <c r="F888" s="6">
        <v>20</v>
      </c>
    </row>
    <row r="889" spans="1:6">
      <c r="A889" s="7"/>
      <c r="B889" s="6">
        <v>6.1</v>
      </c>
      <c r="C889" s="6">
        <v>8</v>
      </c>
      <c r="D889" s="1081">
        <v>4841.2387467025665</v>
      </c>
      <c r="E889" s="6">
        <v>25</v>
      </c>
      <c r="F889" s="6">
        <v>20</v>
      </c>
    </row>
    <row r="890" spans="1:6">
      <c r="A890" s="7"/>
      <c r="B890" s="6">
        <v>8.1</v>
      </c>
      <c r="C890" s="6">
        <v>10</v>
      </c>
      <c r="D890" s="1081">
        <v>4791.3957054389175</v>
      </c>
      <c r="E890" s="6">
        <v>25</v>
      </c>
      <c r="F890" s="6">
        <v>20</v>
      </c>
    </row>
    <row r="891" spans="1:6">
      <c r="A891" s="7"/>
      <c r="B891" s="6">
        <v>10.1</v>
      </c>
      <c r="C891" s="6">
        <v>12</v>
      </c>
      <c r="D891" s="1081">
        <v>7330.9868053155278</v>
      </c>
      <c r="E891" s="6">
        <v>25</v>
      </c>
      <c r="F891" s="6">
        <v>20</v>
      </c>
    </row>
    <row r="892" spans="1:6">
      <c r="A892" s="1068"/>
      <c r="B892" s="6">
        <v>12.1</v>
      </c>
      <c r="C892" s="6">
        <v>14</v>
      </c>
      <c r="D892" s="1081">
        <v>9770.562248975255</v>
      </c>
      <c r="E892" s="6">
        <v>25</v>
      </c>
      <c r="F892" s="6">
        <v>20</v>
      </c>
    </row>
    <row r="893" spans="1:6">
      <c r="A893" s="1068"/>
      <c r="B893" s="6">
        <v>14.1</v>
      </c>
      <c r="C893" s="6">
        <v>16</v>
      </c>
      <c r="D893" s="1081">
        <v>12868.405806842762</v>
      </c>
      <c r="E893" s="6">
        <v>25</v>
      </c>
      <c r="F893" s="6">
        <v>20</v>
      </c>
    </row>
    <row r="894" spans="1:6">
      <c r="A894" s="1068"/>
      <c r="B894" s="6">
        <v>16.100000000000001</v>
      </c>
      <c r="C894" s="6">
        <v>18</v>
      </c>
      <c r="D894" s="1081">
        <v>15391.00528818927</v>
      </c>
      <c r="E894" s="6">
        <v>25</v>
      </c>
      <c r="F894" s="6">
        <v>20</v>
      </c>
    </row>
    <row r="895" spans="1:6">
      <c r="A895" s="1068"/>
      <c r="B895" s="6">
        <v>18.100000000000001</v>
      </c>
      <c r="C895" s="6">
        <v>20</v>
      </c>
      <c r="D895" s="1081">
        <v>20302.83987406017</v>
      </c>
      <c r="E895" s="6">
        <v>25</v>
      </c>
      <c r="F895" s="6">
        <v>20</v>
      </c>
    </row>
    <row r="896" spans="1:6">
      <c r="A896" s="1068"/>
      <c r="B896" s="6">
        <v>20.100000000000001</v>
      </c>
      <c r="C896" s="6">
        <v>24</v>
      </c>
      <c r="D896" s="1081">
        <v>30901.137716062232</v>
      </c>
      <c r="E896" s="6">
        <v>25</v>
      </c>
      <c r="F896" s="6">
        <v>20</v>
      </c>
    </row>
    <row r="897" spans="1:6">
      <c r="A897" s="1068"/>
      <c r="B897" s="6">
        <v>24.1</v>
      </c>
      <c r="C897" s="6">
        <v>30</v>
      </c>
      <c r="D897" s="1081">
        <v>42506.043999802758</v>
      </c>
      <c r="E897" s="6">
        <v>25</v>
      </c>
      <c r="F897" s="6">
        <v>20</v>
      </c>
    </row>
    <row r="898" spans="1:6">
      <c r="A898" s="1068"/>
      <c r="B898" s="6">
        <v>30.1</v>
      </c>
      <c r="C898" s="6">
        <v>36</v>
      </c>
      <c r="D898" s="1081">
        <v>50899.818737194953</v>
      </c>
      <c r="E898" s="6">
        <v>25</v>
      </c>
      <c r="F898" s="6">
        <v>20</v>
      </c>
    </row>
    <row r="899" spans="1:6">
      <c r="A899" s="1068"/>
      <c r="B899" s="6">
        <v>36.1</v>
      </c>
      <c r="C899" s="6">
        <v>42</v>
      </c>
      <c r="D899" s="1081">
        <v>69086.330668211376</v>
      </c>
      <c r="E899" s="6">
        <v>25</v>
      </c>
      <c r="F899" s="6">
        <v>20</v>
      </c>
    </row>
    <row r="900" spans="1:6">
      <c r="A900" s="1068"/>
      <c r="B900" s="6">
        <v>42.1</v>
      </c>
      <c r="C900" s="6">
        <v>48</v>
      </c>
      <c r="D900" s="1081">
        <v>83075.955230531705</v>
      </c>
      <c r="E900" s="6">
        <v>25</v>
      </c>
      <c r="F900" s="6">
        <v>20</v>
      </c>
    </row>
    <row r="901" spans="1:6">
      <c r="A901" s="7"/>
      <c r="B901" s="6">
        <v>48.1</v>
      </c>
      <c r="C901" s="6" t="s">
        <v>3658</v>
      </c>
      <c r="D901" s="1081" t="s">
        <v>3658</v>
      </c>
      <c r="E901" s="6">
        <v>25</v>
      </c>
      <c r="F901" s="6">
        <v>20</v>
      </c>
    </row>
    <row r="904" spans="1:6">
      <c r="A904" s="1061" t="s">
        <v>3766</v>
      </c>
      <c r="B904" s="1061" t="s">
        <v>3925</v>
      </c>
      <c r="C904" s="1061"/>
      <c r="D904" s="1061"/>
      <c r="E904" s="1061"/>
      <c r="F904" s="1061"/>
    </row>
    <row r="905" spans="1:6">
      <c r="A905" s="1080">
        <v>23</v>
      </c>
      <c r="B905" s="1060" t="s">
        <v>3768</v>
      </c>
      <c r="C905" s="1060" t="s">
        <v>3769</v>
      </c>
      <c r="D905" s="1060" t="s">
        <v>3657</v>
      </c>
      <c r="E905" s="1060" t="s">
        <v>3650</v>
      </c>
      <c r="F905" s="1060" t="s">
        <v>3651</v>
      </c>
    </row>
    <row r="906" spans="1:6">
      <c r="A906" s="7" t="s">
        <v>3926</v>
      </c>
      <c r="B906" s="6">
        <v>0</v>
      </c>
      <c r="C906" s="538">
        <v>1100</v>
      </c>
      <c r="D906" s="1100">
        <v>8294.0569751652856</v>
      </c>
      <c r="E906" s="6">
        <v>35</v>
      </c>
      <c r="F906" s="6">
        <v>30</v>
      </c>
    </row>
    <row r="907" spans="1:6">
      <c r="A907" s="7"/>
      <c r="B907" s="6">
        <v>1101</v>
      </c>
      <c r="C907" s="538">
        <v>2400</v>
      </c>
      <c r="D907" s="1100">
        <v>10677.646592648283</v>
      </c>
      <c r="E907" s="6">
        <v>35</v>
      </c>
      <c r="F907" s="6">
        <v>30</v>
      </c>
    </row>
    <row r="908" spans="1:6">
      <c r="A908" s="7"/>
      <c r="B908" s="6">
        <v>2401</v>
      </c>
      <c r="C908" s="538">
        <v>3000</v>
      </c>
      <c r="D908" s="1100">
        <v>12355.384968861948</v>
      </c>
      <c r="E908" s="6">
        <v>35</v>
      </c>
      <c r="F908" s="6">
        <v>30</v>
      </c>
    </row>
    <row r="909" spans="1:6">
      <c r="A909" s="7"/>
      <c r="B909" s="6">
        <v>3001</v>
      </c>
      <c r="C909" s="538">
        <v>4300</v>
      </c>
      <c r="D909" s="1100">
        <v>17082.526204545051</v>
      </c>
      <c r="E909" s="6">
        <v>35</v>
      </c>
      <c r="F909" s="6">
        <v>30</v>
      </c>
    </row>
    <row r="910" spans="1:6">
      <c r="A910" s="7"/>
      <c r="B910" s="6">
        <v>4301</v>
      </c>
      <c r="C910" s="538">
        <v>5100</v>
      </c>
      <c r="D910" s="1100">
        <v>18384.139620121667</v>
      </c>
      <c r="E910" s="6">
        <v>35</v>
      </c>
      <c r="F910" s="6">
        <v>30</v>
      </c>
    </row>
    <row r="911" spans="1:6">
      <c r="A911" s="7"/>
      <c r="B911" s="6">
        <v>5101</v>
      </c>
      <c r="C911" s="538">
        <v>6100</v>
      </c>
      <c r="D911" s="1100">
        <v>21497.26315859428</v>
      </c>
      <c r="E911" s="6">
        <v>35</v>
      </c>
      <c r="F911" s="6">
        <v>30</v>
      </c>
    </row>
    <row r="912" spans="1:6">
      <c r="A912" s="7"/>
      <c r="B912" s="6">
        <v>6101</v>
      </c>
      <c r="C912" s="538">
        <v>8000</v>
      </c>
      <c r="D912" s="1100">
        <v>28406.552260602472</v>
      </c>
      <c r="E912" s="6">
        <v>35</v>
      </c>
      <c r="F912" s="6">
        <v>30</v>
      </c>
    </row>
    <row r="913" spans="1:6">
      <c r="A913" s="7"/>
      <c r="B913" s="6">
        <v>8001</v>
      </c>
      <c r="C913" s="538">
        <v>10000</v>
      </c>
      <c r="D913" s="1100">
        <v>34450.686789720763</v>
      </c>
      <c r="E913" s="6">
        <v>35</v>
      </c>
      <c r="F913" s="6">
        <v>30</v>
      </c>
    </row>
    <row r="914" spans="1:6">
      <c r="A914" s="7"/>
      <c r="B914" s="6">
        <v>10001</v>
      </c>
      <c r="C914" s="538">
        <v>30000</v>
      </c>
      <c r="D914" s="1100">
        <v>81533.814790523902</v>
      </c>
      <c r="E914" s="6">
        <v>35</v>
      </c>
      <c r="F914" s="6">
        <v>30</v>
      </c>
    </row>
    <row r="915" spans="1:6">
      <c r="A915" s="7"/>
      <c r="B915" s="6">
        <v>30001</v>
      </c>
      <c r="C915" s="538" t="s">
        <v>3658</v>
      </c>
      <c r="D915" s="1100" t="s">
        <v>3658</v>
      </c>
      <c r="E915" s="6">
        <v>35</v>
      </c>
      <c r="F915" s="6">
        <v>30</v>
      </c>
    </row>
    <row r="918" spans="1:6">
      <c r="A918" s="1061" t="s">
        <v>3653</v>
      </c>
      <c r="B918" s="1061" t="s">
        <v>3927</v>
      </c>
      <c r="C918" s="1061"/>
      <c r="D918" s="1061"/>
      <c r="E918" s="1061"/>
      <c r="F918" s="1061"/>
    </row>
    <row r="919" spans="1:6">
      <c r="A919" s="1080">
        <v>30</v>
      </c>
      <c r="B919" s="1060" t="s">
        <v>3894</v>
      </c>
      <c r="C919" s="1060" t="s">
        <v>3895</v>
      </c>
      <c r="D919" s="742" t="s">
        <v>3657</v>
      </c>
      <c r="E919" s="1060" t="s">
        <v>3650</v>
      </c>
      <c r="F919" s="1060" t="s">
        <v>3651</v>
      </c>
    </row>
    <row r="920" spans="1:6">
      <c r="A920" s="7" t="s">
        <v>3928</v>
      </c>
      <c r="B920" s="6">
        <v>0</v>
      </c>
      <c r="C920" s="6">
        <v>0.13</v>
      </c>
      <c r="D920" s="1081">
        <v>1021.8098342219536</v>
      </c>
      <c r="E920" s="6">
        <v>20</v>
      </c>
      <c r="F920" s="6">
        <v>15</v>
      </c>
    </row>
    <row r="921" spans="1:6">
      <c r="A921" s="7"/>
      <c r="B921" s="6">
        <v>0.14000000000000001</v>
      </c>
      <c r="C921" s="6">
        <v>0.25</v>
      </c>
      <c r="D921" s="1081">
        <v>1470.6689468301952</v>
      </c>
      <c r="E921" s="6">
        <v>20</v>
      </c>
      <c r="F921" s="6">
        <v>15</v>
      </c>
    </row>
    <row r="922" spans="1:6">
      <c r="A922" s="7"/>
      <c r="B922" s="6">
        <v>0.26</v>
      </c>
      <c r="C922" s="6">
        <v>0.5</v>
      </c>
      <c r="D922" s="1081">
        <v>1252.5125736094362</v>
      </c>
      <c r="E922" s="6">
        <v>20</v>
      </c>
      <c r="F922" s="6">
        <v>15</v>
      </c>
    </row>
    <row r="923" spans="1:6">
      <c r="A923" s="7"/>
      <c r="B923" s="6">
        <v>0.51</v>
      </c>
      <c r="C923" s="6">
        <v>0.85</v>
      </c>
      <c r="D923" s="1081">
        <v>1787.6263045121459</v>
      </c>
      <c r="E923" s="6">
        <v>20</v>
      </c>
      <c r="F923" s="6">
        <v>15</v>
      </c>
    </row>
    <row r="924" spans="1:6">
      <c r="A924" s="7"/>
      <c r="B924" s="6">
        <v>0.86</v>
      </c>
      <c r="C924" s="6">
        <v>1</v>
      </c>
      <c r="D924" s="1081">
        <v>1217.1558319408566</v>
      </c>
      <c r="E924" s="6">
        <v>20</v>
      </c>
      <c r="F924" s="6">
        <v>15</v>
      </c>
    </row>
    <row r="925" spans="1:6">
      <c r="A925" s="7"/>
      <c r="B925" s="6">
        <v>1.01</v>
      </c>
      <c r="C925" s="6">
        <v>1.3</v>
      </c>
      <c r="D925" s="1081">
        <v>2187.8962829542011</v>
      </c>
      <c r="E925" s="6">
        <v>20</v>
      </c>
      <c r="F925" s="6">
        <v>15</v>
      </c>
    </row>
    <row r="926" spans="1:6">
      <c r="A926" s="7"/>
      <c r="B926" s="6">
        <v>1.31</v>
      </c>
      <c r="C926" s="6">
        <v>1.75</v>
      </c>
      <c r="D926" s="1081">
        <v>1836.9410434513811</v>
      </c>
      <c r="E926" s="6">
        <v>20</v>
      </c>
      <c r="F926" s="6">
        <v>15</v>
      </c>
    </row>
    <row r="927" spans="1:6">
      <c r="A927" s="7"/>
      <c r="B927" s="6">
        <v>1.76</v>
      </c>
      <c r="C927" s="6">
        <v>2.5</v>
      </c>
      <c r="D927" s="1081">
        <v>1870.4705803732825</v>
      </c>
      <c r="E927" s="6">
        <v>20</v>
      </c>
      <c r="F927" s="6">
        <v>15</v>
      </c>
    </row>
    <row r="928" spans="1:6">
      <c r="A928" s="7"/>
      <c r="B928" s="6">
        <v>2.5099999999999998</v>
      </c>
      <c r="C928" s="6">
        <v>3.17</v>
      </c>
      <c r="D928" s="1081">
        <v>1785.5154542632754</v>
      </c>
      <c r="E928" s="6">
        <v>20</v>
      </c>
      <c r="F928" s="6">
        <v>15</v>
      </c>
    </row>
    <row r="929" spans="1:6">
      <c r="A929" s="7"/>
      <c r="B929" s="6">
        <v>3.1799999999999997</v>
      </c>
      <c r="C929" s="6">
        <v>4</v>
      </c>
      <c r="D929" s="1081">
        <v>2187.8962829542011</v>
      </c>
      <c r="E929" s="6">
        <v>20</v>
      </c>
      <c r="F929" s="6">
        <v>15</v>
      </c>
    </row>
    <row r="930" spans="1:6">
      <c r="A930" s="7"/>
      <c r="B930" s="6">
        <v>4.01</v>
      </c>
      <c r="C930" s="6">
        <v>5</v>
      </c>
      <c r="D930" s="1081">
        <v>2407.6885651178345</v>
      </c>
      <c r="E930" s="6">
        <v>20</v>
      </c>
      <c r="F930" s="6">
        <v>15</v>
      </c>
    </row>
    <row r="931" spans="1:6">
      <c r="A931" s="7"/>
      <c r="B931" s="6">
        <v>5.01</v>
      </c>
      <c r="C931" s="6">
        <v>5.93</v>
      </c>
      <c r="D931" s="1081">
        <v>2407.6885651178345</v>
      </c>
      <c r="E931" s="6">
        <v>20</v>
      </c>
      <c r="F931" s="6">
        <v>15</v>
      </c>
    </row>
    <row r="932" spans="1:6">
      <c r="A932" s="7"/>
      <c r="B932" s="6">
        <v>5.9399999999999995</v>
      </c>
      <c r="C932" s="6">
        <v>8</v>
      </c>
      <c r="D932" s="1081">
        <v>2399.2451641223533</v>
      </c>
      <c r="E932" s="6">
        <v>20</v>
      </c>
      <c r="F932" s="6">
        <v>15</v>
      </c>
    </row>
    <row r="933" spans="1:6">
      <c r="A933" s="7"/>
      <c r="B933" s="6">
        <v>8.01</v>
      </c>
      <c r="C933" s="6">
        <v>16.940000000000001</v>
      </c>
      <c r="D933" s="1081">
        <v>3436.7280614421697</v>
      </c>
      <c r="E933" s="6">
        <v>20</v>
      </c>
      <c r="F933" s="6">
        <v>15</v>
      </c>
    </row>
    <row r="934" spans="1:6">
      <c r="A934" s="7"/>
      <c r="B934" s="6">
        <v>16.950000000000003</v>
      </c>
      <c r="C934" s="6">
        <v>20</v>
      </c>
      <c r="D934" s="1081">
        <v>3397.545403697512</v>
      </c>
      <c r="E934" s="6">
        <v>20</v>
      </c>
      <c r="F934" s="6">
        <v>15</v>
      </c>
    </row>
    <row r="935" spans="1:6">
      <c r="A935" s="7"/>
      <c r="B935" s="6">
        <v>20.010000000000002</v>
      </c>
      <c r="C935" s="6">
        <v>25</v>
      </c>
      <c r="D935" s="1081">
        <v>3193.7164265409619</v>
      </c>
      <c r="E935" s="6">
        <v>20</v>
      </c>
      <c r="F935" s="6">
        <v>15</v>
      </c>
    </row>
    <row r="936" spans="1:6">
      <c r="A936" s="7"/>
      <c r="B936" s="6">
        <v>25.01</v>
      </c>
      <c r="C936" s="6">
        <v>55</v>
      </c>
      <c r="D936" s="1081">
        <v>4190.0377440078046</v>
      </c>
      <c r="E936" s="6">
        <v>20</v>
      </c>
      <c r="F936" s="6">
        <v>15</v>
      </c>
    </row>
    <row r="937" spans="1:6">
      <c r="A937" s="7"/>
      <c r="B937" s="6">
        <v>55.01</v>
      </c>
      <c r="C937" s="6">
        <v>71.150000000000006</v>
      </c>
      <c r="D937" s="1081">
        <v>4170.3245730311264</v>
      </c>
      <c r="E937" s="6">
        <v>20</v>
      </c>
      <c r="F937" s="6">
        <v>15</v>
      </c>
    </row>
    <row r="938" spans="1:6">
      <c r="A938" s="7"/>
      <c r="B938" s="6">
        <v>71.160000000000011</v>
      </c>
      <c r="C938" s="6">
        <v>186.35</v>
      </c>
      <c r="D938" s="1081">
        <v>4636.4700891711273</v>
      </c>
      <c r="E938" s="6">
        <v>20</v>
      </c>
      <c r="F938" s="6">
        <v>15</v>
      </c>
    </row>
    <row r="939" spans="1:6">
      <c r="A939" s="7"/>
      <c r="B939" s="6">
        <v>186.35999999999999</v>
      </c>
      <c r="C939" s="6" t="s">
        <v>3658</v>
      </c>
      <c r="D939" s="1081" t="s">
        <v>3658</v>
      </c>
      <c r="E939" s="6">
        <v>20</v>
      </c>
      <c r="F939" s="6">
        <v>15</v>
      </c>
    </row>
    <row r="942" spans="1:6">
      <c r="A942" s="1061" t="s">
        <v>3743</v>
      </c>
      <c r="B942" s="1061" t="s">
        <v>3929</v>
      </c>
      <c r="C942" s="1061"/>
      <c r="D942" s="1061"/>
      <c r="E942" s="1061"/>
      <c r="F942" s="1061"/>
    </row>
    <row r="943" spans="1:6">
      <c r="A943" s="1080">
        <v>35</v>
      </c>
      <c r="B943" s="1060" t="s">
        <v>3745</v>
      </c>
      <c r="C943" s="1060" t="s">
        <v>3746</v>
      </c>
      <c r="D943" s="742" t="s">
        <v>3657</v>
      </c>
      <c r="E943" s="1060" t="s">
        <v>3650</v>
      </c>
      <c r="F943" s="1060" t="s">
        <v>3651</v>
      </c>
    </row>
    <row r="944" spans="1:6">
      <c r="A944" s="7" t="s">
        <v>3930</v>
      </c>
      <c r="B944" s="6">
        <v>0</v>
      </c>
      <c r="C944" s="6">
        <v>1</v>
      </c>
      <c r="D944" s="1081">
        <v>273.73819962872886</v>
      </c>
      <c r="E944" s="6">
        <v>25</v>
      </c>
      <c r="F944" s="6">
        <v>20</v>
      </c>
    </row>
    <row r="945" spans="1:6">
      <c r="A945" s="7"/>
      <c r="B945" s="6">
        <v>1.1000000000000001</v>
      </c>
      <c r="C945" s="6">
        <v>1.5</v>
      </c>
      <c r="D945" s="1081">
        <v>308.72709277326186</v>
      </c>
      <c r="E945" s="6">
        <v>25</v>
      </c>
      <c r="F945" s="6">
        <v>20</v>
      </c>
    </row>
    <row r="946" spans="1:6">
      <c r="A946" s="7"/>
      <c r="B946" s="6">
        <v>1.6</v>
      </c>
      <c r="C946" s="6">
        <v>2</v>
      </c>
      <c r="D946" s="1081">
        <v>353.57159927046263</v>
      </c>
      <c r="E946" s="6">
        <v>25</v>
      </c>
      <c r="F946" s="6">
        <v>20</v>
      </c>
    </row>
    <row r="947" spans="1:6">
      <c r="A947" s="7"/>
      <c r="B947" s="6">
        <v>2.1</v>
      </c>
      <c r="C947" s="6">
        <v>3</v>
      </c>
      <c r="D947" s="1081">
        <v>2502.87360836586</v>
      </c>
      <c r="E947" s="6">
        <v>25</v>
      </c>
      <c r="F947" s="6">
        <v>20</v>
      </c>
    </row>
    <row r="948" spans="1:6">
      <c r="A948" s="7"/>
      <c r="B948" s="6">
        <v>3.1</v>
      </c>
      <c r="C948" s="6">
        <v>4</v>
      </c>
      <c r="D948" s="1081">
        <v>3740.6370418295046</v>
      </c>
      <c r="E948" s="6">
        <v>25</v>
      </c>
      <c r="F948" s="6">
        <v>20</v>
      </c>
    </row>
    <row r="949" spans="1:6">
      <c r="A949" s="7"/>
      <c r="B949" s="6">
        <v>4.0999999999999996</v>
      </c>
      <c r="C949" s="6">
        <v>6</v>
      </c>
      <c r="D949" s="1081">
        <v>5473.1545922115865</v>
      </c>
      <c r="E949" s="6">
        <v>25</v>
      </c>
      <c r="F949" s="6">
        <v>20</v>
      </c>
    </row>
    <row r="950" spans="1:6">
      <c r="A950" s="7"/>
      <c r="B950" s="6">
        <v>6.1</v>
      </c>
      <c r="C950" s="6">
        <v>8</v>
      </c>
      <c r="D950" s="1081">
        <v>6660.036684231969</v>
      </c>
      <c r="E950" s="6">
        <v>25</v>
      </c>
      <c r="F950" s="6">
        <v>20</v>
      </c>
    </row>
    <row r="951" spans="1:6">
      <c r="A951" s="7"/>
      <c r="B951" s="6">
        <v>8.1</v>
      </c>
      <c r="C951" s="6">
        <v>10</v>
      </c>
      <c r="D951" s="1081">
        <v>8641.8978013128562</v>
      </c>
      <c r="E951" s="6">
        <v>25</v>
      </c>
      <c r="F951" s="6">
        <v>20</v>
      </c>
    </row>
    <row r="952" spans="1:6">
      <c r="A952" s="7"/>
      <c r="B952" s="6">
        <v>10.1</v>
      </c>
      <c r="C952" s="6">
        <v>12</v>
      </c>
      <c r="D952" s="1081">
        <v>12384.324661767663</v>
      </c>
      <c r="E952" s="6">
        <v>25</v>
      </c>
      <c r="F952" s="6">
        <v>20</v>
      </c>
    </row>
    <row r="953" spans="1:6">
      <c r="A953" s="7"/>
      <c r="B953" s="6">
        <v>12.1</v>
      </c>
      <c r="C953" s="6" t="s">
        <v>3658</v>
      </c>
      <c r="D953" s="1081" t="s">
        <v>3658</v>
      </c>
      <c r="E953" s="6">
        <v>25</v>
      </c>
      <c r="F953" s="6">
        <v>20</v>
      </c>
    </row>
    <row r="956" spans="1:6">
      <c r="A956" s="1061" t="s">
        <v>3653</v>
      </c>
      <c r="B956" s="1061" t="s">
        <v>3931</v>
      </c>
      <c r="C956" s="1061"/>
      <c r="D956" s="1061"/>
      <c r="E956" s="1061"/>
      <c r="F956" s="1061"/>
    </row>
    <row r="957" spans="1:6">
      <c r="A957" s="1080">
        <v>30</v>
      </c>
      <c r="B957" s="1060" t="s">
        <v>3894</v>
      </c>
      <c r="C957" s="1060" t="s">
        <v>3895</v>
      </c>
      <c r="D957" s="742" t="s">
        <v>3657</v>
      </c>
      <c r="E957" s="1060" t="s">
        <v>3650</v>
      </c>
      <c r="F957" s="1060" t="s">
        <v>3651</v>
      </c>
    </row>
    <row r="958" spans="1:6">
      <c r="A958" s="7" t="s">
        <v>3932</v>
      </c>
      <c r="B958" s="6">
        <v>0</v>
      </c>
      <c r="C958" s="6">
        <v>7</v>
      </c>
      <c r="D958" s="1081">
        <v>3964.9577570786741</v>
      </c>
      <c r="E958" s="6">
        <v>20</v>
      </c>
      <c r="F958" s="6">
        <v>17</v>
      </c>
    </row>
    <row r="959" spans="1:6">
      <c r="A959" s="7"/>
      <c r="B959" s="6">
        <v>7.01</v>
      </c>
      <c r="C959" s="6">
        <v>14</v>
      </c>
      <c r="D959" s="1081">
        <v>4568.3306899749678</v>
      </c>
      <c r="E959" s="6">
        <v>20</v>
      </c>
      <c r="F959" s="6">
        <v>17</v>
      </c>
    </row>
    <row r="960" spans="1:6">
      <c r="A960" s="7"/>
      <c r="B960" s="6">
        <v>14.01</v>
      </c>
      <c r="C960" s="6">
        <v>24</v>
      </c>
      <c r="D960" s="1081">
        <v>4365.4977113457007</v>
      </c>
      <c r="E960" s="6">
        <v>20</v>
      </c>
      <c r="F960" s="6">
        <v>17</v>
      </c>
    </row>
    <row r="961" spans="1:6">
      <c r="A961" s="7"/>
      <c r="B961" s="6">
        <v>24.01</v>
      </c>
      <c r="C961" s="6">
        <v>32.299999999999997</v>
      </c>
      <c r="D961" s="1081">
        <v>4955.9896185975394</v>
      </c>
      <c r="E961" s="6">
        <v>20</v>
      </c>
      <c r="F961" s="6">
        <v>17</v>
      </c>
    </row>
    <row r="962" spans="1:6">
      <c r="A962" s="7"/>
      <c r="B962" s="6">
        <v>32.31</v>
      </c>
      <c r="C962" s="6">
        <v>40.6</v>
      </c>
      <c r="D962" s="1081">
        <v>4982.1720060626521</v>
      </c>
      <c r="E962" s="6">
        <v>20</v>
      </c>
      <c r="F962" s="6">
        <v>17</v>
      </c>
    </row>
    <row r="963" spans="1:6">
      <c r="A963" s="7"/>
      <c r="B963" s="6">
        <v>40.61</v>
      </c>
      <c r="C963" s="6">
        <v>55.5</v>
      </c>
      <c r="D963" s="1081">
        <v>5993.3008618939448</v>
      </c>
      <c r="E963" s="6">
        <v>20</v>
      </c>
      <c r="F963" s="6">
        <v>17</v>
      </c>
    </row>
    <row r="964" spans="1:6">
      <c r="A964" s="7"/>
      <c r="B964" s="6">
        <v>55.51</v>
      </c>
      <c r="C964" s="6">
        <v>61.8</v>
      </c>
      <c r="D964" s="1081">
        <v>5098.1594041305652</v>
      </c>
      <c r="E964" s="6">
        <v>20</v>
      </c>
      <c r="F964" s="6">
        <v>17</v>
      </c>
    </row>
    <row r="965" spans="1:6">
      <c r="A965" s="7"/>
      <c r="B965" s="6">
        <v>61.81</v>
      </c>
      <c r="C965" s="6">
        <v>78.900000000000006</v>
      </c>
      <c r="D965" s="1081">
        <v>5266.630385186837</v>
      </c>
      <c r="E965" s="6">
        <v>20</v>
      </c>
      <c r="F965" s="6">
        <v>17</v>
      </c>
    </row>
    <row r="966" spans="1:6">
      <c r="A966" s="7"/>
      <c r="B966" s="6">
        <v>78.91</v>
      </c>
      <c r="C966" s="6">
        <v>96</v>
      </c>
      <c r="D966" s="1081">
        <v>4508.3114836555469</v>
      </c>
      <c r="E966" s="6">
        <v>20</v>
      </c>
      <c r="F966" s="6">
        <v>17</v>
      </c>
    </row>
    <row r="967" spans="1:6">
      <c r="A967" s="7"/>
      <c r="B967" s="6">
        <v>96.01</v>
      </c>
      <c r="C967" s="6">
        <v>104.6</v>
      </c>
      <c r="D967" s="1081">
        <v>6625.3372230523437</v>
      </c>
      <c r="E967" s="6">
        <v>20</v>
      </c>
      <c r="F967" s="6">
        <v>17</v>
      </c>
    </row>
    <row r="968" spans="1:6">
      <c r="A968" s="7"/>
      <c r="B968" s="6">
        <v>104.61</v>
      </c>
      <c r="C968" s="6">
        <v>125</v>
      </c>
      <c r="D968" s="1081">
        <v>5287.28336066066</v>
      </c>
      <c r="E968" s="6">
        <v>20</v>
      </c>
      <c r="F968" s="6">
        <v>17</v>
      </c>
    </row>
    <row r="969" spans="1:6">
      <c r="A969" s="7"/>
      <c r="B969" s="6">
        <v>125.01</v>
      </c>
      <c r="C969" s="6">
        <v>137.9</v>
      </c>
      <c r="D969" s="1081">
        <v>7227.9671247202787</v>
      </c>
      <c r="E969" s="6">
        <v>20</v>
      </c>
      <c r="F969" s="6">
        <v>17</v>
      </c>
    </row>
    <row r="970" spans="1:6">
      <c r="A970" s="7"/>
      <c r="B970" s="6">
        <v>137.91</v>
      </c>
      <c r="C970" s="6">
        <v>150</v>
      </c>
      <c r="D970" s="1081">
        <v>4677.9331674261675</v>
      </c>
      <c r="E970" s="6">
        <v>20</v>
      </c>
      <c r="F970" s="6">
        <v>17</v>
      </c>
    </row>
    <row r="971" spans="1:6">
      <c r="A971" s="7"/>
      <c r="B971" s="6">
        <v>150.01</v>
      </c>
      <c r="C971" s="6">
        <v>180</v>
      </c>
      <c r="D971" s="1081">
        <v>4828.7079974444969</v>
      </c>
      <c r="E971" s="6">
        <v>20</v>
      </c>
      <c r="F971" s="6">
        <v>17</v>
      </c>
    </row>
    <row r="972" spans="1:6">
      <c r="A972" s="7"/>
      <c r="B972" s="6">
        <v>180.01</v>
      </c>
      <c r="C972" s="6">
        <v>192</v>
      </c>
      <c r="D972" s="1081">
        <v>6851.6036335237459</v>
      </c>
      <c r="E972" s="6">
        <v>20</v>
      </c>
      <c r="F972" s="6">
        <v>17</v>
      </c>
    </row>
    <row r="973" spans="1:6">
      <c r="A973" s="7"/>
      <c r="B973" s="6">
        <v>192.01</v>
      </c>
      <c r="C973" s="6">
        <v>218.7</v>
      </c>
      <c r="D973" s="1081">
        <v>8287.05125396736</v>
      </c>
      <c r="E973" s="6">
        <v>20</v>
      </c>
      <c r="F973" s="6">
        <v>17</v>
      </c>
    </row>
    <row r="974" spans="1:6">
      <c r="A974" s="7"/>
      <c r="B974" s="6">
        <v>218.71</v>
      </c>
      <c r="C974" s="6">
        <v>250</v>
      </c>
      <c r="D974" s="1081">
        <v>6945.8379022852014</v>
      </c>
      <c r="E974" s="6">
        <v>20</v>
      </c>
      <c r="F974" s="6">
        <v>17</v>
      </c>
    </row>
    <row r="975" spans="1:6">
      <c r="A975" s="7"/>
      <c r="B975" s="6">
        <v>250.01</v>
      </c>
      <c r="C975" s="6">
        <v>272.60000000000002</v>
      </c>
      <c r="D975" s="1081">
        <v>8615.257012770493</v>
      </c>
      <c r="E975" s="6">
        <v>20</v>
      </c>
      <c r="F975" s="6">
        <v>17</v>
      </c>
    </row>
    <row r="976" spans="1:6">
      <c r="A976" s="7"/>
      <c r="B976" s="6">
        <v>272.61</v>
      </c>
      <c r="C976" s="6">
        <v>300</v>
      </c>
      <c r="D976" s="1081">
        <v>7021.2253172943656</v>
      </c>
      <c r="E976" s="6">
        <v>20</v>
      </c>
      <c r="F976" s="6">
        <v>17</v>
      </c>
    </row>
    <row r="977" spans="1:6">
      <c r="A977" s="7"/>
      <c r="B977" s="6">
        <v>300.01</v>
      </c>
      <c r="C977" s="6">
        <v>360</v>
      </c>
      <c r="D977" s="1081">
        <v>7172.0001473126949</v>
      </c>
      <c r="E977" s="6">
        <v>20</v>
      </c>
      <c r="F977" s="6">
        <v>17</v>
      </c>
    </row>
    <row r="978" spans="1:6">
      <c r="A978" s="7"/>
      <c r="B978" s="6">
        <v>360.01</v>
      </c>
      <c r="C978" s="6" t="s">
        <v>3658</v>
      </c>
      <c r="D978" s="1081" t="s">
        <v>3658</v>
      </c>
      <c r="E978" s="6">
        <v>20</v>
      </c>
      <c r="F978" s="6">
        <v>17</v>
      </c>
    </row>
    <row r="981" spans="1:6">
      <c r="A981" s="1061" t="s">
        <v>3743</v>
      </c>
      <c r="B981" s="1061" t="s">
        <v>3933</v>
      </c>
      <c r="C981" s="1061"/>
      <c r="D981" s="1061"/>
      <c r="E981" s="1061"/>
      <c r="F981" s="1061"/>
    </row>
    <row r="982" spans="1:6">
      <c r="A982" s="1080">
        <v>35</v>
      </c>
      <c r="B982" s="1060" t="s">
        <v>3745</v>
      </c>
      <c r="C982" s="1060" t="s">
        <v>3746</v>
      </c>
      <c r="D982" s="742" t="s">
        <v>3657</v>
      </c>
      <c r="E982" s="1060" t="s">
        <v>3650</v>
      </c>
      <c r="F982" s="1060" t="s">
        <v>3651</v>
      </c>
    </row>
    <row r="983" spans="1:6">
      <c r="A983" s="7" t="s">
        <v>3934</v>
      </c>
      <c r="B983" s="6">
        <v>0</v>
      </c>
      <c r="C983" s="6">
        <v>1</v>
      </c>
      <c r="D983" s="1081">
        <v>896.29631859504059</v>
      </c>
      <c r="E983" s="6">
        <v>25</v>
      </c>
      <c r="F983" s="6">
        <v>20</v>
      </c>
    </row>
    <row r="984" spans="1:6">
      <c r="A984" s="7"/>
      <c r="B984" s="6">
        <v>1.1000000000000001</v>
      </c>
      <c r="C984" s="6">
        <v>1.5</v>
      </c>
      <c r="D984" s="1081">
        <v>908.54054833323357</v>
      </c>
      <c r="E984" s="6">
        <v>25</v>
      </c>
      <c r="F984" s="6">
        <v>20</v>
      </c>
    </row>
    <row r="985" spans="1:6">
      <c r="A985" s="7"/>
      <c r="B985" s="6">
        <v>1.6</v>
      </c>
      <c r="C985" s="6">
        <v>2</v>
      </c>
      <c r="D985" s="1081">
        <v>934.86564227034819</v>
      </c>
      <c r="E985" s="6">
        <v>25</v>
      </c>
      <c r="F985" s="6">
        <v>20</v>
      </c>
    </row>
    <row r="986" spans="1:6">
      <c r="A986" s="7"/>
      <c r="B986" s="6">
        <v>2.1</v>
      </c>
      <c r="C986" s="6">
        <v>3</v>
      </c>
      <c r="D986" s="1081">
        <v>2442.8614163691632</v>
      </c>
      <c r="E986" s="6">
        <v>25</v>
      </c>
      <c r="F986" s="6">
        <v>20</v>
      </c>
    </row>
    <row r="987" spans="1:6">
      <c r="A987" s="7"/>
      <c r="B987" s="6">
        <v>3.1</v>
      </c>
      <c r="C987" s="6">
        <v>4</v>
      </c>
      <c r="D987" s="1081">
        <v>3739.6413809963801</v>
      </c>
      <c r="E987" s="6">
        <v>25</v>
      </c>
      <c r="F987" s="6">
        <v>20</v>
      </c>
    </row>
    <row r="988" spans="1:6">
      <c r="A988" s="7"/>
      <c r="B988" s="6">
        <v>4.0999999999999996</v>
      </c>
      <c r="C988" s="6">
        <v>6</v>
      </c>
      <c r="D988" s="1081">
        <v>5801.8997662328784</v>
      </c>
      <c r="E988" s="6">
        <v>25</v>
      </c>
      <c r="F988" s="6">
        <v>20</v>
      </c>
    </row>
    <row r="989" spans="1:6">
      <c r="A989" s="7"/>
      <c r="B989" s="6">
        <v>6.1</v>
      </c>
      <c r="C989" s="6">
        <v>8</v>
      </c>
      <c r="D989" s="1081">
        <v>8839.7270217761034</v>
      </c>
      <c r="E989" s="6">
        <v>25</v>
      </c>
      <c r="F989" s="6">
        <v>20</v>
      </c>
    </row>
    <row r="990" spans="1:6">
      <c r="A990" s="7"/>
      <c r="B990" s="6">
        <v>8.1</v>
      </c>
      <c r="C990" s="6">
        <v>14</v>
      </c>
      <c r="D990" s="1081">
        <v>21151.829810794432</v>
      </c>
      <c r="E990" s="6">
        <v>25</v>
      </c>
      <c r="F990" s="6">
        <v>20</v>
      </c>
    </row>
    <row r="991" spans="1:6">
      <c r="A991" s="7"/>
      <c r="B991" s="6">
        <v>14.1</v>
      </c>
      <c r="C991" s="6">
        <v>16</v>
      </c>
      <c r="D991" s="1081">
        <v>24432.805224950796</v>
      </c>
      <c r="E991" s="6">
        <v>25</v>
      </c>
      <c r="F991" s="6">
        <v>20</v>
      </c>
    </row>
    <row r="992" spans="1:6">
      <c r="A992" s="7"/>
      <c r="B992" s="6">
        <v>16.100000000000001</v>
      </c>
      <c r="C992" s="6">
        <v>20</v>
      </c>
      <c r="D992" s="1081">
        <v>40120.430023402849</v>
      </c>
      <c r="E992" s="6">
        <v>25</v>
      </c>
      <c r="F992" s="6">
        <v>20</v>
      </c>
    </row>
    <row r="993" spans="1:6">
      <c r="A993" s="7"/>
      <c r="B993" s="6">
        <v>20.100000000000001</v>
      </c>
      <c r="C993" s="6">
        <v>24</v>
      </c>
      <c r="D993" s="1081">
        <v>56200.676421632204</v>
      </c>
      <c r="E993" s="6">
        <v>25</v>
      </c>
      <c r="F993" s="6">
        <v>20</v>
      </c>
    </row>
    <row r="994" spans="1:6">
      <c r="A994" s="7"/>
      <c r="B994" s="6">
        <v>24.1</v>
      </c>
      <c r="C994" s="6">
        <v>30</v>
      </c>
      <c r="D994" s="1081">
        <v>69348.572475929424</v>
      </c>
      <c r="E994" s="6">
        <v>25</v>
      </c>
      <c r="F994" s="6">
        <v>20</v>
      </c>
    </row>
    <row r="995" spans="1:6">
      <c r="A995" s="7"/>
      <c r="B995" s="6">
        <v>30.1</v>
      </c>
      <c r="C995" s="6">
        <v>48</v>
      </c>
      <c r="D995" s="1081">
        <v>191410.6355729409</v>
      </c>
      <c r="E995" s="6">
        <v>25</v>
      </c>
      <c r="F995" s="6">
        <v>20</v>
      </c>
    </row>
    <row r="996" spans="1:6">
      <c r="A996" s="7"/>
      <c r="B996" s="6">
        <v>48.1</v>
      </c>
      <c r="C996" s="6" t="s">
        <v>3658</v>
      </c>
      <c r="D996" s="1081" t="s">
        <v>3658</v>
      </c>
      <c r="E996" s="6">
        <v>25</v>
      </c>
      <c r="F996" s="6">
        <v>20</v>
      </c>
    </row>
    <row r="999" spans="1:6">
      <c r="A999" s="1061" t="s">
        <v>3935</v>
      </c>
      <c r="B999" s="1061" t="s">
        <v>3936</v>
      </c>
      <c r="C999" s="1061"/>
      <c r="D999" s="1061"/>
      <c r="E999" s="1061"/>
      <c r="F999" s="1061"/>
    </row>
    <row r="1000" spans="1:6">
      <c r="A1000" s="1080">
        <v>21</v>
      </c>
      <c r="B1000" s="1060" t="s">
        <v>3745</v>
      </c>
      <c r="C1000" s="1060" t="s">
        <v>3746</v>
      </c>
      <c r="D1000" s="742" t="s">
        <v>3764</v>
      </c>
      <c r="E1000" s="1060" t="s">
        <v>3650</v>
      </c>
      <c r="F1000" s="1060" t="s">
        <v>3651</v>
      </c>
    </row>
    <row r="1001" spans="1:6">
      <c r="A1001" s="7" t="s">
        <v>3937</v>
      </c>
      <c r="B1001" s="6">
        <v>0</v>
      </c>
      <c r="C1001" s="6">
        <v>0.5</v>
      </c>
      <c r="D1001" s="1081">
        <v>18.821917808219176</v>
      </c>
      <c r="E1001" s="6">
        <v>45</v>
      </c>
      <c r="F1001" s="6">
        <v>40</v>
      </c>
    </row>
    <row r="1002" spans="1:6">
      <c r="A1002" s="7"/>
      <c r="B1002" s="6">
        <v>0.6</v>
      </c>
      <c r="C1002" s="6">
        <v>0.75</v>
      </c>
      <c r="D1002" s="1081">
        <v>24.199608610567513</v>
      </c>
      <c r="E1002" s="6">
        <v>45</v>
      </c>
      <c r="F1002" s="6">
        <v>40</v>
      </c>
    </row>
    <row r="1003" spans="1:6">
      <c r="A1003" s="7"/>
      <c r="B1003" s="6">
        <v>0.76</v>
      </c>
      <c r="C1003" s="6">
        <v>1</v>
      </c>
      <c r="D1003" s="1081">
        <v>27.336594911937375</v>
      </c>
      <c r="E1003" s="6">
        <v>45</v>
      </c>
      <c r="F1003" s="6">
        <v>40</v>
      </c>
    </row>
    <row r="1004" spans="1:6">
      <c r="A1004" s="7"/>
      <c r="B1004" s="6">
        <v>1.1000000000000001</v>
      </c>
      <c r="C1004" s="6">
        <v>1.25</v>
      </c>
      <c r="D1004" s="1081">
        <v>32.266144814090019</v>
      </c>
      <c r="E1004" s="6">
        <v>45</v>
      </c>
      <c r="F1004" s="6">
        <v>40</v>
      </c>
    </row>
    <row r="1005" spans="1:6">
      <c r="A1005" s="7"/>
      <c r="B1005" s="6">
        <v>1.26</v>
      </c>
      <c r="C1005" s="6">
        <v>1.5</v>
      </c>
      <c r="D1005" s="1081">
        <v>40.780821917808218</v>
      </c>
      <c r="E1005" s="6">
        <v>45</v>
      </c>
      <c r="F1005" s="6">
        <v>40</v>
      </c>
    </row>
    <row r="1006" spans="1:6">
      <c r="A1006" s="7"/>
      <c r="B1006" s="6">
        <v>1.6</v>
      </c>
      <c r="C1006" s="6">
        <v>2</v>
      </c>
      <c r="D1006" s="1081">
        <v>58.258317025440313</v>
      </c>
      <c r="E1006" s="6">
        <v>45</v>
      </c>
      <c r="F1006" s="6">
        <v>40</v>
      </c>
    </row>
    <row r="1007" spans="1:6">
      <c r="A1007" s="7"/>
      <c r="B1007" s="6">
        <v>2.1</v>
      </c>
      <c r="C1007" s="6">
        <v>2.5</v>
      </c>
      <c r="D1007" s="1081">
        <v>75.7358121330724</v>
      </c>
      <c r="E1007" s="6">
        <v>45</v>
      </c>
      <c r="F1007" s="6">
        <v>40</v>
      </c>
    </row>
    <row r="1008" spans="1:6">
      <c r="A1008" s="7"/>
      <c r="B1008" s="6">
        <v>2.6</v>
      </c>
      <c r="C1008" s="6">
        <v>3</v>
      </c>
      <c r="D1008" s="1081">
        <v>92.317025440313103</v>
      </c>
      <c r="E1008" s="6">
        <v>45</v>
      </c>
      <c r="F1008" s="6">
        <v>40</v>
      </c>
    </row>
    <row r="1009" spans="1:6">
      <c r="A1009" s="7"/>
      <c r="B1009" s="6">
        <v>3.1</v>
      </c>
      <c r="C1009" s="6">
        <v>4</v>
      </c>
      <c r="D1009" s="1081">
        <v>111.13894324853229</v>
      </c>
      <c r="E1009" s="6">
        <v>45</v>
      </c>
      <c r="F1009" s="6">
        <v>40</v>
      </c>
    </row>
    <row r="1010" spans="1:6">
      <c r="A1010" s="7"/>
      <c r="B1010" s="6">
        <v>4.0999999999999996</v>
      </c>
      <c r="C1010" s="6">
        <v>6</v>
      </c>
      <c r="D1010" s="1081">
        <v>199.87084148727982</v>
      </c>
      <c r="E1010" s="6">
        <v>45</v>
      </c>
      <c r="F1010" s="6">
        <v>40</v>
      </c>
    </row>
    <row r="1011" spans="1:6">
      <c r="A1011" s="7"/>
      <c r="B1011" s="6">
        <v>6.1</v>
      </c>
      <c r="C1011" s="6">
        <v>8</v>
      </c>
      <c r="D1011" s="1081">
        <v>291.29158512720153</v>
      </c>
      <c r="E1011" s="6">
        <v>45</v>
      </c>
      <c r="F1011" s="6">
        <v>40</v>
      </c>
    </row>
    <row r="1012" spans="1:6">
      <c r="A1012" s="7"/>
      <c r="B1012" s="6">
        <v>8.1</v>
      </c>
      <c r="C1012" s="6">
        <v>10</v>
      </c>
      <c r="D1012" s="1081">
        <v>407.8082191780822</v>
      </c>
      <c r="E1012" s="6">
        <v>45</v>
      </c>
      <c r="F1012" s="6">
        <v>40</v>
      </c>
    </row>
    <row r="1013" spans="1:6">
      <c r="A1013" s="7"/>
      <c r="B1013" s="6">
        <v>10.1</v>
      </c>
      <c r="C1013" s="6">
        <v>12</v>
      </c>
      <c r="D1013" s="1081">
        <v>519.84344422700588</v>
      </c>
      <c r="E1013" s="6">
        <v>45</v>
      </c>
      <c r="F1013" s="6">
        <v>40</v>
      </c>
    </row>
    <row r="1014" spans="1:6">
      <c r="A1014" s="7"/>
      <c r="B1014" s="6">
        <v>12.1</v>
      </c>
      <c r="C1014" s="6">
        <v>16</v>
      </c>
      <c r="D1014" s="1081">
        <v>162.24829602456663</v>
      </c>
      <c r="E1014" s="6">
        <v>45</v>
      </c>
      <c r="F1014" s="6">
        <v>40</v>
      </c>
    </row>
    <row r="1015" spans="1:6">
      <c r="A1015" s="7"/>
      <c r="B1015" s="6">
        <v>16.100000000000001</v>
      </c>
      <c r="C1015" s="6">
        <v>36</v>
      </c>
      <c r="D1015" s="1081">
        <v>1060.4479428347518</v>
      </c>
      <c r="E1015" s="6">
        <v>45</v>
      </c>
      <c r="F1015" s="6">
        <v>40</v>
      </c>
    </row>
    <row r="1016" spans="1:6">
      <c r="A1016" s="7"/>
      <c r="B1016" s="6">
        <v>36.1</v>
      </c>
      <c r="C1016" s="6">
        <v>48</v>
      </c>
      <c r="D1016" s="1081">
        <v>1619.5913402149581</v>
      </c>
      <c r="E1016" s="6">
        <v>45</v>
      </c>
      <c r="F1016" s="6">
        <v>40</v>
      </c>
    </row>
    <row r="1017" spans="1:6">
      <c r="A1017" s="7"/>
      <c r="B1017" s="6">
        <v>48.1</v>
      </c>
      <c r="C1017" s="6" t="s">
        <v>3658</v>
      </c>
      <c r="D1017" s="1081" t="s">
        <v>3658</v>
      </c>
      <c r="E1017" s="6">
        <v>45</v>
      </c>
      <c r="F1017" s="6">
        <v>40</v>
      </c>
    </row>
    <row r="1020" spans="1:6">
      <c r="A1020" s="1061" t="s">
        <v>3766</v>
      </c>
      <c r="B1020" s="1061" t="s">
        <v>3938</v>
      </c>
      <c r="C1020" s="1061"/>
      <c r="D1020" s="1061"/>
      <c r="E1020" s="1061"/>
      <c r="F1020" s="1061"/>
    </row>
    <row r="1021" spans="1:6">
      <c r="A1021" s="1080">
        <v>23</v>
      </c>
      <c r="B1021" s="1060" t="s">
        <v>3768</v>
      </c>
      <c r="C1021" s="1060" t="s">
        <v>3769</v>
      </c>
      <c r="D1021" s="1060" t="s">
        <v>3657</v>
      </c>
      <c r="E1021" s="1060" t="s">
        <v>3650</v>
      </c>
      <c r="F1021" s="1060" t="s">
        <v>3651</v>
      </c>
    </row>
    <row r="1022" spans="1:6">
      <c r="A1022" s="7" t="s">
        <v>3939</v>
      </c>
      <c r="B1022" s="6">
        <v>0</v>
      </c>
      <c r="C1022" s="538">
        <v>180</v>
      </c>
      <c r="D1022" s="1100">
        <v>16998.123981973527</v>
      </c>
      <c r="E1022" s="6">
        <v>35</v>
      </c>
      <c r="F1022" s="6">
        <v>30</v>
      </c>
    </row>
    <row r="1023" spans="1:6">
      <c r="A1023" s="7"/>
      <c r="B1023" s="6">
        <v>181</v>
      </c>
      <c r="C1023" s="538">
        <v>300</v>
      </c>
      <c r="D1023" s="1100">
        <v>19707.149553470474</v>
      </c>
      <c r="E1023" s="6">
        <v>35</v>
      </c>
      <c r="F1023" s="6">
        <v>30</v>
      </c>
    </row>
    <row r="1024" spans="1:6">
      <c r="A1024" s="7"/>
      <c r="B1024" s="6">
        <v>301</v>
      </c>
      <c r="C1024" s="538">
        <v>650</v>
      </c>
      <c r="D1024" s="1100">
        <v>23282.351791308047</v>
      </c>
      <c r="E1024" s="6">
        <v>35</v>
      </c>
      <c r="F1024" s="6">
        <v>30</v>
      </c>
    </row>
    <row r="1025" spans="1:6">
      <c r="A1025" s="7"/>
      <c r="B1025" s="6">
        <v>651</v>
      </c>
      <c r="C1025" s="538">
        <v>750</v>
      </c>
      <c r="D1025" s="1100">
        <v>26555.715463690693</v>
      </c>
      <c r="E1025" s="6">
        <v>35</v>
      </c>
      <c r="F1025" s="6">
        <v>30</v>
      </c>
    </row>
    <row r="1026" spans="1:6">
      <c r="A1026" s="7"/>
      <c r="B1026" s="6">
        <v>751</v>
      </c>
      <c r="C1026" s="538">
        <v>880</v>
      </c>
      <c r="D1026" s="1100">
        <v>30179.346688391423</v>
      </c>
      <c r="E1026" s="6">
        <v>35</v>
      </c>
      <c r="F1026" s="6">
        <v>30</v>
      </c>
    </row>
    <row r="1027" spans="1:6">
      <c r="A1027" s="7"/>
      <c r="B1027" s="6">
        <v>881</v>
      </c>
      <c r="C1027" s="538">
        <v>950</v>
      </c>
      <c r="D1027" s="1100">
        <v>31076.434807997444</v>
      </c>
      <c r="E1027" s="6">
        <v>35</v>
      </c>
      <c r="F1027" s="6">
        <v>30</v>
      </c>
    </row>
    <row r="1028" spans="1:6">
      <c r="A1028" s="7"/>
      <c r="B1028" s="6">
        <v>951</v>
      </c>
      <c r="C1028" s="538">
        <v>1400</v>
      </c>
      <c r="D1028" s="1100">
        <v>49623.192604178053</v>
      </c>
      <c r="E1028" s="6">
        <v>35</v>
      </c>
      <c r="F1028" s="6">
        <v>30</v>
      </c>
    </row>
    <row r="1029" spans="1:6">
      <c r="A1029" s="7"/>
      <c r="B1029" s="6">
        <v>1401</v>
      </c>
      <c r="C1029" s="538">
        <v>1700</v>
      </c>
      <c r="D1029" s="1100">
        <v>50313.909856641927</v>
      </c>
      <c r="E1029" s="6">
        <v>35</v>
      </c>
      <c r="F1029" s="6">
        <v>30</v>
      </c>
    </row>
    <row r="1030" spans="1:6">
      <c r="A1030" s="7"/>
      <c r="B1030" s="6">
        <v>1701</v>
      </c>
      <c r="C1030" s="538">
        <v>2000</v>
      </c>
      <c r="D1030" s="1100">
        <v>50953.597709033391</v>
      </c>
      <c r="E1030" s="6">
        <v>35</v>
      </c>
      <c r="F1030" s="6">
        <v>30</v>
      </c>
    </row>
    <row r="1031" spans="1:6">
      <c r="A1031" s="7"/>
      <c r="B1031" s="6">
        <v>2001</v>
      </c>
      <c r="C1031" s="538">
        <v>2900</v>
      </c>
      <c r="D1031" s="1100">
        <v>73261.119127068378</v>
      </c>
      <c r="E1031" s="6">
        <v>35</v>
      </c>
      <c r="F1031" s="6">
        <v>30</v>
      </c>
    </row>
    <row r="1032" spans="1:6">
      <c r="A1032" s="7"/>
      <c r="B1032" s="6">
        <v>2901</v>
      </c>
      <c r="C1032" s="538">
        <v>4300</v>
      </c>
      <c r="D1032" s="1100">
        <v>78311.634978788526</v>
      </c>
      <c r="E1032" s="6">
        <v>35</v>
      </c>
      <c r="F1032" s="6">
        <v>30</v>
      </c>
    </row>
    <row r="1033" spans="1:6">
      <c r="A1033" s="7"/>
      <c r="B1033" s="6">
        <v>4301</v>
      </c>
      <c r="C1033" s="538">
        <v>4700</v>
      </c>
      <c r="D1033" s="1100">
        <v>89522.170164554045</v>
      </c>
      <c r="E1033" s="6">
        <v>35</v>
      </c>
      <c r="F1033" s="6">
        <v>30</v>
      </c>
    </row>
    <row r="1034" spans="1:6">
      <c r="A1034" s="7"/>
      <c r="B1034" s="6">
        <v>4701</v>
      </c>
      <c r="C1034" s="538">
        <v>6800</v>
      </c>
      <c r="D1034" s="1100">
        <v>87162.852403137949</v>
      </c>
      <c r="E1034" s="6">
        <v>35</v>
      </c>
      <c r="F1034" s="6">
        <v>30</v>
      </c>
    </row>
    <row r="1035" spans="1:6">
      <c r="A1035" s="7"/>
      <c r="B1035" s="6">
        <v>6801</v>
      </c>
      <c r="C1035" s="538">
        <v>17000</v>
      </c>
      <c r="D1035" s="1100">
        <v>261886.13081601952</v>
      </c>
      <c r="E1035" s="6">
        <v>35</v>
      </c>
      <c r="F1035" s="6">
        <v>30</v>
      </c>
    </row>
    <row r="1036" spans="1:6">
      <c r="A1036" s="7"/>
      <c r="B1036" s="6">
        <v>17001</v>
      </c>
      <c r="C1036" s="538">
        <v>27100</v>
      </c>
      <c r="D1036" s="1100">
        <v>401504.61374617473</v>
      </c>
      <c r="E1036" s="6">
        <v>35</v>
      </c>
      <c r="F1036" s="6">
        <v>30</v>
      </c>
    </row>
    <row r="1037" spans="1:6">
      <c r="A1037" s="7"/>
      <c r="B1037" s="6">
        <v>27101</v>
      </c>
      <c r="C1037" s="538" t="s">
        <v>3658</v>
      </c>
      <c r="D1037" s="1100" t="s">
        <v>3658</v>
      </c>
    </row>
    <row r="1040" spans="1:6">
      <c r="A1040" s="1061" t="s">
        <v>3766</v>
      </c>
      <c r="B1040" s="1061" t="s">
        <v>3940</v>
      </c>
      <c r="C1040" s="1061"/>
      <c r="D1040" s="1061"/>
      <c r="E1040" s="1061"/>
      <c r="F1040" s="1061"/>
    </row>
    <row r="1041" spans="1:6">
      <c r="A1041" s="1080">
        <v>23</v>
      </c>
      <c r="B1041" s="1060" t="s">
        <v>3768</v>
      </c>
      <c r="C1041" s="1060" t="s">
        <v>3769</v>
      </c>
      <c r="D1041" s="1060" t="s">
        <v>3657</v>
      </c>
      <c r="E1041" s="1060" t="s">
        <v>3650</v>
      </c>
      <c r="F1041" s="1060" t="s">
        <v>3651</v>
      </c>
    </row>
    <row r="1042" spans="1:6">
      <c r="A1042" s="7" t="s">
        <v>3941</v>
      </c>
      <c r="B1042" s="6">
        <v>0</v>
      </c>
      <c r="C1042" s="6">
        <v>14309</v>
      </c>
      <c r="D1042" s="1081">
        <v>41872.116174330215</v>
      </c>
      <c r="E1042" s="6">
        <v>35</v>
      </c>
      <c r="F1042" s="6">
        <v>30</v>
      </c>
    </row>
    <row r="1043" spans="1:6">
      <c r="A1043" s="7"/>
      <c r="B1043" s="6">
        <v>14310</v>
      </c>
      <c r="C1043" s="6">
        <v>24000</v>
      </c>
      <c r="D1043" s="1081">
        <v>86834.759894494389</v>
      </c>
      <c r="E1043" s="6">
        <v>35</v>
      </c>
      <c r="F1043" s="6">
        <v>30</v>
      </c>
    </row>
    <row r="1044" spans="1:6">
      <c r="A1044" s="7"/>
      <c r="B1044" s="6">
        <v>24001</v>
      </c>
      <c r="C1044" s="6">
        <v>43000</v>
      </c>
      <c r="D1044" s="1081">
        <v>99836.882778632862</v>
      </c>
      <c r="E1044" s="6">
        <v>35</v>
      </c>
      <c r="F1044" s="6">
        <v>30</v>
      </c>
    </row>
    <row r="1045" spans="1:6">
      <c r="A1045" s="7"/>
      <c r="B1045" s="6">
        <v>43001</v>
      </c>
      <c r="C1045" s="6">
        <v>130000</v>
      </c>
      <c r="D1045" s="1081">
        <v>228434.53780912334</v>
      </c>
      <c r="E1045" s="6">
        <v>35</v>
      </c>
      <c r="F1045" s="6">
        <v>30</v>
      </c>
    </row>
    <row r="1046" spans="1:6">
      <c r="A1046" s="7"/>
      <c r="B1046" s="6">
        <v>130001</v>
      </c>
      <c r="C1046" s="6">
        <v>135182</v>
      </c>
      <c r="D1046" s="1081">
        <v>114164.74406716066</v>
      </c>
      <c r="E1046" s="6">
        <v>35</v>
      </c>
      <c r="F1046" s="6">
        <v>30</v>
      </c>
    </row>
    <row r="1047" spans="1:6">
      <c r="A1047" s="7"/>
      <c r="B1047" s="6">
        <v>135183</v>
      </c>
      <c r="C1047" s="6">
        <v>256000</v>
      </c>
      <c r="D1047" s="1081">
        <v>339488.3535990236</v>
      </c>
      <c r="E1047" s="6">
        <v>35</v>
      </c>
      <c r="F1047" s="6">
        <v>30</v>
      </c>
    </row>
    <row r="1048" spans="1:6">
      <c r="A1048" s="7"/>
      <c r="B1048" s="6">
        <v>256001</v>
      </c>
      <c r="C1048" s="6">
        <v>282094</v>
      </c>
      <c r="D1048" s="1081">
        <v>176597.17649959307</v>
      </c>
      <c r="E1048" s="6">
        <v>35</v>
      </c>
      <c r="F1048" s="6">
        <v>30</v>
      </c>
    </row>
    <row r="1049" spans="1:6">
      <c r="A1049" s="7"/>
      <c r="B1049" s="6">
        <v>282095</v>
      </c>
      <c r="C1049" s="6" t="s">
        <v>3658</v>
      </c>
      <c r="D1049" s="1081" t="s">
        <v>3658</v>
      </c>
      <c r="E1049" s="6">
        <v>35</v>
      </c>
      <c r="F1049" s="6">
        <v>30</v>
      </c>
    </row>
    <row r="1052" spans="1:6">
      <c r="A1052" s="1061" t="s">
        <v>3942</v>
      </c>
      <c r="B1052" s="1061" t="s">
        <v>3943</v>
      </c>
      <c r="C1052" s="1061"/>
      <c r="D1052" s="1061"/>
      <c r="E1052" s="1061"/>
      <c r="F1052" s="1061"/>
    </row>
    <row r="1053" spans="1:6">
      <c r="A1053" s="1080">
        <v>25</v>
      </c>
      <c r="B1053" s="1060" t="s">
        <v>3745</v>
      </c>
      <c r="C1053" s="1060" t="s">
        <v>3746</v>
      </c>
      <c r="D1053" s="742" t="s">
        <v>3764</v>
      </c>
      <c r="E1053" s="1060" t="s">
        <v>3650</v>
      </c>
      <c r="F1053" s="1060" t="s">
        <v>3651</v>
      </c>
    </row>
    <row r="1054" spans="1:6">
      <c r="A1054" s="7" t="s">
        <v>3944</v>
      </c>
      <c r="B1054" s="6">
        <v>0</v>
      </c>
      <c r="C1054" s="6">
        <v>1</v>
      </c>
      <c r="D1054" s="1081">
        <v>18.719356435643565</v>
      </c>
      <c r="E1054" s="6">
        <v>35</v>
      </c>
      <c r="F1054" s="6">
        <v>33</v>
      </c>
    </row>
    <row r="1055" spans="1:6">
      <c r="A1055" s="7"/>
      <c r="B1055" s="6">
        <v>1.1000000000000001</v>
      </c>
      <c r="C1055" s="6">
        <v>1.5</v>
      </c>
      <c r="D1055" s="1081">
        <v>23.833663366336634</v>
      </c>
      <c r="E1055" s="6">
        <v>35</v>
      </c>
      <c r="F1055" s="6">
        <v>33</v>
      </c>
    </row>
    <row r="1056" spans="1:6">
      <c r="A1056" s="7"/>
      <c r="B1056" s="6">
        <v>1.6</v>
      </c>
      <c r="C1056" s="6">
        <v>2</v>
      </c>
      <c r="D1056" s="1081">
        <v>29.792079207920793</v>
      </c>
      <c r="E1056" s="6">
        <v>35</v>
      </c>
      <c r="F1056" s="6">
        <v>33</v>
      </c>
    </row>
    <row r="1057" spans="1:6">
      <c r="A1057" s="7"/>
      <c r="B1057" s="6">
        <v>2.1</v>
      </c>
      <c r="C1057" s="6">
        <v>2.5</v>
      </c>
      <c r="D1057" s="1081">
        <v>42.205445544554458</v>
      </c>
      <c r="E1057" s="6">
        <v>35</v>
      </c>
      <c r="F1057" s="6">
        <v>33</v>
      </c>
    </row>
    <row r="1058" spans="1:6">
      <c r="A1058" s="7"/>
      <c r="B1058" s="6">
        <v>2.6</v>
      </c>
      <c r="C1058" s="6">
        <v>3</v>
      </c>
      <c r="D1058" s="1081">
        <v>48.163861386138613</v>
      </c>
      <c r="E1058" s="6">
        <v>35</v>
      </c>
      <c r="F1058" s="6">
        <v>33</v>
      </c>
    </row>
    <row r="1059" spans="1:6">
      <c r="A1059" s="7"/>
      <c r="B1059" s="6">
        <v>3.1</v>
      </c>
      <c r="C1059" s="6">
        <v>4</v>
      </c>
      <c r="D1059" s="1081">
        <v>59.584158415841586</v>
      </c>
      <c r="E1059" s="6">
        <v>35</v>
      </c>
      <c r="F1059" s="6">
        <v>33</v>
      </c>
    </row>
    <row r="1060" spans="1:6">
      <c r="A1060" s="7"/>
      <c r="B1060" s="6">
        <v>4.0999999999999996</v>
      </c>
      <c r="C1060" s="6">
        <v>6</v>
      </c>
      <c r="D1060" s="1081">
        <v>103.27920792079208</v>
      </c>
      <c r="E1060" s="6">
        <v>35</v>
      </c>
      <c r="F1060" s="6">
        <v>33</v>
      </c>
    </row>
    <row r="1061" spans="1:6">
      <c r="A1061" s="7"/>
      <c r="B1061" s="6">
        <v>6.1</v>
      </c>
      <c r="C1061" s="6">
        <v>8</v>
      </c>
      <c r="D1061" s="1081">
        <v>144.98811881188118</v>
      </c>
      <c r="E1061" s="6">
        <v>35</v>
      </c>
      <c r="F1061" s="6">
        <v>33</v>
      </c>
    </row>
    <row r="1062" spans="1:6">
      <c r="A1062" s="7"/>
      <c r="B1062" s="6">
        <v>8.1</v>
      </c>
      <c r="C1062" s="6">
        <v>10</v>
      </c>
      <c r="D1062" s="1081">
        <v>182.72475247524753</v>
      </c>
      <c r="E1062" s="6">
        <v>35</v>
      </c>
      <c r="F1062" s="6">
        <v>33</v>
      </c>
    </row>
    <row r="1063" spans="1:6">
      <c r="A1063" s="7"/>
      <c r="B1063" s="6">
        <v>10.1</v>
      </c>
      <c r="C1063" s="6">
        <v>12</v>
      </c>
      <c r="D1063" s="1081">
        <v>221.45445544554454</v>
      </c>
      <c r="E1063" s="6">
        <v>35</v>
      </c>
      <c r="F1063" s="6">
        <v>33</v>
      </c>
    </row>
    <row r="1064" spans="1:6">
      <c r="A1064" s="7"/>
      <c r="B1064" s="6">
        <v>12.1</v>
      </c>
      <c r="C1064" s="6">
        <v>36</v>
      </c>
      <c r="D1064" s="1081">
        <v>210.45107122266231</v>
      </c>
      <c r="E1064" s="6">
        <v>35</v>
      </c>
      <c r="F1064" s="6">
        <v>33</v>
      </c>
    </row>
    <row r="1065" spans="1:6">
      <c r="A1065" s="7"/>
      <c r="B1065" s="6">
        <v>36.1</v>
      </c>
      <c r="C1065" s="6">
        <v>48</v>
      </c>
      <c r="D1065" s="1081">
        <v>286.60952696100981</v>
      </c>
      <c r="E1065" s="6">
        <v>35</v>
      </c>
      <c r="F1065" s="6">
        <v>33</v>
      </c>
    </row>
    <row r="1066" spans="1:6">
      <c r="A1066" s="7"/>
      <c r="B1066" s="6">
        <v>48.1</v>
      </c>
      <c r="C1066" s="6" t="s">
        <v>3658</v>
      </c>
      <c r="D1066" s="1081" t="s">
        <v>3658</v>
      </c>
      <c r="E1066" s="6">
        <v>35</v>
      </c>
      <c r="F1066" s="6">
        <v>33</v>
      </c>
    </row>
    <row r="1069" spans="1:6">
      <c r="A1069" s="1061" t="s">
        <v>3664</v>
      </c>
      <c r="B1069" s="1061" t="s">
        <v>3945</v>
      </c>
      <c r="C1069" s="1061"/>
      <c r="D1069" s="1061"/>
      <c r="E1069" s="1061"/>
      <c r="F1069" s="1061"/>
    </row>
    <row r="1070" spans="1:6">
      <c r="A1070" s="1101">
        <v>2</v>
      </c>
      <c r="B1070" s="1062" t="s">
        <v>1968</v>
      </c>
      <c r="C1070" s="1062"/>
      <c r="D1070" s="1062" t="s">
        <v>3666</v>
      </c>
      <c r="E1070" s="1062" t="s">
        <v>3650</v>
      </c>
      <c r="F1070" s="1062" t="s">
        <v>3651</v>
      </c>
    </row>
    <row r="1071" spans="1:6">
      <c r="A1071" s="142" t="s">
        <v>3946</v>
      </c>
      <c r="B1071" s="1062">
        <v>0</v>
      </c>
      <c r="C1071" s="1062">
        <v>0</v>
      </c>
      <c r="D1071" s="1083">
        <v>1380.637896721483</v>
      </c>
      <c r="E1071" s="1062" t="s">
        <v>3662</v>
      </c>
      <c r="F1071" s="1062" t="s">
        <v>3662</v>
      </c>
    </row>
    <row r="1074" spans="1:6">
      <c r="A1074" s="1061" t="s">
        <v>3947</v>
      </c>
      <c r="B1074" s="1061" t="s">
        <v>3948</v>
      </c>
      <c r="C1074" s="1061"/>
      <c r="D1074" s="1061"/>
      <c r="E1074" s="1061"/>
      <c r="F1074" s="1061"/>
    </row>
    <row r="1075" spans="1:6">
      <c r="A1075" s="1080">
        <v>40</v>
      </c>
      <c r="B1075" s="1060" t="s">
        <v>3949</v>
      </c>
      <c r="C1075" s="1060" t="s">
        <v>3950</v>
      </c>
      <c r="D1075" s="742" t="s">
        <v>3951</v>
      </c>
      <c r="E1075" s="1060" t="s">
        <v>3650</v>
      </c>
      <c r="F1075" s="1060" t="s">
        <v>3651</v>
      </c>
    </row>
    <row r="1076" spans="1:6">
      <c r="A1076" s="7" t="s">
        <v>3952</v>
      </c>
      <c r="B1076" s="6">
        <v>0</v>
      </c>
      <c r="C1076" s="6">
        <v>30</v>
      </c>
      <c r="D1076" s="1082">
        <v>512.61436672967864</v>
      </c>
    </row>
    <row r="1077" spans="1:6">
      <c r="A1077" s="7"/>
      <c r="B1077" s="6">
        <v>31</v>
      </c>
      <c r="C1077" s="6">
        <v>50</v>
      </c>
      <c r="D1077" s="1082">
        <v>515.08837429111531</v>
      </c>
    </row>
    <row r="1078" spans="1:6">
      <c r="A1078" s="7"/>
      <c r="B1078" s="6">
        <v>51</v>
      </c>
      <c r="C1078" s="6">
        <v>125</v>
      </c>
      <c r="D1078" s="1082">
        <v>300.83931947069942</v>
      </c>
    </row>
    <row r="1079" spans="1:6">
      <c r="A1079" s="7"/>
      <c r="B1079" s="6">
        <v>126</v>
      </c>
      <c r="C1079" s="6">
        <v>150</v>
      </c>
      <c r="D1079" s="1082">
        <v>315.68336483931949</v>
      </c>
    </row>
    <row r="1080" spans="1:6">
      <c r="A1080" s="7"/>
      <c r="B1080" s="6">
        <v>151</v>
      </c>
      <c r="C1080" s="6">
        <v>175</v>
      </c>
      <c r="D1080" s="1082">
        <v>298.86011342155012</v>
      </c>
    </row>
    <row r="1081" spans="1:6">
      <c r="A1081" s="7"/>
      <c r="B1081" s="6">
        <v>176</v>
      </c>
      <c r="C1081" s="6">
        <v>200</v>
      </c>
      <c r="D1081" s="1082">
        <v>281.54206049149337</v>
      </c>
    </row>
    <row r="1082" spans="1:6">
      <c r="A1082" s="7"/>
      <c r="B1082" s="6">
        <v>201</v>
      </c>
      <c r="C1082" s="6">
        <v>250</v>
      </c>
      <c r="D1082" s="1082">
        <v>238.49432892249527</v>
      </c>
    </row>
    <row r="1083" spans="1:6">
      <c r="A1083" s="7"/>
      <c r="B1083" s="6">
        <v>251</v>
      </c>
      <c r="C1083" s="6">
        <v>300</v>
      </c>
      <c r="D1083" s="1082">
        <v>211.92348771266541</v>
      </c>
    </row>
    <row r="1084" spans="1:6">
      <c r="A1084" s="7"/>
      <c r="B1084" s="6">
        <v>301</v>
      </c>
      <c r="C1084" s="6">
        <v>350</v>
      </c>
      <c r="D1084" s="1082">
        <v>204.35302457466918</v>
      </c>
    </row>
    <row r="1085" spans="1:6">
      <c r="A1085" s="7"/>
      <c r="B1085" s="6">
        <v>351</v>
      </c>
      <c r="C1085" s="6">
        <v>400</v>
      </c>
      <c r="D1085" s="1082">
        <v>217.2178638941399</v>
      </c>
    </row>
    <row r="1086" spans="1:6">
      <c r="A1086" s="7"/>
      <c r="B1086" s="6">
        <v>401</v>
      </c>
      <c r="C1086" s="6">
        <v>500</v>
      </c>
      <c r="D1086" s="1082">
        <v>215.68397920604914</v>
      </c>
    </row>
    <row r="1087" spans="1:6">
      <c r="A1087" s="7"/>
      <c r="B1087" s="6">
        <v>501</v>
      </c>
      <c r="C1087" s="6">
        <v>750</v>
      </c>
      <c r="D1087" s="1082">
        <v>223.20496219281665</v>
      </c>
    </row>
    <row r="1088" spans="1:6">
      <c r="A1088" s="7"/>
      <c r="B1088" s="6">
        <v>751</v>
      </c>
      <c r="C1088" s="6">
        <v>1000</v>
      </c>
      <c r="D1088" s="1082">
        <v>209.00415879017012</v>
      </c>
    </row>
    <row r="1091" spans="1:6">
      <c r="A1091" s="1061" t="s">
        <v>3648</v>
      </c>
      <c r="B1091" s="1061" t="s">
        <v>3953</v>
      </c>
      <c r="C1091" s="1061"/>
      <c r="D1091" s="1061"/>
      <c r="E1091" s="1061"/>
      <c r="F1091" s="1061"/>
    </row>
    <row r="1092" spans="1:6">
      <c r="A1092" s="1080">
        <v>43</v>
      </c>
      <c r="B1092" s="1060"/>
      <c r="C1092" s="1060"/>
      <c r="D1092" s="742" t="s">
        <v>3657</v>
      </c>
      <c r="E1092" s="1060" t="s">
        <v>3650</v>
      </c>
      <c r="F1092" s="1060" t="s">
        <v>3651</v>
      </c>
    </row>
    <row r="1093" spans="1:6">
      <c r="A1093" s="7" t="s">
        <v>3954</v>
      </c>
      <c r="B1093" s="6">
        <v>0</v>
      </c>
      <c r="C1093" s="6">
        <v>0</v>
      </c>
      <c r="D1093" s="1081">
        <v>1050.7602875287325</v>
      </c>
      <c r="E1093" s="6">
        <v>15</v>
      </c>
      <c r="F1093" s="6">
        <v>14</v>
      </c>
    </row>
    <row r="1096" spans="1:6">
      <c r="A1096" s="1061" t="s">
        <v>3648</v>
      </c>
      <c r="B1096" s="1061" t="s">
        <v>3955</v>
      </c>
      <c r="C1096" s="1061"/>
      <c r="D1096" s="1061"/>
      <c r="E1096" s="1061"/>
      <c r="F1096" s="1061"/>
    </row>
    <row r="1097" spans="1:6">
      <c r="A1097" s="1080">
        <v>43</v>
      </c>
      <c r="B1097" s="1060"/>
      <c r="C1097" s="1060"/>
      <c r="D1097" s="742" t="s">
        <v>3657</v>
      </c>
      <c r="E1097" s="1060" t="s">
        <v>3650</v>
      </c>
      <c r="F1097" s="1060" t="s">
        <v>3651</v>
      </c>
    </row>
    <row r="1098" spans="1:6">
      <c r="A1098" s="7" t="s">
        <v>3956</v>
      </c>
      <c r="B1098" s="6">
        <v>0</v>
      </c>
      <c r="C1098" s="6">
        <v>0</v>
      </c>
      <c r="D1098" s="1081">
        <v>581.29953364859944</v>
      </c>
      <c r="E1098" s="6">
        <v>15</v>
      </c>
      <c r="F1098" s="6">
        <v>14</v>
      </c>
    </row>
    <row r="1101" spans="1:6">
      <c r="A1101" s="1061" t="s">
        <v>3648</v>
      </c>
      <c r="B1101" s="1061" t="s">
        <v>3957</v>
      </c>
      <c r="C1101" s="1061"/>
      <c r="D1101" s="1061"/>
      <c r="E1101" s="1061"/>
      <c r="F1101" s="1061"/>
    </row>
    <row r="1102" spans="1:6">
      <c r="A1102" s="1080">
        <v>43</v>
      </c>
      <c r="B1102" s="742"/>
      <c r="C1102" s="1060"/>
      <c r="D1102" s="742" t="s">
        <v>3657</v>
      </c>
      <c r="E1102" s="1060" t="s">
        <v>3650</v>
      </c>
      <c r="F1102" s="1060" t="s">
        <v>3651</v>
      </c>
    </row>
    <row r="1103" spans="1:6">
      <c r="A1103" s="7" t="s">
        <v>3958</v>
      </c>
      <c r="B1103" s="6">
        <v>0</v>
      </c>
      <c r="C1103" s="6">
        <v>0</v>
      </c>
      <c r="D1103" s="1081">
        <v>5117.77214953771</v>
      </c>
      <c r="E1103" s="6">
        <v>15</v>
      </c>
      <c r="F1103" s="6">
        <v>14</v>
      </c>
    </row>
    <row r="1106" spans="1:6">
      <c r="A1106" s="1061" t="s">
        <v>3842</v>
      </c>
      <c r="B1106" s="1061" t="s">
        <v>3959</v>
      </c>
      <c r="C1106" s="1061"/>
      <c r="D1106" s="1061"/>
      <c r="E1106" s="1061"/>
      <c r="F1106" s="1061"/>
    </row>
    <row r="1107" spans="1:6">
      <c r="A1107" s="1080">
        <v>42</v>
      </c>
      <c r="B1107" s="1060"/>
      <c r="C1107" s="1060"/>
      <c r="D1107" s="742" t="s">
        <v>3657</v>
      </c>
      <c r="E1107" s="1060" t="s">
        <v>3650</v>
      </c>
      <c r="F1107" s="1060" t="s">
        <v>3651</v>
      </c>
    </row>
    <row r="1108" spans="1:6">
      <c r="A1108" s="7" t="s">
        <v>3960</v>
      </c>
      <c r="B1108" s="6">
        <v>0</v>
      </c>
      <c r="C1108" s="6">
        <v>0</v>
      </c>
      <c r="D1108" s="1081">
        <v>554.1500546321148</v>
      </c>
      <c r="E1108" s="6">
        <v>10</v>
      </c>
      <c r="F1108" s="6">
        <v>8</v>
      </c>
    </row>
    <row r="1111" spans="1:6">
      <c r="A1111" s="1061" t="s">
        <v>3648</v>
      </c>
      <c r="B1111" s="1061" t="s">
        <v>3961</v>
      </c>
      <c r="C1111" s="1061"/>
      <c r="D1111" s="1061"/>
      <c r="E1111" s="1061"/>
      <c r="F1111" s="1061"/>
    </row>
    <row r="1112" spans="1:6">
      <c r="A1112" s="1080">
        <v>43</v>
      </c>
      <c r="B1112" s="1060" t="s">
        <v>3745</v>
      </c>
      <c r="C1112" s="1060" t="s">
        <v>3746</v>
      </c>
      <c r="D1112" s="742" t="s">
        <v>3657</v>
      </c>
      <c r="E1112" s="1060" t="s">
        <v>3650</v>
      </c>
      <c r="F1112" s="1060" t="s">
        <v>3651</v>
      </c>
    </row>
    <row r="1113" spans="1:6">
      <c r="A1113" s="7" t="s">
        <v>3962</v>
      </c>
      <c r="B1113" s="6">
        <v>0</v>
      </c>
      <c r="C1113" s="6">
        <v>2</v>
      </c>
      <c r="D1113" s="1081">
        <v>5355.7411274588712</v>
      </c>
      <c r="E1113" s="6">
        <v>15</v>
      </c>
      <c r="F1113" s="6">
        <v>14</v>
      </c>
    </row>
    <row r="1114" spans="1:6">
      <c r="A1114" s="7"/>
      <c r="B1114" s="6">
        <v>2.1</v>
      </c>
      <c r="C1114" s="6">
        <v>3</v>
      </c>
      <c r="D1114" s="1081">
        <v>8053.1426378269425</v>
      </c>
      <c r="E1114" s="6">
        <v>15</v>
      </c>
      <c r="F1114" s="6">
        <v>14</v>
      </c>
    </row>
    <row r="1115" spans="1:6">
      <c r="A1115" s="7"/>
      <c r="B1115" s="6">
        <v>3.1</v>
      </c>
      <c r="C1115" s="6">
        <v>6</v>
      </c>
      <c r="D1115" s="1081">
        <v>11862.405314631382</v>
      </c>
      <c r="E1115" s="6">
        <v>15</v>
      </c>
      <c r="F1115" s="6">
        <v>14</v>
      </c>
    </row>
    <row r="1116" spans="1:6">
      <c r="A1116" s="7"/>
      <c r="B1116" s="6">
        <v>6.1</v>
      </c>
      <c r="C1116" s="6">
        <v>12</v>
      </c>
      <c r="D1116" s="1081">
        <v>16976.925535525312</v>
      </c>
      <c r="E1116" s="6">
        <v>15</v>
      </c>
      <c r="F1116" s="6">
        <v>14</v>
      </c>
    </row>
    <row r="1117" spans="1:6">
      <c r="A1117" s="7"/>
      <c r="B1117" s="6">
        <v>12.1</v>
      </c>
      <c r="C1117" s="6">
        <v>24</v>
      </c>
      <c r="D1117" s="1081">
        <v>45004.531826520462</v>
      </c>
      <c r="E1117" s="6">
        <v>15</v>
      </c>
      <c r="F1117" s="6">
        <v>14</v>
      </c>
    </row>
    <row r="1118" spans="1:6">
      <c r="A1118" s="7"/>
      <c r="B1118" s="6">
        <v>24.1</v>
      </c>
      <c r="C1118" s="6" t="s">
        <v>3658</v>
      </c>
      <c r="D1118" s="1081" t="s">
        <v>3658</v>
      </c>
      <c r="E1118" s="6">
        <v>15</v>
      </c>
      <c r="F1118" s="6">
        <v>14</v>
      </c>
    </row>
    <row r="1121" spans="1:6">
      <c r="A1121" s="1061" t="s">
        <v>3808</v>
      </c>
      <c r="B1121" s="1061" t="s">
        <v>3963</v>
      </c>
      <c r="C1121" s="1061"/>
      <c r="D1121" s="1061"/>
      <c r="E1121" s="1061"/>
      <c r="F1121" s="1061"/>
    </row>
    <row r="1122" spans="1:6">
      <c r="A1122" s="1080">
        <v>29</v>
      </c>
      <c r="B1122" s="1094" t="s">
        <v>3964</v>
      </c>
      <c r="C1122" s="1060" t="s">
        <v>3965</v>
      </c>
      <c r="D1122" s="1098" t="s">
        <v>3657</v>
      </c>
      <c r="E1122" s="1094" t="s">
        <v>3760</v>
      </c>
      <c r="F1122" s="742" t="s">
        <v>3651</v>
      </c>
    </row>
    <row r="1123" spans="1:6">
      <c r="A1123" s="7" t="s">
        <v>3966</v>
      </c>
      <c r="B1123" s="6">
        <v>0</v>
      </c>
      <c r="C1123" s="6">
        <v>5.0000000000000001E-4</v>
      </c>
      <c r="D1123" s="1081">
        <v>14911.809013349002</v>
      </c>
      <c r="E1123" s="6">
        <v>25</v>
      </c>
      <c r="F1123" s="6">
        <v>20</v>
      </c>
    </row>
    <row r="1124" spans="1:6">
      <c r="A1124" s="7"/>
      <c r="B1124" s="6">
        <v>5.1000000000000004E-4</v>
      </c>
      <c r="C1124" s="6">
        <v>5.3E-3</v>
      </c>
      <c r="D1124" s="1081">
        <v>14911.809013349002</v>
      </c>
      <c r="E1124" s="6">
        <v>25</v>
      </c>
      <c r="F1124" s="6">
        <v>20</v>
      </c>
    </row>
    <row r="1125" spans="1:6">
      <c r="A1125" s="7"/>
      <c r="B1125" s="6">
        <v>5.4000000000000003E-3</v>
      </c>
      <c r="C1125" s="6">
        <v>2.5</v>
      </c>
      <c r="D1125" s="1081">
        <v>15835.549394706904</v>
      </c>
      <c r="E1125" s="6">
        <v>25</v>
      </c>
      <c r="F1125" s="6">
        <v>20</v>
      </c>
    </row>
    <row r="1126" spans="1:6">
      <c r="A1126" s="7"/>
      <c r="B1126" s="6">
        <v>2.5099999999999998</v>
      </c>
      <c r="C1126" s="6" t="s">
        <v>3658</v>
      </c>
      <c r="D1126" s="1081" t="s">
        <v>3658</v>
      </c>
      <c r="E1126" s="6">
        <v>25</v>
      </c>
      <c r="F1126" s="6">
        <v>20</v>
      </c>
    </row>
    <row r="1129" spans="1:6">
      <c r="A1129" s="1085" t="s">
        <v>3660</v>
      </c>
      <c r="B1129" s="1061" t="s">
        <v>3967</v>
      </c>
      <c r="C1129" s="1065"/>
      <c r="D1129" s="1086"/>
      <c r="E1129" s="1065"/>
      <c r="F1129" s="1065"/>
    </row>
    <row r="1130" spans="1:6">
      <c r="A1130" s="1080">
        <v>3</v>
      </c>
      <c r="B1130" s="1060" t="s">
        <v>3968</v>
      </c>
      <c r="C1130" s="1060" t="s">
        <v>3969</v>
      </c>
      <c r="D1130" s="1060" t="s">
        <v>3657</v>
      </c>
      <c r="E1130" s="1060" t="s">
        <v>3650</v>
      </c>
      <c r="F1130" s="1060" t="s">
        <v>3651</v>
      </c>
    </row>
    <row r="1131" spans="1:6">
      <c r="A1131" s="7" t="s">
        <v>3970</v>
      </c>
      <c r="B1131" s="6">
        <v>0</v>
      </c>
      <c r="C1131" s="6">
        <v>500</v>
      </c>
      <c r="D1131" s="1082">
        <v>159.07908338693841</v>
      </c>
      <c r="E1131" s="6">
        <v>40</v>
      </c>
      <c r="F1131" s="6">
        <v>37</v>
      </c>
    </row>
    <row r="1132" spans="1:6">
      <c r="A1132" s="7"/>
      <c r="B1132" s="6">
        <v>500.1</v>
      </c>
      <c r="C1132" s="6">
        <v>1000</v>
      </c>
      <c r="D1132" s="1082">
        <v>134.48989773181236</v>
      </c>
      <c r="E1132" s="6">
        <v>40</v>
      </c>
      <c r="F1132" s="6">
        <v>37</v>
      </c>
    </row>
    <row r="1133" spans="1:6">
      <c r="A1133" s="7"/>
      <c r="B1133" s="6">
        <v>1000.1</v>
      </c>
      <c r="C1133" s="6">
        <v>2000</v>
      </c>
      <c r="D1133" s="1082">
        <v>119.99061567532515</v>
      </c>
      <c r="E1133" s="6">
        <v>40</v>
      </c>
      <c r="F1133" s="6">
        <v>37</v>
      </c>
    </row>
    <row r="1134" spans="1:6">
      <c r="A1134" s="7"/>
      <c r="B1134" s="6">
        <v>2000.1</v>
      </c>
      <c r="C1134" s="6">
        <v>3000</v>
      </c>
      <c r="D1134" s="1082">
        <v>113.05522708745617</v>
      </c>
      <c r="E1134" s="6">
        <v>40</v>
      </c>
      <c r="F1134" s="6">
        <v>37</v>
      </c>
    </row>
    <row r="1135" spans="1:6">
      <c r="A1135" s="7"/>
      <c r="B1135" s="6">
        <v>3000.1</v>
      </c>
      <c r="C1135" s="6">
        <v>4000</v>
      </c>
      <c r="D1135" s="1082">
        <v>106.56398111474454</v>
      </c>
      <c r="E1135" s="6">
        <v>40</v>
      </c>
      <c r="F1135" s="6">
        <v>37</v>
      </c>
    </row>
    <row r="1136" spans="1:6">
      <c r="A1136" s="7"/>
      <c r="B1136" s="6">
        <v>4000.1</v>
      </c>
      <c r="C1136" s="6">
        <v>5000</v>
      </c>
      <c r="D1136" s="1082">
        <v>101.26097504978043</v>
      </c>
      <c r="E1136" s="6">
        <v>40</v>
      </c>
      <c r="F1136" s="6">
        <v>37</v>
      </c>
    </row>
    <row r="1137" spans="1:6">
      <c r="A1137" s="7"/>
      <c r="B1137" s="6">
        <v>5000.1000000000004</v>
      </c>
      <c r="C1137" s="6">
        <v>7500</v>
      </c>
      <c r="D1137" s="1082">
        <v>96.230452398690204</v>
      </c>
      <c r="E1137" s="6">
        <v>40</v>
      </c>
      <c r="F1137" s="6">
        <v>37</v>
      </c>
    </row>
    <row r="1138" spans="1:6">
      <c r="A1138" s="7"/>
      <c r="B1138" s="6">
        <v>7500.1</v>
      </c>
      <c r="C1138" s="6">
        <v>8000</v>
      </c>
      <c r="D1138" s="1082">
        <v>95.462656603464197</v>
      </c>
      <c r="E1138" s="6">
        <v>40</v>
      </c>
      <c r="F1138" s="6">
        <v>37</v>
      </c>
    </row>
    <row r="1139" spans="1:6">
      <c r="A1139" s="7"/>
      <c r="B1139" s="6">
        <v>8000.1</v>
      </c>
      <c r="C1139" s="6">
        <v>10000</v>
      </c>
      <c r="D1139" s="1082">
        <v>91.434111432887718</v>
      </c>
      <c r="E1139" s="6">
        <v>40</v>
      </c>
      <c r="F1139" s="6">
        <v>37</v>
      </c>
    </row>
    <row r="1140" spans="1:6">
      <c r="A1140" s="7"/>
      <c r="B1140" s="6">
        <v>10000.1</v>
      </c>
      <c r="C1140" s="6">
        <v>12000</v>
      </c>
      <c r="D1140" s="1082">
        <v>91.42645385658453</v>
      </c>
      <c r="E1140" s="6">
        <v>40</v>
      </c>
      <c r="F1140" s="6">
        <v>37</v>
      </c>
    </row>
    <row r="1141" spans="1:6">
      <c r="A1141" s="7"/>
      <c r="B1141" s="6">
        <v>12000.1</v>
      </c>
      <c r="C1141" s="6">
        <v>15000</v>
      </c>
      <c r="D1141" s="1082">
        <v>87.464178798799722</v>
      </c>
      <c r="E1141" s="6">
        <v>40</v>
      </c>
      <c r="F1141" s="6">
        <v>37</v>
      </c>
    </row>
    <row r="1142" spans="1:6">
      <c r="A1142" s="7"/>
      <c r="B1142" s="6">
        <v>15000.1</v>
      </c>
      <c r="C1142" s="6">
        <v>18000</v>
      </c>
      <c r="D1142" s="1082">
        <v>86.039219362928449</v>
      </c>
      <c r="E1142" s="6">
        <v>40</v>
      </c>
      <c r="F1142" s="6">
        <v>37</v>
      </c>
    </row>
    <row r="1143" spans="1:6">
      <c r="A1143" s="7"/>
      <c r="B1143" s="6">
        <v>18000.099999999999</v>
      </c>
      <c r="C1143" s="6">
        <v>20000</v>
      </c>
      <c r="D1143" s="1082">
        <v>83.791438710432772</v>
      </c>
      <c r="E1143" s="6">
        <v>40</v>
      </c>
      <c r="F1143" s="6">
        <v>37</v>
      </c>
    </row>
    <row r="1144" spans="1:6">
      <c r="A1144" s="7"/>
      <c r="B1144" s="6">
        <v>20000.099999999999</v>
      </c>
      <c r="C1144" s="6">
        <v>24000</v>
      </c>
      <c r="D1144" s="1082">
        <v>85.13575829499753</v>
      </c>
      <c r="E1144" s="6">
        <v>40</v>
      </c>
      <c r="F1144" s="6">
        <v>37</v>
      </c>
    </row>
    <row r="1145" spans="1:6">
      <c r="A1145" s="7"/>
      <c r="B1145" s="6">
        <v>24000.1</v>
      </c>
      <c r="C1145" s="6">
        <v>25000</v>
      </c>
      <c r="D1145" s="1082">
        <v>81.955906140092466</v>
      </c>
      <c r="E1145" s="6">
        <v>40</v>
      </c>
      <c r="F1145" s="6">
        <v>37</v>
      </c>
    </row>
    <row r="1146" spans="1:6">
      <c r="A1146" s="7"/>
      <c r="B1146" s="6">
        <v>25000.1</v>
      </c>
      <c r="C1146" s="6">
        <v>30000</v>
      </c>
      <c r="D1146" s="1082">
        <v>81.321635182269304</v>
      </c>
      <c r="E1146" s="6">
        <v>40</v>
      </c>
      <c r="F1146" s="6">
        <v>37</v>
      </c>
    </row>
    <row r="1147" spans="1:6">
      <c r="A1147" s="7"/>
      <c r="B1147" s="6">
        <v>30000.1</v>
      </c>
      <c r="C1147" s="6">
        <v>36000</v>
      </c>
      <c r="D1147" s="1082">
        <v>81.113956213091924</v>
      </c>
      <c r="E1147" s="6">
        <v>40</v>
      </c>
      <c r="F1147" s="6">
        <v>37</v>
      </c>
    </row>
    <row r="1148" spans="1:6">
      <c r="A1148" s="7"/>
      <c r="B1148" s="6">
        <v>36000.1</v>
      </c>
      <c r="C1148" s="6">
        <v>42000</v>
      </c>
      <c r="D1148" s="1082">
        <v>78.820692492194596</v>
      </c>
      <c r="E1148" s="6">
        <v>40</v>
      </c>
      <c r="F1148" s="6">
        <v>37</v>
      </c>
    </row>
    <row r="1149" spans="1:6">
      <c r="A1149" s="7"/>
      <c r="B1149" s="6">
        <v>42000.1</v>
      </c>
      <c r="C1149" s="6">
        <v>48000</v>
      </c>
      <c r="D1149" s="1082">
        <v>78.442476390741092</v>
      </c>
      <c r="E1149" s="6">
        <v>40</v>
      </c>
      <c r="F1149" s="6">
        <v>37</v>
      </c>
    </row>
    <row r="1150" spans="1:6">
      <c r="A1150" s="7"/>
      <c r="B1150" s="6">
        <v>48000.1</v>
      </c>
      <c r="C1150" s="6">
        <v>50000</v>
      </c>
      <c r="D1150" s="1082">
        <v>77.50328603606313</v>
      </c>
      <c r="E1150" s="6">
        <v>40</v>
      </c>
      <c r="F1150" s="6">
        <v>37</v>
      </c>
    </row>
    <row r="1151" spans="1:6">
      <c r="A1151" s="7"/>
      <c r="B1151" s="6">
        <v>50000.1</v>
      </c>
      <c r="C1151" s="6">
        <v>54000</v>
      </c>
      <c r="D1151" s="1082">
        <v>77.670676674084788</v>
      </c>
      <c r="E1151" s="6">
        <v>40</v>
      </c>
      <c r="F1151" s="6">
        <v>37</v>
      </c>
    </row>
    <row r="1152" spans="1:6">
      <c r="A1152" s="7"/>
      <c r="B1152" s="6">
        <v>54000.1</v>
      </c>
      <c r="C1152" s="6">
        <v>60000</v>
      </c>
      <c r="D1152" s="1082">
        <v>77.536387587302769</v>
      </c>
      <c r="E1152" s="6">
        <v>40</v>
      </c>
      <c r="F1152" s="6">
        <v>37</v>
      </c>
    </row>
    <row r="1153" spans="1:6">
      <c r="A1153" s="7"/>
      <c r="B1153" s="6">
        <v>60000.1</v>
      </c>
      <c r="C1153" s="6">
        <v>100000</v>
      </c>
      <c r="D1153" s="1082">
        <v>74.194750116152491</v>
      </c>
      <c r="E1153" s="6">
        <v>40</v>
      </c>
      <c r="F1153" s="6">
        <v>37</v>
      </c>
    </row>
    <row r="1154" spans="1:6">
      <c r="A1154" s="7"/>
      <c r="B1154" s="6">
        <v>100000.1</v>
      </c>
      <c r="C1154" s="6">
        <v>200000</v>
      </c>
      <c r="D1154" s="1082">
        <v>71.645659476510929</v>
      </c>
      <c r="E1154" s="6">
        <v>40</v>
      </c>
      <c r="F1154" s="6">
        <v>37</v>
      </c>
    </row>
    <row r="1155" spans="1:6">
      <c r="A1155" s="7"/>
      <c r="B1155" s="6">
        <v>200000.1</v>
      </c>
      <c r="C1155" s="6" t="s">
        <v>3658</v>
      </c>
      <c r="D1155" s="1081"/>
    </row>
    <row r="1158" spans="1:6">
      <c r="A1158" s="1085" t="s">
        <v>3660</v>
      </c>
      <c r="B1158" s="1061" t="s">
        <v>3971</v>
      </c>
      <c r="C1158" s="1065"/>
      <c r="D1158" s="1086"/>
      <c r="E1158" s="1065"/>
      <c r="F1158" s="1065"/>
    </row>
    <row r="1159" spans="1:6">
      <c r="A1159" s="1080">
        <v>3</v>
      </c>
      <c r="B1159" s="1060" t="s">
        <v>3968</v>
      </c>
      <c r="C1159" s="1060" t="s">
        <v>3969</v>
      </c>
      <c r="D1159" s="1060" t="s">
        <v>3657</v>
      </c>
      <c r="E1159" s="1060" t="s">
        <v>3650</v>
      </c>
      <c r="F1159" s="1060" t="s">
        <v>3651</v>
      </c>
    </row>
    <row r="1160" spans="1:6">
      <c r="A1160" s="7" t="s">
        <v>3972</v>
      </c>
      <c r="B1160" s="6">
        <v>0</v>
      </c>
      <c r="C1160" s="6">
        <v>500</v>
      </c>
      <c r="D1160" s="1082">
        <v>87.995785986471901</v>
      </c>
      <c r="E1160" s="6">
        <v>40</v>
      </c>
      <c r="F1160" s="6">
        <v>37</v>
      </c>
    </row>
    <row r="1161" spans="1:6">
      <c r="A1161" s="7"/>
      <c r="B1161" s="6">
        <v>500.1</v>
      </c>
      <c r="C1161" s="6">
        <v>1000</v>
      </c>
      <c r="D1161" s="1082">
        <v>77.621462890510927</v>
      </c>
      <c r="E1161" s="6">
        <v>40</v>
      </c>
      <c r="F1161" s="6">
        <v>37</v>
      </c>
    </row>
    <row r="1162" spans="1:6">
      <c r="A1162" s="7"/>
      <c r="B1162" s="6">
        <v>1000.1</v>
      </c>
      <c r="C1162" s="6">
        <v>2000</v>
      </c>
      <c r="D1162" s="1082">
        <v>72.708529355935639</v>
      </c>
      <c r="E1162" s="6">
        <v>40</v>
      </c>
      <c r="F1162" s="6">
        <v>37</v>
      </c>
    </row>
    <row r="1163" spans="1:6">
      <c r="A1163" s="7"/>
      <c r="B1163" s="6">
        <v>2000.1</v>
      </c>
      <c r="C1163" s="6">
        <v>3000</v>
      </c>
      <c r="D1163" s="1082">
        <v>70.448126773803963</v>
      </c>
      <c r="E1163" s="6">
        <v>40</v>
      </c>
      <c r="F1163" s="6">
        <v>37</v>
      </c>
    </row>
    <row r="1164" spans="1:6">
      <c r="A1164" s="7"/>
      <c r="B1164" s="6">
        <v>3000.1</v>
      </c>
      <c r="C1164" s="6">
        <v>4000</v>
      </c>
      <c r="D1164" s="1082">
        <v>67.10586719809551</v>
      </c>
      <c r="E1164" s="6">
        <v>40</v>
      </c>
      <c r="F1164" s="6">
        <v>37</v>
      </c>
    </row>
    <row r="1165" spans="1:6">
      <c r="A1165" s="7"/>
      <c r="B1165" s="6">
        <v>4000.1</v>
      </c>
      <c r="C1165" s="6">
        <v>5000</v>
      </c>
      <c r="D1165" s="1082">
        <v>64.083332472303539</v>
      </c>
      <c r="E1165" s="6">
        <v>40</v>
      </c>
      <c r="F1165" s="6">
        <v>37</v>
      </c>
    </row>
    <row r="1166" spans="1:6">
      <c r="A1166" s="7"/>
      <c r="B1166" s="6">
        <v>5000.1000000000004</v>
      </c>
      <c r="C1166" s="6">
        <v>7500</v>
      </c>
      <c r="D1166" s="1082">
        <v>62.434992707695244</v>
      </c>
      <c r="E1166" s="6">
        <v>40</v>
      </c>
      <c r="F1166" s="6">
        <v>37</v>
      </c>
    </row>
    <row r="1167" spans="1:6">
      <c r="A1167" s="7"/>
      <c r="B1167" s="6">
        <v>7500.1</v>
      </c>
      <c r="C1167" s="6">
        <v>8000</v>
      </c>
      <c r="D1167" s="1082">
        <v>62.039898758338346</v>
      </c>
      <c r="E1167" s="6">
        <v>40</v>
      </c>
      <c r="F1167" s="6">
        <v>37</v>
      </c>
    </row>
    <row r="1168" spans="1:6">
      <c r="A1168" s="7"/>
      <c r="B1168" s="6">
        <v>8000.1</v>
      </c>
      <c r="C1168" s="6">
        <v>10000</v>
      </c>
      <c r="D1168" s="1082">
        <v>59.601904884277673</v>
      </c>
      <c r="E1168" s="6">
        <v>40</v>
      </c>
      <c r="F1168" s="6">
        <v>37</v>
      </c>
    </row>
    <row r="1169" spans="1:6">
      <c r="A1169" s="7"/>
      <c r="B1169" s="6">
        <v>10000.1</v>
      </c>
      <c r="C1169" s="6">
        <v>12000</v>
      </c>
      <c r="D1169" s="1082">
        <v>60.141213921311682</v>
      </c>
      <c r="E1169" s="6">
        <v>40</v>
      </c>
      <c r="F1169" s="6">
        <v>37</v>
      </c>
    </row>
    <row r="1170" spans="1:6">
      <c r="A1170" s="7"/>
      <c r="B1170" s="6">
        <v>12000.1</v>
      </c>
      <c r="C1170" s="6">
        <v>15000</v>
      </c>
      <c r="D1170" s="1082">
        <v>58.049478649126854</v>
      </c>
      <c r="E1170" s="6">
        <v>40</v>
      </c>
      <c r="F1170" s="6">
        <v>37</v>
      </c>
    </row>
    <row r="1171" spans="1:6">
      <c r="A1171" s="7"/>
      <c r="B1171" s="6">
        <v>15000.1</v>
      </c>
      <c r="C1171" s="6">
        <v>18000</v>
      </c>
      <c r="D1171" s="1082">
        <v>57.038238046894868</v>
      </c>
      <c r="E1171" s="6">
        <v>40</v>
      </c>
      <c r="F1171" s="6">
        <v>37</v>
      </c>
    </row>
    <row r="1172" spans="1:6">
      <c r="A1172" s="7"/>
      <c r="B1172" s="6">
        <v>18000.099999999999</v>
      </c>
      <c r="C1172" s="6">
        <v>20000</v>
      </c>
      <c r="D1172" s="1082">
        <v>55.747779628728985</v>
      </c>
      <c r="E1172" s="6">
        <v>40</v>
      </c>
      <c r="F1172" s="6">
        <v>37</v>
      </c>
    </row>
    <row r="1173" spans="1:6">
      <c r="A1173" s="7"/>
      <c r="B1173" s="6">
        <v>20000.099999999999</v>
      </c>
      <c r="C1173" s="6">
        <v>24000</v>
      </c>
      <c r="D1173" s="1082">
        <v>56.7476648499348</v>
      </c>
      <c r="E1173" s="6">
        <v>40</v>
      </c>
      <c r="F1173" s="6">
        <v>37</v>
      </c>
    </row>
    <row r="1174" spans="1:6">
      <c r="A1174" s="7"/>
      <c r="B1174" s="6">
        <v>24000.1</v>
      </c>
      <c r="C1174" s="6">
        <v>25000</v>
      </c>
      <c r="D1174" s="1082">
        <v>54.954566251469601</v>
      </c>
      <c r="E1174" s="6">
        <v>40</v>
      </c>
      <c r="F1174" s="6">
        <v>37</v>
      </c>
    </row>
    <row r="1175" spans="1:6">
      <c r="A1175" s="7"/>
      <c r="B1175" s="6">
        <v>25000.1</v>
      </c>
      <c r="C1175" s="6">
        <v>30000</v>
      </c>
      <c r="D1175" s="1082">
        <v>54.543501965211384</v>
      </c>
      <c r="E1175" s="6">
        <v>40</v>
      </c>
      <c r="F1175" s="6">
        <v>37</v>
      </c>
    </row>
    <row r="1176" spans="1:6">
      <c r="A1176" s="7"/>
      <c r="B1176" s="6">
        <v>30000.1</v>
      </c>
      <c r="C1176" s="6">
        <v>36000</v>
      </c>
      <c r="D1176" s="1082">
        <v>54.620213823951723</v>
      </c>
      <c r="E1176" s="6">
        <v>40</v>
      </c>
      <c r="F1176" s="6">
        <v>37</v>
      </c>
    </row>
    <row r="1177" spans="1:6">
      <c r="A1177" s="7"/>
      <c r="B1177" s="6">
        <v>36000.1</v>
      </c>
      <c r="C1177" s="6">
        <v>42000</v>
      </c>
      <c r="D1177" s="1082">
        <v>53.166293359731071</v>
      </c>
      <c r="E1177" s="6">
        <v>40</v>
      </c>
      <c r="F1177" s="6">
        <v>37</v>
      </c>
    </row>
    <row r="1178" spans="1:6">
      <c r="A1178" s="7"/>
      <c r="B1178" s="6">
        <v>42000.1</v>
      </c>
      <c r="C1178" s="6">
        <v>48000</v>
      </c>
      <c r="D1178" s="1082">
        <v>52.973026700809307</v>
      </c>
      <c r="E1178" s="6">
        <v>40</v>
      </c>
      <c r="F1178" s="6">
        <v>37</v>
      </c>
    </row>
    <row r="1179" spans="1:6">
      <c r="A1179" s="7"/>
      <c r="B1179" s="6">
        <v>48000.1</v>
      </c>
      <c r="C1179" s="6">
        <v>50000</v>
      </c>
      <c r="D1179" s="1082">
        <v>52.540388459087275</v>
      </c>
      <c r="E1179" s="6">
        <v>40</v>
      </c>
      <c r="F1179" s="6">
        <v>37</v>
      </c>
    </row>
    <row r="1180" spans="1:6">
      <c r="A1180" s="7"/>
      <c r="B1180" s="6">
        <v>50000.1</v>
      </c>
      <c r="C1180" s="6">
        <v>54000</v>
      </c>
      <c r="D1180" s="1082">
        <v>52.553834255644766</v>
      </c>
      <c r="E1180" s="6">
        <v>40</v>
      </c>
      <c r="F1180" s="6">
        <v>37</v>
      </c>
    </row>
    <row r="1181" spans="1:6">
      <c r="A1181" s="7"/>
      <c r="B1181" s="6">
        <v>54000.1</v>
      </c>
      <c r="C1181" s="6">
        <v>60000</v>
      </c>
      <c r="D1181" s="1082">
        <v>52.709397172651471</v>
      </c>
      <c r="E1181" s="6">
        <v>40</v>
      </c>
      <c r="F1181" s="6">
        <v>37</v>
      </c>
    </row>
    <row r="1182" spans="1:6">
      <c r="A1182" s="7"/>
      <c r="B1182" s="6">
        <v>60000.1</v>
      </c>
      <c r="C1182" s="6">
        <v>100000</v>
      </c>
      <c r="D1182" s="1082">
        <v>50.821176793453027</v>
      </c>
      <c r="E1182" s="6">
        <v>40</v>
      </c>
      <c r="F1182" s="6">
        <v>37</v>
      </c>
    </row>
    <row r="1183" spans="1:6">
      <c r="A1183" s="7"/>
      <c r="B1183" s="6">
        <v>100000.1</v>
      </c>
      <c r="C1183" s="6">
        <v>200000</v>
      </c>
      <c r="D1183" s="1082">
        <v>49.386195901973075</v>
      </c>
      <c r="E1183" s="6">
        <v>40</v>
      </c>
      <c r="F1183" s="6">
        <v>37</v>
      </c>
    </row>
    <row r="1184" spans="1:6">
      <c r="A1184" s="7"/>
      <c r="B1184" s="6">
        <v>200000.1</v>
      </c>
      <c r="C1184" s="6" t="s">
        <v>3658</v>
      </c>
      <c r="D1184" s="1081"/>
    </row>
    <row r="1187" spans="1:6">
      <c r="A1187" s="1085" t="s">
        <v>3660</v>
      </c>
      <c r="B1187" s="1061" t="s">
        <v>3973</v>
      </c>
      <c r="C1187" s="1065"/>
      <c r="D1187" s="1086"/>
      <c r="E1187" s="1065"/>
      <c r="F1187" s="1065"/>
    </row>
    <row r="1188" spans="1:6">
      <c r="A1188" s="1080">
        <v>3</v>
      </c>
      <c r="B1188" s="1060" t="s">
        <v>3968</v>
      </c>
      <c r="C1188" s="1060" t="s">
        <v>3969</v>
      </c>
      <c r="D1188" s="1060" t="s">
        <v>3657</v>
      </c>
      <c r="E1188" s="1060" t="s">
        <v>3650</v>
      </c>
      <c r="F1188" s="1060" t="s">
        <v>3651</v>
      </c>
    </row>
    <row r="1189" spans="1:6">
      <c r="A1189" s="7" t="s">
        <v>3974</v>
      </c>
      <c r="B1189" s="6">
        <v>0</v>
      </c>
      <c r="C1189" s="6">
        <v>500</v>
      </c>
      <c r="D1189" s="1082">
        <v>107.33255707277601</v>
      </c>
      <c r="E1189" s="6">
        <v>40</v>
      </c>
      <c r="F1189" s="6">
        <v>37</v>
      </c>
    </row>
    <row r="1190" spans="1:6">
      <c r="A1190" s="7"/>
      <c r="B1190" s="6">
        <v>500.1</v>
      </c>
      <c r="C1190" s="6">
        <v>1000</v>
      </c>
      <c r="D1190" s="1082">
        <v>94.997668571176817</v>
      </c>
      <c r="E1190" s="6">
        <v>40</v>
      </c>
      <c r="F1190" s="6">
        <v>37</v>
      </c>
    </row>
    <row r="1191" spans="1:6">
      <c r="A1191" s="7"/>
      <c r="B1191" s="6">
        <v>1000.1</v>
      </c>
      <c r="C1191" s="6">
        <v>2000</v>
      </c>
      <c r="D1191" s="1082">
        <v>88.799580495613213</v>
      </c>
      <c r="E1191" s="6">
        <v>40</v>
      </c>
      <c r="F1191" s="6">
        <v>37</v>
      </c>
    </row>
    <row r="1192" spans="1:6">
      <c r="A1192" s="7"/>
      <c r="B1192" s="6">
        <v>2000.1</v>
      </c>
      <c r="C1192" s="6">
        <v>3000</v>
      </c>
      <c r="D1192" s="1082">
        <v>85.480400414744835</v>
      </c>
      <c r="E1192" s="6">
        <v>40</v>
      </c>
      <c r="F1192" s="6">
        <v>37</v>
      </c>
    </row>
    <row r="1193" spans="1:6">
      <c r="A1193" s="7"/>
      <c r="B1193" s="6">
        <v>3000.1</v>
      </c>
      <c r="C1193" s="6">
        <v>4000</v>
      </c>
      <c r="D1193" s="1082">
        <v>81.513874168064731</v>
      </c>
      <c r="E1193" s="6">
        <v>40</v>
      </c>
      <c r="F1193" s="6">
        <v>37</v>
      </c>
    </row>
    <row r="1194" spans="1:6">
      <c r="A1194" s="7"/>
      <c r="B1194" s="6">
        <v>4000.1</v>
      </c>
      <c r="C1194" s="6">
        <v>5000</v>
      </c>
      <c r="D1194" s="1082">
        <v>77.947857047263511</v>
      </c>
      <c r="E1194" s="6">
        <v>40</v>
      </c>
      <c r="F1194" s="6">
        <v>37</v>
      </c>
    </row>
    <row r="1195" spans="1:6">
      <c r="A1195" s="7"/>
      <c r="B1195" s="6">
        <v>5000.1000000000004</v>
      </c>
      <c r="C1195" s="6">
        <v>7500</v>
      </c>
      <c r="D1195" s="1082">
        <v>75.369230925707001</v>
      </c>
      <c r="E1195" s="6">
        <v>40</v>
      </c>
      <c r="F1195" s="6">
        <v>37</v>
      </c>
    </row>
    <row r="1196" spans="1:6">
      <c r="A1196" s="7"/>
      <c r="B1196" s="6">
        <v>7500.1</v>
      </c>
      <c r="C1196" s="6">
        <v>8000</v>
      </c>
      <c r="D1196" s="1082">
        <v>74.924930463810057</v>
      </c>
      <c r="E1196" s="6">
        <v>40</v>
      </c>
      <c r="F1196" s="6">
        <v>37</v>
      </c>
    </row>
    <row r="1197" spans="1:6">
      <c r="A1197" s="7"/>
      <c r="B1197" s="6">
        <v>8000.1</v>
      </c>
      <c r="C1197" s="6">
        <v>10000</v>
      </c>
      <c r="D1197" s="1082">
        <v>72.198626248586834</v>
      </c>
      <c r="E1197" s="6">
        <v>40</v>
      </c>
      <c r="F1197" s="6">
        <v>37</v>
      </c>
    </row>
    <row r="1198" spans="1:6">
      <c r="A1198" s="7"/>
      <c r="B1198" s="6">
        <v>10000.1</v>
      </c>
      <c r="C1198" s="6">
        <v>12000</v>
      </c>
      <c r="D1198" s="1082">
        <v>72.531408178813038</v>
      </c>
      <c r="E1198" s="6">
        <v>40</v>
      </c>
      <c r="F1198" s="6">
        <v>37</v>
      </c>
    </row>
    <row r="1199" spans="1:6">
      <c r="A1199" s="7"/>
      <c r="B1199" s="6">
        <v>12000.1</v>
      </c>
      <c r="C1199" s="6">
        <v>15000</v>
      </c>
      <c r="D1199" s="1082">
        <v>70.043868657921522</v>
      </c>
      <c r="E1199" s="6">
        <v>40</v>
      </c>
      <c r="F1199" s="6">
        <v>37</v>
      </c>
    </row>
    <row r="1200" spans="1:6">
      <c r="A1200" s="7"/>
      <c r="B1200" s="6">
        <v>15000.1</v>
      </c>
      <c r="C1200" s="6">
        <v>18000</v>
      </c>
      <c r="D1200" s="1082">
        <v>68.866368293667662</v>
      </c>
      <c r="E1200" s="6">
        <v>40</v>
      </c>
      <c r="F1200" s="6">
        <v>37</v>
      </c>
    </row>
    <row r="1201" spans="1:6">
      <c r="A1201" s="7"/>
      <c r="B1201" s="6">
        <v>18000.099999999999</v>
      </c>
      <c r="C1201" s="6">
        <v>20000</v>
      </c>
      <c r="D1201" s="1082">
        <v>67.453437592014495</v>
      </c>
      <c r="E1201" s="6">
        <v>40</v>
      </c>
      <c r="F1201" s="6">
        <v>37</v>
      </c>
    </row>
    <row r="1202" spans="1:6">
      <c r="A1202" s="7"/>
      <c r="B1202" s="6">
        <v>20000.099999999999</v>
      </c>
      <c r="C1202" s="6">
        <v>24000</v>
      </c>
      <c r="D1202" s="1082">
        <v>68.497461988820163</v>
      </c>
      <c r="E1202" s="6">
        <v>40</v>
      </c>
      <c r="F1202" s="6">
        <v>37</v>
      </c>
    </row>
    <row r="1203" spans="1:6">
      <c r="A1203" s="7"/>
      <c r="B1203" s="6">
        <v>24000.1</v>
      </c>
      <c r="C1203" s="6">
        <v>25000</v>
      </c>
      <c r="D1203" s="1082">
        <v>66.425629355850404</v>
      </c>
      <c r="E1203" s="6">
        <v>40</v>
      </c>
      <c r="F1203" s="6">
        <v>37</v>
      </c>
    </row>
    <row r="1204" spans="1:6">
      <c r="A1204" s="7"/>
      <c r="B1204" s="6">
        <v>25000.1</v>
      </c>
      <c r="C1204" s="6">
        <v>30000</v>
      </c>
      <c r="D1204" s="1082">
        <v>65.987269571697894</v>
      </c>
      <c r="E1204" s="6">
        <v>40</v>
      </c>
      <c r="F1204" s="6">
        <v>37</v>
      </c>
    </row>
    <row r="1205" spans="1:6">
      <c r="A1205" s="7"/>
      <c r="B1205" s="6">
        <v>30000.1</v>
      </c>
      <c r="C1205" s="6">
        <v>36000</v>
      </c>
      <c r="D1205" s="1082">
        <v>66.045749729227992</v>
      </c>
      <c r="E1205" s="6">
        <v>40</v>
      </c>
      <c r="F1205" s="6">
        <v>37</v>
      </c>
    </row>
    <row r="1206" spans="1:6">
      <c r="A1206" s="7"/>
      <c r="B1206" s="6">
        <v>36000.1</v>
      </c>
      <c r="C1206" s="6">
        <v>42000</v>
      </c>
      <c r="D1206" s="1082">
        <v>64.392614702025625</v>
      </c>
      <c r="E1206" s="6">
        <v>40</v>
      </c>
      <c r="F1206" s="6">
        <v>37</v>
      </c>
    </row>
    <row r="1207" spans="1:6">
      <c r="A1207" s="7"/>
      <c r="B1207" s="6">
        <v>42000.1</v>
      </c>
      <c r="C1207" s="6">
        <v>48000</v>
      </c>
      <c r="D1207" s="1082">
        <v>64.183335801111227</v>
      </c>
      <c r="E1207" s="6">
        <v>40</v>
      </c>
      <c r="F1207" s="6">
        <v>37</v>
      </c>
    </row>
    <row r="1208" spans="1:6">
      <c r="A1208" s="7"/>
      <c r="B1208" s="6">
        <v>48000.1</v>
      </c>
      <c r="C1208" s="6">
        <v>50000</v>
      </c>
      <c r="D1208" s="1082">
        <v>63.686652755242086</v>
      </c>
      <c r="E1208" s="6">
        <v>40</v>
      </c>
      <c r="F1208" s="6">
        <v>37</v>
      </c>
    </row>
    <row r="1209" spans="1:6">
      <c r="A1209" s="7"/>
      <c r="B1209" s="6">
        <v>50000.1</v>
      </c>
      <c r="C1209" s="6">
        <v>54000</v>
      </c>
      <c r="D1209" s="1082">
        <v>63.71982198890921</v>
      </c>
      <c r="E1209" s="6">
        <v>40</v>
      </c>
      <c r="F1209" s="6">
        <v>37</v>
      </c>
    </row>
    <row r="1210" spans="1:6">
      <c r="A1210" s="7"/>
      <c r="B1210" s="6">
        <v>54000.1</v>
      </c>
      <c r="C1210" s="6">
        <v>60000</v>
      </c>
      <c r="D1210" s="1082">
        <v>63.838974048679063</v>
      </c>
      <c r="E1210" s="6">
        <v>40</v>
      </c>
      <c r="F1210" s="6">
        <v>37</v>
      </c>
    </row>
    <row r="1211" spans="1:6">
      <c r="A1211" s="7"/>
      <c r="B1211" s="6">
        <v>60000.1</v>
      </c>
      <c r="C1211" s="6">
        <v>100000</v>
      </c>
      <c r="D1211" s="1082">
        <v>61.671705532780635</v>
      </c>
      <c r="E1211" s="6">
        <v>40</v>
      </c>
      <c r="F1211" s="6">
        <v>37</v>
      </c>
    </row>
    <row r="1212" spans="1:6">
      <c r="A1212" s="7"/>
      <c r="B1212" s="6">
        <v>100000.1</v>
      </c>
      <c r="C1212" s="6">
        <v>200000</v>
      </c>
      <c r="D1212" s="1082">
        <v>60.042345492267373</v>
      </c>
      <c r="E1212" s="6">
        <v>40</v>
      </c>
      <c r="F1212" s="6">
        <v>37</v>
      </c>
    </row>
    <row r="1213" spans="1:6">
      <c r="A1213" s="7"/>
      <c r="B1213" s="6">
        <v>200000.1</v>
      </c>
      <c r="C1213" s="6" t="s">
        <v>3658</v>
      </c>
      <c r="D1213" s="1081"/>
    </row>
    <row r="1216" spans="1:6">
      <c r="A1216" s="1085" t="s">
        <v>3660</v>
      </c>
      <c r="B1216" s="1061" t="s">
        <v>1281</v>
      </c>
      <c r="C1216" s="1065"/>
      <c r="D1216" s="1086"/>
      <c r="E1216" s="1065"/>
      <c r="F1216" s="1065"/>
    </row>
    <row r="1217" spans="1:6">
      <c r="A1217" s="1080">
        <v>3</v>
      </c>
      <c r="B1217" s="1060" t="s">
        <v>3968</v>
      </c>
      <c r="C1217" s="1060" t="s">
        <v>3969</v>
      </c>
      <c r="D1217" s="1060" t="s">
        <v>3657</v>
      </c>
      <c r="E1217" s="1060" t="s">
        <v>3650</v>
      </c>
      <c r="F1217" s="1060" t="s">
        <v>3651</v>
      </c>
    </row>
    <row r="1218" spans="1:6">
      <c r="A1218" s="7" t="s">
        <v>3975</v>
      </c>
      <c r="B1218" s="6">
        <v>0</v>
      </c>
      <c r="C1218" s="6">
        <v>500</v>
      </c>
      <c r="D1218" s="1082">
        <v>44.535049010481643</v>
      </c>
      <c r="E1218" s="6">
        <v>25</v>
      </c>
      <c r="F1218" s="6">
        <v>20</v>
      </c>
    </row>
    <row r="1219" spans="1:6">
      <c r="A1219" s="7"/>
      <c r="B1219" s="6">
        <v>500.1</v>
      </c>
      <c r="C1219" s="6" t="s">
        <v>3658</v>
      </c>
      <c r="D1219" s="1082" t="s">
        <v>3658</v>
      </c>
    </row>
    <row r="1222" spans="1:6">
      <c r="A1222" s="1085" t="s">
        <v>3976</v>
      </c>
      <c r="B1222" s="1061" t="s">
        <v>1248</v>
      </c>
      <c r="C1222" s="1065"/>
      <c r="D1222" s="1086"/>
      <c r="E1222" s="1065"/>
      <c r="F1222" s="1065"/>
    </row>
    <row r="1223" spans="1:6">
      <c r="A1223" s="1080">
        <v>34</v>
      </c>
      <c r="B1223" s="1060" t="s">
        <v>3977</v>
      </c>
      <c r="C1223" s="1060" t="s">
        <v>1204</v>
      </c>
      <c r="D1223" s="1060" t="s">
        <v>3657</v>
      </c>
      <c r="E1223" s="1060" t="s">
        <v>3650</v>
      </c>
      <c r="F1223" s="1060" t="s">
        <v>3651</v>
      </c>
    </row>
    <row r="1224" spans="1:6">
      <c r="A1224" s="7" t="s">
        <v>3978</v>
      </c>
      <c r="B1224" s="6">
        <v>0</v>
      </c>
      <c r="C1224" s="6">
        <v>3.33</v>
      </c>
      <c r="D1224" s="1082">
        <v>10838.899103872505</v>
      </c>
      <c r="E1224" s="6">
        <v>25</v>
      </c>
      <c r="F1224" s="6">
        <v>20</v>
      </c>
    </row>
    <row r="1225" spans="1:6">
      <c r="B1225" s="6">
        <v>3.34</v>
      </c>
      <c r="C1225" s="6">
        <v>6.66</v>
      </c>
      <c r="D1225" s="1082">
        <v>21973.94299200382</v>
      </c>
      <c r="E1225" s="6">
        <v>25</v>
      </c>
      <c r="F1225" s="6">
        <v>20</v>
      </c>
    </row>
    <row r="1226" spans="1:6">
      <c r="B1226" s="6">
        <v>6.67</v>
      </c>
      <c r="C1226" s="6">
        <v>16.66</v>
      </c>
      <c r="D1226" s="1082">
        <v>67521.010811009022</v>
      </c>
      <c r="E1226" s="6">
        <v>25</v>
      </c>
      <c r="F1226" s="6">
        <v>20</v>
      </c>
    </row>
    <row r="1227" spans="1:6">
      <c r="B1227" s="6">
        <v>16.670000000000002</v>
      </c>
      <c r="C1227" s="6">
        <v>33.33</v>
      </c>
      <c r="D1227" s="1082">
        <v>148072.39212940581</v>
      </c>
      <c r="E1227" s="6">
        <v>25</v>
      </c>
      <c r="F1227" s="6">
        <v>20</v>
      </c>
    </row>
    <row r="1228" spans="1:6">
      <c r="B1228" s="6">
        <v>33.339999999999996</v>
      </c>
      <c r="C1228" s="6">
        <v>66.66</v>
      </c>
      <c r="D1228" s="1082">
        <v>325759.26268469275</v>
      </c>
      <c r="E1228" s="6">
        <v>25</v>
      </c>
      <c r="F1228" s="6">
        <v>20</v>
      </c>
    </row>
    <row r="1229" spans="1:6">
      <c r="B1229" s="6">
        <v>66.67</v>
      </c>
      <c r="C1229" s="6">
        <v>113.32</v>
      </c>
      <c r="D1229" s="1082">
        <v>675210.10811009037</v>
      </c>
      <c r="E1229" s="6">
        <v>25</v>
      </c>
      <c r="F1229" s="6">
        <v>20</v>
      </c>
    </row>
    <row r="1230" spans="1:6">
      <c r="B1230" s="6">
        <v>113.33</v>
      </c>
      <c r="C1230" s="6" t="s">
        <v>3658</v>
      </c>
      <c r="D1230" s="1082" t="s">
        <v>3658</v>
      </c>
      <c r="E1230" s="6">
        <v>25</v>
      </c>
      <c r="F1230" s="6">
        <v>20</v>
      </c>
    </row>
    <row r="1233" spans="1:6">
      <c r="A1233" s="1085" t="s">
        <v>3979</v>
      </c>
      <c r="B1233" s="1061" t="s">
        <v>3980</v>
      </c>
      <c r="C1233" s="1065"/>
      <c r="D1233" s="1086"/>
      <c r="E1233" s="1065"/>
      <c r="F1233" s="1065"/>
    </row>
    <row r="1234" spans="1:6">
      <c r="A1234" s="1080">
        <v>22</v>
      </c>
      <c r="B1234" s="1060" t="s">
        <v>3981</v>
      </c>
      <c r="C1234" s="1060" t="s">
        <v>1190</v>
      </c>
      <c r="D1234" s="1060" t="s">
        <v>3657</v>
      </c>
      <c r="E1234" s="1060" t="s">
        <v>3650</v>
      </c>
      <c r="F1234" s="1060" t="s">
        <v>3651</v>
      </c>
    </row>
    <row r="1235" spans="1:6">
      <c r="A1235" s="7" t="s">
        <v>3982</v>
      </c>
      <c r="B1235" s="6">
        <v>0</v>
      </c>
      <c r="C1235" s="6">
        <v>41</v>
      </c>
      <c r="D1235" s="1082">
        <v>25390.80635367483</v>
      </c>
      <c r="E1235" s="6">
        <v>25</v>
      </c>
      <c r="F1235" s="6">
        <v>20</v>
      </c>
    </row>
    <row r="1236" spans="1:6">
      <c r="B1236" s="6">
        <v>41.1</v>
      </c>
      <c r="C1236" s="6">
        <v>103</v>
      </c>
      <c r="D1236" s="1082">
        <v>53576.930838029468</v>
      </c>
      <c r="E1236" s="6">
        <v>25</v>
      </c>
      <c r="F1236" s="6">
        <v>20</v>
      </c>
    </row>
    <row r="1237" spans="1:6">
      <c r="B1237" s="6">
        <v>103.1</v>
      </c>
      <c r="C1237" s="6">
        <v>461</v>
      </c>
      <c r="D1237" s="1082">
        <v>92088.960497115258</v>
      </c>
      <c r="E1237" s="6">
        <v>25</v>
      </c>
      <c r="F1237" s="6">
        <v>20</v>
      </c>
    </row>
    <row r="1238" spans="1:6">
      <c r="B1238" s="6">
        <v>461.1</v>
      </c>
      <c r="C1238" s="6">
        <v>820</v>
      </c>
      <c r="D1238" s="1082">
        <v>199574.06737165977</v>
      </c>
      <c r="E1238" s="6">
        <v>25</v>
      </c>
      <c r="F1238" s="6">
        <v>20</v>
      </c>
    </row>
    <row r="1239" spans="1:6">
      <c r="B1239" s="6">
        <v>820.1</v>
      </c>
      <c r="C1239" s="6">
        <v>1010</v>
      </c>
      <c r="D1239" s="1082">
        <v>255631.84305066755</v>
      </c>
      <c r="E1239" s="6">
        <v>25</v>
      </c>
      <c r="F1239" s="6">
        <v>20</v>
      </c>
    </row>
    <row r="1240" spans="1:6">
      <c r="B1240" s="6">
        <v>1010.1</v>
      </c>
      <c r="C1240" s="6">
        <v>1432</v>
      </c>
      <c r="D1240" s="1082">
        <v>352629.38218525652</v>
      </c>
      <c r="E1240" s="6">
        <v>25</v>
      </c>
      <c r="F1240" s="6">
        <v>20</v>
      </c>
    </row>
    <row r="1241" spans="1:6">
      <c r="B1241" s="6">
        <v>1432.1</v>
      </c>
      <c r="C1241" s="6">
        <v>2273</v>
      </c>
      <c r="D1241" s="1082">
        <v>446295.83388078545</v>
      </c>
      <c r="E1241" s="6">
        <v>25</v>
      </c>
      <c r="F1241" s="6">
        <v>20</v>
      </c>
    </row>
    <row r="1242" spans="1:6">
      <c r="B1242" s="6">
        <v>2273.1</v>
      </c>
      <c r="C1242" s="6">
        <v>3071</v>
      </c>
      <c r="D1242" s="1082">
        <v>657256.1637714142</v>
      </c>
      <c r="E1242" s="6">
        <v>25</v>
      </c>
      <c r="F1242" s="6">
        <v>20</v>
      </c>
    </row>
    <row r="1243" spans="1:6">
      <c r="B1243" s="6">
        <v>3071.1</v>
      </c>
      <c r="C1243" s="6">
        <v>6148</v>
      </c>
      <c r="D1243" s="1082">
        <v>1131859.2525888835</v>
      </c>
      <c r="E1243" s="6">
        <v>25</v>
      </c>
      <c r="F1243" s="6">
        <v>20</v>
      </c>
    </row>
    <row r="1244" spans="1:6">
      <c r="B1244" s="6">
        <v>6148.1</v>
      </c>
      <c r="C1244" s="6" t="s">
        <v>3658</v>
      </c>
      <c r="D1244" s="1082" t="s">
        <v>3658</v>
      </c>
      <c r="E1244" s="6">
        <v>25</v>
      </c>
      <c r="F1244" s="6">
        <v>20</v>
      </c>
    </row>
    <row r="1247" spans="1:6">
      <c r="A1247" s="1085" t="s">
        <v>3979</v>
      </c>
      <c r="B1247" s="1061" t="s">
        <v>780</v>
      </c>
      <c r="C1247" s="1065"/>
      <c r="D1247" s="1086"/>
      <c r="E1247" s="1065"/>
      <c r="F1247" s="1065"/>
    </row>
    <row r="1248" spans="1:6">
      <c r="A1248" s="1080">
        <v>22</v>
      </c>
      <c r="B1248" s="1060" t="s">
        <v>3981</v>
      </c>
      <c r="C1248" s="1060" t="s">
        <v>1190</v>
      </c>
      <c r="D1248" s="1060" t="s">
        <v>3657</v>
      </c>
      <c r="E1248" s="1060" t="s">
        <v>3650</v>
      </c>
      <c r="F1248" s="1060" t="s">
        <v>3651</v>
      </c>
    </row>
    <row r="1249" spans="1:6">
      <c r="A1249" s="7" t="s">
        <v>3983</v>
      </c>
      <c r="B1249" s="6">
        <v>0</v>
      </c>
      <c r="C1249" s="6">
        <v>80</v>
      </c>
      <c r="D1249" s="1082">
        <v>28387.695840973975</v>
      </c>
      <c r="E1249" s="6">
        <v>25</v>
      </c>
      <c r="F1249" s="6">
        <v>20</v>
      </c>
    </row>
    <row r="1250" spans="1:6">
      <c r="B1250" s="6">
        <v>80.099999999999994</v>
      </c>
      <c r="C1250" s="6">
        <v>163</v>
      </c>
      <c r="D1250" s="1082">
        <v>37474.697702062273</v>
      </c>
      <c r="E1250" s="6">
        <v>25</v>
      </c>
      <c r="F1250" s="6">
        <v>20</v>
      </c>
    </row>
    <row r="1251" spans="1:6">
      <c r="B1251" s="6">
        <v>163.1</v>
      </c>
      <c r="C1251" s="6">
        <v>544</v>
      </c>
      <c r="D1251" s="1082">
        <v>94596.657659136501</v>
      </c>
      <c r="E1251" s="6">
        <v>25</v>
      </c>
      <c r="F1251" s="6">
        <v>20</v>
      </c>
    </row>
    <row r="1252" spans="1:6">
      <c r="B1252" s="6">
        <v>544.1</v>
      </c>
      <c r="C1252" s="6">
        <v>1088</v>
      </c>
      <c r="D1252" s="1082">
        <v>164963.29423365206</v>
      </c>
      <c r="E1252" s="6">
        <v>25</v>
      </c>
      <c r="F1252" s="6">
        <v>20</v>
      </c>
    </row>
    <row r="1253" spans="1:6">
      <c r="B1253" s="6">
        <v>1088.0999999999999</v>
      </c>
      <c r="C1253" s="6">
        <v>3264</v>
      </c>
      <c r="D1253" s="1082">
        <v>385356.91067458765</v>
      </c>
      <c r="E1253" s="6">
        <v>25</v>
      </c>
      <c r="F1253" s="6">
        <v>20</v>
      </c>
    </row>
    <row r="1254" spans="1:6">
      <c r="B1254" s="6">
        <v>3264.1</v>
      </c>
      <c r="C1254" s="6">
        <v>5032</v>
      </c>
      <c r="D1254" s="1082">
        <v>737270.2117085224</v>
      </c>
      <c r="E1254" s="6">
        <v>25</v>
      </c>
      <c r="F1254" s="6">
        <v>20</v>
      </c>
    </row>
    <row r="1255" spans="1:6">
      <c r="B1255" s="6">
        <v>5032.1000000000004</v>
      </c>
      <c r="C1255" s="6" t="s">
        <v>3658</v>
      </c>
      <c r="D1255" s="1082" t="s">
        <v>3658</v>
      </c>
      <c r="E1255" s="6">
        <v>25</v>
      </c>
      <c r="F1255" s="6">
        <v>20</v>
      </c>
    </row>
    <row r="1258" spans="1:6">
      <c r="A1258" s="1085" t="s">
        <v>3979</v>
      </c>
      <c r="B1258" s="1061" t="s">
        <v>779</v>
      </c>
      <c r="C1258" s="1065"/>
      <c r="D1258" s="1086"/>
      <c r="E1258" s="1065"/>
      <c r="F1258" s="1065"/>
    </row>
    <row r="1259" spans="1:6">
      <c r="A1259" s="1080">
        <v>22</v>
      </c>
      <c r="B1259" s="1060" t="s">
        <v>3981</v>
      </c>
      <c r="C1259" s="1060" t="s">
        <v>1190</v>
      </c>
      <c r="D1259" s="1060" t="s">
        <v>3657</v>
      </c>
      <c r="E1259" s="1060" t="s">
        <v>3650</v>
      </c>
      <c r="F1259" s="1060" t="s">
        <v>3651</v>
      </c>
    </row>
    <row r="1260" spans="1:6">
      <c r="A1260" s="7" t="s">
        <v>3984</v>
      </c>
      <c r="B1260" s="6">
        <v>0</v>
      </c>
      <c r="C1260" s="6">
        <v>80</v>
      </c>
      <c r="D1260" s="1082">
        <v>28387.695840973975</v>
      </c>
      <c r="E1260" s="6">
        <v>25</v>
      </c>
      <c r="F1260" s="6">
        <v>20</v>
      </c>
    </row>
    <row r="1261" spans="1:6">
      <c r="B1261" s="6">
        <v>80.099999999999994</v>
      </c>
      <c r="C1261" s="6">
        <v>163</v>
      </c>
      <c r="D1261" s="1082">
        <v>37474.697702062273</v>
      </c>
      <c r="E1261" s="6">
        <v>25</v>
      </c>
      <c r="F1261" s="6">
        <v>20</v>
      </c>
    </row>
    <row r="1262" spans="1:6">
      <c r="B1262" s="6">
        <v>163.1</v>
      </c>
      <c r="C1262" s="6">
        <v>544</v>
      </c>
      <c r="D1262" s="1082">
        <v>94596.657659136501</v>
      </c>
      <c r="E1262" s="6">
        <v>25</v>
      </c>
      <c r="F1262" s="6">
        <v>20</v>
      </c>
    </row>
    <row r="1263" spans="1:6">
      <c r="B1263" s="6">
        <v>544.1</v>
      </c>
      <c r="C1263" s="6">
        <v>1088</v>
      </c>
      <c r="D1263" s="1082">
        <v>164963.29423365206</v>
      </c>
      <c r="E1263" s="6">
        <v>25</v>
      </c>
      <c r="F1263" s="6">
        <v>20</v>
      </c>
    </row>
    <row r="1264" spans="1:6">
      <c r="B1264" s="6">
        <v>1088.0999999999999</v>
      </c>
      <c r="C1264" s="6">
        <v>3264</v>
      </c>
      <c r="D1264" s="1082">
        <v>385356.91067458765</v>
      </c>
      <c r="E1264" s="6">
        <v>25</v>
      </c>
      <c r="F1264" s="6">
        <v>20</v>
      </c>
    </row>
    <row r="1265" spans="1:6">
      <c r="B1265" s="6">
        <v>3264.1</v>
      </c>
      <c r="C1265" s="6">
        <v>5032</v>
      </c>
      <c r="D1265" s="1082">
        <v>737270.2117085224</v>
      </c>
      <c r="E1265" s="6">
        <v>25</v>
      </c>
      <c r="F1265" s="6">
        <v>20</v>
      </c>
    </row>
    <row r="1266" spans="1:6">
      <c r="B1266" s="6">
        <v>5032.1000000000004</v>
      </c>
      <c r="C1266" s="6" t="s">
        <v>3658</v>
      </c>
      <c r="D1266" s="1082" t="s">
        <v>3658</v>
      </c>
      <c r="E1266" s="6">
        <v>25</v>
      </c>
      <c r="F1266" s="6">
        <v>20</v>
      </c>
    </row>
    <row r="1269" spans="1:6">
      <c r="A1269" s="1085" t="s">
        <v>3976</v>
      </c>
      <c r="B1269" s="1061" t="s">
        <v>654</v>
      </c>
      <c r="C1269" s="1065"/>
      <c r="D1269" s="1086"/>
      <c r="E1269" s="1065"/>
      <c r="F1269" s="1065"/>
    </row>
    <row r="1270" spans="1:6">
      <c r="A1270" s="1080">
        <v>34</v>
      </c>
      <c r="B1270" s="1060" t="s">
        <v>3981</v>
      </c>
      <c r="C1270" s="1060" t="s">
        <v>1190</v>
      </c>
      <c r="D1270" s="1060" t="s">
        <v>3657</v>
      </c>
      <c r="E1270" s="1060" t="s">
        <v>3650</v>
      </c>
      <c r="F1270" s="1060" t="s">
        <v>3651</v>
      </c>
    </row>
    <row r="1271" spans="1:6">
      <c r="A1271" s="7" t="s">
        <v>3985</v>
      </c>
      <c r="B1271" s="538">
        <v>0</v>
      </c>
      <c r="C1271" s="6">
        <v>0.5</v>
      </c>
      <c r="D1271" s="1081">
        <v>3823.0657511890076</v>
      </c>
      <c r="E1271" s="6">
        <v>25</v>
      </c>
      <c r="F1271" s="6">
        <v>20</v>
      </c>
    </row>
    <row r="1272" spans="1:6">
      <c r="A1272" s="7"/>
      <c r="B1272" s="538">
        <v>0.51</v>
      </c>
      <c r="C1272" s="6">
        <v>0.75</v>
      </c>
      <c r="D1272" s="1081">
        <v>4170.6171831152806</v>
      </c>
      <c r="E1272" s="6">
        <v>25</v>
      </c>
      <c r="F1272" s="6">
        <v>20</v>
      </c>
    </row>
    <row r="1273" spans="1:6">
      <c r="A1273" s="7"/>
      <c r="B1273" s="538">
        <v>0.76</v>
      </c>
      <c r="C1273" s="6">
        <v>1</v>
      </c>
      <c r="D1273" s="1081">
        <v>3627.5680707304782</v>
      </c>
      <c r="E1273" s="6">
        <v>25</v>
      </c>
      <c r="F1273" s="6">
        <v>20</v>
      </c>
    </row>
    <row r="1274" spans="1:6">
      <c r="A1274" s="7"/>
      <c r="B1274" s="538">
        <v>1.01</v>
      </c>
      <c r="C1274" s="6">
        <v>1.5</v>
      </c>
      <c r="D1274" s="1081">
        <v>3757.899857702831</v>
      </c>
      <c r="E1274" s="6">
        <v>25</v>
      </c>
      <c r="F1274" s="6">
        <v>20</v>
      </c>
    </row>
    <row r="1275" spans="1:6">
      <c r="A1275" s="7"/>
      <c r="B1275" s="538">
        <v>1.51</v>
      </c>
      <c r="C1275" s="6">
        <v>2</v>
      </c>
      <c r="D1275" s="1081">
        <v>4018.5634316475362</v>
      </c>
      <c r="E1275" s="6">
        <v>25</v>
      </c>
      <c r="F1275" s="6">
        <v>20</v>
      </c>
    </row>
    <row r="1276" spans="1:6">
      <c r="A1276" s="7"/>
      <c r="B1276" s="538">
        <v>2.0099999999999998</v>
      </c>
      <c r="C1276" s="6">
        <v>2.5</v>
      </c>
      <c r="D1276" s="1081">
        <v>4322.6709345830259</v>
      </c>
      <c r="E1276" s="6">
        <v>25</v>
      </c>
      <c r="F1276" s="6">
        <v>20</v>
      </c>
    </row>
    <row r="1277" spans="1:6">
      <c r="A1277" s="7"/>
      <c r="B1277" s="538">
        <v>2.5099999999999998</v>
      </c>
      <c r="C1277" s="6">
        <v>3</v>
      </c>
      <c r="D1277" s="1081">
        <v>4605.0564730231217</v>
      </c>
      <c r="E1277" s="6">
        <v>25</v>
      </c>
      <c r="F1277" s="6">
        <v>20</v>
      </c>
    </row>
    <row r="1278" spans="1:6">
      <c r="A1278" s="7"/>
      <c r="B1278" s="538">
        <v>3.01</v>
      </c>
      <c r="C1278" s="6">
        <v>3.5</v>
      </c>
      <c r="D1278" s="1081">
        <v>5104.6616564171409</v>
      </c>
      <c r="E1278" s="6">
        <v>25</v>
      </c>
      <c r="F1278" s="6">
        <v>20</v>
      </c>
    </row>
    <row r="1279" spans="1:6">
      <c r="A1279" s="7"/>
      <c r="B1279" s="538">
        <v>3.51</v>
      </c>
      <c r="C1279" s="6">
        <v>4</v>
      </c>
      <c r="D1279" s="1081">
        <v>5495.6570173341979</v>
      </c>
      <c r="E1279" s="6">
        <v>25</v>
      </c>
      <c r="F1279" s="6">
        <v>20</v>
      </c>
    </row>
    <row r="1280" spans="1:6">
      <c r="A1280" s="7"/>
      <c r="B1280" s="538">
        <v>4.01</v>
      </c>
      <c r="C1280" s="6">
        <v>5</v>
      </c>
      <c r="D1280" s="1081">
        <v>6060.4280942143923</v>
      </c>
      <c r="E1280" s="6">
        <v>25</v>
      </c>
      <c r="F1280" s="6">
        <v>20</v>
      </c>
    </row>
    <row r="1281" spans="1:6">
      <c r="A1281" s="7"/>
      <c r="B1281" s="538">
        <v>5.01</v>
      </c>
      <c r="C1281" s="6">
        <v>7.5</v>
      </c>
      <c r="D1281" s="1081">
        <v>11686.416898520942</v>
      </c>
      <c r="E1281" s="6">
        <v>25</v>
      </c>
      <c r="F1281" s="6">
        <v>20</v>
      </c>
    </row>
    <row r="1282" spans="1:6">
      <c r="A1282" s="7"/>
      <c r="B1282" s="538">
        <v>7.51</v>
      </c>
      <c r="C1282" s="6">
        <v>10</v>
      </c>
      <c r="D1282" s="1081">
        <v>15270.541040260636</v>
      </c>
      <c r="E1282" s="6">
        <v>25</v>
      </c>
      <c r="F1282" s="6">
        <v>20</v>
      </c>
    </row>
    <row r="1283" spans="1:6">
      <c r="A1283" s="7"/>
      <c r="B1283" s="538">
        <v>10.01</v>
      </c>
      <c r="C1283" s="6">
        <v>12</v>
      </c>
      <c r="D1283" s="1081">
        <v>18072.674460166218</v>
      </c>
      <c r="E1283" s="6">
        <v>25</v>
      </c>
      <c r="F1283" s="6">
        <v>20</v>
      </c>
    </row>
    <row r="1284" spans="1:6">
      <c r="A1284" s="7"/>
      <c r="B1284" s="538">
        <v>12.01</v>
      </c>
      <c r="C1284" s="6">
        <v>15</v>
      </c>
      <c r="D1284" s="1081">
        <v>24328.600234839138</v>
      </c>
      <c r="E1284" s="6">
        <v>25</v>
      </c>
      <c r="F1284" s="6">
        <v>20</v>
      </c>
    </row>
    <row r="1285" spans="1:6">
      <c r="B1285" s="538">
        <v>15.01</v>
      </c>
      <c r="C1285" s="6">
        <v>20</v>
      </c>
      <c r="D1285" s="1081">
        <v>26587.684542359915</v>
      </c>
      <c r="E1285" s="6">
        <v>25</v>
      </c>
      <c r="F1285" s="6">
        <v>20</v>
      </c>
    </row>
    <row r="1286" spans="1:6">
      <c r="B1286" s="538">
        <v>20.010000000000002</v>
      </c>
      <c r="C1286" s="6">
        <v>25</v>
      </c>
      <c r="D1286" s="1081">
        <v>36145.348920332435</v>
      </c>
      <c r="E1286" s="6">
        <v>25</v>
      </c>
      <c r="F1286" s="6">
        <v>20</v>
      </c>
    </row>
    <row r="1287" spans="1:6">
      <c r="B1287" s="538">
        <v>25.01</v>
      </c>
      <c r="C1287" s="6">
        <v>30</v>
      </c>
      <c r="D1287" s="1081">
        <v>39620.863239595164</v>
      </c>
      <c r="E1287" s="6">
        <v>25</v>
      </c>
      <c r="F1287" s="6">
        <v>20</v>
      </c>
    </row>
    <row r="1288" spans="1:6">
      <c r="B1288" s="538">
        <v>30.01</v>
      </c>
      <c r="C1288" s="6">
        <v>40</v>
      </c>
      <c r="D1288" s="1081">
        <v>55955.780540130014</v>
      </c>
      <c r="E1288" s="6">
        <v>25</v>
      </c>
      <c r="F1288" s="6">
        <v>20</v>
      </c>
    </row>
    <row r="1289" spans="1:6">
      <c r="B1289" s="538">
        <v>40.01</v>
      </c>
      <c r="C1289" s="6">
        <v>50</v>
      </c>
      <c r="D1289" s="1081">
        <v>63254.36061058176</v>
      </c>
      <c r="E1289" s="6">
        <v>25</v>
      </c>
      <c r="F1289" s="6">
        <v>20</v>
      </c>
    </row>
    <row r="1290" spans="1:6">
      <c r="B1290" s="538">
        <v>50.01</v>
      </c>
      <c r="C1290" s="6" t="s">
        <v>3658</v>
      </c>
      <c r="D1290" s="1081" t="s">
        <v>3658</v>
      </c>
    </row>
    <row r="1293" spans="1:6">
      <c r="A1293" s="1085" t="s">
        <v>3979</v>
      </c>
      <c r="B1293" s="1061" t="s">
        <v>1362</v>
      </c>
      <c r="C1293" s="1065"/>
      <c r="D1293" s="1086"/>
      <c r="E1293" s="1065"/>
      <c r="F1293" s="1065"/>
    </row>
    <row r="1294" spans="1:6">
      <c r="A1294" s="1080">
        <v>22</v>
      </c>
      <c r="B1294" s="1060" t="s">
        <v>3981</v>
      </c>
      <c r="C1294" s="1060" t="s">
        <v>1190</v>
      </c>
      <c r="D1294" s="1060" t="s">
        <v>3657</v>
      </c>
      <c r="E1294" s="1060" t="s">
        <v>3650</v>
      </c>
      <c r="F1294" s="1060" t="s">
        <v>3651</v>
      </c>
    </row>
    <row r="1295" spans="1:6">
      <c r="A1295" s="7" t="s">
        <v>3986</v>
      </c>
      <c r="B1295" s="6">
        <v>0</v>
      </c>
      <c r="C1295" s="6">
        <v>109</v>
      </c>
      <c r="D1295" s="1082">
        <v>36714.704707426987</v>
      </c>
      <c r="E1295" s="6">
        <v>25</v>
      </c>
      <c r="F1295" s="6">
        <v>20</v>
      </c>
    </row>
    <row r="1296" spans="1:6">
      <c r="B1296" s="6">
        <v>109.1</v>
      </c>
      <c r="C1296" s="6">
        <v>235</v>
      </c>
      <c r="D1296" s="1082">
        <v>53617.68935706107</v>
      </c>
      <c r="E1296" s="6">
        <v>25</v>
      </c>
      <c r="F1296" s="6">
        <v>20</v>
      </c>
    </row>
    <row r="1297" spans="1:6">
      <c r="B1297" s="6">
        <v>235.1</v>
      </c>
      <c r="C1297" s="6">
        <v>940</v>
      </c>
      <c r="D1297" s="1082">
        <v>150823.31746008739</v>
      </c>
      <c r="E1297" s="6">
        <v>25</v>
      </c>
      <c r="F1297" s="6">
        <v>20</v>
      </c>
    </row>
    <row r="1298" spans="1:6">
      <c r="B1298" s="6">
        <v>940.1</v>
      </c>
      <c r="C1298" s="6">
        <v>1600</v>
      </c>
      <c r="D1298" s="1082">
        <v>240940.24964248959</v>
      </c>
      <c r="E1298" s="6">
        <v>25</v>
      </c>
      <c r="F1298" s="6">
        <v>20</v>
      </c>
    </row>
    <row r="1299" spans="1:6">
      <c r="B1299" s="6">
        <v>1600.1</v>
      </c>
      <c r="C1299" s="6">
        <v>2480</v>
      </c>
      <c r="D1299" s="1082">
        <v>374418.88559466694</v>
      </c>
      <c r="E1299" s="6">
        <v>25</v>
      </c>
      <c r="F1299" s="6">
        <v>20</v>
      </c>
    </row>
    <row r="1300" spans="1:6">
      <c r="B1300" s="6">
        <v>2480.1</v>
      </c>
      <c r="C1300" s="6">
        <v>3350</v>
      </c>
      <c r="D1300" s="1082">
        <v>469814.63388817233</v>
      </c>
      <c r="E1300" s="6">
        <v>25</v>
      </c>
      <c r="F1300" s="6">
        <v>20</v>
      </c>
    </row>
    <row r="1301" spans="1:6">
      <c r="B1301" s="6">
        <v>3350.1</v>
      </c>
      <c r="C1301" s="6" t="s">
        <v>3658</v>
      </c>
      <c r="D1301" s="1082" t="s">
        <v>3658</v>
      </c>
      <c r="E1301" s="6">
        <v>25</v>
      </c>
      <c r="F1301" s="6">
        <v>20</v>
      </c>
    </row>
    <row r="1304" spans="1:6">
      <c r="A1304" s="1085" t="s">
        <v>3979</v>
      </c>
      <c r="B1304" s="1061" t="s">
        <v>1361</v>
      </c>
      <c r="C1304" s="1065"/>
      <c r="D1304" s="1086"/>
      <c r="E1304" s="1065"/>
      <c r="F1304" s="1065"/>
    </row>
    <row r="1305" spans="1:6">
      <c r="A1305" s="1080">
        <v>22</v>
      </c>
      <c r="B1305" s="1060" t="s">
        <v>3981</v>
      </c>
      <c r="C1305" s="1060" t="s">
        <v>1190</v>
      </c>
      <c r="D1305" s="1060" t="s">
        <v>3657</v>
      </c>
      <c r="E1305" s="1060" t="s">
        <v>3650</v>
      </c>
      <c r="F1305" s="1060" t="s">
        <v>3651</v>
      </c>
    </row>
    <row r="1306" spans="1:6">
      <c r="A1306" s="7" t="s">
        <v>3987</v>
      </c>
      <c r="B1306" s="6">
        <v>0</v>
      </c>
      <c r="C1306" s="6">
        <v>109</v>
      </c>
      <c r="D1306" s="1082">
        <v>36714.704707426987</v>
      </c>
      <c r="E1306" s="6">
        <v>25</v>
      </c>
      <c r="F1306" s="6">
        <v>20</v>
      </c>
    </row>
    <row r="1307" spans="1:6">
      <c r="B1307" s="6">
        <v>109.1</v>
      </c>
      <c r="C1307" s="6">
        <v>235</v>
      </c>
      <c r="D1307" s="1082">
        <v>53617.68935706107</v>
      </c>
      <c r="E1307" s="6">
        <v>25</v>
      </c>
      <c r="F1307" s="6">
        <v>20</v>
      </c>
    </row>
    <row r="1308" spans="1:6">
      <c r="B1308" s="6">
        <v>235.1</v>
      </c>
      <c r="C1308" s="6">
        <v>940</v>
      </c>
      <c r="D1308" s="1082">
        <v>150823.31746008739</v>
      </c>
      <c r="E1308" s="6">
        <v>25</v>
      </c>
      <c r="F1308" s="6">
        <v>20</v>
      </c>
    </row>
    <row r="1309" spans="1:6">
      <c r="B1309" s="6">
        <v>940.1</v>
      </c>
      <c r="C1309" s="6">
        <v>1600</v>
      </c>
      <c r="D1309" s="1082">
        <v>240940.24964248959</v>
      </c>
      <c r="E1309" s="6">
        <v>25</v>
      </c>
      <c r="F1309" s="6">
        <v>20</v>
      </c>
    </row>
    <row r="1310" spans="1:6">
      <c r="B1310" s="6">
        <v>1600.1</v>
      </c>
      <c r="C1310" s="6">
        <v>2480</v>
      </c>
      <c r="D1310" s="1082">
        <v>374418.88559466694</v>
      </c>
      <c r="E1310" s="6">
        <v>25</v>
      </c>
      <c r="F1310" s="6">
        <v>20</v>
      </c>
    </row>
    <row r="1311" spans="1:6">
      <c r="B1311" s="6">
        <v>2480.1</v>
      </c>
      <c r="C1311" s="6">
        <v>3350</v>
      </c>
      <c r="D1311" s="1082">
        <v>469814.63388817233</v>
      </c>
      <c r="E1311" s="6">
        <v>25</v>
      </c>
      <c r="F1311" s="6">
        <v>20</v>
      </c>
    </row>
    <row r="1312" spans="1:6">
      <c r="B1312" s="6">
        <v>3350.1</v>
      </c>
      <c r="C1312" s="6" t="s">
        <v>3658</v>
      </c>
      <c r="D1312" s="1082" t="s">
        <v>3658</v>
      </c>
      <c r="E1312" s="6">
        <v>25</v>
      </c>
      <c r="F1312" s="6">
        <v>20</v>
      </c>
    </row>
    <row r="1315" spans="1:5">
      <c r="A1315" s="7"/>
      <c r="B1315" s="6" t="s">
        <v>3988</v>
      </c>
      <c r="C1315" s="7" t="s">
        <v>3989</v>
      </c>
      <c r="D1315" s="1102">
        <v>5.643390472522726</v>
      </c>
      <c r="E1315" s="792" t="s">
        <v>2525</v>
      </c>
    </row>
    <row r="1318" spans="1:5">
      <c r="A1318" s="7"/>
      <c r="B1318" s="6" t="s">
        <v>3990</v>
      </c>
      <c r="C1318" s="7" t="s">
        <v>3991</v>
      </c>
      <c r="D1318" s="1102">
        <v>7.1731463720223335E-2</v>
      </c>
      <c r="E1318" s="792" t="s">
        <v>2525</v>
      </c>
    </row>
    <row r="1321" spans="1:5">
      <c r="A1321" s="7"/>
      <c r="B1321" s="6" t="s">
        <v>3992</v>
      </c>
      <c r="C1321" s="7" t="s">
        <v>3993</v>
      </c>
      <c r="D1321" s="1103">
        <v>1.9400231874222376</v>
      </c>
      <c r="E1321" s="792" t="s">
        <v>2939</v>
      </c>
    </row>
    <row r="1324" spans="1:5">
      <c r="A1324" s="7"/>
      <c r="B1324" s="6" t="s">
        <v>3994</v>
      </c>
      <c r="C1324" s="7" t="s">
        <v>3995</v>
      </c>
      <c r="D1324" s="1103">
        <v>0.10761526717557252</v>
      </c>
      <c r="E1324" s="538" t="s">
        <v>722</v>
      </c>
    </row>
    <row r="1327" spans="1:5">
      <c r="A1327" s="7"/>
      <c r="B1327" s="6" t="s">
        <v>3996</v>
      </c>
      <c r="C1327" s="7" t="s">
        <v>3997</v>
      </c>
      <c r="D1327" s="1103">
        <v>0.64354043868972843</v>
      </c>
      <c r="E1327" s="792" t="s">
        <v>2938</v>
      </c>
    </row>
    <row r="1330" spans="1:5">
      <c r="A1330" s="1099">
        <v>5</v>
      </c>
      <c r="B1330" s="6" t="s">
        <v>3998</v>
      </c>
      <c r="C1330" s="7" t="s">
        <v>3999</v>
      </c>
      <c r="D1330" s="1104">
        <v>357.60432053984221</v>
      </c>
      <c r="E1330" s="609" t="s">
        <v>895</v>
      </c>
    </row>
    <row r="1333" spans="1:5">
      <c r="A1333" s="7"/>
      <c r="B1333" s="6" t="s">
        <v>4000</v>
      </c>
      <c r="C1333" s="7" t="s">
        <v>4002</v>
      </c>
      <c r="D1333" s="1104">
        <v>3067.0932360907809</v>
      </c>
      <c r="E1333" s="609" t="s">
        <v>4001</v>
      </c>
    </row>
    <row r="1336" spans="1:5">
      <c r="A1336" s="7"/>
      <c r="B1336" s="6" t="s">
        <v>4003</v>
      </c>
      <c r="C1336" s="7" t="s">
        <v>4005</v>
      </c>
      <c r="D1336" s="1104">
        <v>0.11265049496501107</v>
      </c>
      <c r="E1336" s="609" t="s">
        <v>4004</v>
      </c>
    </row>
    <row r="1339" spans="1:5">
      <c r="A1339" s="7"/>
      <c r="B1339" s="6" t="s">
        <v>4006</v>
      </c>
      <c r="C1339" s="7" t="s">
        <v>4007</v>
      </c>
      <c r="D1339" s="1104">
        <v>1585.0597728336134</v>
      </c>
      <c r="E1339" s="609" t="s">
        <v>1384</v>
      </c>
    </row>
    <row r="1342" spans="1:5">
      <c r="A1342" s="7"/>
      <c r="B1342" s="6" t="s">
        <v>4008</v>
      </c>
      <c r="C1342" s="7" t="s">
        <v>4009</v>
      </c>
      <c r="D1342" s="1104">
        <v>11043.390123499188</v>
      </c>
      <c r="E1342" s="609" t="s">
        <v>895</v>
      </c>
    </row>
    <row r="1345" spans="1:7">
      <c r="A1345" s="7"/>
      <c r="B1345" s="6" t="s">
        <v>4010</v>
      </c>
      <c r="C1345" s="7" t="s">
        <v>4011</v>
      </c>
      <c r="D1345" s="1104">
        <v>3067.0932360907809</v>
      </c>
      <c r="E1345" s="609" t="s">
        <v>4001</v>
      </c>
    </row>
    <row r="1348" spans="1:7">
      <c r="A1348" s="7"/>
      <c r="B1348" s="6" t="s">
        <v>4012</v>
      </c>
      <c r="C1348" s="7" t="s">
        <v>4013</v>
      </c>
      <c r="D1348" s="1104">
        <v>0.26443419457954331</v>
      </c>
      <c r="E1348" s="609" t="s">
        <v>4004</v>
      </c>
    </row>
    <row r="1351" spans="1:7">
      <c r="A1351" s="7"/>
      <c r="B1351" s="6" t="s">
        <v>4014</v>
      </c>
      <c r="C1351" s="7" t="s">
        <v>4015</v>
      </c>
      <c r="D1351" s="1102">
        <v>0.12941275589372611</v>
      </c>
      <c r="E1351" s="792" t="s">
        <v>2525</v>
      </c>
    </row>
    <row r="1354" spans="1:7">
      <c r="A1354" s="1085" t="s">
        <v>4016</v>
      </c>
      <c r="B1354" s="1061" t="s">
        <v>4017</v>
      </c>
      <c r="C1354" s="1065"/>
      <c r="D1354" s="1105"/>
      <c r="E1354" s="1065" t="s">
        <v>4018</v>
      </c>
      <c r="F1354" s="1065"/>
      <c r="G1354" s="1065"/>
    </row>
    <row r="1355" spans="1:7">
      <c r="A1355" s="1080">
        <v>4</v>
      </c>
      <c r="B1355" s="1060" t="s">
        <v>4019</v>
      </c>
      <c r="C1355" s="1060" t="s">
        <v>4020</v>
      </c>
      <c r="D1355" s="1060" t="s">
        <v>4021</v>
      </c>
      <c r="E1355" s="1060" t="s">
        <v>4022</v>
      </c>
      <c r="F1355" s="1069" t="s">
        <v>4023</v>
      </c>
      <c r="G1355" s="1069" t="s">
        <v>4024</v>
      </c>
    </row>
    <row r="1356" spans="1:7">
      <c r="A1356" s="7" t="s">
        <v>4025</v>
      </c>
      <c r="B1356" s="1062">
        <v>0</v>
      </c>
      <c r="C1356" s="1062">
        <v>0.03</v>
      </c>
      <c r="D1356" s="1062">
        <v>1</v>
      </c>
      <c r="E1356" s="1070">
        <v>31.124974886390817</v>
      </c>
      <c r="F1356" s="1070">
        <v>44.119913896197083</v>
      </c>
      <c r="G1356" s="1070">
        <v>29.723303037550828</v>
      </c>
    </row>
    <row r="1357" spans="1:7">
      <c r="A1357" s="7"/>
      <c r="B1357" s="1062">
        <v>3.1E-2</v>
      </c>
      <c r="C1357" s="1062">
        <v>0.124</v>
      </c>
      <c r="D1357" s="1062">
        <v>1</v>
      </c>
      <c r="E1357" s="1070">
        <v>31.124974886390817</v>
      </c>
      <c r="F1357" s="1070">
        <v>44.119913896197083</v>
      </c>
      <c r="G1357" s="1070">
        <v>29.723303037550828</v>
      </c>
    </row>
    <row r="1358" spans="1:7">
      <c r="A1358" s="7"/>
      <c r="B1358" s="1062">
        <v>0.1241</v>
      </c>
      <c r="C1358" s="1062">
        <v>0.30499999999999999</v>
      </c>
      <c r="D1358" s="1062">
        <v>1.2</v>
      </c>
      <c r="E1358" s="1070">
        <v>31.124974886390817</v>
      </c>
      <c r="F1358" s="1070">
        <v>44.119913896197083</v>
      </c>
      <c r="G1358" s="1070">
        <v>29.723303037550828</v>
      </c>
    </row>
    <row r="1359" spans="1:7">
      <c r="A1359" s="7"/>
      <c r="B1359" s="1062">
        <v>0.30509999999999998</v>
      </c>
      <c r="C1359" s="1062">
        <v>0.74</v>
      </c>
      <c r="D1359" s="1062">
        <v>1.2</v>
      </c>
      <c r="E1359" s="1070">
        <v>31.124974886390817</v>
      </c>
      <c r="F1359" s="1070">
        <v>44.119913896197083</v>
      </c>
      <c r="G1359" s="1070">
        <v>29.723303037550828</v>
      </c>
    </row>
    <row r="1360" spans="1:7">
      <c r="A1360" s="7"/>
      <c r="B1360" s="1062">
        <v>0.74099999999999999</v>
      </c>
      <c r="C1360" s="1062">
        <v>2.1520000000000001</v>
      </c>
      <c r="D1360" s="1062">
        <v>1.6</v>
      </c>
      <c r="E1360" s="1070">
        <v>33.207833054293232</v>
      </c>
      <c r="F1360" s="1070">
        <v>50.460186558239663</v>
      </c>
      <c r="G1360" s="1070">
        <v>29.723303037550828</v>
      </c>
    </row>
    <row r="1361" spans="1:7">
      <c r="A1361" s="7"/>
      <c r="B1361" s="1062">
        <v>2.1520999999999999</v>
      </c>
      <c r="C1361" s="1062">
        <v>7.3650000000000002</v>
      </c>
      <c r="D1361" s="1062">
        <v>2.8</v>
      </c>
      <c r="E1361" s="1070">
        <v>35.054895957904812</v>
      </c>
      <c r="F1361" s="1070">
        <v>56.210971059555128</v>
      </c>
      <c r="G1361" s="1070">
        <v>38.382229131786652</v>
      </c>
    </row>
    <row r="1362" spans="1:7">
      <c r="A1362" s="7"/>
      <c r="B1362" s="1062">
        <v>7.3651</v>
      </c>
      <c r="C1362" s="1062">
        <v>22.614000000000001</v>
      </c>
      <c r="D1362" s="1062">
        <v>3.8</v>
      </c>
      <c r="E1362" s="1070">
        <v>36.587565175795262</v>
      </c>
      <c r="F1362" s="1070">
        <v>65.590382683568521</v>
      </c>
      <c r="G1362" s="1070">
        <v>38.382229131786652</v>
      </c>
    </row>
    <row r="1363" spans="1:7">
      <c r="A1363" s="7"/>
      <c r="B1363" s="1062">
        <v>22.614100000000001</v>
      </c>
      <c r="C1363" s="1062">
        <v>75.069999999999993</v>
      </c>
      <c r="D1363" s="1062">
        <v>7.8</v>
      </c>
      <c r="E1363" s="1070">
        <v>42.75754125807223</v>
      </c>
      <c r="F1363" s="1070">
        <v>70.07049270509448</v>
      </c>
      <c r="G1363" s="1070">
        <v>38.382229131786652</v>
      </c>
    </row>
    <row r="1366" spans="1:7" ht="20">
      <c r="A1366" s="1106"/>
      <c r="B1366" s="1107" t="s">
        <v>4026</v>
      </c>
      <c r="C1366" s="1108"/>
      <c r="D1366" s="1108"/>
    </row>
    <row r="1367" spans="1:7">
      <c r="A1367" s="1109" t="s">
        <v>3832</v>
      </c>
      <c r="B1367" s="1061" t="s">
        <v>4026</v>
      </c>
      <c r="C1367" s="1065"/>
      <c r="D1367" s="1065"/>
    </row>
    <row r="1368" spans="1:7">
      <c r="A1368" s="1080">
        <v>5</v>
      </c>
      <c r="B1368" s="1110" t="s">
        <v>4027</v>
      </c>
      <c r="C1368" s="1060" t="s">
        <v>4028</v>
      </c>
      <c r="D1368" s="1067" t="s">
        <v>4029</v>
      </c>
    </row>
    <row r="1369" spans="1:7">
      <c r="A1369" s="7" t="s">
        <v>4038</v>
      </c>
      <c r="B1369" s="6">
        <v>0</v>
      </c>
      <c r="C1369" s="6" t="s">
        <v>4030</v>
      </c>
      <c r="D1369" s="1081">
        <v>21610.62374777492</v>
      </c>
    </row>
    <row r="1370" spans="1:7">
      <c r="A1370" s="7"/>
      <c r="B1370" s="6">
        <v>3.1E-2</v>
      </c>
      <c r="C1370" s="6" t="s">
        <v>4031</v>
      </c>
      <c r="D1370" s="1081">
        <v>21587.224712714382</v>
      </c>
    </row>
    <row r="1371" spans="1:7">
      <c r="A1371" s="7"/>
      <c r="B1371" s="6">
        <v>0.1241</v>
      </c>
      <c r="C1371" s="6" t="s">
        <v>4032</v>
      </c>
      <c r="D1371" s="1081">
        <v>16179.597388061276</v>
      </c>
    </row>
    <row r="1372" spans="1:7">
      <c r="A1372" s="7"/>
      <c r="B1372" s="6">
        <v>0.30509999999999998</v>
      </c>
      <c r="C1372" s="6" t="s">
        <v>4033</v>
      </c>
      <c r="D1372" s="1081">
        <v>19306.234049498013</v>
      </c>
    </row>
    <row r="1373" spans="1:7">
      <c r="A1373" s="7"/>
      <c r="B1373" s="6">
        <v>0.74099999999999999</v>
      </c>
      <c r="C1373" s="6" t="s">
        <v>4034</v>
      </c>
      <c r="D1373" s="1081">
        <v>35434.32768559036</v>
      </c>
    </row>
    <row r="1374" spans="1:7">
      <c r="A1374" s="7"/>
      <c r="B1374" s="6">
        <v>2.1520999999999999</v>
      </c>
      <c r="C1374" s="6" t="s">
        <v>4035</v>
      </c>
      <c r="D1374" s="1081">
        <v>45561.091826416829</v>
      </c>
    </row>
    <row r="1375" spans="1:7">
      <c r="A1375" s="7"/>
      <c r="B1375" s="6">
        <v>7.3651</v>
      </c>
      <c r="C1375" s="6" t="s">
        <v>4036</v>
      </c>
      <c r="D1375" s="1081">
        <v>50936.822968903063</v>
      </c>
    </row>
    <row r="1376" spans="1:7">
      <c r="A1376" s="7"/>
      <c r="B1376" s="6">
        <v>22.614100000000001</v>
      </c>
      <c r="C1376" s="6" t="s">
        <v>4037</v>
      </c>
      <c r="D1376" s="1081">
        <v>109103.28856201684</v>
      </c>
    </row>
    <row r="1379" spans="1:5">
      <c r="A1379" s="1109"/>
      <c r="B1379" s="1061" t="s">
        <v>4039</v>
      </c>
      <c r="C1379" s="1065"/>
    </row>
    <row r="1380" spans="1:5">
      <c r="A1380" s="1067"/>
      <c r="B1380" s="1060" t="s">
        <v>4040</v>
      </c>
      <c r="C1380" s="1060" t="s">
        <v>4041</v>
      </c>
    </row>
    <row r="1381" spans="1:5">
      <c r="A1381" s="7" t="s">
        <v>4042</v>
      </c>
      <c r="B1381" s="6">
        <v>0</v>
      </c>
      <c r="C1381" s="1081">
        <v>1648.4209532231273</v>
      </c>
    </row>
    <row r="1382" spans="1:5">
      <c r="A1382" s="7"/>
      <c r="B1382" s="6">
        <v>1.0009999999999999</v>
      </c>
      <c r="C1382" s="1081">
        <v>6490.6575033160634</v>
      </c>
    </row>
    <row r="1385" spans="1:5">
      <c r="A1385" s="7"/>
      <c r="B1385" s="6" t="s">
        <v>4043</v>
      </c>
      <c r="C1385" s="7" t="s">
        <v>4044</v>
      </c>
      <c r="D1385" s="1104">
        <v>68.203416939606896</v>
      </c>
      <c r="E1385" s="609" t="s">
        <v>895</v>
      </c>
    </row>
    <row r="1388" spans="1:5">
      <c r="A1388" s="7"/>
      <c r="B1388" s="6" t="s">
        <v>4045</v>
      </c>
      <c r="C1388" s="7" t="s">
        <v>4046</v>
      </c>
      <c r="D1388" s="1104">
        <v>0.51491517153097799</v>
      </c>
      <c r="E1388" s="609" t="s">
        <v>4004</v>
      </c>
    </row>
    <row r="1391" spans="1:5">
      <c r="A1391" s="7"/>
      <c r="B1391" s="88" t="s">
        <v>4047</v>
      </c>
    </row>
    <row r="1392" spans="1:5">
      <c r="A1392" s="1109" t="s">
        <v>3832</v>
      </c>
      <c r="B1392" s="1061" t="s">
        <v>4048</v>
      </c>
      <c r="C1392" s="1065"/>
    </row>
    <row r="1393" spans="1:3">
      <c r="A1393" s="1080">
        <v>5</v>
      </c>
      <c r="B1393" s="1060" t="s">
        <v>4049</v>
      </c>
      <c r="C1393" s="1060" t="s">
        <v>4041</v>
      </c>
    </row>
    <row r="1394" spans="1:3">
      <c r="A1394" s="7" t="s">
        <v>4050</v>
      </c>
      <c r="B1394" s="6">
        <v>0</v>
      </c>
      <c r="C1394" s="1081">
        <v>2678.6840489875817</v>
      </c>
    </row>
    <row r="1395" spans="1:3">
      <c r="A1395" s="7"/>
      <c r="B1395" s="6">
        <v>100000.1</v>
      </c>
      <c r="C1395" s="1081">
        <v>3296.8419064462546</v>
      </c>
    </row>
    <row r="1396" spans="1:3">
      <c r="A1396" s="7"/>
      <c r="B1396" s="6">
        <v>1000000.1</v>
      </c>
      <c r="C1396" s="1081">
        <v>5666.4470267044999</v>
      </c>
    </row>
    <row r="1399" spans="1:3" ht="20">
      <c r="A1399" s="1106"/>
      <c r="B1399" s="1107" t="s">
        <v>4051</v>
      </c>
      <c r="C1399" s="1108"/>
    </row>
    <row r="1400" spans="1:3">
      <c r="A1400" s="1109" t="s">
        <v>4016</v>
      </c>
      <c r="B1400" s="1061" t="s">
        <v>4052</v>
      </c>
      <c r="C1400" s="1065"/>
    </row>
    <row r="1401" spans="1:3">
      <c r="A1401" s="1111">
        <v>4</v>
      </c>
      <c r="B1401" s="1112" t="s">
        <v>4053</v>
      </c>
      <c r="C1401" s="1113"/>
    </row>
    <row r="1402" spans="1:3">
      <c r="A1402" s="7"/>
      <c r="B1402" s="6" t="s">
        <v>4054</v>
      </c>
      <c r="C1402" s="538" t="s">
        <v>4055</v>
      </c>
    </row>
    <row r="1403" spans="1:3">
      <c r="A1403" s="7" t="s">
        <v>4056</v>
      </c>
      <c r="B1403" s="6" t="s">
        <v>1841</v>
      </c>
      <c r="C1403" s="1100">
        <v>15187.385470429072</v>
      </c>
    </row>
    <row r="1404" spans="1:3">
      <c r="A1404" s="7"/>
      <c r="B1404" s="538" t="s">
        <v>4057</v>
      </c>
      <c r="C1404" s="1100">
        <v>15187.385470429072</v>
      </c>
    </row>
    <row r="1405" spans="1:3">
      <c r="A1405" s="7"/>
      <c r="B1405" s="538" t="s">
        <v>4058</v>
      </c>
      <c r="C1405" s="1100">
        <v>15187.385470429072</v>
      </c>
    </row>
    <row r="1406" spans="1:3">
      <c r="A1406" s="7"/>
      <c r="B1406" s="538" t="s">
        <v>4059</v>
      </c>
      <c r="C1406" s="1100">
        <v>15187.385470429072</v>
      </c>
    </row>
    <row r="1407" spans="1:3">
      <c r="A1407" s="7"/>
      <c r="B1407" s="538" t="s">
        <v>4060</v>
      </c>
      <c r="C1407" s="1100">
        <v>15187.385470429072</v>
      </c>
    </row>
    <row r="1408" spans="1:3">
      <c r="A1408" s="7"/>
      <c r="B1408" s="538" t="s">
        <v>4061</v>
      </c>
      <c r="C1408" s="1100">
        <v>15187.385470429072</v>
      </c>
    </row>
    <row r="1409" spans="1:3">
      <c r="A1409" s="7"/>
      <c r="B1409" s="538" t="s">
        <v>4062</v>
      </c>
      <c r="C1409" s="1100">
        <v>15187.385470429072</v>
      </c>
    </row>
    <row r="1410" spans="1:3">
      <c r="A1410" s="7"/>
      <c r="B1410" s="538" t="s">
        <v>4063</v>
      </c>
      <c r="C1410" s="1100">
        <v>15187.385470429072</v>
      </c>
    </row>
    <row r="1411" spans="1:3">
      <c r="A1411" s="7"/>
      <c r="B1411" s="538" t="s">
        <v>4064</v>
      </c>
      <c r="C1411" s="1100">
        <v>15187.385470429072</v>
      </c>
    </row>
    <row r="1412" spans="1:3">
      <c r="A1412" s="7"/>
      <c r="B1412" s="538" t="s">
        <v>4065</v>
      </c>
      <c r="C1412" s="1100">
        <v>585.22935652173919</v>
      </c>
    </row>
    <row r="1413" spans="1:3">
      <c r="A1413" s="7"/>
      <c r="B1413" s="6" t="s">
        <v>4066</v>
      </c>
      <c r="C1413" s="1100">
        <v>1297.0579868069935</v>
      </c>
    </row>
    <row r="1414" spans="1:3">
      <c r="A1414" s="7"/>
      <c r="B1414" s="6" t="s">
        <v>4067</v>
      </c>
      <c r="C1414" s="1100">
        <v>1297.0579868069935</v>
      </c>
    </row>
    <row r="1415" spans="1:3">
      <c r="A1415" s="7"/>
      <c r="B1415" s="538" t="s">
        <v>4068</v>
      </c>
      <c r="C1415" s="1100">
        <v>839.95288379342082</v>
      </c>
    </row>
    <row r="1416" spans="1:3">
      <c r="A1416" s="7"/>
      <c r="B1416" s="6" t="s">
        <v>4069</v>
      </c>
      <c r="C1416" s="1100">
        <v>54446.282049274036</v>
      </c>
    </row>
    <row r="1417" spans="1:3">
      <c r="A1417" s="7"/>
      <c r="B1417" s="6" t="s">
        <v>4070</v>
      </c>
      <c r="C1417" s="1100">
        <v>54446.282049274036</v>
      </c>
    </row>
    <row r="1418" spans="1:3">
      <c r="A1418" s="7"/>
      <c r="B1418" s="6" t="s">
        <v>4071</v>
      </c>
      <c r="C1418" s="1100">
        <v>2549.2860872640613</v>
      </c>
    </row>
    <row r="1419" spans="1:3">
      <c r="A1419" s="7"/>
      <c r="B1419" s="6" t="s">
        <v>4072</v>
      </c>
      <c r="C1419" s="1100">
        <v>2549.2860872640613</v>
      </c>
    </row>
    <row r="1420" spans="1:3">
      <c r="A1420" s="7"/>
      <c r="B1420" s="6" t="s">
        <v>4073</v>
      </c>
      <c r="C1420" s="1100">
        <v>0</v>
      </c>
    </row>
    <row r="1421" spans="1:3">
      <c r="A1421" s="7"/>
      <c r="B1421" s="6" t="s">
        <v>4074</v>
      </c>
      <c r="C1421" s="1100">
        <v>0</v>
      </c>
    </row>
    <row r="1422" spans="1:3">
      <c r="A1422" s="7"/>
      <c r="B1422" s="538" t="s">
        <v>4075</v>
      </c>
      <c r="C1422" s="1100">
        <v>15474.928381613428</v>
      </c>
    </row>
    <row r="1423" spans="1:3">
      <c r="A1423" s="7"/>
      <c r="B1423" s="538" t="s">
        <v>4076</v>
      </c>
      <c r="C1423" s="1100">
        <v>15474.928381613428</v>
      </c>
    </row>
    <row r="1424" spans="1:3">
      <c r="A1424" s="7"/>
      <c r="B1424" s="538" t="s">
        <v>4077</v>
      </c>
      <c r="C1424" s="1100">
        <v>14171.617783573663</v>
      </c>
    </row>
    <row r="1425" spans="1:3">
      <c r="A1425" s="7"/>
      <c r="B1425" s="6" t="s">
        <v>4078</v>
      </c>
      <c r="C1425" s="1100">
        <v>2177.4450039756166</v>
      </c>
    </row>
    <row r="1426" spans="1:3">
      <c r="A1426" s="7"/>
      <c r="B1426" s="6" t="s">
        <v>4079</v>
      </c>
      <c r="C1426" s="1100">
        <v>26923.042009717843</v>
      </c>
    </row>
    <row r="1427" spans="1:3">
      <c r="A1427" s="7"/>
      <c r="B1427" s="6" t="s">
        <v>4080</v>
      </c>
      <c r="C1427" s="1100">
        <v>4802.331052181351</v>
      </c>
    </row>
    <row r="1428" spans="1:3">
      <c r="A1428" s="7"/>
      <c r="B1428" s="6" t="s">
        <v>4081</v>
      </c>
      <c r="C1428" s="1100">
        <v>129444.98639138286</v>
      </c>
    </row>
    <row r="1429" spans="1:3">
      <c r="A1429" s="1114"/>
      <c r="B1429" s="1112" t="s">
        <v>4082</v>
      </c>
      <c r="C1429" s="1113"/>
    </row>
    <row r="1430" spans="1:3">
      <c r="A1430" s="7" t="s">
        <v>4083</v>
      </c>
      <c r="B1430" s="6" t="s">
        <v>1841</v>
      </c>
      <c r="C1430" s="1100">
        <v>68018.238030490378</v>
      </c>
    </row>
    <row r="1431" spans="1:3">
      <c r="A1431" s="7"/>
      <c r="B1431" s="538" t="s">
        <v>4057</v>
      </c>
      <c r="C1431" s="1100">
        <v>68018.238030490378</v>
      </c>
    </row>
    <row r="1432" spans="1:3">
      <c r="A1432" s="7"/>
      <c r="B1432" s="538" t="s">
        <v>4058</v>
      </c>
      <c r="C1432" s="1100">
        <v>68018.238030490378</v>
      </c>
    </row>
    <row r="1433" spans="1:3">
      <c r="A1433" s="7"/>
      <c r="B1433" s="538" t="s">
        <v>4059</v>
      </c>
      <c r="C1433" s="1100">
        <v>68018.238030490378</v>
      </c>
    </row>
    <row r="1434" spans="1:3">
      <c r="A1434" s="7"/>
      <c r="B1434" s="538" t="s">
        <v>4060</v>
      </c>
      <c r="C1434" s="1100">
        <v>68018.238030490378</v>
      </c>
    </row>
    <row r="1435" spans="1:3">
      <c r="A1435" s="7"/>
      <c r="B1435" s="538" t="s">
        <v>4061</v>
      </c>
      <c r="C1435" s="1100">
        <v>68018.238030490378</v>
      </c>
    </row>
    <row r="1436" spans="1:3">
      <c r="A1436" s="7"/>
      <c r="B1436" s="538" t="s">
        <v>4062</v>
      </c>
      <c r="C1436" s="1100">
        <v>68018.238030490378</v>
      </c>
    </row>
    <row r="1437" spans="1:3">
      <c r="A1437" s="7"/>
      <c r="B1437" s="538" t="s">
        <v>4063</v>
      </c>
      <c r="C1437" s="1100">
        <v>68018.238030490378</v>
      </c>
    </row>
    <row r="1438" spans="1:3">
      <c r="A1438" s="7"/>
      <c r="B1438" s="538" t="s">
        <v>4064</v>
      </c>
      <c r="C1438" s="1100">
        <v>68018.238030490378</v>
      </c>
    </row>
    <row r="1439" spans="1:3">
      <c r="A1439" s="7"/>
      <c r="B1439" s="538" t="s">
        <v>4065</v>
      </c>
      <c r="C1439" s="1100">
        <v>585.22935652173919</v>
      </c>
    </row>
    <row r="1440" spans="1:3">
      <c r="A1440" s="7"/>
      <c r="B1440" s="6" t="s">
        <v>4066</v>
      </c>
      <c r="C1440" s="1100">
        <v>62483.494827849783</v>
      </c>
    </row>
    <row r="1441" spans="1:3">
      <c r="A1441" s="7"/>
      <c r="B1441" s="6" t="s">
        <v>4067</v>
      </c>
      <c r="C1441" s="1100">
        <v>62483.494827849783</v>
      </c>
    </row>
    <row r="1442" spans="1:3">
      <c r="A1442" s="7"/>
      <c r="B1442" s="538" t="s">
        <v>4068</v>
      </c>
      <c r="C1442" s="1100">
        <v>63543.36485163492</v>
      </c>
    </row>
    <row r="1443" spans="1:3">
      <c r="A1443" s="7"/>
      <c r="B1443" s="6" t="s">
        <v>4069</v>
      </c>
      <c r="C1443" s="1100">
        <v>97491.340526613421</v>
      </c>
    </row>
    <row r="1444" spans="1:3">
      <c r="A1444" s="7"/>
      <c r="B1444" s="6" t="s">
        <v>4070</v>
      </c>
      <c r="C1444" s="1100">
        <v>97491.340526613421</v>
      </c>
    </row>
    <row r="1445" spans="1:3">
      <c r="A1445" s="7"/>
      <c r="B1445" s="6" t="s">
        <v>4071</v>
      </c>
      <c r="C1445" s="1100">
        <v>72782.178465376768</v>
      </c>
    </row>
    <row r="1446" spans="1:3">
      <c r="A1446" s="7"/>
      <c r="B1446" s="6" t="s">
        <v>4072</v>
      </c>
      <c r="C1446" s="1100">
        <v>72782.178465376768</v>
      </c>
    </row>
    <row r="1447" spans="1:3">
      <c r="A1447" s="7"/>
      <c r="B1447" s="6" t="s">
        <v>4073</v>
      </c>
      <c r="C1447" s="1100">
        <v>19137.991228480849</v>
      </c>
    </row>
    <row r="1448" spans="1:3">
      <c r="A1448" s="7"/>
      <c r="B1448" s="6" t="s">
        <v>4074</v>
      </c>
      <c r="C1448" s="1100">
        <v>0</v>
      </c>
    </row>
    <row r="1449" spans="1:3">
      <c r="A1449" s="7"/>
      <c r="B1449" s="538" t="s">
        <v>4075</v>
      </c>
      <c r="C1449" s="1100">
        <v>35492.720326123235</v>
      </c>
    </row>
    <row r="1450" spans="1:3">
      <c r="A1450" s="7"/>
      <c r="B1450" s="538" t="s">
        <v>4076</v>
      </c>
      <c r="C1450" s="1100">
        <v>35492.720326123235</v>
      </c>
    </row>
    <row r="1451" spans="1:3">
      <c r="A1451" s="7"/>
      <c r="B1451" s="538" t="s">
        <v>4077</v>
      </c>
      <c r="C1451" s="1100">
        <v>33302.319784010746</v>
      </c>
    </row>
    <row r="1452" spans="1:3">
      <c r="A1452" s="7"/>
      <c r="B1452" s="6" t="s">
        <v>4078</v>
      </c>
      <c r="C1452" s="1100">
        <v>3266.1675059634254</v>
      </c>
    </row>
    <row r="1453" spans="1:3">
      <c r="A1453" s="7"/>
      <c r="B1453" s="6" t="s">
        <v>4079</v>
      </c>
      <c r="C1453" s="1100">
        <v>39847.213950722056</v>
      </c>
    </row>
    <row r="1454" spans="1:3">
      <c r="A1454" s="7"/>
      <c r="B1454" s="6" t="s">
        <v>4080</v>
      </c>
      <c r="C1454" s="1100">
        <v>166485.69646395289</v>
      </c>
    </row>
    <row r="1455" spans="1:3">
      <c r="A1455" s="7"/>
      <c r="B1455" s="6" t="s">
        <v>4081</v>
      </c>
      <c r="C1455" s="1100">
        <v>206990.07077423073</v>
      </c>
    </row>
    <row r="1456" spans="1:3">
      <c r="A1456" s="1114"/>
      <c r="B1456" s="1112" t="s">
        <v>4084</v>
      </c>
      <c r="C1456" s="1113"/>
    </row>
    <row r="1457" spans="1:3">
      <c r="A1457" s="7" t="s">
        <v>4085</v>
      </c>
      <c r="B1457" s="6" t="s">
        <v>1841</v>
      </c>
      <c r="C1457" s="1100">
        <v>68018.238030490378</v>
      </c>
    </row>
    <row r="1458" spans="1:3">
      <c r="A1458" s="7"/>
      <c r="B1458" s="538" t="s">
        <v>4057</v>
      </c>
      <c r="C1458" s="1100">
        <v>68018.238030490378</v>
      </c>
    </row>
    <row r="1459" spans="1:3">
      <c r="A1459" s="7"/>
      <c r="B1459" s="538" t="s">
        <v>4058</v>
      </c>
      <c r="C1459" s="1100">
        <v>68018.238030490378</v>
      </c>
    </row>
    <row r="1460" spans="1:3">
      <c r="A1460" s="7"/>
      <c r="B1460" s="538" t="s">
        <v>4059</v>
      </c>
      <c r="C1460" s="1100">
        <v>68018.238030490378</v>
      </c>
    </row>
    <row r="1461" spans="1:3">
      <c r="A1461" s="7"/>
      <c r="B1461" s="538" t="s">
        <v>4060</v>
      </c>
      <c r="C1461" s="1100">
        <v>68018.238030490378</v>
      </c>
    </row>
    <row r="1462" spans="1:3">
      <c r="A1462" s="7"/>
      <c r="B1462" s="538" t="s">
        <v>4061</v>
      </c>
      <c r="C1462" s="1100">
        <v>68018.238030490378</v>
      </c>
    </row>
    <row r="1463" spans="1:3">
      <c r="A1463" s="7"/>
      <c r="B1463" s="538" t="s">
        <v>4062</v>
      </c>
      <c r="C1463" s="1100">
        <v>68018.238030490378</v>
      </c>
    </row>
    <row r="1464" spans="1:3">
      <c r="A1464" s="7"/>
      <c r="B1464" s="538" t="s">
        <v>4063</v>
      </c>
      <c r="C1464" s="1100">
        <v>68018.238030490378</v>
      </c>
    </row>
    <row r="1465" spans="1:3">
      <c r="A1465" s="7"/>
      <c r="B1465" s="538" t="s">
        <v>4064</v>
      </c>
      <c r="C1465" s="1100">
        <v>68018.238030490378</v>
      </c>
    </row>
    <row r="1466" spans="1:3">
      <c r="A1466" s="7"/>
      <c r="B1466" s="538" t="s">
        <v>4065</v>
      </c>
      <c r="C1466" s="1100">
        <v>585.22935652173919</v>
      </c>
    </row>
    <row r="1467" spans="1:3">
      <c r="A1467" s="7"/>
      <c r="B1467" s="6" t="s">
        <v>4066</v>
      </c>
      <c r="C1467" s="1100">
        <v>129724.46911532956</v>
      </c>
    </row>
    <row r="1468" spans="1:3">
      <c r="A1468" s="7"/>
      <c r="B1468" s="6" t="s">
        <v>4067</v>
      </c>
      <c r="C1468" s="1100">
        <v>129724.46911532956</v>
      </c>
    </row>
    <row r="1469" spans="1:3">
      <c r="A1469" s="7"/>
      <c r="B1469" s="538" t="s">
        <v>4068</v>
      </c>
      <c r="C1469" s="1100">
        <v>133957.00618317962</v>
      </c>
    </row>
    <row r="1470" spans="1:3">
      <c r="A1470" s="7"/>
      <c r="B1470" s="6" t="s">
        <v>4069</v>
      </c>
      <c r="C1470" s="1100">
        <v>200273.78090263117</v>
      </c>
    </row>
    <row r="1471" spans="1:3">
      <c r="A1471" s="7"/>
      <c r="B1471" s="6" t="s">
        <v>4070</v>
      </c>
      <c r="C1471" s="1100">
        <v>200273.78090263117</v>
      </c>
    </row>
    <row r="1472" spans="1:3">
      <c r="A1472" s="7"/>
      <c r="B1472" s="6" t="s">
        <v>4071</v>
      </c>
      <c r="C1472" s="1100">
        <v>132391.8105366368</v>
      </c>
    </row>
    <row r="1473" spans="1:3">
      <c r="A1473" s="7"/>
      <c r="B1473" s="6" t="s">
        <v>4072</v>
      </c>
      <c r="C1473" s="1100">
        <v>132391.8105366368</v>
      </c>
    </row>
    <row r="1474" spans="1:3">
      <c r="A1474" s="7"/>
      <c r="B1474" s="6" t="s">
        <v>4073</v>
      </c>
      <c r="C1474" s="1100">
        <v>37627.611747076604</v>
      </c>
    </row>
    <row r="1475" spans="1:3">
      <c r="A1475" s="7"/>
      <c r="B1475" s="6" t="s">
        <v>4074</v>
      </c>
      <c r="C1475" s="1100">
        <v>0</v>
      </c>
    </row>
    <row r="1476" spans="1:3">
      <c r="A1476" s="7"/>
      <c r="B1476" s="538" t="s">
        <v>4075</v>
      </c>
      <c r="C1476" s="1100">
        <v>68147.708121384334</v>
      </c>
    </row>
    <row r="1477" spans="1:3">
      <c r="A1477" s="7"/>
      <c r="B1477" s="538" t="s">
        <v>4076</v>
      </c>
      <c r="C1477" s="1100">
        <v>68147.708121384334</v>
      </c>
    </row>
    <row r="1478" spans="1:3">
      <c r="A1478" s="7"/>
      <c r="B1478" s="538" t="s">
        <v>4077</v>
      </c>
      <c r="C1478" s="1100">
        <v>65957.307579271845</v>
      </c>
    </row>
    <row r="1479" spans="1:3">
      <c r="A1479" s="7"/>
      <c r="B1479" s="6" t="s">
        <v>4078</v>
      </c>
      <c r="C1479" s="1100">
        <v>4354.8900079512332</v>
      </c>
    </row>
    <row r="1480" spans="1:3">
      <c r="A1480" s="7"/>
      <c r="B1480" s="6" t="s">
        <v>4079</v>
      </c>
      <c r="C1480" s="1100">
        <v>39847.213950722056</v>
      </c>
    </row>
    <row r="1481" spans="1:3">
      <c r="A1481" s="7"/>
      <c r="B1481" s="6" t="s">
        <v>4080</v>
      </c>
      <c r="C1481" s="1100">
        <v>195533.94282836688</v>
      </c>
    </row>
    <row r="1482" spans="1:3">
      <c r="A1482" s="7"/>
      <c r="B1482" s="6" t="s">
        <v>4081</v>
      </c>
      <c r="C1482" s="1100">
        <v>339563.63640337437</v>
      </c>
    </row>
    <row r="1485" spans="1:3" ht="20">
      <c r="A1485" s="1106"/>
      <c r="B1485" s="1107" t="s">
        <v>4051</v>
      </c>
      <c r="C1485" s="1108"/>
    </row>
    <row r="1486" spans="1:3">
      <c r="A1486" s="1109" t="s">
        <v>4016</v>
      </c>
      <c r="B1486" s="1061" t="s">
        <v>4052</v>
      </c>
      <c r="C1486" s="1065"/>
    </row>
    <row r="1487" spans="1:3">
      <c r="A1487" s="1111">
        <v>4</v>
      </c>
      <c r="B1487" s="1112" t="s">
        <v>4053</v>
      </c>
      <c r="C1487" s="1113"/>
    </row>
    <row r="1488" spans="1:3">
      <c r="A1488" s="7"/>
      <c r="B1488" s="6" t="s">
        <v>4054</v>
      </c>
      <c r="C1488" s="538" t="s">
        <v>4055</v>
      </c>
    </row>
    <row r="1489" spans="1:3">
      <c r="A1489" s="7" t="s">
        <v>4056</v>
      </c>
      <c r="B1489" s="6" t="s">
        <v>1841</v>
      </c>
      <c r="C1489" s="1100">
        <v>15187.385470429072</v>
      </c>
    </row>
    <row r="1490" spans="1:3">
      <c r="A1490" s="7"/>
      <c r="B1490" s="538" t="s">
        <v>4057</v>
      </c>
      <c r="C1490" s="1100">
        <v>15187.385470429072</v>
      </c>
    </row>
    <row r="1491" spans="1:3">
      <c r="A1491" s="7"/>
      <c r="B1491" s="538" t="s">
        <v>4058</v>
      </c>
      <c r="C1491" s="1100">
        <v>15187.385470429072</v>
      </c>
    </row>
    <row r="1492" spans="1:3">
      <c r="A1492" s="7"/>
      <c r="B1492" s="538" t="s">
        <v>4059</v>
      </c>
      <c r="C1492" s="1100">
        <v>15187.385470429072</v>
      </c>
    </row>
    <row r="1493" spans="1:3">
      <c r="A1493" s="7"/>
      <c r="B1493" s="538" t="s">
        <v>4060</v>
      </c>
      <c r="C1493" s="1100">
        <v>15187.385470429072</v>
      </c>
    </row>
    <row r="1494" spans="1:3">
      <c r="A1494" s="7"/>
      <c r="B1494" s="538" t="s">
        <v>4061</v>
      </c>
      <c r="C1494" s="1100">
        <v>15187.385470429072</v>
      </c>
    </row>
    <row r="1495" spans="1:3">
      <c r="A1495" s="7"/>
      <c r="B1495" s="538" t="s">
        <v>4062</v>
      </c>
      <c r="C1495" s="1100">
        <v>15187.385470429072</v>
      </c>
    </row>
    <row r="1496" spans="1:3">
      <c r="A1496" s="7"/>
      <c r="B1496" s="538" t="s">
        <v>4063</v>
      </c>
      <c r="C1496" s="1100">
        <v>15187.385470429072</v>
      </c>
    </row>
    <row r="1497" spans="1:3">
      <c r="A1497" s="7"/>
      <c r="B1497" s="538" t="s">
        <v>4064</v>
      </c>
      <c r="C1497" s="1100">
        <v>15187.385470429072</v>
      </c>
    </row>
    <row r="1498" spans="1:3">
      <c r="A1498" s="7"/>
      <c r="B1498" s="538" t="s">
        <v>4065</v>
      </c>
      <c r="C1498" s="1100">
        <v>585.22935652173919</v>
      </c>
    </row>
    <row r="1499" spans="1:3">
      <c r="A1499" s="7"/>
      <c r="B1499" s="6" t="s">
        <v>4066</v>
      </c>
      <c r="C1499" s="1100">
        <v>1297.0579868069935</v>
      </c>
    </row>
    <row r="1500" spans="1:3">
      <c r="A1500" s="7"/>
      <c r="B1500" s="6" t="s">
        <v>4067</v>
      </c>
      <c r="C1500" s="1100">
        <v>1297.0579868069935</v>
      </c>
    </row>
    <row r="1501" spans="1:3">
      <c r="A1501" s="7"/>
      <c r="B1501" s="538" t="s">
        <v>4068</v>
      </c>
      <c r="C1501" s="1100">
        <v>839.95288379342082</v>
      </c>
    </row>
    <row r="1502" spans="1:3">
      <c r="A1502" s="7"/>
      <c r="B1502" s="6" t="s">
        <v>4069</v>
      </c>
      <c r="C1502" s="1100">
        <v>54446.282049274036</v>
      </c>
    </row>
    <row r="1503" spans="1:3">
      <c r="A1503" s="7"/>
      <c r="B1503" s="6" t="s">
        <v>4070</v>
      </c>
      <c r="C1503" s="1100">
        <v>54446.282049274036</v>
      </c>
    </row>
    <row r="1504" spans="1:3">
      <c r="A1504" s="7"/>
      <c r="B1504" s="6" t="s">
        <v>4071</v>
      </c>
      <c r="C1504" s="1100">
        <v>2549.2860872640613</v>
      </c>
    </row>
    <row r="1505" spans="1:3">
      <c r="A1505" s="7"/>
      <c r="B1505" s="6" t="s">
        <v>4072</v>
      </c>
      <c r="C1505" s="1100">
        <v>2549.2860872640613</v>
      </c>
    </row>
    <row r="1506" spans="1:3">
      <c r="A1506" s="7"/>
      <c r="B1506" s="6" t="s">
        <v>4073</v>
      </c>
      <c r="C1506" s="1100">
        <v>0</v>
      </c>
    </row>
    <row r="1507" spans="1:3">
      <c r="A1507" s="7"/>
      <c r="B1507" s="6" t="s">
        <v>4074</v>
      </c>
      <c r="C1507" s="1100">
        <v>0</v>
      </c>
    </row>
    <row r="1508" spans="1:3">
      <c r="A1508" s="7"/>
      <c r="B1508" s="538" t="s">
        <v>4075</v>
      </c>
      <c r="C1508" s="1100">
        <v>15474.928381613428</v>
      </c>
    </row>
    <row r="1509" spans="1:3">
      <c r="A1509" s="7"/>
      <c r="B1509" s="538" t="s">
        <v>4076</v>
      </c>
      <c r="C1509" s="1100">
        <v>15474.928381613428</v>
      </c>
    </row>
    <row r="1510" spans="1:3">
      <c r="A1510" s="7"/>
      <c r="B1510" s="538" t="s">
        <v>4077</v>
      </c>
      <c r="C1510" s="1100">
        <v>14171.617783573663</v>
      </c>
    </row>
    <row r="1511" spans="1:3">
      <c r="A1511" s="7"/>
      <c r="B1511" s="6" t="s">
        <v>4078</v>
      </c>
      <c r="C1511" s="1100">
        <v>2177.4450039756166</v>
      </c>
    </row>
    <row r="1512" spans="1:3">
      <c r="A1512" s="7"/>
      <c r="B1512" s="6" t="s">
        <v>4079</v>
      </c>
      <c r="C1512" s="1100">
        <v>26923.042009717843</v>
      </c>
    </row>
    <row r="1513" spans="1:3">
      <c r="A1513" s="7"/>
      <c r="B1513" s="6" t="s">
        <v>4080</v>
      </c>
      <c r="C1513" s="1100">
        <v>4802.331052181351</v>
      </c>
    </row>
    <row r="1514" spans="1:3">
      <c r="A1514" s="7"/>
      <c r="B1514" s="6" t="s">
        <v>4081</v>
      </c>
      <c r="C1514" s="1100">
        <v>129444.98639138286</v>
      </c>
    </row>
    <row r="1515" spans="1:3">
      <c r="A1515" s="1114"/>
      <c r="B1515" s="1112" t="s">
        <v>4082</v>
      </c>
      <c r="C1515" s="1113"/>
    </row>
    <row r="1516" spans="1:3">
      <c r="A1516" s="7" t="s">
        <v>4086</v>
      </c>
      <c r="B1516" s="6" t="s">
        <v>1841</v>
      </c>
      <c r="C1516" s="1100">
        <v>68018.238030490378</v>
      </c>
    </row>
    <row r="1517" spans="1:3">
      <c r="A1517" s="7"/>
      <c r="B1517" s="538" t="s">
        <v>4057</v>
      </c>
      <c r="C1517" s="1100">
        <v>68018.238030490378</v>
      </c>
    </row>
    <row r="1518" spans="1:3">
      <c r="A1518" s="7"/>
      <c r="B1518" s="538" t="s">
        <v>4058</v>
      </c>
      <c r="C1518" s="1100">
        <v>68018.238030490378</v>
      </c>
    </row>
    <row r="1519" spans="1:3">
      <c r="A1519" s="7"/>
      <c r="B1519" s="538" t="s">
        <v>4059</v>
      </c>
      <c r="C1519" s="1100">
        <v>68018.238030490378</v>
      </c>
    </row>
    <row r="1520" spans="1:3">
      <c r="A1520" s="7"/>
      <c r="B1520" s="538" t="s">
        <v>4060</v>
      </c>
      <c r="C1520" s="1100">
        <v>68018.238030490378</v>
      </c>
    </row>
    <row r="1521" spans="1:3">
      <c r="A1521" s="7"/>
      <c r="B1521" s="538" t="s">
        <v>4061</v>
      </c>
      <c r="C1521" s="1100">
        <v>68018.238030490378</v>
      </c>
    </row>
    <row r="1522" spans="1:3">
      <c r="A1522" s="7"/>
      <c r="B1522" s="538" t="s">
        <v>4062</v>
      </c>
      <c r="C1522" s="1100">
        <v>68018.238030490378</v>
      </c>
    </row>
    <row r="1523" spans="1:3">
      <c r="A1523" s="7"/>
      <c r="B1523" s="538" t="s">
        <v>4063</v>
      </c>
      <c r="C1523" s="1100">
        <v>68018.238030490378</v>
      </c>
    </row>
    <row r="1524" spans="1:3">
      <c r="A1524" s="7"/>
      <c r="B1524" s="538" t="s">
        <v>4064</v>
      </c>
      <c r="C1524" s="1100">
        <v>68018.238030490378</v>
      </c>
    </row>
    <row r="1525" spans="1:3">
      <c r="A1525" s="7"/>
      <c r="B1525" s="538" t="s">
        <v>4065</v>
      </c>
      <c r="C1525" s="1100">
        <v>585.22935652173919</v>
      </c>
    </row>
    <row r="1526" spans="1:3">
      <c r="A1526" s="7"/>
      <c r="B1526" s="6" t="s">
        <v>4066</v>
      </c>
      <c r="C1526" s="1100">
        <v>62483.494827849783</v>
      </c>
    </row>
    <row r="1527" spans="1:3">
      <c r="A1527" s="7"/>
      <c r="B1527" s="6" t="s">
        <v>4067</v>
      </c>
      <c r="C1527" s="1100">
        <v>62483.494827849783</v>
      </c>
    </row>
    <row r="1528" spans="1:3">
      <c r="A1528" s="7"/>
      <c r="B1528" s="538" t="s">
        <v>4068</v>
      </c>
      <c r="C1528" s="1100">
        <v>63543.36485163492</v>
      </c>
    </row>
    <row r="1529" spans="1:3">
      <c r="A1529" s="7"/>
      <c r="B1529" s="6" t="s">
        <v>4069</v>
      </c>
      <c r="C1529" s="1100">
        <v>97491.340526613421</v>
      </c>
    </row>
    <row r="1530" spans="1:3">
      <c r="A1530" s="7"/>
      <c r="B1530" s="6" t="s">
        <v>4070</v>
      </c>
      <c r="C1530" s="1100">
        <v>97491.340526613421</v>
      </c>
    </row>
    <row r="1531" spans="1:3">
      <c r="A1531" s="7"/>
      <c r="B1531" s="6" t="s">
        <v>4071</v>
      </c>
      <c r="C1531" s="1100">
        <v>72782.178465376768</v>
      </c>
    </row>
    <row r="1532" spans="1:3">
      <c r="A1532" s="7"/>
      <c r="B1532" s="6" t="s">
        <v>4072</v>
      </c>
      <c r="C1532" s="1100">
        <v>72782.178465376768</v>
      </c>
    </row>
    <row r="1533" spans="1:3">
      <c r="A1533" s="7"/>
      <c r="B1533" s="6" t="s">
        <v>4073</v>
      </c>
      <c r="C1533" s="1100">
        <v>19137.991228480849</v>
      </c>
    </row>
    <row r="1534" spans="1:3">
      <c r="A1534" s="7"/>
      <c r="B1534" s="6" t="s">
        <v>4074</v>
      </c>
      <c r="C1534" s="1100">
        <v>0</v>
      </c>
    </row>
    <row r="1535" spans="1:3">
      <c r="A1535" s="7"/>
      <c r="B1535" s="538" t="s">
        <v>4075</v>
      </c>
      <c r="C1535" s="1100">
        <v>35492.720326123235</v>
      </c>
    </row>
    <row r="1536" spans="1:3">
      <c r="A1536" s="7"/>
      <c r="B1536" s="538" t="s">
        <v>4076</v>
      </c>
      <c r="C1536" s="1100">
        <v>35492.720326123235</v>
      </c>
    </row>
    <row r="1537" spans="1:3">
      <c r="A1537" s="7"/>
      <c r="B1537" s="538" t="s">
        <v>4077</v>
      </c>
      <c r="C1537" s="1100">
        <v>33302.319784010746</v>
      </c>
    </row>
    <row r="1538" spans="1:3">
      <c r="A1538" s="7"/>
      <c r="B1538" s="6" t="s">
        <v>4078</v>
      </c>
      <c r="C1538" s="1100">
        <v>3266.1675059634254</v>
      </c>
    </row>
    <row r="1539" spans="1:3">
      <c r="A1539" s="7"/>
      <c r="B1539" s="6" t="s">
        <v>4079</v>
      </c>
      <c r="C1539" s="1100">
        <v>39847.213950722056</v>
      </c>
    </row>
    <row r="1540" spans="1:3">
      <c r="A1540" s="7"/>
      <c r="B1540" s="6" t="s">
        <v>4080</v>
      </c>
      <c r="C1540" s="1100">
        <v>166485.69646395289</v>
      </c>
    </row>
    <row r="1541" spans="1:3">
      <c r="A1541" s="7"/>
      <c r="B1541" s="6" t="s">
        <v>4081</v>
      </c>
      <c r="C1541" s="1100">
        <v>206990.07077423073</v>
      </c>
    </row>
    <row r="1544" spans="1:3" ht="20">
      <c r="A1544" s="1106"/>
      <c r="B1544" s="1107" t="s">
        <v>4051</v>
      </c>
      <c r="C1544" s="1108"/>
    </row>
    <row r="1545" spans="1:3">
      <c r="A1545" s="1109" t="s">
        <v>4016</v>
      </c>
      <c r="B1545" s="1061" t="s">
        <v>4052</v>
      </c>
      <c r="C1545" s="1065"/>
    </row>
    <row r="1546" spans="1:3">
      <c r="A1546" s="1111">
        <v>4</v>
      </c>
      <c r="B1546" s="1112" t="s">
        <v>4053</v>
      </c>
      <c r="C1546" s="1113"/>
    </row>
    <row r="1547" spans="1:3">
      <c r="A1547" s="7"/>
      <c r="B1547" s="6" t="s">
        <v>4054</v>
      </c>
      <c r="C1547" s="538" t="s">
        <v>4055</v>
      </c>
    </row>
    <row r="1548" spans="1:3">
      <c r="A1548" s="7" t="s">
        <v>4087</v>
      </c>
      <c r="B1548" s="6" t="s">
        <v>1841</v>
      </c>
      <c r="C1548" s="1100">
        <v>15187.385470429072</v>
      </c>
    </row>
    <row r="1549" spans="1:3">
      <c r="A1549" s="7"/>
      <c r="B1549" s="538" t="s">
        <v>4057</v>
      </c>
      <c r="C1549" s="1100">
        <v>15187.385470429072</v>
      </c>
    </row>
    <row r="1550" spans="1:3">
      <c r="A1550" s="7"/>
      <c r="B1550" s="538" t="s">
        <v>4058</v>
      </c>
      <c r="C1550" s="1100">
        <v>15187.385470429072</v>
      </c>
    </row>
    <row r="1551" spans="1:3">
      <c r="A1551" s="7"/>
      <c r="B1551" s="538" t="s">
        <v>4059</v>
      </c>
      <c r="C1551" s="1100">
        <v>15187.385470429072</v>
      </c>
    </row>
    <row r="1552" spans="1:3">
      <c r="A1552" s="7"/>
      <c r="B1552" s="538" t="s">
        <v>4060</v>
      </c>
      <c r="C1552" s="1100">
        <v>15187.385470429072</v>
      </c>
    </row>
    <row r="1553" spans="1:3">
      <c r="A1553" s="7"/>
      <c r="B1553" s="538" t="s">
        <v>4061</v>
      </c>
      <c r="C1553" s="1100">
        <v>15187.385470429072</v>
      </c>
    </row>
    <row r="1554" spans="1:3">
      <c r="A1554" s="7"/>
      <c r="B1554" s="538" t="s">
        <v>4062</v>
      </c>
      <c r="C1554" s="1100">
        <v>15187.385470429072</v>
      </c>
    </row>
    <row r="1555" spans="1:3">
      <c r="A1555" s="7"/>
      <c r="B1555" s="538" t="s">
        <v>4063</v>
      </c>
      <c r="C1555" s="1100">
        <v>15187.385470429072</v>
      </c>
    </row>
    <row r="1556" spans="1:3">
      <c r="A1556" s="7"/>
      <c r="B1556" s="538" t="s">
        <v>4064</v>
      </c>
      <c r="C1556" s="1100">
        <v>15187.385470429072</v>
      </c>
    </row>
    <row r="1557" spans="1:3">
      <c r="A1557" s="7"/>
      <c r="B1557" s="538" t="s">
        <v>4065</v>
      </c>
      <c r="C1557" s="1100">
        <v>585.22935652173919</v>
      </c>
    </row>
    <row r="1558" spans="1:3">
      <c r="A1558" s="7"/>
      <c r="B1558" s="6" t="s">
        <v>4066</v>
      </c>
      <c r="C1558" s="1100">
        <v>1297.0579868069935</v>
      </c>
    </row>
    <row r="1559" spans="1:3">
      <c r="A1559" s="7"/>
      <c r="B1559" s="6" t="s">
        <v>4067</v>
      </c>
      <c r="C1559" s="1100">
        <v>1297.0579868069935</v>
      </c>
    </row>
    <row r="1560" spans="1:3">
      <c r="A1560" s="7"/>
      <c r="B1560" s="538" t="s">
        <v>4068</v>
      </c>
      <c r="C1560" s="1100">
        <v>839.95288379342082</v>
      </c>
    </row>
    <row r="1561" spans="1:3">
      <c r="A1561" s="7"/>
      <c r="B1561" s="6" t="s">
        <v>4069</v>
      </c>
      <c r="C1561" s="1100">
        <v>54446.282049274036</v>
      </c>
    </row>
    <row r="1562" spans="1:3">
      <c r="A1562" s="7"/>
      <c r="B1562" s="6" t="s">
        <v>4070</v>
      </c>
      <c r="C1562" s="1100">
        <v>54446.282049274036</v>
      </c>
    </row>
    <row r="1563" spans="1:3">
      <c r="A1563" s="7"/>
      <c r="B1563" s="6" t="s">
        <v>4071</v>
      </c>
      <c r="C1563" s="1100">
        <v>2549.2860872640613</v>
      </c>
    </row>
    <row r="1564" spans="1:3">
      <c r="A1564" s="7"/>
      <c r="B1564" s="6" t="s">
        <v>4072</v>
      </c>
      <c r="C1564" s="1100">
        <v>2549.2860872640613</v>
      </c>
    </row>
    <row r="1565" spans="1:3">
      <c r="A1565" s="7"/>
      <c r="B1565" s="6" t="s">
        <v>4073</v>
      </c>
      <c r="C1565" s="1100">
        <v>0</v>
      </c>
    </row>
    <row r="1566" spans="1:3">
      <c r="A1566" s="7"/>
      <c r="B1566" s="6" t="s">
        <v>4074</v>
      </c>
      <c r="C1566" s="1100">
        <v>0</v>
      </c>
    </row>
    <row r="1567" spans="1:3">
      <c r="A1567" s="7"/>
      <c r="B1567" s="538" t="s">
        <v>4075</v>
      </c>
      <c r="C1567" s="1100">
        <v>15474.928381613428</v>
      </c>
    </row>
    <row r="1568" spans="1:3">
      <c r="A1568" s="7"/>
      <c r="B1568" s="538" t="s">
        <v>4076</v>
      </c>
      <c r="C1568" s="1100">
        <v>15474.928381613428</v>
      </c>
    </row>
    <row r="1569" spans="1:5">
      <c r="A1569" s="7"/>
      <c r="B1569" s="538" t="s">
        <v>4077</v>
      </c>
      <c r="C1569" s="1100">
        <v>14171.617783573663</v>
      </c>
    </row>
    <row r="1570" spans="1:5">
      <c r="A1570" s="7"/>
      <c r="B1570" s="6" t="s">
        <v>4078</v>
      </c>
      <c r="C1570" s="1100">
        <v>2177.4450039756166</v>
      </c>
    </row>
    <row r="1571" spans="1:5">
      <c r="A1571" s="7"/>
      <c r="B1571" s="6" t="s">
        <v>4079</v>
      </c>
      <c r="C1571" s="1100">
        <v>26923.042009717843</v>
      </c>
    </row>
    <row r="1572" spans="1:5">
      <c r="A1572" s="7"/>
      <c r="B1572" s="6" t="s">
        <v>4080</v>
      </c>
      <c r="C1572" s="1100">
        <v>4802.331052181351</v>
      </c>
    </row>
    <row r="1573" spans="1:5">
      <c r="A1573" s="7"/>
      <c r="B1573" s="6" t="s">
        <v>4081</v>
      </c>
      <c r="C1573" s="1100">
        <v>129444.98639138286</v>
      </c>
    </row>
    <row r="1576" spans="1:5">
      <c r="A1576" s="7"/>
      <c r="B1576" s="6" t="s">
        <v>4088</v>
      </c>
      <c r="C1576" s="7" t="s">
        <v>4090</v>
      </c>
      <c r="D1576" s="1104">
        <v>15.334248608167634</v>
      </c>
      <c r="E1576" s="609" t="s">
        <v>4089</v>
      </c>
    </row>
    <row r="1579" spans="1:5">
      <c r="A1579" s="7"/>
      <c r="B1579" s="6" t="s">
        <v>4091</v>
      </c>
      <c r="C1579" s="7" t="s">
        <v>4092</v>
      </c>
      <c r="D1579" s="1104">
        <v>17.251029684188588</v>
      </c>
      <c r="E1579" s="609" t="s">
        <v>4089</v>
      </c>
    </row>
    <row r="1582" spans="1:5">
      <c r="A1582" s="7"/>
      <c r="B1582" s="6" t="s">
        <v>4093</v>
      </c>
      <c r="C1582" s="7" t="s">
        <v>4095</v>
      </c>
      <c r="D1582" s="1104">
        <v>0.23565938344290491</v>
      </c>
      <c r="E1582" s="609" t="s">
        <v>4094</v>
      </c>
    </row>
    <row r="1585" spans="1:5">
      <c r="A1585" s="7"/>
      <c r="B1585" s="6" t="s">
        <v>4096</v>
      </c>
      <c r="C1585" s="7" t="s">
        <v>4097</v>
      </c>
      <c r="D1585" s="1104">
        <v>0.40744846670034962</v>
      </c>
      <c r="E1585" s="609" t="s">
        <v>4094</v>
      </c>
    </row>
    <row r="1588" spans="1:5">
      <c r="A1588" s="7"/>
      <c r="B1588" s="6" t="s">
        <v>4098</v>
      </c>
      <c r="C1588" s="7" t="s">
        <v>4100</v>
      </c>
      <c r="D1588" s="1104">
        <v>4.3265630715446299</v>
      </c>
      <c r="E1588" s="609" t="s">
        <v>4099</v>
      </c>
    </row>
    <row r="1591" spans="1:5">
      <c r="A1591" s="7"/>
      <c r="B1591" s="6" t="s">
        <v>4101</v>
      </c>
      <c r="C1591" s="7" t="s">
        <v>4102</v>
      </c>
      <c r="D1591" s="1104">
        <v>4.4557142080086498</v>
      </c>
      <c r="E1591" s="609" t="s">
        <v>4099</v>
      </c>
    </row>
    <row r="1594" spans="1:5">
      <c r="A1594" s="7"/>
      <c r="B1594" s="6" t="s">
        <v>4103</v>
      </c>
      <c r="C1594" s="7" t="s">
        <v>4104</v>
      </c>
      <c r="D1594" s="1104">
        <v>1585.0597728336134</v>
      </c>
      <c r="E1594" s="609" t="s">
        <v>1384</v>
      </c>
    </row>
    <row r="1597" spans="1:5">
      <c r="A1597" s="7"/>
      <c r="B1597" s="6" t="s">
        <v>4105</v>
      </c>
      <c r="C1597" s="7" t="s">
        <v>4106</v>
      </c>
      <c r="D1597" s="1104">
        <v>5146.1641633434501</v>
      </c>
      <c r="E1597" s="609" t="s">
        <v>895</v>
      </c>
    </row>
    <row r="1600" spans="1:5">
      <c r="A1600" s="7"/>
      <c r="B1600" s="6" t="s">
        <v>4107</v>
      </c>
      <c r="C1600" s="7" t="s">
        <v>4108</v>
      </c>
      <c r="D1600" s="1104">
        <v>3067.0932360907809</v>
      </c>
      <c r="E1600" s="609" t="s">
        <v>4001</v>
      </c>
    </row>
    <row r="1603" spans="1:5">
      <c r="A1603" s="7"/>
      <c r="B1603" s="6" t="s">
        <v>4109</v>
      </c>
      <c r="C1603" s="7" t="s">
        <v>4110</v>
      </c>
      <c r="D1603" s="1104">
        <v>0.26443419457954331</v>
      </c>
      <c r="E1603" s="609" t="s">
        <v>4004</v>
      </c>
    </row>
    <row r="1606" spans="1:5">
      <c r="A1606" s="7"/>
      <c r="B1606" s="6" t="s">
        <v>4111</v>
      </c>
      <c r="C1606" s="7" t="s">
        <v>4112</v>
      </c>
      <c r="D1606" s="1104">
        <v>0.23836161284702562</v>
      </c>
      <c r="E1606" s="609" t="s">
        <v>2939</v>
      </c>
    </row>
    <row r="1609" spans="1:5">
      <c r="A1609" s="1109"/>
      <c r="B1609" s="1061" t="s">
        <v>4113</v>
      </c>
      <c r="C1609" s="1065"/>
    </row>
    <row r="1610" spans="1:5">
      <c r="A1610" s="1067"/>
      <c r="B1610" s="1094" t="s">
        <v>4040</v>
      </c>
      <c r="C1610" s="1060" t="s">
        <v>4041</v>
      </c>
    </row>
    <row r="1611" spans="1:5">
      <c r="A1611" s="7" t="s">
        <v>4114</v>
      </c>
      <c r="B1611" s="6">
        <v>0</v>
      </c>
      <c r="C1611" s="1081">
        <v>0</v>
      </c>
    </row>
    <row r="1612" spans="1:5">
      <c r="A1612" s="7"/>
      <c r="B1612" s="6">
        <v>1</v>
      </c>
      <c r="C1612" s="1081">
        <v>2266.5788106818</v>
      </c>
    </row>
    <row r="1613" spans="1:5">
      <c r="A1613" s="7"/>
      <c r="B1613" s="6">
        <v>5</v>
      </c>
      <c r="C1613" s="1081">
        <v>2369.6051202582453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O201"/>
  <sheetViews>
    <sheetView workbookViewId="0"/>
  </sheetViews>
  <sheetFormatPr baseColWidth="10" defaultColWidth="9.1640625" defaultRowHeight="13"/>
  <cols>
    <col min="1" max="1" width="39.6640625" style="6" customWidth="1"/>
    <col min="2" max="2" width="26.33203125" style="6" customWidth="1"/>
    <col min="3" max="3" width="16.5" style="6" customWidth="1"/>
    <col min="4" max="4" width="22" style="6" customWidth="1"/>
    <col min="5" max="5" width="11.5" style="6" customWidth="1"/>
    <col min="6" max="7" width="11.6640625" style="6" customWidth="1"/>
    <col min="8" max="16384" width="9.1640625" style="6"/>
  </cols>
  <sheetData>
    <row r="1" spans="1:5">
      <c r="A1" s="88" t="s">
        <v>4115</v>
      </c>
    </row>
    <row r="2" spans="1:5">
      <c r="A2" s="748" t="s">
        <v>4314</v>
      </c>
    </row>
    <row r="3" spans="1:5">
      <c r="A3" s="748"/>
    </row>
    <row r="4" spans="1:5">
      <c r="A4" s="88" t="s">
        <v>4116</v>
      </c>
      <c r="B4" s="538"/>
      <c r="C4" s="538"/>
      <c r="D4" s="538"/>
      <c r="E4" s="538"/>
    </row>
    <row r="5" spans="1:5">
      <c r="A5" s="6" t="s">
        <v>4117</v>
      </c>
      <c r="B5" s="6" t="s">
        <v>4118</v>
      </c>
      <c r="C5" s="6" t="s">
        <v>4119</v>
      </c>
    </row>
    <row r="6" spans="1:5">
      <c r="A6" s="1115">
        <v>0</v>
      </c>
      <c r="B6" s="6" t="s">
        <v>4120</v>
      </c>
      <c r="C6" s="1116">
        <v>0.09</v>
      </c>
    </row>
    <row r="7" spans="1:5">
      <c r="A7" s="1115">
        <v>250000</v>
      </c>
      <c r="B7" s="6" t="s">
        <v>4121</v>
      </c>
      <c r="C7" s="1116">
        <v>0.08</v>
      </c>
    </row>
    <row r="8" spans="1:5">
      <c r="A8" s="1115">
        <v>500000</v>
      </c>
      <c r="B8" s="6" t="s">
        <v>4122</v>
      </c>
      <c r="C8" s="1116">
        <v>7.0000000000000007E-2</v>
      </c>
    </row>
    <row r="9" spans="1:5">
      <c r="A9" s="1115">
        <v>1000000</v>
      </c>
      <c r="B9" s="6" t="s">
        <v>4123</v>
      </c>
      <c r="C9" s="1116">
        <v>6.2E-2</v>
      </c>
    </row>
    <row r="10" spans="1:5">
      <c r="A10" s="1115">
        <v>5000000</v>
      </c>
      <c r="B10" s="6" t="s">
        <v>4124</v>
      </c>
      <c r="C10" s="1116">
        <v>5.2999999999999999E-2</v>
      </c>
    </row>
    <row r="11" spans="1:5">
      <c r="A11" s="1115">
        <v>10000000</v>
      </c>
      <c r="B11" s="6" t="s">
        <v>4125</v>
      </c>
      <c r="C11" s="1116">
        <v>4.9000000000000002E-2</v>
      </c>
    </row>
    <row r="12" spans="1:5">
      <c r="A12" s="1115">
        <v>50000000</v>
      </c>
      <c r="B12" s="6" t="s">
        <v>4126</v>
      </c>
      <c r="C12" s="1116">
        <v>4.4999999999999998E-2</v>
      </c>
    </row>
    <row r="15" spans="1:5">
      <c r="A15" s="88" t="s">
        <v>4127</v>
      </c>
    </row>
    <row r="16" spans="1:5">
      <c r="A16" s="921" t="s">
        <v>3683</v>
      </c>
      <c r="B16" s="921" t="s">
        <v>4128</v>
      </c>
      <c r="C16" s="921" t="s">
        <v>1435</v>
      </c>
    </row>
    <row r="17" spans="1:5" ht="15">
      <c r="A17" s="538" t="s">
        <v>3691</v>
      </c>
      <c r="B17" s="627">
        <v>50000</v>
      </c>
      <c r="C17" s="6" t="s">
        <v>2338</v>
      </c>
      <c r="D17" s="1117" t="s">
        <v>4129</v>
      </c>
    </row>
    <row r="18" spans="1:5" ht="15">
      <c r="A18" s="538" t="s">
        <v>3692</v>
      </c>
      <c r="B18" s="627">
        <v>500</v>
      </c>
      <c r="C18" s="538" t="s">
        <v>2338</v>
      </c>
      <c r="D18" s="1117" t="s">
        <v>4130</v>
      </c>
    </row>
    <row r="19" spans="1:5" ht="15">
      <c r="A19" s="538" t="s">
        <v>3693</v>
      </c>
      <c r="B19" s="627">
        <v>0</v>
      </c>
      <c r="C19" s="538" t="s">
        <v>2338</v>
      </c>
      <c r="D19" s="1117"/>
    </row>
    <row r="20" spans="1:5" ht="15">
      <c r="A20" s="538" t="s">
        <v>3694</v>
      </c>
      <c r="B20" s="627">
        <v>2000</v>
      </c>
      <c r="C20" s="538" t="s">
        <v>2338</v>
      </c>
      <c r="D20" s="1117" t="s">
        <v>4131</v>
      </c>
      <c r="E20" s="1117"/>
    </row>
    <row r="21" spans="1:5" ht="15">
      <c r="A21" s="538" t="s">
        <v>3695</v>
      </c>
      <c r="B21" s="627">
        <v>500</v>
      </c>
      <c r="C21" s="538" t="s">
        <v>2338</v>
      </c>
      <c r="D21" s="1117" t="s">
        <v>4132</v>
      </c>
    </row>
    <row r="22" spans="1:5" ht="15">
      <c r="A22" s="538" t="s">
        <v>3696</v>
      </c>
      <c r="B22" s="627">
        <v>0</v>
      </c>
      <c r="C22" s="538" t="s">
        <v>2338</v>
      </c>
      <c r="D22" s="1117"/>
    </row>
    <row r="23" spans="1:5" ht="15">
      <c r="A23" s="538" t="s">
        <v>3700</v>
      </c>
      <c r="B23" s="627">
        <v>31500</v>
      </c>
      <c r="C23" s="538" t="s">
        <v>2338</v>
      </c>
      <c r="D23" s="1117" t="s">
        <v>4133</v>
      </c>
    </row>
    <row r="24" spans="1:5" ht="15">
      <c r="A24" s="538" t="s">
        <v>3701</v>
      </c>
      <c r="B24" s="627">
        <v>2772</v>
      </c>
      <c r="C24" s="538" t="s">
        <v>2338</v>
      </c>
      <c r="D24" s="1117" t="s">
        <v>4134</v>
      </c>
    </row>
    <row r="25" spans="1:5" ht="15">
      <c r="A25" s="538" t="s">
        <v>3702</v>
      </c>
      <c r="B25" s="627">
        <v>0</v>
      </c>
      <c r="C25" s="538" t="s">
        <v>2338</v>
      </c>
      <c r="D25" s="1117"/>
    </row>
    <row r="26" spans="1:5" ht="15">
      <c r="A26" s="538" t="s">
        <v>3703</v>
      </c>
      <c r="B26" s="627">
        <v>19380</v>
      </c>
      <c r="C26" s="538" t="s">
        <v>2338</v>
      </c>
      <c r="D26" s="1117" t="s">
        <v>4135</v>
      </c>
    </row>
    <row r="27" spans="1:5" ht="15">
      <c r="A27" s="538" t="s">
        <v>3704</v>
      </c>
      <c r="B27" s="627">
        <v>200</v>
      </c>
      <c r="C27" s="538" t="s">
        <v>2338</v>
      </c>
      <c r="D27" s="1117" t="s">
        <v>4136</v>
      </c>
    </row>
    <row r="28" spans="1:5" ht="15">
      <c r="A28" s="538" t="s">
        <v>3705</v>
      </c>
      <c r="B28" s="627">
        <v>0</v>
      </c>
      <c r="C28" s="538" t="s">
        <v>2338</v>
      </c>
      <c r="D28" s="1117"/>
    </row>
    <row r="29" spans="1:5" ht="15">
      <c r="A29" s="538" t="s">
        <v>3712</v>
      </c>
      <c r="B29" s="627">
        <v>44000</v>
      </c>
      <c r="C29" s="538" t="s">
        <v>2338</v>
      </c>
      <c r="D29" s="1117" t="s">
        <v>4137</v>
      </c>
    </row>
    <row r="30" spans="1:5" ht="15">
      <c r="A30" s="538" t="s">
        <v>4138</v>
      </c>
      <c r="B30" s="627">
        <v>44000</v>
      </c>
      <c r="C30" s="538" t="s">
        <v>2338</v>
      </c>
      <c r="D30" s="1117" t="s">
        <v>4139</v>
      </c>
    </row>
    <row r="31" spans="1:5" ht="15">
      <c r="A31" s="538" t="s">
        <v>3713</v>
      </c>
      <c r="B31" s="627">
        <v>0</v>
      </c>
      <c r="C31" s="538" t="s">
        <v>2338</v>
      </c>
      <c r="D31" s="1117"/>
    </row>
    <row r="32" spans="1:5" ht="15">
      <c r="A32" s="538" t="s">
        <v>3714</v>
      </c>
      <c r="B32" s="627">
        <v>19800</v>
      </c>
      <c r="C32" s="6" t="s">
        <v>2338</v>
      </c>
      <c r="D32" s="1117" t="s">
        <v>4140</v>
      </c>
    </row>
    <row r="33" spans="1:4" ht="15">
      <c r="A33" s="538" t="s">
        <v>3715</v>
      </c>
      <c r="B33" s="627">
        <v>5445</v>
      </c>
      <c r="C33" s="6" t="s">
        <v>2338</v>
      </c>
      <c r="D33" s="1117" t="s">
        <v>4141</v>
      </c>
    </row>
    <row r="34" spans="1:4" ht="15">
      <c r="A34" s="538" t="s">
        <v>3716</v>
      </c>
      <c r="B34" s="627">
        <v>0</v>
      </c>
      <c r="C34" s="6" t="s">
        <v>2338</v>
      </c>
      <c r="D34" s="1117"/>
    </row>
    <row r="35" spans="1:4" ht="15">
      <c r="A35" s="538" t="s">
        <v>3717</v>
      </c>
      <c r="B35" s="627">
        <v>450</v>
      </c>
      <c r="C35" s="538" t="s">
        <v>2338</v>
      </c>
      <c r="D35" s="1117" t="s">
        <v>4142</v>
      </c>
    </row>
    <row r="36" spans="1:4" ht="15">
      <c r="A36" s="538" t="s">
        <v>4143</v>
      </c>
      <c r="B36" s="627">
        <v>450</v>
      </c>
      <c r="C36" s="538" t="s">
        <v>2338</v>
      </c>
      <c r="D36" s="1117" t="s">
        <v>4139</v>
      </c>
    </row>
    <row r="37" spans="1:4" ht="15">
      <c r="A37" s="538" t="s">
        <v>3718</v>
      </c>
      <c r="B37" s="627">
        <v>0</v>
      </c>
      <c r="C37" s="538" t="s">
        <v>2338</v>
      </c>
      <c r="D37" s="1117"/>
    </row>
    <row r="38" spans="1:4" ht="15">
      <c r="A38" s="538" t="s">
        <v>3719</v>
      </c>
      <c r="B38" s="627">
        <v>650</v>
      </c>
      <c r="C38" s="6" t="s">
        <v>2338</v>
      </c>
      <c r="D38" s="1117" t="s">
        <v>4144</v>
      </c>
    </row>
    <row r="39" spans="1:4" ht="15">
      <c r="A39" s="538" t="s">
        <v>3720</v>
      </c>
      <c r="B39" s="627">
        <v>100</v>
      </c>
      <c r="C39" s="6" t="s">
        <v>2338</v>
      </c>
      <c r="D39" s="1117" t="s">
        <v>4145</v>
      </c>
    </row>
    <row r="40" spans="1:4" ht="15">
      <c r="A40" s="538" t="s">
        <v>3721</v>
      </c>
      <c r="B40" s="627">
        <v>0</v>
      </c>
      <c r="C40" s="6" t="s">
        <v>2338</v>
      </c>
      <c r="D40" s="1117"/>
    </row>
    <row r="41" spans="1:4" ht="15">
      <c r="A41" s="6" t="s">
        <v>3725</v>
      </c>
      <c r="B41" s="627">
        <v>3500</v>
      </c>
      <c r="C41" s="6" t="s">
        <v>2338</v>
      </c>
      <c r="D41" s="1117" t="s">
        <v>4146</v>
      </c>
    </row>
    <row r="42" spans="1:4" ht="15">
      <c r="A42" s="6" t="s">
        <v>4147</v>
      </c>
      <c r="B42" s="627">
        <v>3500</v>
      </c>
      <c r="C42" s="6" t="s">
        <v>2338</v>
      </c>
      <c r="D42" s="1117" t="s">
        <v>4139</v>
      </c>
    </row>
    <row r="43" spans="1:4" ht="15">
      <c r="A43" s="6" t="s">
        <v>3726</v>
      </c>
      <c r="B43" s="627">
        <v>0</v>
      </c>
      <c r="C43" s="6" t="s">
        <v>2338</v>
      </c>
      <c r="D43" s="1117"/>
    </row>
    <row r="44" spans="1:4" ht="15">
      <c r="A44" s="6" t="s">
        <v>3730</v>
      </c>
      <c r="B44" s="627">
        <v>25228.5</v>
      </c>
      <c r="C44" s="6" t="s">
        <v>2338</v>
      </c>
      <c r="D44" s="1117" t="s">
        <v>4148</v>
      </c>
    </row>
    <row r="45" spans="1:4" ht="15">
      <c r="A45" s="6" t="s">
        <v>3731</v>
      </c>
      <c r="B45" s="627">
        <v>12751.75</v>
      </c>
      <c r="C45" s="6" t="s">
        <v>2338</v>
      </c>
      <c r="D45" s="1117" t="s">
        <v>4149</v>
      </c>
    </row>
    <row r="46" spans="1:4" ht="15">
      <c r="A46" s="6" t="s">
        <v>3732</v>
      </c>
      <c r="B46" s="627">
        <v>0</v>
      </c>
      <c r="C46" s="6" t="s">
        <v>2338</v>
      </c>
      <c r="D46" s="1117"/>
    </row>
    <row r="47" spans="1:4" ht="15">
      <c r="A47" s="6" t="s">
        <v>3733</v>
      </c>
      <c r="B47" s="627">
        <v>165</v>
      </c>
      <c r="C47" s="6" t="s">
        <v>2964</v>
      </c>
      <c r="D47" s="1117" t="s">
        <v>4150</v>
      </c>
    </row>
    <row r="48" spans="1:4" ht="15">
      <c r="A48" s="6" t="s">
        <v>4151</v>
      </c>
      <c r="B48" s="627">
        <v>165</v>
      </c>
      <c r="C48" s="6" t="s">
        <v>2964</v>
      </c>
      <c r="D48" s="1117" t="s">
        <v>4139</v>
      </c>
    </row>
    <row r="49" spans="1:5" ht="15">
      <c r="A49" s="6" t="s">
        <v>3734</v>
      </c>
      <c r="B49" s="627">
        <v>0</v>
      </c>
      <c r="C49" s="6" t="s">
        <v>2964</v>
      </c>
      <c r="D49" s="1117"/>
    </row>
    <row r="50" spans="1:5" ht="15">
      <c r="A50" s="538" t="s">
        <v>3735</v>
      </c>
      <c r="B50" s="627">
        <v>28427.723999999998</v>
      </c>
      <c r="C50" s="538" t="s">
        <v>2338</v>
      </c>
      <c r="D50" s="1117" t="s">
        <v>4152</v>
      </c>
    </row>
    <row r="51" spans="1:5" ht="15">
      <c r="A51" s="538" t="s">
        <v>4153</v>
      </c>
      <c r="B51" s="627">
        <v>28427.723999999998</v>
      </c>
      <c r="C51" s="538" t="s">
        <v>2338</v>
      </c>
      <c r="D51" s="1117" t="s">
        <v>4139</v>
      </c>
    </row>
    <row r="52" spans="1:5" ht="15">
      <c r="A52" s="538" t="s">
        <v>3736</v>
      </c>
      <c r="B52" s="627">
        <v>0</v>
      </c>
      <c r="C52" s="538" t="s">
        <v>2338</v>
      </c>
      <c r="D52" s="1117"/>
    </row>
    <row r="53" spans="1:5" ht="15">
      <c r="A53" s="6" t="s">
        <v>3737</v>
      </c>
      <c r="B53" s="627">
        <v>99.18</v>
      </c>
      <c r="C53" s="6" t="s">
        <v>2338</v>
      </c>
      <c r="D53" s="1117" t="s">
        <v>4154</v>
      </c>
    </row>
    <row r="54" spans="1:5" ht="15">
      <c r="A54" s="6" t="s">
        <v>4155</v>
      </c>
      <c r="B54" s="627">
        <v>99.18</v>
      </c>
      <c r="C54" s="6" t="s">
        <v>2338</v>
      </c>
      <c r="D54" s="1117" t="s">
        <v>4139</v>
      </c>
    </row>
    <row r="55" spans="1:5" ht="15">
      <c r="A55" s="6" t="s">
        <v>3738</v>
      </c>
      <c r="B55" s="627">
        <v>0</v>
      </c>
      <c r="C55" s="6" t="s">
        <v>2338</v>
      </c>
      <c r="D55" s="1117"/>
    </row>
    <row r="56" spans="1:5" ht="15">
      <c r="A56" s="6" t="s">
        <v>3739</v>
      </c>
      <c r="B56" s="627">
        <v>2000</v>
      </c>
      <c r="C56" s="6" t="s">
        <v>2964</v>
      </c>
      <c r="D56" s="1117" t="s">
        <v>4156</v>
      </c>
    </row>
    <row r="57" spans="1:5" ht="15">
      <c r="A57" s="6" t="s">
        <v>3740</v>
      </c>
      <c r="B57" s="627">
        <v>300</v>
      </c>
      <c r="C57" s="6" t="s">
        <v>2964</v>
      </c>
      <c r="D57" s="1117" t="s">
        <v>4157</v>
      </c>
    </row>
    <row r="58" spans="1:5" ht="15">
      <c r="A58" s="6" t="s">
        <v>3741</v>
      </c>
      <c r="B58" s="627">
        <v>0</v>
      </c>
      <c r="C58" s="6" t="s">
        <v>2964</v>
      </c>
      <c r="D58" s="1117"/>
    </row>
    <row r="61" spans="1:5">
      <c r="A61" s="88" t="s">
        <v>4158</v>
      </c>
      <c r="B61" s="538"/>
      <c r="C61" s="538"/>
      <c r="D61" s="538"/>
      <c r="E61" s="538"/>
    </row>
    <row r="62" spans="1:5">
      <c r="A62" s="6" t="s">
        <v>4117</v>
      </c>
      <c r="B62" s="6" t="s">
        <v>4118</v>
      </c>
      <c r="C62" s="6" t="s">
        <v>536</v>
      </c>
    </row>
    <row r="63" spans="1:5">
      <c r="A63" s="1115">
        <v>0</v>
      </c>
      <c r="B63" s="6" t="s">
        <v>4159</v>
      </c>
      <c r="C63" s="1116">
        <v>0.1</v>
      </c>
    </row>
    <row r="64" spans="1:5">
      <c r="A64" s="1115">
        <v>100000</v>
      </c>
      <c r="B64" s="6" t="s">
        <v>4160</v>
      </c>
      <c r="C64" s="1116">
        <v>0.09</v>
      </c>
    </row>
    <row r="65" spans="1:5">
      <c r="A65" s="1115">
        <v>250000</v>
      </c>
      <c r="B65" s="6" t="s">
        <v>4161</v>
      </c>
      <c r="C65" s="1116">
        <v>0.06</v>
      </c>
    </row>
    <row r="66" spans="1:5">
      <c r="A66" s="1115">
        <v>1000000</v>
      </c>
      <c r="B66" s="6" t="s">
        <v>4123</v>
      </c>
      <c r="C66" s="1116">
        <v>0.05</v>
      </c>
    </row>
    <row r="67" spans="1:5">
      <c r="A67" s="1115">
        <v>5000000</v>
      </c>
      <c r="B67" s="6" t="s">
        <v>4124</v>
      </c>
      <c r="C67" s="1116">
        <v>0.04</v>
      </c>
    </row>
    <row r="68" spans="1:5">
      <c r="A68" s="1115">
        <v>10000000</v>
      </c>
      <c r="B68" s="6" t="s">
        <v>4162</v>
      </c>
      <c r="C68" s="1116">
        <v>3.2000000000000001E-2</v>
      </c>
    </row>
    <row r="71" spans="1:5">
      <c r="A71" s="88" t="s">
        <v>4163</v>
      </c>
      <c r="B71" s="538"/>
      <c r="C71" s="538"/>
      <c r="D71" s="538"/>
      <c r="E71" s="538"/>
    </row>
    <row r="72" spans="1:5">
      <c r="A72" s="6" t="s">
        <v>4164</v>
      </c>
      <c r="B72" s="6" t="s">
        <v>4118</v>
      </c>
      <c r="C72" s="6" t="s">
        <v>4165</v>
      </c>
    </row>
    <row r="73" spans="1:5">
      <c r="A73" s="1115">
        <v>0</v>
      </c>
      <c r="B73" s="597" t="s">
        <v>4166</v>
      </c>
      <c r="C73" s="1118">
        <v>6.7000000000000004E-2</v>
      </c>
      <c r="E73" s="1118"/>
    </row>
    <row r="74" spans="1:5">
      <c r="A74" s="1115">
        <v>500000</v>
      </c>
      <c r="B74" s="597" t="s">
        <v>4167</v>
      </c>
      <c r="C74" s="1118">
        <v>5.8000000000000003E-2</v>
      </c>
      <c r="E74" s="1118"/>
    </row>
    <row r="75" spans="1:5">
      <c r="A75" s="1115">
        <v>3000000</v>
      </c>
      <c r="B75" s="597" t="s">
        <v>4168</v>
      </c>
      <c r="C75" s="1118">
        <v>4.9000000000000002E-2</v>
      </c>
      <c r="E75" s="1118"/>
    </row>
    <row r="76" spans="1:5">
      <c r="A76" s="1115">
        <v>15000000</v>
      </c>
      <c r="B76" s="597" t="s">
        <v>4169</v>
      </c>
      <c r="C76" s="1118">
        <v>4.1000000000000002E-2</v>
      </c>
      <c r="E76" s="1118"/>
    </row>
    <row r="77" spans="1:5">
      <c r="A77" s="1115">
        <v>50000000</v>
      </c>
      <c r="B77" s="597" t="s">
        <v>4170</v>
      </c>
      <c r="C77" s="1118">
        <v>3.2000000000000001E-2</v>
      </c>
      <c r="E77" s="1118"/>
    </row>
    <row r="78" spans="1:5">
      <c r="A78" s="1115">
        <v>100000000</v>
      </c>
      <c r="B78" s="597" t="s">
        <v>4171</v>
      </c>
      <c r="C78" s="1118">
        <v>5.8000000000000003E-2</v>
      </c>
      <c r="E78" s="1118"/>
    </row>
    <row r="81" spans="1:4">
      <c r="A81" s="88" t="s">
        <v>1139</v>
      </c>
    </row>
    <row r="82" spans="1:4">
      <c r="A82" s="6" t="s">
        <v>4172</v>
      </c>
      <c r="B82" s="6" t="s">
        <v>575</v>
      </c>
    </row>
    <row r="83" spans="1:4">
      <c r="A83" s="6">
        <v>0</v>
      </c>
      <c r="B83" s="6">
        <v>1.5</v>
      </c>
      <c r="C83" s="387"/>
    </row>
    <row r="84" spans="1:4">
      <c r="A84" s="1119">
        <v>6.95</v>
      </c>
      <c r="B84" s="6">
        <v>2</v>
      </c>
      <c r="C84" s="627"/>
    </row>
    <row r="85" spans="1:4">
      <c r="A85" s="1119">
        <v>13.1</v>
      </c>
      <c r="B85" s="6">
        <v>2.5</v>
      </c>
      <c r="C85" s="627"/>
    </row>
    <row r="86" spans="1:4">
      <c r="A86" s="1119">
        <v>22.2</v>
      </c>
      <c r="B86" s="6">
        <v>3</v>
      </c>
      <c r="C86" s="627"/>
    </row>
    <row r="87" spans="1:4">
      <c r="A87" s="1119">
        <v>33</v>
      </c>
      <c r="B87" s="6">
        <v>4</v>
      </c>
      <c r="C87" s="627"/>
    </row>
    <row r="88" spans="1:4">
      <c r="A88" s="1119">
        <v>39.200000000000003</v>
      </c>
      <c r="B88" s="6">
        <v>6</v>
      </c>
      <c r="C88" s="627"/>
    </row>
    <row r="89" spans="1:4">
      <c r="A89" s="1119">
        <v>53.5</v>
      </c>
      <c r="B89" s="6">
        <v>8</v>
      </c>
      <c r="C89" s="627"/>
    </row>
    <row r="92" spans="1:4">
      <c r="A92" s="6" t="s">
        <v>4173</v>
      </c>
      <c r="B92" s="7" t="s">
        <v>4174</v>
      </c>
      <c r="C92" s="6">
        <v>50</v>
      </c>
      <c r="D92" s="6" t="s">
        <v>3330</v>
      </c>
    </row>
    <row r="95" spans="1:4">
      <c r="A95" s="6" t="s">
        <v>4175</v>
      </c>
      <c r="B95" s="7" t="s">
        <v>4176</v>
      </c>
      <c r="C95" s="6">
        <v>200</v>
      </c>
      <c r="D95" s="6" t="s">
        <v>2350</v>
      </c>
    </row>
    <row r="98" spans="1:5">
      <c r="A98" s="6" t="s">
        <v>4177</v>
      </c>
      <c r="B98" s="7" t="s">
        <v>4178</v>
      </c>
      <c r="C98" s="6">
        <v>113.32</v>
      </c>
      <c r="D98" s="6" t="s">
        <v>3330</v>
      </c>
    </row>
    <row r="101" spans="1:5">
      <c r="A101" s="6" t="s">
        <v>4179</v>
      </c>
      <c r="B101" s="7" t="s">
        <v>4180</v>
      </c>
      <c r="C101" s="6">
        <v>6148</v>
      </c>
      <c r="D101" s="6" t="s">
        <v>2350</v>
      </c>
    </row>
    <row r="104" spans="1:5">
      <c r="A104" s="6" t="s">
        <v>4181</v>
      </c>
      <c r="B104" s="7" t="s">
        <v>4182</v>
      </c>
      <c r="C104" s="6">
        <v>14</v>
      </c>
      <c r="D104" s="6" t="s">
        <v>127</v>
      </c>
    </row>
    <row r="107" spans="1:5">
      <c r="A107" s="6" t="s">
        <v>4183</v>
      </c>
      <c r="B107" s="7" t="s">
        <v>4184</v>
      </c>
      <c r="C107" s="6">
        <v>1.5</v>
      </c>
      <c r="D107" s="6" t="s">
        <v>127</v>
      </c>
    </row>
    <row r="110" spans="1:5">
      <c r="A110" s="88" t="s">
        <v>4185</v>
      </c>
      <c r="B110" s="538"/>
      <c r="C110" s="538"/>
      <c r="D110" s="538"/>
      <c r="E110" s="538"/>
    </row>
    <row r="111" spans="1:5">
      <c r="A111" s="6" t="s">
        <v>4186</v>
      </c>
      <c r="B111" s="6" t="s">
        <v>4118</v>
      </c>
      <c r="C111" s="6" t="s">
        <v>4187</v>
      </c>
      <c r="D111" s="6" t="s">
        <v>4188</v>
      </c>
      <c r="E111" s="6" t="s">
        <v>4189</v>
      </c>
    </row>
    <row r="112" spans="1:5">
      <c r="A112" s="1115">
        <v>0</v>
      </c>
      <c r="B112" s="6" t="s">
        <v>4159</v>
      </c>
      <c r="C112" s="1115">
        <v>0</v>
      </c>
      <c r="D112" s="1120">
        <v>2.5000000000000001E-2</v>
      </c>
      <c r="E112" s="1115">
        <v>0</v>
      </c>
    </row>
    <row r="113" spans="1:5">
      <c r="A113" s="1115">
        <v>100000</v>
      </c>
      <c r="B113" s="6" t="s">
        <v>4190</v>
      </c>
      <c r="C113" s="1115">
        <v>2500</v>
      </c>
      <c r="D113" s="1120">
        <v>1.4999999999999999E-2</v>
      </c>
      <c r="E113" s="1115">
        <v>100000</v>
      </c>
    </row>
    <row r="114" spans="1:5">
      <c r="A114" s="1115">
        <v>500000</v>
      </c>
      <c r="B114" s="6" t="s">
        <v>4191</v>
      </c>
      <c r="C114" s="1115">
        <v>8500</v>
      </c>
      <c r="D114" s="1120">
        <v>0.01</v>
      </c>
      <c r="E114" s="1115">
        <v>500000</v>
      </c>
    </row>
    <row r="115" spans="1:5">
      <c r="A115" s="1115">
        <v>2500000</v>
      </c>
      <c r="B115" s="6" t="s">
        <v>4192</v>
      </c>
      <c r="C115" s="1115">
        <v>28500</v>
      </c>
      <c r="D115" s="1120">
        <v>7.4999999999999997E-3</v>
      </c>
      <c r="E115" s="1115">
        <v>2500000</v>
      </c>
    </row>
    <row r="116" spans="1:5">
      <c r="A116" s="1115">
        <v>5000000</v>
      </c>
      <c r="B116" s="6" t="s">
        <v>4193</v>
      </c>
      <c r="C116" s="1115">
        <v>47250</v>
      </c>
      <c r="D116" s="1120">
        <v>7.0000000000000001E-3</v>
      </c>
      <c r="E116" s="1115">
        <v>5000000</v>
      </c>
    </row>
    <row r="117" spans="1:5">
      <c r="A117" s="1115">
        <v>7500000</v>
      </c>
      <c r="B117" s="6" t="s">
        <v>4194</v>
      </c>
      <c r="C117" s="1115">
        <v>64750</v>
      </c>
      <c r="D117" s="1120">
        <v>6.0000000000000001E-3</v>
      </c>
      <c r="E117" s="1115">
        <v>7500000</v>
      </c>
    </row>
    <row r="120" spans="1:5">
      <c r="A120" s="88" t="s">
        <v>4195</v>
      </c>
      <c r="B120" s="538"/>
      <c r="C120" s="538"/>
      <c r="D120" s="538"/>
      <c r="E120" s="538"/>
    </row>
    <row r="121" spans="1:5">
      <c r="A121" s="6" t="s">
        <v>4196</v>
      </c>
      <c r="B121" s="6" t="s">
        <v>575</v>
      </c>
      <c r="C121" s="538" t="s">
        <v>4197</v>
      </c>
    </row>
    <row r="122" spans="1:5">
      <c r="A122" s="6">
        <v>0</v>
      </c>
      <c r="B122" s="6">
        <v>0.5</v>
      </c>
      <c r="C122" s="6">
        <v>2</v>
      </c>
    </row>
    <row r="123" spans="1:5">
      <c r="A123" s="6">
        <v>2.1</v>
      </c>
      <c r="B123" s="6">
        <v>0.75</v>
      </c>
      <c r="C123" s="6">
        <v>4</v>
      </c>
    </row>
    <row r="124" spans="1:5">
      <c r="A124" s="6">
        <v>4.0999999999999996</v>
      </c>
      <c r="B124" s="6">
        <v>1</v>
      </c>
      <c r="C124" s="6">
        <v>7</v>
      </c>
    </row>
    <row r="125" spans="1:5">
      <c r="A125" s="6">
        <v>7.1</v>
      </c>
      <c r="B125" s="6">
        <v>1.5</v>
      </c>
      <c r="C125" s="6">
        <v>21</v>
      </c>
    </row>
    <row r="126" spans="1:5">
      <c r="A126" s="6">
        <v>21.1</v>
      </c>
      <c r="B126" s="6">
        <v>2</v>
      </c>
      <c r="C126" s="6">
        <v>41</v>
      </c>
    </row>
    <row r="127" spans="1:5">
      <c r="A127" s="6">
        <v>41.1</v>
      </c>
      <c r="B127" s="6">
        <v>2.5</v>
      </c>
      <c r="C127" s="6">
        <v>66</v>
      </c>
    </row>
    <row r="128" spans="1:5">
      <c r="A128" s="6">
        <v>66.099999999999994</v>
      </c>
      <c r="B128" s="6">
        <v>3</v>
      </c>
      <c r="C128" s="6">
        <v>116</v>
      </c>
    </row>
    <row r="129" spans="1:3">
      <c r="A129" s="6">
        <v>116.1</v>
      </c>
      <c r="B129" s="6">
        <v>4</v>
      </c>
      <c r="C129" s="6">
        <v>238</v>
      </c>
    </row>
    <row r="130" spans="1:3">
      <c r="A130" s="6">
        <v>238.1</v>
      </c>
      <c r="B130" s="6">
        <v>6</v>
      </c>
      <c r="C130" s="6">
        <v>697</v>
      </c>
    </row>
    <row r="131" spans="1:3">
      <c r="A131" s="6">
        <v>697.1</v>
      </c>
      <c r="B131" s="6">
        <v>8</v>
      </c>
      <c r="C131" s="6">
        <v>1435</v>
      </c>
    </row>
    <row r="132" spans="1:3">
      <c r="A132" s="6">
        <v>1435.1</v>
      </c>
      <c r="B132" s="6">
        <v>10</v>
      </c>
      <c r="C132" s="6">
        <v>2608</v>
      </c>
    </row>
    <row r="133" spans="1:3">
      <c r="A133" s="6">
        <v>2608.1</v>
      </c>
      <c r="B133" s="6">
        <v>12</v>
      </c>
      <c r="C133" s="6">
        <v>4132</v>
      </c>
    </row>
    <row r="134" spans="1:3">
      <c r="A134" s="6">
        <v>4132.1000000000004</v>
      </c>
      <c r="B134" s="6">
        <v>14</v>
      </c>
      <c r="C134" s="6">
        <v>5299</v>
      </c>
    </row>
    <row r="135" spans="1:3">
      <c r="A135" s="6">
        <v>5299.1</v>
      </c>
      <c r="B135" s="6">
        <v>16</v>
      </c>
      <c r="C135" s="6">
        <v>7528</v>
      </c>
    </row>
    <row r="136" spans="1:3">
      <c r="A136" s="6">
        <v>7528.1</v>
      </c>
      <c r="B136" s="6">
        <v>18</v>
      </c>
      <c r="C136" s="6">
        <v>10265</v>
      </c>
    </row>
    <row r="137" spans="1:3">
      <c r="A137" s="6">
        <v>10265.1</v>
      </c>
      <c r="B137" s="6">
        <v>20</v>
      </c>
      <c r="C137" s="6">
        <v>13643</v>
      </c>
    </row>
    <row r="138" spans="1:3">
      <c r="A138" s="6">
        <v>13643.1</v>
      </c>
      <c r="B138" s="6">
        <v>24</v>
      </c>
      <c r="C138" s="6">
        <v>22174</v>
      </c>
    </row>
    <row r="139" spans="1:3">
      <c r="A139" s="6">
        <v>22174.1</v>
      </c>
      <c r="B139" s="6">
        <v>30</v>
      </c>
      <c r="C139" s="6">
        <v>50561</v>
      </c>
    </row>
    <row r="140" spans="1:3">
      <c r="A140" s="6">
        <v>50561.1</v>
      </c>
      <c r="B140" s="6">
        <v>36</v>
      </c>
      <c r="C140" s="6">
        <v>81777</v>
      </c>
    </row>
    <row r="141" spans="1:3">
      <c r="A141" s="6">
        <v>81777.100000000006</v>
      </c>
      <c r="B141" s="6">
        <v>42</v>
      </c>
      <c r="C141" s="6">
        <v>122025</v>
      </c>
    </row>
    <row r="142" spans="1:3">
      <c r="A142" s="6">
        <v>122025.1</v>
      </c>
      <c r="B142" s="6">
        <v>48</v>
      </c>
    </row>
    <row r="145" spans="1:15">
      <c r="A145" s="88" t="s">
        <v>4198</v>
      </c>
      <c r="O145" s="538"/>
    </row>
    <row r="146" spans="1:15">
      <c r="A146" s="6" t="s">
        <v>4199</v>
      </c>
      <c r="B146" s="6" t="s">
        <v>4200</v>
      </c>
      <c r="C146" s="6" t="s">
        <v>4201</v>
      </c>
      <c r="D146" s="6" t="s">
        <v>4202</v>
      </c>
      <c r="O146" s="538"/>
    </row>
    <row r="147" spans="1:15">
      <c r="A147" s="6">
        <v>0</v>
      </c>
      <c r="B147" s="6">
        <v>350</v>
      </c>
      <c r="C147" s="6">
        <v>2.5</v>
      </c>
      <c r="D147" s="6">
        <v>2.5</v>
      </c>
      <c r="O147" s="538"/>
    </row>
    <row r="148" spans="1:15">
      <c r="A148" s="6">
        <v>351</v>
      </c>
      <c r="B148" s="6">
        <v>1740</v>
      </c>
      <c r="C148" s="6">
        <v>3.75</v>
      </c>
      <c r="D148" s="6">
        <v>3.75</v>
      </c>
      <c r="O148" s="538"/>
    </row>
    <row r="149" spans="1:15">
      <c r="A149" s="6">
        <v>1741</v>
      </c>
      <c r="B149" s="6">
        <v>7000</v>
      </c>
      <c r="C149" s="6">
        <v>5</v>
      </c>
      <c r="D149" s="6">
        <v>5</v>
      </c>
      <c r="O149" s="538"/>
    </row>
    <row r="150" spans="1:15">
      <c r="A150" s="6">
        <v>7001</v>
      </c>
      <c r="B150" s="6">
        <v>35000</v>
      </c>
      <c r="C150" s="1121">
        <v>7.083333333333333</v>
      </c>
      <c r="D150" s="1121">
        <v>7.083333333333333</v>
      </c>
      <c r="O150" s="538"/>
    </row>
    <row r="153" spans="1:15">
      <c r="A153" s="88" t="s">
        <v>4203</v>
      </c>
      <c r="B153" s="538"/>
      <c r="C153" s="538"/>
      <c r="D153" s="538"/>
      <c r="E153" s="538"/>
    </row>
    <row r="154" spans="1:15" ht="14">
      <c r="A154" s="6" t="s">
        <v>4204</v>
      </c>
      <c r="B154" s="1122" t="s">
        <v>4205</v>
      </c>
      <c r="C154" s="387" t="s">
        <v>4206</v>
      </c>
    </row>
    <row r="155" spans="1:15">
      <c r="A155" s="1123" t="s">
        <v>4207</v>
      </c>
      <c r="B155" s="1123" t="s">
        <v>4208</v>
      </c>
      <c r="C155" s="1123" t="s">
        <v>4209</v>
      </c>
    </row>
    <row r="156" spans="1:15">
      <c r="A156" s="1124">
        <v>0</v>
      </c>
      <c r="B156" s="1125">
        <v>347.63563037472028</v>
      </c>
      <c r="C156" s="1124">
        <v>2</v>
      </c>
    </row>
    <row r="157" spans="1:15">
      <c r="A157" s="1124">
        <v>2.1</v>
      </c>
      <c r="B157" s="1125">
        <v>681.91181843044774</v>
      </c>
      <c r="C157" s="1124">
        <v>3</v>
      </c>
    </row>
    <row r="158" spans="1:15">
      <c r="A158" s="1124">
        <v>3.1</v>
      </c>
      <c r="B158" s="1125">
        <v>1260.0087440508869</v>
      </c>
      <c r="C158" s="1124">
        <v>4</v>
      </c>
    </row>
    <row r="159" spans="1:15">
      <c r="A159" s="1124">
        <v>4.0999999999999996</v>
      </c>
      <c r="B159" s="1125">
        <v>2835.0196741144964</v>
      </c>
      <c r="C159" s="1124">
        <v>6</v>
      </c>
    </row>
    <row r="160" spans="1:15">
      <c r="A160" s="1124">
        <v>6.1</v>
      </c>
      <c r="B160" s="1125">
        <v>4990.7439767005962</v>
      </c>
      <c r="C160" s="1124">
        <v>8</v>
      </c>
    </row>
    <row r="161" spans="1:5">
      <c r="A161" s="1124">
        <v>8.1</v>
      </c>
      <c r="B161" s="1125">
        <v>7813.4106239126322</v>
      </c>
      <c r="C161" s="1124">
        <v>10</v>
      </c>
    </row>
    <row r="162" spans="1:5">
      <c r="A162" s="1124">
        <v>10.1</v>
      </c>
      <c r="B162" s="1125">
        <v>11192.326806056015</v>
      </c>
      <c r="C162" s="1124">
        <v>12</v>
      </c>
    </row>
    <row r="163" spans="1:5">
      <c r="A163" s="1124">
        <v>12.1</v>
      </c>
      <c r="B163" s="1125">
        <v>15314.284822868764</v>
      </c>
      <c r="C163" s="1124">
        <v>14</v>
      </c>
    </row>
    <row r="164" spans="1:5">
      <c r="A164" s="1124">
        <v>14.1</v>
      </c>
      <c r="B164" s="1125">
        <v>20002.331197216343</v>
      </c>
      <c r="C164" s="1124">
        <v>16</v>
      </c>
    </row>
    <row r="165" spans="1:5">
      <c r="A165" s="1124">
        <v>16.100000000000001</v>
      </c>
      <c r="B165" s="1125">
        <v>25315.450421476933</v>
      </c>
      <c r="C165" s="1124">
        <v>18</v>
      </c>
    </row>
    <row r="166" spans="1:5">
      <c r="A166" s="1124">
        <v>18.100000000000001</v>
      </c>
      <c r="B166" s="1125">
        <v>31130.717767160371</v>
      </c>
      <c r="C166" s="1124">
        <v>20</v>
      </c>
    </row>
    <row r="167" spans="1:5">
      <c r="A167" s="1124">
        <v>20.100000000000001</v>
      </c>
      <c r="B167" s="1125">
        <v>45064.326572600447</v>
      </c>
      <c r="C167" s="1124">
        <v>24</v>
      </c>
    </row>
    <row r="168" spans="1:5">
      <c r="A168" s="1124">
        <v>24.1</v>
      </c>
      <c r="B168" s="1125">
        <v>61050.596681665913</v>
      </c>
      <c r="C168" s="1124">
        <v>28</v>
      </c>
    </row>
    <row r="169" spans="1:5">
      <c r="A169" s="1124">
        <v>28.1</v>
      </c>
      <c r="B169" s="1125">
        <v>70505.385478216151</v>
      </c>
      <c r="C169" s="1124">
        <v>30</v>
      </c>
    </row>
    <row r="170" spans="1:5">
      <c r="A170" s="1124">
        <v>30.1</v>
      </c>
      <c r="B170" s="1125">
        <v>124768.59941751491</v>
      </c>
      <c r="C170" s="1124">
        <v>40</v>
      </c>
    </row>
    <row r="171" spans="1:5">
      <c r="A171" s="1124">
        <v>40.1</v>
      </c>
      <c r="B171" s="1125">
        <v>137828.56340581886</v>
      </c>
      <c r="C171" s="1124">
        <v>42</v>
      </c>
    </row>
    <row r="172" spans="1:5">
      <c r="A172" s="1124">
        <v>42.1</v>
      </c>
      <c r="B172" s="1125">
        <v>180257.30629040179</v>
      </c>
      <c r="C172" s="1124">
        <v>48</v>
      </c>
    </row>
    <row r="175" spans="1:5">
      <c r="A175" s="88" t="s">
        <v>4210</v>
      </c>
      <c r="B175" s="538"/>
      <c r="C175" s="538"/>
      <c r="D175" s="538"/>
      <c r="E175" s="538"/>
    </row>
    <row r="176" spans="1:5">
      <c r="A176" s="1071" t="s">
        <v>4211</v>
      </c>
    </row>
    <row r="177" spans="1:3">
      <c r="A177" s="597" t="s">
        <v>4212</v>
      </c>
      <c r="B177" s="597" t="s">
        <v>4213</v>
      </c>
      <c r="C177" s="597" t="s">
        <v>4214</v>
      </c>
    </row>
    <row r="178" spans="1:3">
      <c r="A178" s="597" t="s">
        <v>127</v>
      </c>
      <c r="B178" s="597" t="s">
        <v>127</v>
      </c>
      <c r="C178" s="597" t="s">
        <v>127</v>
      </c>
    </row>
    <row r="179" spans="1:3">
      <c r="A179" s="6">
        <v>1.5</v>
      </c>
      <c r="B179" s="6">
        <v>3</v>
      </c>
      <c r="C179" s="6">
        <v>6</v>
      </c>
    </row>
    <row r="180" spans="1:3">
      <c r="A180" s="6">
        <v>2</v>
      </c>
      <c r="B180" s="6">
        <v>3.5</v>
      </c>
      <c r="C180" s="6">
        <v>7.5</v>
      </c>
    </row>
    <row r="181" spans="1:3">
      <c r="A181" s="6">
        <v>2.5</v>
      </c>
      <c r="B181" s="6">
        <v>4</v>
      </c>
      <c r="C181" s="6">
        <v>9</v>
      </c>
    </row>
    <row r="182" spans="1:3">
      <c r="A182" s="6">
        <v>3</v>
      </c>
      <c r="B182" s="6">
        <v>4</v>
      </c>
      <c r="C182" s="6">
        <v>10</v>
      </c>
    </row>
    <row r="183" spans="1:3">
      <c r="A183" s="6">
        <v>3.5</v>
      </c>
      <c r="B183" s="6">
        <v>4.5</v>
      </c>
      <c r="C183" s="6">
        <v>10</v>
      </c>
    </row>
    <row r="184" spans="1:3">
      <c r="A184" s="6">
        <v>4</v>
      </c>
      <c r="B184" s="6">
        <v>4.5</v>
      </c>
      <c r="C184" s="6">
        <v>12</v>
      </c>
    </row>
    <row r="185" spans="1:3">
      <c r="A185" s="6">
        <v>4.5</v>
      </c>
      <c r="B185" s="6">
        <v>4.5</v>
      </c>
      <c r="C185" s="6">
        <v>15</v>
      </c>
    </row>
    <row r="186" spans="1:3">
      <c r="A186" s="6">
        <v>5</v>
      </c>
      <c r="B186" s="6">
        <v>4.5</v>
      </c>
      <c r="C186" s="6">
        <v>15</v>
      </c>
    </row>
    <row r="187" spans="1:3">
      <c r="A187" s="6">
        <v>5.5</v>
      </c>
      <c r="B187" s="6">
        <v>4.5</v>
      </c>
      <c r="C187" s="6">
        <v>15</v>
      </c>
    </row>
    <row r="188" spans="1:3">
      <c r="A188" s="6">
        <v>6</v>
      </c>
      <c r="B188" s="6">
        <v>4.5</v>
      </c>
      <c r="C188" s="6">
        <v>18</v>
      </c>
    </row>
    <row r="189" spans="1:3">
      <c r="A189" s="6">
        <v>6.5</v>
      </c>
      <c r="B189" s="6">
        <v>5.5</v>
      </c>
      <c r="C189" s="6">
        <v>18</v>
      </c>
    </row>
    <row r="190" spans="1:3">
      <c r="A190" s="6">
        <v>7</v>
      </c>
      <c r="B190" s="6">
        <v>5.5</v>
      </c>
      <c r="C190" s="6">
        <v>18</v>
      </c>
    </row>
    <row r="191" spans="1:3">
      <c r="A191" s="6">
        <v>7.5</v>
      </c>
      <c r="B191" s="6">
        <v>6</v>
      </c>
      <c r="C191" s="6">
        <v>18</v>
      </c>
    </row>
    <row r="192" spans="1:3">
      <c r="A192" s="6">
        <v>8</v>
      </c>
      <c r="B192" s="6">
        <v>6</v>
      </c>
      <c r="C192" s="6">
        <v>20</v>
      </c>
    </row>
    <row r="193" spans="1:3">
      <c r="A193" s="6">
        <v>8.5</v>
      </c>
      <c r="B193" s="6">
        <v>6</v>
      </c>
      <c r="C193" s="6">
        <v>20</v>
      </c>
    </row>
    <row r="194" spans="1:3">
      <c r="A194" s="6">
        <v>9</v>
      </c>
      <c r="B194" s="6">
        <v>6</v>
      </c>
      <c r="C194" s="6">
        <v>20</v>
      </c>
    </row>
    <row r="195" spans="1:3">
      <c r="A195" s="6">
        <v>9.5</v>
      </c>
      <c r="B195" s="6">
        <v>6</v>
      </c>
      <c r="C195" s="6">
        <v>20</v>
      </c>
    </row>
    <row r="196" spans="1:3">
      <c r="A196" s="6">
        <v>10</v>
      </c>
      <c r="B196" s="6">
        <v>6</v>
      </c>
      <c r="C196" s="6">
        <v>24</v>
      </c>
    </row>
    <row r="197" spans="1:3">
      <c r="A197" s="6">
        <v>10.5</v>
      </c>
      <c r="B197" s="6">
        <v>6</v>
      </c>
      <c r="C197" s="6">
        <v>24</v>
      </c>
    </row>
    <row r="198" spans="1:3">
      <c r="A198" s="6">
        <v>11</v>
      </c>
      <c r="B198" s="6">
        <v>6</v>
      </c>
      <c r="C198" s="6">
        <v>24</v>
      </c>
    </row>
    <row r="199" spans="1:3">
      <c r="A199" s="6">
        <v>11.5</v>
      </c>
      <c r="B199" s="6">
        <v>6</v>
      </c>
      <c r="C199" s="6">
        <v>24</v>
      </c>
    </row>
    <row r="200" spans="1:3">
      <c r="A200" s="6">
        <v>12</v>
      </c>
      <c r="B200" s="6">
        <v>6</v>
      </c>
      <c r="C200" s="6">
        <v>24</v>
      </c>
    </row>
    <row r="201" spans="1:3">
      <c r="A201" s="6">
        <v>14</v>
      </c>
      <c r="B201" s="6">
        <v>6</v>
      </c>
      <c r="C201" s="6">
        <v>24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dimension ref="A1:C68"/>
  <sheetViews>
    <sheetView workbookViewId="0"/>
  </sheetViews>
  <sheetFormatPr baseColWidth="10" defaultColWidth="8.83203125" defaultRowHeight="13"/>
  <cols>
    <col min="1" max="1" width="27" customWidth="1"/>
    <col min="2" max="2" width="28.1640625" customWidth="1"/>
    <col min="3" max="3" width="17.5" customWidth="1"/>
    <col min="4" max="4" width="21.33203125" customWidth="1"/>
    <col min="5" max="5" width="13.5" bestFit="1" customWidth="1"/>
    <col min="6" max="6" width="14.5" customWidth="1"/>
  </cols>
  <sheetData>
    <row r="1" spans="1:3">
      <c r="A1" s="1" t="s">
        <v>3416</v>
      </c>
    </row>
    <row r="2" spans="1:3">
      <c r="A2" s="825" t="s">
        <v>3417</v>
      </c>
    </row>
    <row r="4" spans="1:3">
      <c r="A4" s="2" t="s">
        <v>1139</v>
      </c>
    </row>
    <row r="5" spans="1:3">
      <c r="A5" t="s">
        <v>1140</v>
      </c>
      <c r="B5" t="s">
        <v>575</v>
      </c>
    </row>
    <row r="6" spans="1:3">
      <c r="A6" s="1032">
        <v>0</v>
      </c>
      <c r="B6" s="1032">
        <v>1.5</v>
      </c>
      <c r="C6" s="10" t="s">
        <v>2726</v>
      </c>
    </row>
    <row r="7" spans="1:3">
      <c r="A7" s="1033">
        <f>6.95*GAC_density/7.48*60+1</f>
        <v>1673.4598930481282</v>
      </c>
      <c r="B7" s="1032">
        <v>2</v>
      </c>
      <c r="C7" s="45"/>
    </row>
    <row r="8" spans="1:3">
      <c r="A8" s="1033">
        <f>13.1*GAC_density/7.48*60+1</f>
        <v>3153.4064171122996</v>
      </c>
      <c r="B8" s="1032">
        <v>2.5</v>
      </c>
      <c r="C8" s="45"/>
    </row>
    <row r="9" spans="1:3">
      <c r="A9" s="1033">
        <f>22.2*GAC_density/7.48*60+1</f>
        <v>5343.2459893048126</v>
      </c>
      <c r="B9" s="1032">
        <v>3</v>
      </c>
      <c r="C9" s="45"/>
    </row>
    <row r="10" spans="1:3">
      <c r="A10" s="1033">
        <f>33*GAC_density/7.48*60+1</f>
        <v>7942.1764705882351</v>
      </c>
      <c r="B10" s="1032">
        <v>4</v>
      </c>
      <c r="C10" s="45"/>
    </row>
    <row r="11" spans="1:3">
      <c r="A11" s="1033">
        <f>39.2*GAC_density/7.48*60+1</f>
        <v>9434.1550802139045</v>
      </c>
      <c r="B11" s="1032">
        <v>6</v>
      </c>
      <c r="C11" s="45"/>
    </row>
    <row r="12" spans="1:3">
      <c r="A12" s="1033">
        <f>53.5*GAC_density/7.48*60+1</f>
        <v>12875.331550802139</v>
      </c>
      <c r="B12" s="1032">
        <v>8</v>
      </c>
      <c r="C12" s="45"/>
    </row>
    <row r="14" spans="1:3">
      <c r="A14" s="2" t="s">
        <v>584</v>
      </c>
    </row>
    <row r="15" spans="1:3">
      <c r="A15" s="3" t="s">
        <v>585</v>
      </c>
      <c r="B15" s="5"/>
    </row>
    <row r="16" spans="1:3">
      <c r="A16">
        <v>1</v>
      </c>
      <c r="B16" t="s">
        <v>1840</v>
      </c>
    </row>
    <row r="17" spans="1:2">
      <c r="A17">
        <v>2</v>
      </c>
      <c r="B17" t="s">
        <v>586</v>
      </c>
    </row>
    <row r="18" spans="1:2">
      <c r="A18" s="3" t="s">
        <v>3405</v>
      </c>
    </row>
    <row r="19" spans="1:2">
      <c r="A19" s="1032">
        <v>1</v>
      </c>
      <c r="B19" s="1032"/>
    </row>
    <row r="20" spans="1:2">
      <c r="A20" s="1032">
        <v>2</v>
      </c>
      <c r="B20" s="1032" t="s">
        <v>1493</v>
      </c>
    </row>
    <row r="21" spans="1:2">
      <c r="A21" s="1032">
        <v>3</v>
      </c>
      <c r="B21" s="1032" t="s">
        <v>3267</v>
      </c>
    </row>
    <row r="22" spans="1:2">
      <c r="A22" s="1032">
        <v>4</v>
      </c>
      <c r="B22" s="1032" t="s">
        <v>388</v>
      </c>
    </row>
    <row r="23" spans="1:2">
      <c r="A23" s="1032">
        <v>5</v>
      </c>
      <c r="B23" s="1032" t="s">
        <v>389</v>
      </c>
    </row>
    <row r="24" spans="1:2">
      <c r="A24" s="1032">
        <v>6</v>
      </c>
      <c r="B24" s="1034"/>
    </row>
    <row r="25" spans="1:2">
      <c r="A25" s="1032">
        <v>7</v>
      </c>
      <c r="B25" s="1034" t="s">
        <v>168</v>
      </c>
    </row>
    <row r="26" spans="1:2">
      <c r="A26" s="1032">
        <v>8</v>
      </c>
      <c r="B26" s="1034" t="s">
        <v>169</v>
      </c>
    </row>
    <row r="27" spans="1:2">
      <c r="A27" s="1032">
        <v>9</v>
      </c>
      <c r="B27" s="1034" t="s">
        <v>170</v>
      </c>
    </row>
    <row r="28" spans="1:2">
      <c r="A28" s="1032">
        <v>10</v>
      </c>
      <c r="B28" s="1034"/>
    </row>
    <row r="29" spans="1:2">
      <c r="A29" s="1032">
        <v>11</v>
      </c>
      <c r="B29" s="1034" t="s">
        <v>171</v>
      </c>
    </row>
    <row r="30" spans="1:2">
      <c r="A30" s="1032">
        <v>12</v>
      </c>
      <c r="B30" s="1034" t="s">
        <v>172</v>
      </c>
    </row>
    <row r="31" spans="1:2">
      <c r="A31" s="1032">
        <v>13</v>
      </c>
      <c r="B31" s="1034" t="s">
        <v>173</v>
      </c>
    </row>
    <row r="32" spans="1:2">
      <c r="A32" s="1032">
        <v>14</v>
      </c>
      <c r="B32" s="1034" t="s">
        <v>174</v>
      </c>
    </row>
    <row r="33" spans="1:2">
      <c r="A33" s="1032">
        <v>15</v>
      </c>
      <c r="B33" s="1034" t="s">
        <v>175</v>
      </c>
    </row>
    <row r="34" spans="1:2">
      <c r="A34" s="1032">
        <v>16</v>
      </c>
      <c r="B34" s="1034" t="s">
        <v>176</v>
      </c>
    </row>
    <row r="35" spans="1:2">
      <c r="A35" s="1032">
        <v>17</v>
      </c>
      <c r="B35" s="1032" t="s">
        <v>1874</v>
      </c>
    </row>
    <row r="36" spans="1:2">
      <c r="A36" s="1032">
        <v>18</v>
      </c>
      <c r="B36" s="1032" t="s">
        <v>587</v>
      </c>
    </row>
    <row r="37" spans="1:2">
      <c r="A37" s="3" t="s">
        <v>3354</v>
      </c>
    </row>
    <row r="38" spans="1:2">
      <c r="A38" s="1032" t="s">
        <v>1870</v>
      </c>
    </row>
    <row r="39" spans="1:2">
      <c r="A39" s="1032" t="s">
        <v>3355</v>
      </c>
    </row>
    <row r="40" spans="1:2">
      <c r="A40" s="1032"/>
    </row>
    <row r="41" spans="1:2">
      <c r="A41" s="3" t="s">
        <v>3356</v>
      </c>
    </row>
    <row r="42" spans="1:2">
      <c r="A42" s="1032" t="s">
        <v>1871</v>
      </c>
    </row>
    <row r="43" spans="1:2">
      <c r="A43" s="1032" t="s">
        <v>3357</v>
      </c>
    </row>
    <row r="44" spans="1:2">
      <c r="A44" s="1032"/>
    </row>
    <row r="45" spans="1:2">
      <c r="A45" s="3" t="s">
        <v>3358</v>
      </c>
    </row>
    <row r="46" spans="1:2">
      <c r="A46" s="1032" t="s">
        <v>2878</v>
      </c>
    </row>
    <row r="47" spans="1:2">
      <c r="A47" s="1032" t="s">
        <v>2880</v>
      </c>
    </row>
    <row r="48" spans="1:2">
      <c r="A48" s="1032" t="s">
        <v>2881</v>
      </c>
    </row>
    <row r="49" spans="1:1">
      <c r="A49" s="1032"/>
    </row>
    <row r="50" spans="1:1">
      <c r="A50" s="3" t="s">
        <v>3359</v>
      </c>
    </row>
    <row r="51" spans="1:1">
      <c r="A51" s="1032" t="s">
        <v>152</v>
      </c>
    </row>
    <row r="52" spans="1:1">
      <c r="A52" s="1032" t="s">
        <v>3360</v>
      </c>
    </row>
    <row r="53" spans="1:1">
      <c r="A53" s="1032" t="s">
        <v>2004</v>
      </c>
    </row>
    <row r="54" spans="1:1">
      <c r="A54" s="1032"/>
    </row>
    <row r="55" spans="1:1">
      <c r="A55" s="3" t="s">
        <v>3362</v>
      </c>
    </row>
    <row r="56" spans="1:1">
      <c r="A56" s="1032" t="s">
        <v>2257</v>
      </c>
    </row>
    <row r="57" spans="1:1">
      <c r="A57" s="1032"/>
    </row>
    <row r="58" spans="1:1">
      <c r="A58" s="3" t="s">
        <v>3361</v>
      </c>
    </row>
    <row r="59" spans="1:1">
      <c r="A59" s="1032" t="s">
        <v>1081</v>
      </c>
    </row>
    <row r="60" spans="1:1">
      <c r="A60" s="1032"/>
    </row>
    <row r="61" spans="1:1">
      <c r="A61" s="3" t="s">
        <v>3403</v>
      </c>
    </row>
    <row r="62" spans="1:1">
      <c r="A62" s="1032" t="str">
        <f>IF(res_s2_opt&gt;2,"","holding tank")</f>
        <v>holding tank</v>
      </c>
    </row>
    <row r="63" spans="1:1">
      <c r="A63" s="1032" t="str">
        <f>IF(res_s2_opt&gt;2,"","none")</f>
        <v>none</v>
      </c>
    </row>
    <row r="64" spans="1:1">
      <c r="A64" s="3" t="s">
        <v>3404</v>
      </c>
    </row>
    <row r="65" spans="1:1">
      <c r="A65" s="1032" t="str">
        <f>IF(OR(res_s1_opt=1,res_s2_opt&gt;2),"non-hazardous","")</f>
        <v/>
      </c>
    </row>
    <row r="66" spans="1:1">
      <c r="A66" s="1032" t="str">
        <f>IF(OR(res_s1_opt=1,res_s2_opt&gt;2),"hazardous","")</f>
        <v/>
      </c>
    </row>
    <row r="67" spans="1:1">
      <c r="A67" s="1035" t="b">
        <f>IF(OR(res_s1_opt=1,res_s2_opt&gt;2),"radioactive")</f>
        <v>0</v>
      </c>
    </row>
    <row r="68" spans="1:1">
      <c r="A68" s="1035" t="b">
        <f>IF(OR(res_s1_opt=1,res_s2_opt&gt;2),"radioactive hazardous")</f>
        <v>0</v>
      </c>
    </row>
  </sheetData>
  <phoneticPr fontId="0" type="noConversion"/>
  <pageMargins left="0.75" right="0.75" top="1" bottom="1" header="0.5" footer="0.5"/>
  <pageSetup orientation="portrait" horizontalDpi="200" verticalDpi="200"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1365</vt:i4>
      </vt:variant>
    </vt:vector>
  </HeadingPairs>
  <TitlesOfParts>
    <vt:vector size="1389" baseType="lpstr">
      <vt:lpstr>Title Page</vt:lpstr>
      <vt:lpstr>Index</vt:lpstr>
      <vt:lpstr>INPUT</vt:lpstr>
      <vt:lpstr>OUTPUT</vt:lpstr>
      <vt:lpstr>Critical Design Assumptions</vt:lpstr>
      <vt:lpstr>O&amp;M Assumptions</vt:lpstr>
      <vt:lpstr>Indirect Assumptions</vt:lpstr>
      <vt:lpstr>Retrofit</vt:lpstr>
      <vt:lpstr>Contactor Constraints</vt:lpstr>
      <vt:lpstr>Backwash and Regeneration</vt:lpstr>
      <vt:lpstr>Pumps Pipe Structure</vt:lpstr>
      <vt:lpstr>Instrumentation and Control</vt:lpstr>
      <vt:lpstr>Residuals Management</vt:lpstr>
      <vt:lpstr>O&amp;M</vt:lpstr>
      <vt:lpstr>HVAC</vt:lpstr>
      <vt:lpstr>Indirect</vt:lpstr>
      <vt:lpstr>Freundlich Reference</vt:lpstr>
      <vt:lpstr>Standard Inputs</vt:lpstr>
      <vt:lpstr>AutoSize</vt:lpstr>
      <vt:lpstr>Cost Equations</vt:lpstr>
      <vt:lpstr>Cost Coefficients</vt:lpstr>
      <vt:lpstr>Cost Data</vt:lpstr>
      <vt:lpstr>Engineering Data</vt:lpstr>
      <vt:lpstr>Lookup Tables</vt:lpstr>
      <vt:lpstr>add_2nd_building</vt:lpstr>
      <vt:lpstr>add_on</vt:lpstr>
      <vt:lpstr>add_on_valid</vt:lpstr>
      <vt:lpstr>add_pH_controls</vt:lpstr>
      <vt:lpstr>add_pH_controls_small</vt:lpstr>
      <vt:lpstr>add_ports</vt:lpstr>
      <vt:lpstr>add_res_pipe_length</vt:lpstr>
      <vt:lpstr>add_res_pipe_length_TCE</vt:lpstr>
      <vt:lpstr>add_turb</vt:lpstr>
      <vt:lpstr>add_turb_p</vt:lpstr>
      <vt:lpstr>add_turb_small</vt:lpstr>
      <vt:lpstr>add_turb_small_p</vt:lpstr>
      <vt:lpstr>addon_cost</vt:lpstr>
      <vt:lpstr>addon_I</vt:lpstr>
      <vt:lpstr>af_units</vt:lpstr>
      <vt:lpstr>air_changes_build1</vt:lpstr>
      <vt:lpstr>air_changes_build2</vt:lpstr>
      <vt:lpstr>Air_changes_chem_storage</vt:lpstr>
      <vt:lpstr>Air_changes_contactor</vt:lpstr>
      <vt:lpstr>Air_changes_office</vt:lpstr>
      <vt:lpstr>Air_changes_pump</vt:lpstr>
      <vt:lpstr>alarm_back</vt:lpstr>
      <vt:lpstr>alarm_cost_cl</vt:lpstr>
      <vt:lpstr>alarm_res</vt:lpstr>
      <vt:lpstr>analog_inputs</vt:lpstr>
      <vt:lpstr>analog_outputs</vt:lpstr>
      <vt:lpstr>Annualized_Cost</vt:lpstr>
      <vt:lpstr>architectural_table_cl</vt:lpstr>
      <vt:lpstr>average_flow</vt:lpstr>
      <vt:lpstr>average_flow_I</vt:lpstr>
      <vt:lpstr>average_flow_rate</vt:lpstr>
      <vt:lpstr>back_backfill_vol</vt:lpstr>
      <vt:lpstr>back_basin_depth</vt:lpstr>
      <vt:lpstr>back_basin_length</vt:lpstr>
      <vt:lpstr>back_basin_op_depth</vt:lpstr>
      <vt:lpstr>back_basin_vol</vt:lpstr>
      <vt:lpstr>back_basin_width</vt:lpstr>
      <vt:lpstr>back_basins</vt:lpstr>
      <vt:lpstr>back_basins_default</vt:lpstr>
      <vt:lpstr>back_chv_no_back</vt:lpstr>
      <vt:lpstr>back_chv_pump</vt:lpstr>
      <vt:lpstr>back_conc_vol</vt:lpstr>
      <vt:lpstr>back_excavation_vol</vt:lpstr>
      <vt:lpstr>back_freeboard</vt:lpstr>
      <vt:lpstr>back_hrs_yr</vt:lpstr>
      <vt:lpstr>back_interval</vt:lpstr>
      <vt:lpstr>back_interval_I</vt:lpstr>
      <vt:lpstr>back_meter_size</vt:lpstr>
      <vt:lpstr>back_multiplier</vt:lpstr>
      <vt:lpstr>back_pipe_diam</vt:lpstr>
      <vt:lpstr>back_pipe_flow</vt:lpstr>
      <vt:lpstr>back_pipe_length</vt:lpstr>
      <vt:lpstr>back_pump_cost_cl</vt:lpstr>
      <vt:lpstr>back_pump_energy</vt:lpstr>
      <vt:lpstr>back_pump_flow_total</vt:lpstr>
      <vt:lpstr>back_pump_head</vt:lpstr>
      <vt:lpstr>back_pump_hp</vt:lpstr>
      <vt:lpstr>back_pump_mtl</vt:lpstr>
      <vt:lpstr>back_pump_psi</vt:lpstr>
      <vt:lpstr>back_pump_rating</vt:lpstr>
      <vt:lpstr>back_railing</vt:lpstr>
      <vt:lpstr>back_ratio</vt:lpstr>
      <vt:lpstr>back_tank_fp</vt:lpstr>
      <vt:lpstr>back_tank_vol</vt:lpstr>
      <vt:lpstr>back_valve_size</vt:lpstr>
      <vt:lpstr>back_vol_ft</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basin_freeboard</vt:lpstr>
      <vt:lpstr>basin_length</vt:lpstr>
      <vt:lpstr>basin_op_depth</vt:lpstr>
      <vt:lpstr>basin_vol</vt:lpstr>
      <vt:lpstr>basin_width</vt:lpstr>
      <vt:lpstr>bearing_area</vt:lpstr>
      <vt:lpstr>bed_depth</vt:lpstr>
      <vt:lpstr>bed_expansion</vt:lpstr>
      <vt:lpstr>bed_life</vt:lpstr>
      <vt:lpstr>bedding_cost_cl</vt:lpstr>
      <vt:lpstr>bedding_depth</vt:lpstr>
      <vt:lpstr>bedding_pct</vt:lpstr>
      <vt:lpstr>bedding_vol</vt:lpstr>
      <vt:lpstr>bldg_hi_cost_cl</vt:lpstr>
      <vt:lpstr>bldg_hi_eq_1</vt:lpstr>
      <vt:lpstr>bldg_hi_eq_1_r</vt:lpstr>
      <vt:lpstr>bldg_hi_eq_2</vt:lpstr>
      <vt:lpstr>bldg_hi_eq_2_r</vt:lpstr>
      <vt:lpstr>bldg_lo_cost_cl</vt:lpstr>
      <vt:lpstr>bldg_lo_eq_1</vt:lpstr>
      <vt:lpstr>bldg_lo_eq_1_r</vt:lpstr>
      <vt:lpstr>bldg_lo_eq_2</vt:lpstr>
      <vt:lpstr>bldg_lo_eq_2_r</vt:lpstr>
      <vt:lpstr>bldg_maint_cost</vt:lpstr>
      <vt:lpstr>bldg_mid_cost_cl</vt:lpstr>
      <vt:lpstr>bldg_mid_eq_1</vt:lpstr>
      <vt:lpstr>bldg_mid_eq_1_r</vt:lpstr>
      <vt:lpstr>bldg_mid_eq_2</vt:lpstr>
      <vt:lpstr>bldg_mid_eq_2_r</vt:lpstr>
      <vt:lpstr>bldg_shed_cost_cl</vt:lpstr>
      <vt:lpstr>block_vol</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bp_pipe_length</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Building_height_g</vt:lpstr>
      <vt:lpstr>building_matl_rate_cl</vt:lpstr>
      <vt:lpstr>buried_res_pipe_length</vt:lpstr>
      <vt:lpstr>bypass_valve_size</vt:lpstr>
      <vt:lpstr>C_0</vt:lpstr>
      <vt:lpstr>C_b</vt:lpstr>
      <vt:lpstr>chem_break_table_cl</vt:lpstr>
      <vt:lpstr>chem_cost_cl</vt:lpstr>
      <vt:lpstr>ci_bfv_cost_cl</vt:lpstr>
      <vt:lpstr>ci_bfv_eq</vt:lpstr>
      <vt:lpstr>ci_bfv_eq_proc</vt:lpstr>
      <vt:lpstr>ci_chv_cost_cl</vt:lpstr>
      <vt:lpstr>ci_chv_eq_back</vt:lpstr>
      <vt:lpstr>ci_chv_eq_bp</vt:lpstr>
      <vt:lpstr>ci_chv_eq_in</vt:lpstr>
      <vt:lpstr>ci_chv_eq_polymer</vt:lpstr>
      <vt:lpstr>ci_chv_eq_res</vt:lpstr>
      <vt:lpstr>ci_man_eq_back</vt:lpstr>
      <vt:lpstr>ci_man_eq_bp</vt:lpstr>
      <vt:lpstr>ci_man_eq_polymer</vt:lpstr>
      <vt:lpstr>ci_man_eq_res</vt:lpstr>
      <vt:lpstr>ci_mov_cost_cl</vt:lpstr>
      <vt:lpstr>ci_mov_eq_back</vt:lpstr>
      <vt:lpstr>ci_mov_eq_bp</vt:lpstr>
      <vt:lpstr>ci_mov_eq_polymer</vt:lpstr>
      <vt:lpstr>ci_mov_eq_res</vt:lpstr>
      <vt:lpstr>ci_mov_eq_tank</vt:lpstr>
      <vt:lpstr>cimp_mix_eq_polymer</vt:lpstr>
      <vt:lpstr>City_Index</vt:lpstr>
      <vt:lpstr>Clerical_LOE</vt:lpstr>
      <vt:lpstr>Clerical_percent</vt:lpstr>
      <vt:lpstr>cm_cost</vt:lpstr>
      <vt:lpstr>cm_pump_rating_polymer</vt:lpstr>
      <vt:lpstr>cm_pumps_polymer</vt:lpstr>
      <vt:lpstr>cmix_hp_max</vt:lpstr>
      <vt:lpstr>cmix_hp_per</vt:lpstr>
      <vt:lpstr>cmount_mix_eq_polymer</vt:lpstr>
      <vt:lpstr>coag_density</vt:lpstr>
      <vt:lpstr>coag_dose</vt:lpstr>
      <vt:lpstr>coag_purchase</vt:lpstr>
      <vt:lpstr>coag_res</vt:lpstr>
      <vt:lpstr>coag_spf</vt:lpstr>
      <vt:lpstr>coag_store</vt:lpstr>
      <vt:lpstr>coag_TSSrem</vt:lpstr>
      <vt:lpstr>coag_type</vt:lpstr>
      <vt:lpstr>coag_yr</vt:lpstr>
      <vt:lpstr>Coeff_Kp</vt:lpstr>
      <vt:lpstr>comm_diam</vt:lpstr>
      <vt:lpstr>comm_height_length</vt:lpstr>
      <vt:lpstr>comm_load_rate</vt:lpstr>
      <vt:lpstr>comm_SA</vt:lpstr>
      <vt:lpstr>comm_vol</vt:lpstr>
      <vt:lpstr>comm_vol_gal</vt:lpstr>
      <vt:lpstr>comp_bed_depth</vt:lpstr>
      <vt:lpstr>comp_bed_depth_a</vt:lpstr>
      <vt:lpstr>comp_horiz_bed_depth</vt:lpstr>
      <vt:lpstr>comp_horiz_diam</vt:lpstr>
      <vt:lpstr>comp_horiz_expanded_bd</vt:lpstr>
      <vt:lpstr>comp_horiz_length</vt:lpstr>
      <vt:lpstr>comp_horiz_max_media</vt:lpstr>
      <vt:lpstr>comp_horiz_min_number</vt:lpstr>
      <vt:lpstr>comp_horiz_void_area</vt:lpstr>
      <vt:lpstr>comp_horiz_void_required</vt:lpstr>
      <vt:lpstr>comp_in_nlines</vt:lpstr>
      <vt:lpstr>comp_in_nlines_a</vt:lpstr>
      <vt:lpstr>comp_length_width_a</vt:lpstr>
      <vt:lpstr>comp_level_valid</vt:lpstr>
      <vt:lpstr>comp_long_bed_depth</vt:lpstr>
      <vt:lpstr>comp_long_diam</vt:lpstr>
      <vt:lpstr>comp_long_length</vt:lpstr>
      <vt:lpstr>comp_max_bed_depth</vt:lpstr>
      <vt:lpstr>comp_max_bed_depth_a</vt:lpstr>
      <vt:lpstr>comp_max_horiz_bed_depth</vt:lpstr>
      <vt:lpstr>comp_max_horiz_diam</vt:lpstr>
      <vt:lpstr>comp_max_horiz_length</vt:lpstr>
      <vt:lpstr>comp_max_horiz_sa</vt:lpstr>
      <vt:lpstr>comp_max_length</vt:lpstr>
      <vt:lpstr>comp_max_length_a</vt:lpstr>
      <vt:lpstr>comp_max_sa_a</vt:lpstr>
      <vt:lpstr>comp_max_sa_vessel</vt:lpstr>
      <vt:lpstr>comp_max_vert_bed_depth</vt:lpstr>
      <vt:lpstr>comp_max_vert_diam</vt:lpstr>
      <vt:lpstr>comp_max_vert_height</vt:lpstr>
      <vt:lpstr>comp_max_vol</vt:lpstr>
      <vt:lpstr>comp_max_vol_length</vt:lpstr>
      <vt:lpstr>comp_max_width</vt:lpstr>
      <vt:lpstr>comp_max_width_a</vt:lpstr>
      <vt:lpstr>comp_min_bed_depth_a</vt:lpstr>
      <vt:lpstr>comp_min_horiz_bed_depth</vt:lpstr>
      <vt:lpstr>comp_min_horiz_diam</vt:lpstr>
      <vt:lpstr>comp_min_horiz_length</vt:lpstr>
      <vt:lpstr>comp_min_length_a</vt:lpstr>
      <vt:lpstr>comp_min_sa_a</vt:lpstr>
      <vt:lpstr>comp_min_sa_vessel</vt:lpstr>
      <vt:lpstr>comp_min_vert_bed_depth</vt:lpstr>
      <vt:lpstr>comp_min_vert_diam</vt:lpstr>
      <vt:lpstr>comp_min_vert_height</vt:lpstr>
      <vt:lpstr>comp_min_width_a</vt:lpstr>
      <vt:lpstr>comp_nlines_extra_search</vt:lpstr>
      <vt:lpstr>comp_nlines_extra_search_a</vt:lpstr>
      <vt:lpstr>comp_out_success</vt:lpstr>
      <vt:lpstr>comp_out_success_a</vt:lpstr>
      <vt:lpstr>comp_pv_max_sizes</vt:lpstr>
      <vt:lpstr>comp_round_sa</vt:lpstr>
      <vt:lpstr>comp_round_sa_a</vt:lpstr>
      <vt:lpstr>comp_sa_max</vt:lpstr>
      <vt:lpstr>comp_sa_max_a</vt:lpstr>
      <vt:lpstr>comp_sa_min</vt:lpstr>
      <vt:lpstr>comp_sa_min_a</vt:lpstr>
      <vt:lpstr>comp_sa_required_horiz</vt:lpstr>
      <vt:lpstr>comp_sa_required_vert</vt:lpstr>
      <vt:lpstr>comp_sa_required_vert_a</vt:lpstr>
      <vt:lpstr>comp_tank_geom</vt:lpstr>
      <vt:lpstr>comp_target_bed_depth_horiz</vt:lpstr>
      <vt:lpstr>comp_target_bed_depth_vert</vt:lpstr>
      <vt:lpstr>comp_target_bed_depth_vert_a</vt:lpstr>
      <vt:lpstr>comp_vert_bed_depth</vt:lpstr>
      <vt:lpstr>comp_vert_diam</vt:lpstr>
      <vt:lpstr>comp_vert_height</vt:lpstr>
      <vt:lpstr>comp_vert_max_media</vt:lpstr>
      <vt:lpstr>comp_vert_max_media_a</vt:lpstr>
      <vt:lpstr>comp_vert_max_sa</vt:lpstr>
      <vt:lpstr>comp_vert_min_number</vt:lpstr>
      <vt:lpstr>comp_vert_min_number_a</vt:lpstr>
      <vt:lpstr>comp_vol_required</vt:lpstr>
      <vt:lpstr>comp_vol_required_a</vt:lpstr>
      <vt:lpstr>comp_vol_required_stg1</vt:lpstr>
      <vt:lpstr>complexity</vt:lpstr>
      <vt:lpstr>component_level</vt:lpstr>
      <vt:lpstr>component_level_I</vt:lpstr>
      <vt:lpstr>conc_basin_cost_cl</vt:lpstr>
      <vt:lpstr>conc_pad_cost_cl</vt:lpstr>
      <vt:lpstr>conc_thick</vt:lpstr>
      <vt:lpstr>concrete</vt:lpstr>
      <vt:lpstr>construction_mgt_table_cl</vt:lpstr>
      <vt:lpstr>cont_int_eq</vt:lpstr>
      <vt:lpstr>cont_top_cost_cl</vt:lpstr>
      <vt:lpstr>contact_mat_per_vessel</vt:lpstr>
      <vt:lpstr>contact_material</vt:lpstr>
      <vt:lpstr>contact_vendor</vt:lpstr>
      <vt:lpstr>contam_I</vt:lpstr>
      <vt:lpstr>contam_list</vt:lpstr>
      <vt:lpstr>contam_lookup</vt:lpstr>
      <vt:lpstr>contam_type</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cpvc_pipe_eq_in_out</vt:lpstr>
      <vt:lpstr>cpvc_pipe_eq_polymer</vt:lpstr>
      <vt:lpstr>cpvc_pipe_eq_proc</vt:lpstr>
      <vt:lpstr>cpvc_pipe_eq_res</vt:lpstr>
      <vt:lpstr>cs_pv_cost_cl</vt:lpstr>
      <vt:lpstr>cs_pv_eq</vt:lpstr>
      <vt:lpstr>csp_pv_cost_cl</vt:lpstr>
      <vt:lpstr>csp_pv_eq</vt:lpstr>
      <vt:lpstr>cstore_days</vt:lpstr>
      <vt:lpstr>cstore_fp</vt:lpstr>
      <vt:lpstr>cul_indir_add_table</vt:lpstr>
      <vt:lpstr>cul_indir_mult_table</vt:lpstr>
      <vt:lpstr>cul_om_table</vt:lpstr>
      <vt:lpstr>cul_overall_mult</vt:lpstr>
      <vt:lpstr>current_year_cl</vt:lpstr>
      <vt:lpstr>curve</vt:lpstr>
      <vt:lpstr>D</vt:lpstr>
      <vt:lpstr>deep_bore_need</vt:lpstr>
      <vt:lpstr>design_flow</vt:lpstr>
      <vt:lpstr>design_flow_I</vt:lpstr>
      <vt:lpstr>design_flow_rate</vt:lpstr>
      <vt:lpstr>design_type</vt:lpstr>
      <vt:lpstr>df_units</vt:lpstr>
      <vt:lpstr>di_pipe_cost_cl</vt:lpstr>
      <vt:lpstr>di_pipe_eq_in_out</vt:lpstr>
      <vt:lpstr>di_pipe_eq_proc</vt:lpstr>
      <vt:lpstr>diameter</vt:lpstr>
      <vt:lpstr>diesel_cost_cl</vt:lpstr>
      <vt:lpstr>diesel_eff</vt:lpstr>
      <vt:lpstr>diesel_heat_content</vt:lpstr>
      <vt:lpstr>diesel_non_eff</vt:lpstr>
      <vt:lpstr>dike_volume</vt:lpstr>
      <vt:lpstr>dike_xsection</vt:lpstr>
      <vt:lpstr>direct_cost</vt:lpstr>
      <vt:lpstr>direct_for_UL</vt:lpstr>
      <vt:lpstr>Discount_rate</vt:lpstr>
      <vt:lpstr>discrete_inputs</vt:lpstr>
      <vt:lpstr>discrete_outputs</vt:lpstr>
      <vt:lpstr>disp_freq</vt:lpstr>
      <vt:lpstr>disposal_fee</vt:lpstr>
      <vt:lpstr>disposal_miles</vt:lpstr>
      <vt:lpstr>disposal_shipments</vt:lpstr>
      <vt:lpstr>distance_above</vt:lpstr>
      <vt:lpstr>dotmatrix_printer_cost_cl</vt:lpstr>
      <vt:lpstr>dredging_freq</vt:lpstr>
      <vt:lpstr>EBCT</vt:lpstr>
      <vt:lpstr>EBCT_I</vt:lpstr>
      <vt:lpstr>EBCT_O</vt:lpstr>
      <vt:lpstr>EBCT_tank</vt:lpstr>
      <vt:lpstr>EBCT_type</vt:lpstr>
      <vt:lpstr>EBCT_type_I</vt:lpstr>
      <vt:lpstr>eductor_size</vt:lpstr>
      <vt:lpstr>eductor_size_table</vt:lpstr>
      <vt:lpstr>eductor_size_table_cl</vt:lpstr>
      <vt:lpstr>eductors</vt:lpstr>
      <vt:lpstr>EER</vt:lpstr>
      <vt:lpstr>effluent_TSS</vt:lpstr>
      <vt:lpstr>elec_encl</vt:lpstr>
      <vt:lpstr>elec_encl_cost_cl</vt:lpstr>
      <vt:lpstr>elect_pct</vt:lpstr>
      <vt:lpstr>eloss_bw_pumps</vt:lpstr>
      <vt:lpstr>eloss_pumps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fg_bwt_cost_cl</vt:lpstr>
      <vt:lpstr>fg_bwt_eq</vt:lpstr>
      <vt:lpstr>fg_cst_cost_cl</vt:lpstr>
      <vt:lpstr>fg_ht_eq</vt:lpstr>
      <vt:lpstr>fg_polymer_st_eq</vt:lpstr>
      <vt:lpstr>fg_pv_cost_cl</vt:lpstr>
      <vt:lpstr>fg_pv_eq</vt:lpstr>
      <vt:lpstr>filter_labor</vt:lpstr>
      <vt:lpstr>filter_materials</vt:lpstr>
      <vt:lpstr>final_num_tanks</vt:lpstr>
      <vt:lpstr>finance_pct</vt:lpstr>
      <vt:lpstr>finance_pct_small</vt:lpstr>
      <vt:lpstr>fire_buffer</vt:lpstr>
      <vt:lpstr>flow_per_vessel</vt:lpstr>
      <vt:lpstr>fm_in</vt:lpstr>
      <vt:lpstr>fm_in_addon</vt:lpstr>
      <vt:lpstr>fm_lkp_back</vt:lpstr>
      <vt:lpstr>fm_lkp_io</vt:lpstr>
      <vt:lpstr>fm_lkp_proc</vt:lpstr>
      <vt:lpstr>fm_lkp_res</vt:lpstr>
      <vt:lpstr>fm_proc</vt:lpstr>
      <vt:lpstr>fp_required</vt:lpstr>
      <vt:lpstr>free_board</vt:lpstr>
      <vt:lpstr>freeboard_horiz_void</vt:lpstr>
      <vt:lpstr>freund_1</vt:lpstr>
      <vt:lpstr>freund_2</vt:lpstr>
      <vt:lpstr>freund_type</vt:lpstr>
      <vt:lpstr>freund_type_I</vt:lpstr>
      <vt:lpstr>frost</vt:lpstr>
      <vt:lpstr>furnace_size</vt:lpstr>
      <vt:lpstr>GAC</vt:lpstr>
      <vt:lpstr>gac_cost_cl</vt:lpstr>
      <vt:lpstr>GAC_density</vt:lpstr>
      <vt:lpstr>GAC_each</vt:lpstr>
      <vt:lpstr>gac_eq</vt:lpstr>
      <vt:lpstr>GAC_makeup</vt:lpstr>
      <vt:lpstr>gac_slurry_cost_cl</vt:lpstr>
      <vt:lpstr>GAC_yr</vt:lpstr>
      <vt:lpstr>gas_cost_cl</vt:lpstr>
      <vt:lpstr>gas_eff</vt:lpstr>
      <vt:lpstr>gas_non_eff</vt:lpstr>
      <vt:lpstr>General_Oper_Labor</vt:lpstr>
      <vt:lpstr>geotech_cost</vt:lpstr>
      <vt:lpstr>grav_feed_cost_cl</vt:lpstr>
      <vt:lpstr>grav_feed_rate</vt:lpstr>
      <vt:lpstr>GSOutput</vt:lpstr>
      <vt:lpstr>h2oflush_backwash_rate</vt:lpstr>
      <vt:lpstr>haz_disposal_cost_cl</vt:lpstr>
      <vt:lpstr>haz_miles</vt:lpstr>
      <vt:lpstr>haz_regen_transp</vt:lpstr>
      <vt:lpstr>haz_trans_min_cost_cl</vt:lpstr>
      <vt:lpstr>haz_transportation_cost_cl</vt:lpstr>
      <vt:lpstr>hazrad_annual_fee_cl</vt:lpstr>
      <vt:lpstr>hazrad_disposal_cost_cl</vt:lpstr>
      <vt:lpstr>hazrad_miles</vt:lpstr>
      <vt:lpstr>hazrad_trans_min_cost_cl</vt:lpstr>
      <vt:lpstr>hazrad_transportation_cost_cl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hdpe_bwt_cost_cl</vt:lpstr>
      <vt:lpstr>hdpe_bwt_eq</vt:lpstr>
      <vt:lpstr>hdpe_ht_eq</vt:lpstr>
      <vt:lpstr>head_tank</vt:lpstr>
      <vt:lpstr>head_tank_small</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horiz_vol_available</vt:lpstr>
      <vt:lpstr>households</vt:lpstr>
      <vt:lpstr>hp_EER</vt:lpstr>
      <vt:lpstr>hp_max_cool_cl</vt:lpstr>
      <vt:lpstr>hp_max_heat_cl</vt:lpstr>
      <vt:lpstr>hp_ok_1</vt:lpstr>
      <vt:lpstr>hp_ok_2</vt:lpstr>
      <vt:lpstr>hrailing</vt:lpstr>
      <vt:lpstr>ht_diam</vt:lpstr>
      <vt:lpstr>ht_solids</vt:lpstr>
      <vt:lpstr>ht_solids_density</vt:lpstr>
      <vt:lpstr>htank_clean_pc</vt:lpstr>
      <vt:lpstr>htank_clean_pct</vt:lpstr>
      <vt:lpstr>htank_fp</vt:lpstr>
      <vt:lpstr>htank_TSSrem</vt:lpstr>
      <vt:lpstr>htank_vol</vt:lpstr>
      <vt:lpstr>htanks</vt:lpstr>
      <vt:lpstr>htransfer_time</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hvac_hp_eq_2</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in_chv</vt:lpstr>
      <vt:lpstr>in_chv_addon</vt:lpstr>
      <vt:lpstr>in_man</vt:lpstr>
      <vt:lpstr>in_man_addon</vt:lpstr>
      <vt:lpstr>in_meter_size</vt:lpstr>
      <vt:lpstr>in_out_pipe_diam</vt:lpstr>
      <vt:lpstr>in_out_pipe_flow</vt:lpstr>
      <vt:lpstr>in_out_pipe_length</vt:lpstr>
      <vt:lpstr>in_valve_size</vt:lpstr>
      <vt:lpstr>include_add_res_pipe_addon</vt:lpstr>
      <vt:lpstr>include_arch</vt:lpstr>
      <vt:lpstr>include_arch_small</vt:lpstr>
      <vt:lpstr>include_bond</vt:lpstr>
      <vt:lpstr>include_buildings</vt:lpstr>
      <vt:lpstr>include_cm</vt:lpstr>
      <vt:lpstr>include_cm_pre</vt:lpstr>
      <vt:lpstr>include_conting_high</vt:lpstr>
      <vt:lpstr>include_conting_low</vt:lpstr>
      <vt:lpstr>include_conting_medium</vt:lpstr>
      <vt:lpstr>include_geo_high</vt:lpstr>
      <vt:lpstr>include_geo_high_g</vt:lpstr>
      <vt:lpstr>include_geo_low</vt:lpstr>
      <vt:lpstr>include_geo_low_g</vt:lpstr>
      <vt:lpstr>include_geo_medium</vt:lpstr>
      <vt:lpstr>include_geo_medium_g</vt:lpstr>
      <vt:lpstr>include_land</vt:lpstr>
      <vt:lpstr>include_NEPA</vt:lpstr>
      <vt:lpstr>include_pad</vt:lpstr>
      <vt:lpstr>include_permits</vt:lpstr>
      <vt:lpstr>include_pilot</vt:lpstr>
      <vt:lpstr>include_pilot_addon</vt:lpstr>
      <vt:lpstr>include_sitework</vt:lpstr>
      <vt:lpstr>include_standby</vt:lpstr>
      <vt:lpstr>include_standby_addon</vt:lpstr>
      <vt:lpstr>include_standby_small</vt:lpstr>
      <vt:lpstr>include_yardpipe</vt:lpstr>
      <vt:lpstr>include_yardpipe_addon</vt:lpstr>
      <vt:lpstr>indirect_cost</vt:lpstr>
      <vt:lpstr>indirect_cost_add</vt:lpstr>
      <vt:lpstr>indirect_cost_mult</vt:lpstr>
      <vt:lpstr>influent_TSS</vt:lpstr>
      <vt:lpstr>inp_sel</vt:lpstr>
      <vt:lpstr>inp_used</vt:lpstr>
      <vt:lpstr>inp_used_minimal</vt:lpstr>
      <vt:lpstr>inp_used_usersel</vt:lpstr>
      <vt:lpstr>Input_Checks</vt:lpstr>
      <vt:lpstr>input_status</vt:lpstr>
      <vt:lpstr>input_vol_vess</vt:lpstr>
      <vt:lpstr>inst_pct</vt:lpstr>
      <vt:lpstr>Kss</vt:lpstr>
      <vt:lpstr>labor_table_cl</vt:lpstr>
      <vt:lpstr>land_cost</vt:lpstr>
      <vt:lpstr>land_cost_cl</vt:lpstr>
      <vt:lpstr>land_required</vt:lpstr>
      <vt:lpstr>laser_printer_cost_cl</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link_icc</vt:lpstr>
      <vt:lpstr>link_length</vt:lpstr>
      <vt:lpstr>link_load</vt:lpstr>
      <vt:lpstr>link_omc</vt:lpstr>
      <vt:lpstr>link_output</vt:lpstr>
      <vt:lpstr>link_tcc</vt:lpstr>
      <vt:lpstr>link_width</vt:lpstr>
      <vt:lpstr>load_max</vt:lpstr>
      <vt:lpstr>load_min</vt:lpstr>
      <vt:lpstr>low_sa</vt:lpstr>
      <vt:lpstr>M</vt:lpstr>
      <vt:lpstr>mag_fm_cost_cl</vt:lpstr>
      <vt:lpstr>mag_fm_eq_back</vt:lpstr>
      <vt:lpstr>mag_fm_eq_in</vt:lpstr>
      <vt:lpstr>mag_fm_eq_proc</vt:lpstr>
      <vt:lpstr>mag_fm_eq_res</vt:lpstr>
      <vt:lpstr>makeup_rate</vt:lpstr>
      <vt:lpstr>makeup_rate_off</vt:lpstr>
      <vt:lpstr>Manager_LOE</vt:lpstr>
      <vt:lpstr>Manager_percent</vt:lpstr>
      <vt:lpstr>manual</vt:lpstr>
      <vt:lpstr>manual_I</vt:lpstr>
      <vt:lpstr>Materials_pct</vt:lpstr>
      <vt:lpstr>max_back_tank_size</vt:lpstr>
      <vt:lpstr>max_bed_depth</vt:lpstr>
      <vt:lpstr>max_chem_tank_size</vt:lpstr>
      <vt:lpstr>max_cm_pump_size</vt:lpstr>
      <vt:lpstr>max_comm_height</vt:lpstr>
      <vt:lpstr>max_cool_cl</vt:lpstr>
      <vt:lpstr>max_depth</vt:lpstr>
      <vt:lpstr>max_diam</vt:lpstr>
      <vt:lpstr>max_diam_override</vt:lpstr>
      <vt:lpstr>max_diam_std_size</vt:lpstr>
      <vt:lpstr>max_eductor_size</vt:lpstr>
      <vt:lpstr>max_ep_cell_area</vt:lpstr>
      <vt:lpstr>max_excav_depth</vt:lpstr>
      <vt:lpstr>max_furnace_size</vt:lpstr>
      <vt:lpstr>max_heat_cl</vt:lpstr>
      <vt:lpstr>max_height</vt:lpstr>
      <vt:lpstr>max_htank_size</vt:lpstr>
      <vt:lpstr>max_length</vt:lpstr>
      <vt:lpstr>max_length_g</vt:lpstr>
      <vt:lpstr>max_pump_size</vt:lpstr>
      <vt:lpstr>max_sa</vt:lpstr>
      <vt:lpstr>max_sept_tank_vol</vt:lpstr>
      <vt:lpstr>max_space_vessels</vt:lpstr>
      <vt:lpstr>max_space_vessels_cust</vt:lpstr>
      <vt:lpstr>max_space_vessels_pre</vt:lpstr>
      <vt:lpstr>max_vessel_diam_cl</vt:lpstr>
      <vt:lpstr>max_waste_ship</vt:lpstr>
      <vt:lpstr>max_width</vt:lpstr>
      <vt:lpstr>media_changes</vt:lpstr>
      <vt:lpstr>media_changes_cf</vt:lpstr>
      <vt:lpstr>media_volume</vt:lpstr>
      <vt:lpstr>media_volume_expanded</vt:lpstr>
      <vt:lpstr>metal_cost_cl</vt:lpstr>
      <vt:lpstr>min_avg_flow</vt:lpstr>
      <vt:lpstr>min_basin_vol</vt:lpstr>
      <vt:lpstr>min_bed_depth</vt:lpstr>
      <vt:lpstr>min_comm_height</vt:lpstr>
      <vt:lpstr>min_depth</vt:lpstr>
      <vt:lpstr>min_diam</vt:lpstr>
      <vt:lpstr>min_ep_cells</vt:lpstr>
      <vt:lpstr>min_holes</vt:lpstr>
      <vt:lpstr>min_length_g</vt:lpstr>
      <vt:lpstr>min_res_pipe_size</vt:lpstr>
      <vt:lpstr>min_sept_disch_time</vt:lpstr>
      <vt:lpstr>min_sept_tank_vol</vt:lpstr>
      <vt:lpstr>min_standby</vt:lpstr>
      <vt:lpstr>min_trench_depth</vt:lpstr>
      <vt:lpstr>min_vessel_diam_cl</vt:lpstr>
      <vt:lpstr>min_width</vt:lpstr>
      <vt:lpstr>misc_pct</vt:lpstr>
      <vt:lpstr>Missing_Cost</vt:lpstr>
      <vt:lpstr>mob_pct_large</vt:lpstr>
      <vt:lpstr>mob_pct_medium</vt:lpstr>
      <vt:lpstr>mob_pct_pre</vt:lpstr>
      <vt:lpstr>mob_pct_small</vt:lpstr>
      <vt:lpstr>mount_mix_cost_cl</vt:lpstr>
      <vt:lpstr>N_0_e</vt:lpstr>
      <vt:lpstr>need_cool</vt:lpstr>
      <vt:lpstr>need_heat</vt:lpstr>
      <vt:lpstr>NEPA_cost_cl</vt:lpstr>
      <vt:lpstr>next_loc_marker</vt:lpstr>
      <vt:lpstr>no_back_tank</vt:lpstr>
      <vt:lpstr>no_back_tank_I</vt:lpstr>
      <vt:lpstr>no_backwash</vt:lpstr>
      <vt:lpstr>no_backwash_I</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NRD_cm_pump</vt:lpstr>
      <vt:lpstr>NRD_eductors</vt:lpstr>
      <vt:lpstr>NRD_g</vt:lpstr>
      <vt:lpstr>NRD_I</vt:lpstr>
      <vt:lpstr>NRD_pumps</vt:lpstr>
      <vt:lpstr>NRD_res_pump</vt:lpstr>
      <vt:lpstr>NRD_small</vt:lpstr>
      <vt:lpstr>NRD_small_1</vt:lpstr>
      <vt:lpstr>num_back_tanks</vt:lpstr>
      <vt:lpstr>num_furnaces</vt:lpstr>
      <vt:lpstr>num_holes</vt:lpstr>
      <vt:lpstr>num_pits</vt:lpstr>
      <vt:lpstr>num_sept_tanks</vt:lpstr>
      <vt:lpstr>Num_tanks</vt:lpstr>
      <vt:lpstr>Num_tanks_I</vt:lpstr>
      <vt:lpstr>num_treat_lines</vt:lpstr>
      <vt:lpstr>off_regen_cost_cl</vt:lpstr>
      <vt:lpstr>off_regen_eq</vt:lpstr>
      <vt:lpstr>office_fp</vt:lpstr>
      <vt:lpstr>OM_cost</vt:lpstr>
      <vt:lpstr>on_regen_cost_cl</vt:lpstr>
      <vt:lpstr>on_regen_eq</vt:lpstr>
      <vt:lpstr>Onsite_regeneration_fp</vt:lpstr>
      <vt:lpstr>op_fm_cost_cl</vt:lpstr>
      <vt:lpstr>op_fm_eq_back</vt:lpstr>
      <vt:lpstr>op_fm_eq_in</vt:lpstr>
      <vt:lpstr>op_fm_eq_proc</vt:lpstr>
      <vt:lpstr>op_fm_eq_res</vt:lpstr>
      <vt:lpstr>op_interface_software_cost_cl</vt:lpstr>
      <vt:lpstr>op_num_basins</vt:lpstr>
      <vt:lpstr>op_num_tanks</vt:lpstr>
      <vt:lpstr>Operator_LOE</vt:lpstr>
      <vt:lpstr>output_db</vt:lpstr>
      <vt:lpstr>output_page</vt:lpstr>
      <vt:lpstr>overexcavate</vt:lpstr>
      <vt:lpstr>pad_thick</vt:lpstr>
      <vt:lpstr>pad_thick_small</vt:lpstr>
      <vt:lpstr>pan_evap</vt:lpstr>
      <vt:lpstr>pc_workstation_cost_cl</vt:lpstr>
      <vt:lpstr>performance_bond_table_cl</vt:lpstr>
      <vt:lpstr>permit_cost</vt:lpstr>
      <vt:lpstr>pH_controls</vt:lpstr>
      <vt:lpstr>pH_controls_g</vt:lpstr>
      <vt:lpstr>pH_controls_small_g</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pl_cst_cost_cl</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plc_cpu_addon</vt:lpstr>
      <vt:lpstr>plc_cpu_cost_cl</vt:lpstr>
      <vt:lpstr>plc_cpu_standalone</vt:lpstr>
      <vt:lpstr>plc_data_software_cost_cl</vt:lpstr>
      <vt:lpstr>plc_discrete_input</vt:lpstr>
      <vt:lpstr>plc_discrete_input_cost_cl</vt:lpstr>
      <vt:lpstr>plc_discrete_output</vt:lpstr>
      <vt:lpstr>plc_discrete_output_cost_cl</vt:lpstr>
      <vt:lpstr>plc_ethernet</vt:lpstr>
      <vt:lpstr>plc_ethernet_addon</vt:lpstr>
      <vt:lpstr>plc_ethernet_cost_cl</vt:lpstr>
      <vt:lpstr>plc_ethernet_standalone</vt:lpstr>
      <vt:lpstr>plc_expansions</vt:lpstr>
      <vt:lpstr>plc_interface</vt:lpstr>
      <vt:lpstr>plc_interface_addon</vt:lpstr>
      <vt:lpstr>plc_interface_standalone</vt:lpstr>
      <vt:lpstr>plc_op_interface_cost_cl</vt:lpstr>
      <vt:lpstr>plc_rack</vt:lpstr>
      <vt:lpstr>plc_rack_addon</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pp_chv_eq_back</vt:lpstr>
      <vt:lpstr>pp_chv_eq_bp</vt:lpstr>
      <vt:lpstr>pp_chv_eq_in</vt:lpstr>
      <vt:lpstr>pp_chv_eq_polymer</vt:lpstr>
      <vt:lpstr>pp_chv_eq_res</vt:lpstr>
      <vt:lpstr>pp_man_cost_cl</vt:lpstr>
      <vt:lpstr>pp_man_eq</vt:lpstr>
      <vt:lpstr>pp_man_eq_back</vt:lpstr>
      <vt:lpstr>pp_man_eq_bp</vt:lpstr>
      <vt:lpstr>pp_man_eq_polymer</vt:lpstr>
      <vt:lpstr>pp_man_eq_proc</vt:lpstr>
      <vt:lpstr>pp_man_eq_res</vt:lpstr>
      <vt:lpstr>pp_mov_cost_cl</vt:lpstr>
      <vt:lpstr>pp_mov_eq_back</vt:lpstr>
      <vt:lpstr>pp_mov_eq_bp</vt:lpstr>
      <vt:lpstr>pp_mov_eq_polymer</vt:lpstr>
      <vt:lpstr>pp_mov_eq_res</vt:lpstr>
      <vt:lpstr>pp_mov_eq_tank</vt:lpstr>
      <vt:lpstr>precip</vt:lpstr>
      <vt:lpstr>'Critical Design Assumptions'!Print_Area</vt:lpstr>
      <vt:lpstr>OUTPUT!Print_Area</vt:lpstr>
      <vt:lpstr>printer_addon</vt:lpstr>
      <vt:lpstr>printer_ratio</vt:lpstr>
      <vt:lpstr>printers</vt:lpstr>
      <vt:lpstr>proc_man_vessel</vt:lpstr>
      <vt:lpstr>proc_man_vessel_cont</vt:lpstr>
      <vt:lpstr>proc_meter_size</vt:lpstr>
      <vt:lpstr>proc_MOV_vessel</vt:lpstr>
      <vt:lpstr>proc_pipe_diam</vt:lpstr>
      <vt:lpstr>proc_pipe_flow</vt:lpstr>
      <vt:lpstr>proc_pipe_length</vt:lpstr>
      <vt:lpstr>process_cost</vt:lpstr>
      <vt:lpstr>prop_fm_cost_cl</vt:lpstr>
      <vt:lpstr>prop_fm_eq_back</vt:lpstr>
      <vt:lpstr>prop_fm_eq_in</vt:lpstr>
      <vt:lpstr>prop_fm_eq_proc</vt:lpstr>
      <vt:lpstr>prop_fm_eq_res</vt:lpstr>
      <vt:lpstr>pump_cost_cl</vt:lpstr>
      <vt:lpstr>pump_dim_table_cl</vt:lpstr>
      <vt:lpstr>pump_efficiency</vt:lpstr>
      <vt:lpstr>pump_energy</vt:lpstr>
      <vt:lpstr>pump_eq</vt:lpstr>
      <vt:lpstr>pump_eq_back</vt:lpstr>
      <vt:lpstr>pump_fp</vt:lpstr>
      <vt:lpstr>pump_head</vt:lpstr>
      <vt:lpstr>pump_hp</vt:lpstr>
      <vt:lpstr>pump_mtl</vt:lpstr>
      <vt:lpstr>pump_rating</vt:lpstr>
      <vt:lpstr>pump_safety_factor</vt:lpstr>
      <vt:lpstr>pvc_empump_cost_cl</vt:lpstr>
      <vt:lpstr>pvc_mmpump_cost_cl</vt:lpstr>
      <vt:lpstr>pvc_pipe_cost_cl</vt:lpstr>
      <vt:lpstr>pvc_pipe_eq_back</vt:lpstr>
      <vt:lpstr>pvc_pipe_eq_bp</vt:lpstr>
      <vt:lpstr>pvc_pipe_eq_in_out</vt:lpstr>
      <vt:lpstr>pvc_pipe_eq_polymer</vt:lpstr>
      <vt:lpstr>pvc_pipe_eq_proc</vt:lpstr>
      <vt:lpstr>pvc_pipe_eq_res</vt:lpstr>
      <vt:lpstr>pvc_polymer_empump_eq</vt:lpstr>
      <vt:lpstr>pvc_polymer_mmpump_eq</vt:lpstr>
      <vt:lpstr>QL</vt:lpstr>
      <vt:lpstr>r_air_changes_build1</vt:lpstr>
      <vt:lpstr>r_air_changes_build2</vt:lpstr>
      <vt:lpstr>r_bed_life</vt:lpstr>
      <vt:lpstr>r_bldg_maint_cost</vt:lpstr>
      <vt:lpstr>r_build1_fp</vt:lpstr>
      <vt:lpstr>r_build2_fp</vt:lpstr>
      <vt:lpstr>r_C_0</vt:lpstr>
      <vt:lpstr>r_C_b</vt:lpstr>
      <vt:lpstr>R_ceiling</vt:lpstr>
      <vt:lpstr>r_concrete</vt:lpstr>
      <vt:lpstr>r_disp_freq</vt:lpstr>
      <vt:lpstr>r_disposal_fee</vt:lpstr>
      <vt:lpstr>r_freund_1</vt:lpstr>
      <vt:lpstr>r_freund_2</vt:lpstr>
      <vt:lpstr>r_freund_type</vt:lpstr>
      <vt:lpstr>r_freund_type_I</vt:lpstr>
      <vt:lpstr>r_furnace_lighting</vt:lpstr>
      <vt:lpstr>r_GAC_makeup</vt:lpstr>
      <vt:lpstr>r_GAC_yr</vt:lpstr>
      <vt:lpstr>r_haz_regen_transp</vt:lpstr>
      <vt:lpstr>r_inc_build1_fp</vt:lpstr>
      <vt:lpstr>r_inc_build2_fp</vt:lpstr>
      <vt:lpstr>r_inc_fp_required</vt:lpstr>
      <vt:lpstr>r_inc_Operator_LOE</vt:lpstr>
      <vt:lpstr>r_inc_regen_capacity</vt:lpstr>
      <vt:lpstr>r_inc_std_power</vt:lpstr>
      <vt:lpstr>r_inc_total_fp</vt:lpstr>
      <vt:lpstr>r_land_required</vt:lpstr>
      <vt:lpstr>r_lighting</vt:lpstr>
      <vt:lpstr>r_media_changes</vt:lpstr>
      <vt:lpstr>r_media_changes_cf</vt:lpstr>
      <vt:lpstr>r_N_0_e</vt:lpstr>
      <vt:lpstr>r_new_furnace</vt:lpstr>
      <vt:lpstr>r_off_regen_eq</vt:lpstr>
      <vt:lpstr>r_on_regen_eq</vt:lpstr>
      <vt:lpstr>r_onsite_regeneration_fp</vt:lpstr>
      <vt:lpstr>r_permit_cost</vt:lpstr>
      <vt:lpstr>r_regen_capacity</vt:lpstr>
      <vt:lpstr>r_regen_day</vt:lpstr>
      <vt:lpstr>r_regen_energy</vt:lpstr>
      <vt:lpstr>r_regen_labor</vt:lpstr>
      <vt:lpstr>r_regen_materials</vt:lpstr>
      <vt:lpstr>r_regen_ng</vt:lpstr>
      <vt:lpstr>r_regen_yr</vt:lpstr>
      <vt:lpstr>r_replace_gac_eq</vt:lpstr>
      <vt:lpstr>r_sitework_cost</vt:lpstr>
      <vt:lpstr>r_spent_media_yr</vt:lpstr>
      <vt:lpstr>r_std_lighting</vt:lpstr>
      <vt:lpstr>r_std_power</vt:lpstr>
      <vt:lpstr>r_std_power_cost</vt:lpstr>
      <vt:lpstr>r_std_vent</vt:lpstr>
      <vt:lpstr>r_total_fp</vt:lpstr>
      <vt:lpstr>r_ventilation</vt:lpstr>
      <vt:lpstr>R_wall</vt:lpstr>
      <vt:lpstr>rad_annual_fee_cl</vt:lpstr>
      <vt:lpstr>rad_disposal_cost_cl</vt:lpstr>
      <vt:lpstr>rad_miles</vt:lpstr>
      <vt:lpstr>rad_trans_min_cost_cl</vt:lpstr>
      <vt:lpstr>rad_transportation_cost_cl</vt:lpstr>
      <vt:lpstr>railing</vt:lpstr>
      <vt:lpstr>Reduction</vt:lpstr>
      <vt:lpstr>redund_freq</vt:lpstr>
      <vt:lpstr>regen_backfill_vol</vt:lpstr>
      <vt:lpstr>regen_basin_depth</vt:lpstr>
      <vt:lpstr>regen_basin_length</vt:lpstr>
      <vt:lpstr>regen_basin_op_depth</vt:lpstr>
      <vt:lpstr>regen_basin_vol</vt:lpstr>
      <vt:lpstr>regen_basin_width</vt:lpstr>
      <vt:lpstr>regen_capacity</vt:lpstr>
      <vt:lpstr>regen_conc_vol</vt:lpstr>
      <vt:lpstr>regen_day</vt:lpstr>
      <vt:lpstr>regen_energy</vt:lpstr>
      <vt:lpstr>regen_excavation_vol</vt:lpstr>
      <vt:lpstr>regen_labor</vt:lpstr>
      <vt:lpstr>regen_materials</vt:lpstr>
      <vt:lpstr>regen_ng</vt:lpstr>
      <vt:lpstr>regen_railing</vt:lpstr>
      <vt:lpstr>regen_redund</vt:lpstr>
      <vt:lpstr>regen_runtime</vt:lpstr>
      <vt:lpstr>regen_storage</vt:lpstr>
      <vt:lpstr>regen_storage_bv</vt:lpstr>
      <vt:lpstr>regen_tank_vol</vt:lpstr>
      <vt:lpstr>regen_tanks</vt:lpstr>
      <vt:lpstr>regen_type</vt:lpstr>
      <vt:lpstr>regen_type_I</vt:lpstr>
      <vt:lpstr>regen_yr</vt:lpstr>
      <vt:lpstr>Regenerated_GAC_storage_fp</vt:lpstr>
      <vt:lpstr>replace_gac_eq</vt:lpstr>
      <vt:lpstr>res_bearing_area</vt:lpstr>
      <vt:lpstr>res_block_vol</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res_MOV_pump</vt:lpstr>
      <vt:lpstr>res_MOV_tank</vt:lpstr>
      <vt:lpstr>res_pipe_bedding_vol</vt:lpstr>
      <vt:lpstr>res_pipe_diam</vt:lpstr>
      <vt:lpstr>res_pipe_length</vt:lpstr>
      <vt:lpstr>res_pump_addon</vt:lpstr>
      <vt:lpstr>res_pump_energy</vt:lpstr>
      <vt:lpstr>res_pump_eq</vt:lpstr>
      <vt:lpstr>res_pump_mtl</vt:lpstr>
      <vt:lpstr>res_pump_psi</vt:lpstr>
      <vt:lpstr>res_pump_rating</vt:lpstr>
      <vt:lpstr>res_pumps</vt:lpstr>
      <vt:lpstr>res_s1_opt</vt:lpstr>
      <vt:lpstr>res_s1_opt_I</vt:lpstr>
      <vt:lpstr>res_s1_valid</vt:lpstr>
      <vt:lpstr>res_s2_opt</vt:lpstr>
      <vt:lpstr>res_s2_opt_I</vt:lpstr>
      <vt:lpstr>res_seductor_eq</vt:lpstr>
      <vt:lpstr>res_slurry_eq</vt:lpstr>
      <vt:lpstr>res_slurry_pumps</vt:lpstr>
      <vt:lpstr>res_sol_validation</vt:lpstr>
      <vt:lpstr>res_solids</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resist_eff</vt:lpstr>
      <vt:lpstr>retrofit</vt:lpstr>
      <vt:lpstr>retrofit_I</vt:lpstr>
      <vt:lpstr>retrofit_valid</vt:lpstr>
      <vt:lpstr>risers</vt:lpstr>
      <vt:lpstr>rt_diam</vt:lpstr>
      <vt:lpstr>S_back_pump</vt:lpstr>
      <vt:lpstr>S_booster_pump</vt:lpstr>
      <vt:lpstr>S_eductor</vt:lpstr>
      <vt:lpstr>S_feeder</vt:lpstr>
      <vt:lpstr>S_mixer</vt:lpstr>
      <vt:lpstr>S_res_pump</vt:lpstr>
      <vt:lpstr>S_slurry</vt:lpstr>
      <vt:lpstr>SA</vt:lpstr>
      <vt:lpstr>seductor_cost_cl</vt:lpstr>
      <vt:lpstr>seductor_eq</vt:lpstr>
      <vt:lpstr>sept_buffer</vt:lpstr>
      <vt:lpstr>sept_design_flow</vt:lpstr>
      <vt:lpstr>sept_dist_boxes</vt:lpstr>
      <vt:lpstr>sept_dist_connections</vt:lpstr>
      <vt:lpstr>sept_distbox_cost_cl</vt:lpstr>
      <vt:lpstr>sept_distpipe_cost_cl</vt:lpstr>
      <vt:lpstr>sept_fp</vt:lpstr>
      <vt:lpstr>sept_gravel_cost_cl</vt:lpstr>
      <vt:lpstr>sept_gravel_d</vt:lpstr>
      <vt:lpstr>sept_gravel_d_below</vt:lpstr>
      <vt:lpstr>sept_gravel_vol</vt:lpstr>
      <vt:lpstr>sept_infil_area</vt:lpstr>
      <vt:lpstr>sept_LTAR</vt:lpstr>
      <vt:lpstr>sept_max_trench_l</vt:lpstr>
      <vt:lpstr>sept_min_trenches</vt:lpstr>
      <vt:lpstr>sept_overexcav</vt:lpstr>
      <vt:lpstr>sept_pipe_diam</vt:lpstr>
      <vt:lpstr>sept_pipe_length</vt:lpstr>
      <vt:lpstr>sept_tank_exav_vol</vt:lpstr>
      <vt:lpstr>sept_tank_excav_cost_cl</vt:lpstr>
      <vt:lpstr>sept_tank_sf</vt:lpstr>
      <vt:lpstr>sept_tank_side</vt:lpstr>
      <vt:lpstr>sept_tank_vol</vt:lpstr>
      <vt:lpstr>sept_trench_bot_area</vt:lpstr>
      <vt:lpstr>sept_trench_d</vt:lpstr>
      <vt:lpstr>sept_trench_dist</vt:lpstr>
      <vt:lpstr>sept_trench_excav_cost_cl</vt:lpstr>
      <vt:lpstr>sept_trench_excav_vol</vt:lpstr>
      <vt:lpstr>sept_trench_l</vt:lpstr>
      <vt:lpstr>sept_trench_w</vt:lpstr>
      <vt:lpstr>sept_trenches</vt:lpstr>
      <vt:lpstr>septic_disp_freq</vt:lpstr>
      <vt:lpstr>septic_disposal_cost_cl</vt:lpstr>
      <vt:lpstr>septic_disposal_fee</vt:lpstr>
      <vt:lpstr>septic_tank_cost_cl</vt:lpstr>
      <vt:lpstr>septic_tank_eq</vt:lpstr>
      <vt:lpstr>shifts_day</vt:lpstr>
      <vt:lpstr>sitework_cost</vt:lpstr>
      <vt:lpstr>sitework_sf_cl</vt:lpstr>
      <vt:lpstr>slurry_eq</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source_select</vt:lpstr>
      <vt:lpstr>space_bt</vt:lpstr>
      <vt:lpstr>space_ht</vt:lpstr>
      <vt:lpstr>space_office</vt:lpstr>
      <vt:lpstr>space_office_small</vt:lpstr>
      <vt:lpstr>space_polymer_st</vt:lpstr>
      <vt:lpstr>space_pumps</vt:lpstr>
      <vt:lpstr>space_pumps_cust</vt:lpstr>
      <vt:lpstr>space_pumps_pre</vt:lpstr>
      <vt:lpstr>space_rt</vt:lpstr>
      <vt:lpstr>space_st</vt:lpstr>
      <vt:lpstr>space_vessels</vt:lpstr>
      <vt:lpstr>space_vt</vt:lpstr>
      <vt:lpstr>spent_backfill_vol</vt:lpstr>
      <vt:lpstr>spent_basin_depth</vt:lpstr>
      <vt:lpstr>spent_basin_length</vt:lpstr>
      <vt:lpstr>spent_basin_op_depth</vt:lpstr>
      <vt:lpstr>spent_basin_vol</vt:lpstr>
      <vt:lpstr>spent_basin_width</vt:lpstr>
      <vt:lpstr>spent_conc_vol</vt:lpstr>
      <vt:lpstr>spent_excavation_vol</vt:lpstr>
      <vt:lpstr>Spent_GAC_storage_fp</vt:lpstr>
      <vt:lpstr>spent_media</vt:lpstr>
      <vt:lpstr>spent_media_yr</vt:lpstr>
      <vt:lpstr>spent_railing</vt:lpstr>
      <vt:lpstr>spent_storage</vt:lpstr>
      <vt:lpstr>spent_storage_bv</vt:lpstr>
      <vt:lpstr>spent_tank_vol</vt:lpstr>
      <vt:lpstr>spent_tanks</vt:lpstr>
      <vt:lpstr>ss_cat</vt:lpstr>
      <vt:lpstr>ss_cat2</vt:lpstr>
      <vt:lpstr>ss_chv_cost_cl</vt:lpstr>
      <vt:lpstr>ss_chv_eq_back</vt:lpstr>
      <vt:lpstr>ss_chv_eq_bp</vt:lpstr>
      <vt:lpstr>ss_chv_eq_in</vt:lpstr>
      <vt:lpstr>ss_chv_eq_polymer</vt:lpstr>
      <vt:lpstr>ss_chv_eq_res</vt:lpstr>
      <vt:lpstr>ss_cst_cost_cl</vt:lpstr>
      <vt:lpstr>ss_empump_cost_cl</vt:lpstr>
      <vt:lpstr>ss_man_cost_cl</vt:lpstr>
      <vt:lpstr>ss_man_eq</vt:lpstr>
      <vt:lpstr>ss_man_eq_back</vt:lpstr>
      <vt:lpstr>ss_man_eq_bp</vt:lpstr>
      <vt:lpstr>ss_man_eq_polymer</vt:lpstr>
      <vt:lpstr>ss_man_eq_proc</vt:lpstr>
      <vt:lpstr>ss_man_eq_res</vt:lpstr>
      <vt:lpstr>ss_mmpump_cost_cl</vt:lpstr>
      <vt:lpstr>ss_mov_cost_cl</vt:lpstr>
      <vt:lpstr>ss_mov_eq_back</vt:lpstr>
      <vt:lpstr>ss_mov_eq_bp</vt:lpstr>
      <vt:lpstr>ss_mov_eq_polymer</vt:lpstr>
      <vt:lpstr>ss_mov_eq_res</vt:lpstr>
      <vt:lpstr>ss_mov_eq_tank</vt:lpstr>
      <vt:lpstr>ss_pipe_cost_cl</vt:lpstr>
      <vt:lpstr>ss_pipe_eq_back</vt:lpstr>
      <vt:lpstr>ss_pipe_eq_bp</vt:lpstr>
      <vt:lpstr>ss_pipe_eq_in_out</vt:lpstr>
      <vt:lpstr>ss_pipe_eq_polymer</vt:lpstr>
      <vt:lpstr>ss_pipe_eq_proc</vt:lpstr>
      <vt:lpstr>ss_pipe_eq_res</vt:lpstr>
      <vt:lpstr>ss_polymer_empump_eq</vt:lpstr>
      <vt:lpstr>ss_polymer_mmpump_eq</vt:lpstr>
      <vt:lpstr>ss_polymer_st_eq</vt:lpstr>
      <vt:lpstr>ss_pv_cost_cl</vt:lpstr>
      <vt:lpstr>ss_pv_eq</vt:lpstr>
      <vt:lpstr>st_bwt_cost_cl</vt:lpstr>
      <vt:lpstr>st_bwt_eq</vt:lpstr>
      <vt:lpstr>st_diam</vt:lpstr>
      <vt:lpstr>st_ht_eq</vt:lpstr>
      <vt:lpstr>st_pipe_cost_cl</vt:lpstr>
      <vt:lpstr>st_pipe_eq_back</vt:lpstr>
      <vt:lpstr>st_pipe_eq_bp</vt:lpstr>
      <vt:lpstr>st_pipe_eq_in_out</vt:lpstr>
      <vt:lpstr>st_pipe_eq_polymer</vt:lpstr>
      <vt:lpstr>st_pipe_eq_proc</vt:lpstr>
      <vt:lpstr>st_pipe_eq_res</vt:lpstr>
      <vt:lpstr>st_rt_eq</vt:lpstr>
      <vt:lpstr>st_st_eq</vt:lpstr>
      <vt:lpstr>st_vt_eq</vt:lpstr>
      <vt:lpstr>stake_out_cost_cl</vt:lpstr>
      <vt:lpstr>std_base</vt:lpstr>
      <vt:lpstr>std_cool</vt:lpstr>
      <vt:lpstr>std_design_params</vt:lpstr>
      <vt:lpstr>std_gen_cost_cl</vt:lpstr>
      <vt:lpstr>std_heat</vt:lpstr>
      <vt:lpstr>std_power</vt:lpstr>
      <vt:lpstr>std_power_cost</vt:lpstr>
      <vt:lpstr>std_safety_factor</vt:lpstr>
      <vt:lpstr>storage_basins</vt:lpstr>
      <vt:lpstr>storage_freeboard</vt:lpstr>
      <vt:lpstr>storage_height</vt:lpstr>
      <vt:lpstr>storage_ratio</vt:lpstr>
      <vt:lpstr>surface_loading_rate_g</vt:lpstr>
      <vt:lpstr>SW_permit_cost_cl</vt:lpstr>
      <vt:lpstr>switch_cost_cl</vt:lpstr>
      <vt:lpstr>system_automation_valid</vt:lpstr>
      <vt:lpstr>system_cost</vt:lpstr>
      <vt:lpstr>system_type</vt:lpstr>
      <vt:lpstr>tank_geom</vt:lpstr>
      <vt:lpstr>tank_geom_I</vt:lpstr>
      <vt:lpstr>tank_solids_valid</vt:lpstr>
      <vt:lpstr>tank_valid</vt:lpstr>
      <vt:lpstr>tank_valve_size</vt:lpstr>
      <vt:lpstr>target_bed_depth_horiz</vt:lpstr>
      <vt:lpstr>target_bed_depth_over</vt:lpstr>
      <vt:lpstr>target_bed_depth_over_g</vt:lpstr>
      <vt:lpstr>target_bed_depth_over_g_UVAOP</vt:lpstr>
      <vt:lpstr>target_bed_depth_under</vt:lpstr>
      <vt:lpstr>target_bed_depth_under_g</vt:lpstr>
      <vt:lpstr>target_bed_depth_under_g_UVAOP</vt:lpstr>
      <vt:lpstr>tax_pct</vt:lpstr>
      <vt:lpstr>tech_fp</vt:lpstr>
      <vt:lpstr>tech_name</vt:lpstr>
      <vt:lpstr>temp_meter_cost_cl</vt:lpstr>
      <vt:lpstr>temp_meters</vt:lpstr>
      <vt:lpstr>temp_meters_small</vt:lpstr>
      <vt:lpstr>thrust_block_table_cl</vt:lpstr>
      <vt:lpstr>thrust_force</vt:lpstr>
      <vt:lpstr>Top_bottom_Vessel_space</vt:lpstr>
      <vt:lpstr>tot_back_alarm</vt:lpstr>
      <vt:lpstr>tot_back_chv</vt:lpstr>
      <vt:lpstr>tot_back_man</vt:lpstr>
      <vt:lpstr>tot_back_MOVs</vt:lpstr>
      <vt:lpstr>tot_bp_chv</vt:lpstr>
      <vt:lpstr>tot_bp_man</vt:lpstr>
      <vt:lpstr>tot_bp_MOVs</vt:lpstr>
      <vt:lpstr>tot_chem</vt:lpstr>
      <vt:lpstr>tot_fm_back</vt:lpstr>
      <vt:lpstr>tot_fm_in</vt:lpstr>
      <vt:lpstr>tot_fm_proc</vt:lpstr>
      <vt:lpstr>tot_fm_res</vt:lpstr>
      <vt:lpstr>tot_head_sens</vt:lpstr>
      <vt:lpstr>tot_in_chv</vt:lpstr>
      <vt:lpstr>tot_in_man</vt:lpstr>
      <vt:lpstr>tot_inst</vt:lpstr>
      <vt:lpstr>tot_inst_maint</vt:lpstr>
      <vt:lpstr>tot_level_switch</vt:lpstr>
      <vt:lpstr>tot_MOVs</vt:lpstr>
      <vt:lpstr>tot_polymer_chv</vt:lpstr>
      <vt:lpstr>tot_polymer_man</vt:lpstr>
      <vt:lpstr>tot_polymer_MOVs</vt:lpstr>
      <vt:lpstr>tot_proc_man</vt:lpstr>
      <vt:lpstr>tot_proc_MOVs</vt:lpstr>
      <vt:lpstr>tot_pumps</vt:lpstr>
      <vt:lpstr>tot_pumps_maint</vt:lpstr>
      <vt:lpstr>tot_res_alarm</vt:lpstr>
      <vt:lpstr>tot_res_chv</vt:lpstr>
      <vt:lpstr>tot_switches</vt:lpstr>
      <vt:lpstr>tot_temp_meters</vt:lpstr>
      <vt:lpstr>tot_turb_meters</vt:lpstr>
      <vt:lpstr>tot_valves</vt:lpstr>
      <vt:lpstr>total_backwash</vt:lpstr>
      <vt:lpstr>total_booster_pumps</vt:lpstr>
      <vt:lpstr>total_direct_depreciation</vt:lpstr>
      <vt:lpstr>total_fp</vt:lpstr>
      <vt:lpstr>total_hvol_ft</vt:lpstr>
      <vt:lpstr>total_num_basins</vt:lpstr>
      <vt:lpstr>total_res_man</vt:lpstr>
      <vt:lpstr>total_res_MOVs</vt:lpstr>
      <vt:lpstr>transfer_method</vt:lpstr>
      <vt:lpstr>transfer_method_I</vt:lpstr>
      <vt:lpstr>'Backwash and Regeneration'!transfer_rate</vt:lpstr>
      <vt:lpstr>transfer_rate</vt:lpstr>
      <vt:lpstr>transfer_time</vt:lpstr>
      <vt:lpstr>trench_angle</vt:lpstr>
      <vt:lpstr>trench_area</vt:lpstr>
      <vt:lpstr>trench_depth</vt:lpstr>
      <vt:lpstr>trench_vol</vt:lpstr>
      <vt:lpstr>TSS_residuals</vt:lpstr>
      <vt:lpstr>TSS_residuals_dis</vt:lpstr>
      <vt:lpstr>turb_tank</vt:lpstr>
      <vt:lpstr>turb_tank_g</vt:lpstr>
      <vt:lpstr>turbidimeter_cost_cl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ups</vt:lpstr>
      <vt:lpstr>ups_addon</vt:lpstr>
      <vt:lpstr>ups_cost_cl</vt:lpstr>
      <vt:lpstr>ups_standalone</vt:lpstr>
      <vt:lpstr>use_column</vt:lpstr>
      <vt:lpstr>useful_life</vt:lpstr>
      <vt:lpstr>v</vt:lpstr>
      <vt:lpstr>v_diam</vt:lpstr>
      <vt:lpstr>valve_table</vt:lpstr>
      <vt:lpstr>ven_fm_cost_cl</vt:lpstr>
      <vt:lpstr>ven_fm_eq_back</vt:lpstr>
      <vt:lpstr>ven_fm_eq_in</vt:lpstr>
      <vt:lpstr>ven_fm_eq_proc</vt:lpstr>
      <vt:lpstr>ven_fm_eq_res</vt:lpstr>
      <vt:lpstr>ventilation</vt:lpstr>
      <vt:lpstr>vert_vol_available</vt:lpstr>
      <vt:lpstr>vessel_fp</vt:lpstr>
      <vt:lpstr>vessel_size_table_cl</vt:lpstr>
      <vt:lpstr>Vessel_thickness</vt:lpstr>
      <vt:lpstr>virgin_backfill_vol</vt:lpstr>
      <vt:lpstr>virgin_basin_depth</vt:lpstr>
      <vt:lpstr>virgin_basin_length</vt:lpstr>
      <vt:lpstr>virgin_basin_op_depth</vt:lpstr>
      <vt:lpstr>virgin_basin_vol</vt:lpstr>
      <vt:lpstr>virgin_basin_width</vt:lpstr>
      <vt:lpstr>virgin_conc_vol</vt:lpstr>
      <vt:lpstr>virgin_excavation_vol</vt:lpstr>
      <vt:lpstr>Virgin_GAC_storage_fp</vt:lpstr>
      <vt:lpstr>virgin_railing</vt:lpstr>
      <vt:lpstr>virgin_storage</vt:lpstr>
      <vt:lpstr>virgin_storage_bv</vt:lpstr>
      <vt:lpstr>virgin_tank_vol</vt:lpstr>
      <vt:lpstr>virgin_tanks</vt:lpstr>
      <vt:lpstr>void_above</vt:lpstr>
      <vt:lpstr>vol_feed_cost_cl</vt:lpstr>
      <vt:lpstr>vol_feed_rate</vt:lpstr>
      <vt:lpstr>vt_diam</vt:lpstr>
      <vt:lpstr>waste_heat_bw_pumps</vt:lpstr>
      <vt:lpstr>waste_heat_pumps</vt:lpstr>
      <vt:lpstr>water_flush</vt:lpstr>
      <vt:lpstr>Weekly_labor</vt:lpstr>
      <vt:lpstr>winter_days</vt:lpstr>
      <vt:lpstr>workstation_addon</vt:lpstr>
      <vt:lpstr>workstation_ratio</vt:lpstr>
      <vt:lpstr>workstations</vt:lpstr>
      <vt:lpstr>yard_cost</vt:lpstr>
      <vt:lpstr>yard_in</vt:lpstr>
      <vt:lpstr>yard_out</vt:lpstr>
      <vt:lpstr>yard_pipe_diam</vt:lpstr>
      <vt:lpstr>yard_pipe_length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GAC</dc:title>
  <dc:creator>U.S. EPA Office of Drinking Water</dc:creator>
  <cp:lastModifiedBy>Microsoft Office User</cp:lastModifiedBy>
  <cp:lastPrinted>2010-11-30T16:56:11Z</cp:lastPrinted>
  <dcterms:created xsi:type="dcterms:W3CDTF">2001-05-01T17:41:48Z</dcterms:created>
  <dcterms:modified xsi:type="dcterms:W3CDTF">2019-05-03T17:06:47Z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4056.638105711</vt:r8>
  </property>
  <property fmtid="{D5CDD505-2E9C-101B-9397-08002B2CF9AE}" pid="3" name="fm_eq_in" linkTarget="prop_fm_eq_in">
    <vt:r8>4056.638105711</vt:r8>
  </property>
  <property fmtid="{D5CDD505-2E9C-101B-9397-08002B2CF9AE}" pid="4" name="fm_eq_proc" linkTarget="prop_fm_eq_proc">
    <vt:r8>4056.638105711</vt:r8>
  </property>
  <property fmtid="{D5CDD505-2E9C-101B-9397-08002B2CF9AE}" pid="5" name="fm_eq_res" linkTarget="prop_fm_eq_res">
    <vt:r8>4056.638105711</vt:r8>
  </property>
  <property fmtid="{D5CDD505-2E9C-101B-9397-08002B2CF9AE}" pid="6" name="fm_cost_cl" linkTarget="prop_fm_cost_cl">
    <vt:r8>0</vt:r8>
  </property>
</Properties>
</file>
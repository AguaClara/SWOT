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60" windowWidth="12300" windowHeight="7305"/>
  </bookViews>
  <sheets>
    <sheet name="Aluminum solubility" sheetId="4" r:id="rId1"/>
    <sheet name="Sheet1" sheetId="1" r:id="rId2"/>
  </sheets>
  <functionGroups/>
  <definedNames>
    <definedName name="b">Sheet1!$B$4:$G$4</definedName>
    <definedName name="m">Sheet1!$B$1:$G$1</definedName>
    <definedName name="pH">Sheet1!$A$6:$A$76</definedName>
  </definedNames>
  <calcPr calcId="125725"/>
</workbook>
</file>

<file path=xl/calcChain.xml><?xml version="1.0" encoding="utf-8"?>
<calcChain xmlns="http://schemas.openxmlformats.org/spreadsheetml/2006/main">
  <c r="D3" i="1"/>
  <c r="E3"/>
  <c r="F3"/>
  <c r="C3"/>
  <c r="P12"/>
  <c r="P7"/>
  <c r="B6"/>
  <c r="C6"/>
  <c r="D6"/>
  <c r="E6"/>
  <c r="F6"/>
  <c r="G6"/>
  <c r="B7"/>
  <c r="C7"/>
  <c r="D7"/>
  <c r="E7"/>
  <c r="F7"/>
  <c r="G7"/>
  <c r="B8"/>
  <c r="C8"/>
  <c r="D8"/>
  <c r="E8"/>
  <c r="F8"/>
  <c r="G8"/>
  <c r="B9"/>
  <c r="C9"/>
  <c r="D9"/>
  <c r="E9"/>
  <c r="F9"/>
  <c r="G9"/>
  <c r="B10"/>
  <c r="C10"/>
  <c r="D10"/>
  <c r="E10"/>
  <c r="F10"/>
  <c r="G10"/>
  <c r="B11"/>
  <c r="C11"/>
  <c r="D11"/>
  <c r="E11"/>
  <c r="F11"/>
  <c r="G11"/>
  <c r="B12"/>
  <c r="C12"/>
  <c r="D12"/>
  <c r="E12"/>
  <c r="F12"/>
  <c r="G12"/>
  <c r="B13"/>
  <c r="C13"/>
  <c r="D13"/>
  <c r="E13"/>
  <c r="F13"/>
  <c r="G13"/>
  <c r="B14"/>
  <c r="C14"/>
  <c r="D14"/>
  <c r="E14"/>
  <c r="F14"/>
  <c r="G14"/>
  <c r="B15"/>
  <c r="C15"/>
  <c r="D15"/>
  <c r="E15"/>
  <c r="F15"/>
  <c r="G15"/>
  <c r="B16"/>
  <c r="C16"/>
  <c r="D16"/>
  <c r="E16"/>
  <c r="F16"/>
  <c r="G16"/>
  <c r="B17"/>
  <c r="C17"/>
  <c r="D17"/>
  <c r="E17"/>
  <c r="F17"/>
  <c r="G17"/>
  <c r="B18"/>
  <c r="C18"/>
  <c r="D18"/>
  <c r="E18"/>
  <c r="F18"/>
  <c r="G18"/>
  <c r="B19"/>
  <c r="C19"/>
  <c r="D19"/>
  <c r="E19"/>
  <c r="F19"/>
  <c r="G19"/>
  <c r="B20"/>
  <c r="C20"/>
  <c r="D20"/>
  <c r="E20"/>
  <c r="F20"/>
  <c r="G20"/>
  <c r="B21"/>
  <c r="C21"/>
  <c r="D21"/>
  <c r="E21"/>
  <c r="F21"/>
  <c r="G21"/>
  <c r="B22"/>
  <c r="C22"/>
  <c r="D22"/>
  <c r="E22"/>
  <c r="F22"/>
  <c r="G22"/>
  <c r="B23"/>
  <c r="C23"/>
  <c r="D23"/>
  <c r="E23"/>
  <c r="F23"/>
  <c r="G23"/>
  <c r="B24"/>
  <c r="C24"/>
  <c r="D24"/>
  <c r="E24"/>
  <c r="F24"/>
  <c r="G24"/>
  <c r="B25"/>
  <c r="C25"/>
  <c r="D25"/>
  <c r="E25"/>
  <c r="F25"/>
  <c r="G25"/>
  <c r="B26"/>
  <c r="C26"/>
  <c r="D26"/>
  <c r="E26"/>
  <c r="F26"/>
  <c r="G26"/>
  <c r="B27"/>
  <c r="C27"/>
  <c r="D27"/>
  <c r="E27"/>
  <c r="F27"/>
  <c r="G27"/>
  <c r="B28"/>
  <c r="C28"/>
  <c r="D28"/>
  <c r="E28"/>
  <c r="F28"/>
  <c r="G28"/>
  <c r="B29"/>
  <c r="C29"/>
  <c r="D29"/>
  <c r="E29"/>
  <c r="F29"/>
  <c r="G29"/>
  <c r="B30"/>
  <c r="C30"/>
  <c r="D30"/>
  <c r="E30"/>
  <c r="F30"/>
  <c r="G30"/>
  <c r="B31"/>
  <c r="C31"/>
  <c r="D31"/>
  <c r="E31"/>
  <c r="F31"/>
  <c r="G31"/>
  <c r="B32"/>
  <c r="C32"/>
  <c r="D32"/>
  <c r="E32"/>
  <c r="F32"/>
  <c r="G32"/>
  <c r="B33"/>
  <c r="C33"/>
  <c r="D33"/>
  <c r="E33"/>
  <c r="F33"/>
  <c r="G33"/>
  <c r="B34"/>
  <c r="C34"/>
  <c r="D34"/>
  <c r="E34"/>
  <c r="F34"/>
  <c r="G34"/>
  <c r="B35"/>
  <c r="C35"/>
  <c r="D35"/>
  <c r="E35"/>
  <c r="F35"/>
  <c r="G35"/>
  <c r="B36"/>
  <c r="C36"/>
  <c r="D36"/>
  <c r="E36"/>
  <c r="F36"/>
  <c r="G36"/>
  <c r="B37"/>
  <c r="C37"/>
  <c r="D37"/>
  <c r="E37"/>
  <c r="F37"/>
  <c r="G37"/>
  <c r="B38"/>
  <c r="C38"/>
  <c r="D38"/>
  <c r="E38"/>
  <c r="F38"/>
  <c r="G38"/>
  <c r="B39"/>
  <c r="C39"/>
  <c r="D39"/>
  <c r="E39"/>
  <c r="F39"/>
  <c r="G39"/>
  <c r="B40"/>
  <c r="C40"/>
  <c r="D40"/>
  <c r="E40"/>
  <c r="F40"/>
  <c r="G40"/>
  <c r="B41"/>
  <c r="C41"/>
  <c r="D41"/>
  <c r="E41"/>
  <c r="F41"/>
  <c r="G41"/>
  <c r="B42"/>
  <c r="C42"/>
  <c r="D42"/>
  <c r="E42"/>
  <c r="F42"/>
  <c r="G42"/>
  <c r="B43"/>
  <c r="C43"/>
  <c r="D43"/>
  <c r="E43"/>
  <c r="F43"/>
  <c r="G43"/>
  <c r="B44"/>
  <c r="C44"/>
  <c r="D44"/>
  <c r="E44"/>
  <c r="F44"/>
  <c r="G44"/>
  <c r="B45"/>
  <c r="C45"/>
  <c r="D45"/>
  <c r="E45"/>
  <c r="F45"/>
  <c r="G45"/>
  <c r="B46"/>
  <c r="C46"/>
  <c r="D46"/>
  <c r="E46"/>
  <c r="F46"/>
  <c r="G46"/>
  <c r="B47"/>
  <c r="C47"/>
  <c r="D47"/>
  <c r="E47"/>
  <c r="F47"/>
  <c r="G47"/>
  <c r="B48"/>
  <c r="C48"/>
  <c r="D48"/>
  <c r="E48"/>
  <c r="F48"/>
  <c r="G48"/>
  <c r="B49"/>
  <c r="C49"/>
  <c r="D49"/>
  <c r="E49"/>
  <c r="F49"/>
  <c r="G49"/>
  <c r="B50"/>
  <c r="C50"/>
  <c r="D50"/>
  <c r="E50"/>
  <c r="F50"/>
  <c r="G50"/>
  <c r="B51"/>
  <c r="C51"/>
  <c r="D51"/>
  <c r="E51"/>
  <c r="F51"/>
  <c r="G51"/>
  <c r="B52"/>
  <c r="C52"/>
  <c r="D52"/>
  <c r="E52"/>
  <c r="F52"/>
  <c r="G52"/>
  <c r="B53"/>
  <c r="C53"/>
  <c r="D53"/>
  <c r="E53"/>
  <c r="F53"/>
  <c r="G53"/>
  <c r="B54"/>
  <c r="C54"/>
  <c r="D54"/>
  <c r="E54"/>
  <c r="F54"/>
  <c r="G54"/>
  <c r="B55"/>
  <c r="C55"/>
  <c r="D55"/>
  <c r="E55"/>
  <c r="F55"/>
  <c r="G55"/>
  <c r="B56"/>
  <c r="C56"/>
  <c r="D56"/>
  <c r="E56"/>
  <c r="F56"/>
  <c r="G56"/>
  <c r="B57"/>
  <c r="C57"/>
  <c r="D57"/>
  <c r="E57"/>
  <c r="F57"/>
  <c r="G57"/>
  <c r="B58"/>
  <c r="C58"/>
  <c r="D58"/>
  <c r="E58"/>
  <c r="F58"/>
  <c r="G58"/>
  <c r="B59"/>
  <c r="C59"/>
  <c r="D59"/>
  <c r="E59"/>
  <c r="F59"/>
  <c r="G59"/>
  <c r="B60"/>
  <c r="C60"/>
  <c r="D60"/>
  <c r="E60"/>
  <c r="F60"/>
  <c r="G60"/>
  <c r="B61"/>
  <c r="C61"/>
  <c r="D61"/>
  <c r="E61"/>
  <c r="F61"/>
  <c r="G61"/>
  <c r="B62"/>
  <c r="C62"/>
  <c r="D62"/>
  <c r="E62"/>
  <c r="F62"/>
  <c r="G62"/>
  <c r="B63"/>
  <c r="C63"/>
  <c r="D63"/>
  <c r="E63"/>
  <c r="F63"/>
  <c r="G63"/>
  <c r="B64"/>
  <c r="C64"/>
  <c r="D64"/>
  <c r="E64"/>
  <c r="F64"/>
  <c r="G64"/>
  <c r="B65"/>
  <c r="C65"/>
  <c r="D65"/>
  <c r="E65"/>
  <c r="F65"/>
  <c r="G65"/>
  <c r="B66"/>
  <c r="C66"/>
  <c r="D66"/>
  <c r="E66"/>
  <c r="F66"/>
  <c r="G66"/>
  <c r="B67"/>
  <c r="C67"/>
  <c r="D67"/>
  <c r="E67"/>
  <c r="F67"/>
  <c r="G67"/>
  <c r="B68"/>
  <c r="C68"/>
  <c r="D68"/>
  <c r="E68"/>
  <c r="F68"/>
  <c r="G68"/>
  <c r="B69"/>
  <c r="C69"/>
  <c r="D69"/>
  <c r="E69"/>
  <c r="F69"/>
  <c r="G69"/>
  <c r="B70"/>
  <c r="C70"/>
  <c r="D70"/>
  <c r="E70"/>
  <c r="F70"/>
  <c r="G70"/>
  <c r="B71"/>
  <c r="C71"/>
  <c r="D71"/>
  <c r="E71"/>
  <c r="F71"/>
  <c r="G71"/>
  <c r="B72"/>
  <c r="C72"/>
  <c r="D72"/>
  <c r="E72"/>
  <c r="F72"/>
  <c r="G72"/>
  <c r="B73"/>
  <c r="C73"/>
  <c r="D73"/>
  <c r="E73"/>
  <c r="F73"/>
  <c r="G73"/>
  <c r="B74"/>
  <c r="C74"/>
  <c r="D74"/>
  <c r="E74"/>
  <c r="F74"/>
  <c r="G74"/>
  <c r="B75"/>
  <c r="C75"/>
  <c r="D75"/>
  <c r="E75"/>
  <c r="F75"/>
  <c r="G75"/>
  <c r="B76"/>
  <c r="C76"/>
  <c r="D76"/>
  <c r="E76"/>
  <c r="F76"/>
  <c r="G76"/>
  <c r="H25"/>
  <c r="I25" s="1"/>
  <c r="H32"/>
  <c r="I32" s="1"/>
  <c r="H34"/>
  <c r="I34" s="1"/>
  <c r="H36"/>
  <c r="I36" s="1"/>
  <c r="H39"/>
  <c r="I39" s="1"/>
  <c r="H40"/>
  <c r="I40" s="1"/>
  <c r="H43"/>
  <c r="I43" s="1"/>
  <c r="H45"/>
  <c r="I45" s="1"/>
  <c r="H46"/>
  <c r="I46" s="1"/>
  <c r="H49"/>
  <c r="I49" s="1"/>
  <c r="H50"/>
  <c r="I50" s="1"/>
  <c r="H52"/>
  <c r="I52" s="1"/>
  <c r="H54"/>
  <c r="I54" s="1"/>
  <c r="H57"/>
  <c r="I57" s="1"/>
  <c r="H58"/>
  <c r="I58" s="1"/>
  <c r="H61"/>
  <c r="I61" s="1"/>
  <c r="H63"/>
  <c r="I63" s="1"/>
  <c r="H65"/>
  <c r="I65" s="1"/>
  <c r="H67"/>
  <c r="I67" s="1"/>
  <c r="H69"/>
  <c r="I69" s="1"/>
  <c r="H70"/>
  <c r="I70" s="1"/>
  <c r="H72"/>
  <c r="I72" s="1"/>
  <c r="H74"/>
  <c r="I74" s="1"/>
  <c r="H76"/>
  <c r="I76" s="1"/>
  <c r="H6"/>
  <c r="I6" s="1"/>
  <c r="H7"/>
  <c r="I7" s="1"/>
  <c r="H8"/>
  <c r="I8" s="1"/>
  <c r="H9"/>
  <c r="I9" s="1"/>
  <c r="H10"/>
  <c r="I10" s="1"/>
  <c r="H11"/>
  <c r="I11" s="1"/>
  <c r="H12"/>
  <c r="I12" s="1"/>
  <c r="H13"/>
  <c r="I13" s="1"/>
  <c r="H14"/>
  <c r="I14" s="1"/>
  <c r="H15"/>
  <c r="I15" s="1"/>
  <c r="H16"/>
  <c r="I16" s="1"/>
  <c r="H17"/>
  <c r="I17" s="1"/>
  <c r="H18"/>
  <c r="I18" s="1"/>
  <c r="H19"/>
  <c r="I19" s="1"/>
  <c r="H20"/>
  <c r="I20" s="1"/>
  <c r="H21"/>
  <c r="I21" s="1"/>
  <c r="H22"/>
  <c r="I22" s="1"/>
  <c r="H23"/>
  <c r="I23" s="1"/>
  <c r="H24"/>
  <c r="I24" s="1"/>
  <c r="H26"/>
  <c r="I26" s="1"/>
  <c r="H27"/>
  <c r="I27" s="1"/>
  <c r="H28"/>
  <c r="I28" s="1"/>
  <c r="H29"/>
  <c r="I29" s="1"/>
  <c r="H30"/>
  <c r="I30" s="1"/>
  <c r="H31"/>
  <c r="I31" s="1"/>
  <c r="H33"/>
  <c r="I33" s="1"/>
  <c r="H35"/>
  <c r="I35" s="1"/>
  <c r="H37"/>
  <c r="I37" s="1"/>
  <c r="H38"/>
  <c r="I38" s="1"/>
  <c r="H41"/>
  <c r="I41" s="1"/>
  <c r="H42"/>
  <c r="I42" s="1"/>
  <c r="H44"/>
  <c r="I44" s="1"/>
  <c r="H47"/>
  <c r="I47" s="1"/>
  <c r="H48"/>
  <c r="I48" s="1"/>
  <c r="H51"/>
  <c r="I51" s="1"/>
  <c r="H53"/>
  <c r="I53" s="1"/>
  <c r="H55"/>
  <c r="I55" s="1"/>
  <c r="H56"/>
  <c r="I56" s="1"/>
  <c r="H59"/>
  <c r="I59" s="1"/>
  <c r="H60"/>
  <c r="I60" s="1"/>
  <c r="H62"/>
  <c r="I62" s="1"/>
  <c r="H64"/>
  <c r="I64" s="1"/>
  <c r="H66"/>
  <c r="I66" s="1"/>
  <c r="H68"/>
  <c r="I68" s="1"/>
  <c r="H71"/>
  <c r="I71" s="1"/>
  <c r="H73"/>
  <c r="I73" s="1"/>
  <c r="H75"/>
  <c r="I75" s="1"/>
  <c r="P11"/>
  <c r="P8"/>
</calcChain>
</file>

<file path=xl/sharedStrings.xml><?xml version="1.0" encoding="utf-8"?>
<sst xmlns="http://schemas.openxmlformats.org/spreadsheetml/2006/main" count="25" uniqueCount="24">
  <si>
    <r>
      <t>-Log [Al</t>
    </r>
    <r>
      <rPr>
        <vertAlign val="superscript"/>
        <sz val="10"/>
        <rFont val="Arial"/>
      </rPr>
      <t>+3</t>
    </r>
    <r>
      <rPr>
        <sz val="10"/>
        <rFont val="Arial"/>
      </rPr>
      <t>] = -10.8 + 3pH</t>
    </r>
  </si>
  <si>
    <r>
      <t>- Log [Al(OH)</t>
    </r>
    <r>
      <rPr>
        <vertAlign val="superscript"/>
        <sz val="10"/>
        <rFont val="Arial"/>
      </rPr>
      <t>+2</t>
    </r>
    <r>
      <rPr>
        <sz val="10"/>
        <rFont val="Arial"/>
      </rPr>
      <t>] = -5.8 + 2pH</t>
    </r>
  </si>
  <si>
    <r>
      <t>- Log [Al(OH)</t>
    </r>
    <r>
      <rPr>
        <vertAlign val="subscript"/>
        <sz val="10"/>
        <rFont val="Arial"/>
      </rPr>
      <t>2</t>
    </r>
    <r>
      <rPr>
        <vertAlign val="superscript"/>
        <sz val="10"/>
        <rFont val="Arial"/>
      </rPr>
      <t>+1</t>
    </r>
    <r>
      <rPr>
        <sz val="10"/>
        <rFont val="Arial"/>
      </rPr>
      <t>] = -1.5 + pH</t>
    </r>
  </si>
  <si>
    <r>
      <t>- Log [Al(OH)</t>
    </r>
    <r>
      <rPr>
        <vertAlign val="subscript"/>
        <sz val="10"/>
        <rFont val="Arial"/>
      </rPr>
      <t>3</t>
    </r>
    <r>
      <rPr>
        <sz val="10"/>
        <rFont val="Arial"/>
      </rPr>
      <t>] = 4.2 = constant</t>
    </r>
  </si>
  <si>
    <r>
      <t>- Log [Al(OH)</t>
    </r>
    <r>
      <rPr>
        <vertAlign val="subscript"/>
        <sz val="10"/>
        <rFont val="Arial"/>
      </rPr>
      <t>4</t>
    </r>
    <r>
      <rPr>
        <vertAlign val="superscript"/>
        <sz val="10"/>
        <rFont val="Arial"/>
      </rPr>
      <t>-1</t>
    </r>
    <r>
      <rPr>
        <sz val="10"/>
        <rFont val="Arial"/>
      </rPr>
      <t>] = 12.2 - pH</t>
    </r>
  </si>
  <si>
    <r>
      <t>- Log [Al</t>
    </r>
    <r>
      <rPr>
        <vertAlign val="subscript"/>
        <sz val="10"/>
        <rFont val="Arial"/>
      </rPr>
      <t>2</t>
    </r>
    <r>
      <rPr>
        <sz val="10"/>
        <rFont val="Arial"/>
      </rPr>
      <t>(OH)</t>
    </r>
    <r>
      <rPr>
        <vertAlign val="subscript"/>
        <sz val="10"/>
        <rFont val="Arial"/>
      </rPr>
      <t>2</t>
    </r>
    <r>
      <rPr>
        <vertAlign val="superscript"/>
        <sz val="10"/>
        <rFont val="Arial"/>
      </rPr>
      <t>+4</t>
    </r>
    <r>
      <rPr>
        <sz val="10"/>
        <rFont val="Arial"/>
      </rPr>
      <t>] = -13.9 + 4 pH</t>
    </r>
  </si>
  <si>
    <t>pH</t>
  </si>
  <si>
    <t>slope</t>
  </si>
  <si>
    <r>
      <t>[Al</t>
    </r>
    <r>
      <rPr>
        <vertAlign val="superscript"/>
        <sz val="10"/>
        <rFont val="Arial"/>
        <family val="2"/>
      </rPr>
      <t>+3</t>
    </r>
    <r>
      <rPr>
        <sz val="10"/>
        <rFont val="Arial"/>
      </rPr>
      <t>]</t>
    </r>
  </si>
  <si>
    <r>
      <t>[Al(OH)</t>
    </r>
    <r>
      <rPr>
        <vertAlign val="superscript"/>
        <sz val="10"/>
        <rFont val="Arial"/>
        <family val="2"/>
      </rPr>
      <t>+2</t>
    </r>
    <r>
      <rPr>
        <sz val="10"/>
        <rFont val="Arial"/>
      </rPr>
      <t>]</t>
    </r>
  </si>
  <si>
    <r>
      <t>[Al(OH)</t>
    </r>
    <r>
      <rPr>
        <vertAlign val="subscript"/>
        <sz val="10"/>
        <rFont val="Arial"/>
        <family val="2"/>
      </rPr>
      <t>2</t>
    </r>
    <r>
      <rPr>
        <vertAlign val="superscript"/>
        <sz val="10"/>
        <rFont val="Arial"/>
        <family val="2"/>
      </rPr>
      <t>+1</t>
    </r>
    <r>
      <rPr>
        <sz val="10"/>
        <rFont val="Arial"/>
      </rPr>
      <t>]</t>
    </r>
  </si>
  <si>
    <r>
      <t>[Al(OH)</t>
    </r>
    <r>
      <rPr>
        <vertAlign val="subscript"/>
        <sz val="10"/>
        <rFont val="Arial"/>
        <family val="2"/>
      </rPr>
      <t>3</t>
    </r>
    <r>
      <rPr>
        <sz val="10"/>
        <rFont val="Arial"/>
      </rPr>
      <t>]</t>
    </r>
  </si>
  <si>
    <r>
      <t>[Al(OH)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-1</t>
    </r>
    <r>
      <rPr>
        <sz val="10"/>
        <rFont val="Arial"/>
      </rPr>
      <t>]</t>
    </r>
  </si>
  <si>
    <r>
      <t>[Al2(OH)</t>
    </r>
    <r>
      <rPr>
        <vertAlign val="subscript"/>
        <sz val="10"/>
        <rFont val="Arial"/>
        <family val="2"/>
      </rPr>
      <t>2</t>
    </r>
    <r>
      <rPr>
        <vertAlign val="superscript"/>
        <sz val="10"/>
        <rFont val="Arial"/>
        <family val="2"/>
      </rPr>
      <t>+4</t>
    </r>
    <r>
      <rPr>
        <sz val="10"/>
        <rFont val="Arial"/>
      </rPr>
      <t>]</t>
    </r>
  </si>
  <si>
    <t>Alt</t>
  </si>
  <si>
    <t>g/L</t>
  </si>
  <si>
    <t>MW (g/mol of Al)</t>
  </si>
  <si>
    <t>mole</t>
  </si>
  <si>
    <t>of alum</t>
  </si>
  <si>
    <t>of Al</t>
  </si>
  <si>
    <t>mg/L</t>
  </si>
  <si>
    <t>of Al at minimum solubility</t>
  </si>
  <si>
    <t>mg/L Al</t>
  </si>
  <si>
    <t>y intercept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</si>
</sst>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vertAlign val="superscript"/>
      <sz val="10"/>
      <name val="Arial"/>
    </font>
    <font>
      <vertAlign val="subscript"/>
      <sz val="10"/>
      <name val="Arial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18"/>
      <name val="Times New Roman"/>
      <family val="1"/>
    </font>
    <font>
      <sz val="18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Sheet1!$B$5</c:f>
              <c:strCache>
                <c:ptCount val="1"/>
                <c:pt idx="0">
                  <c:v>[Al+3]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Sheet1!$B$6:$B$76</c:f>
              <c:numCache>
                <c:formatCode>General</c:formatCode>
                <c:ptCount val="71"/>
                <c:pt idx="0">
                  <c:v>-10.8</c:v>
                </c:pt>
                <c:pt idx="1">
                  <c:v>-10.200000000000001</c:v>
                </c:pt>
                <c:pt idx="2">
                  <c:v>-9.6000000000000014</c:v>
                </c:pt>
                <c:pt idx="3">
                  <c:v>-9</c:v>
                </c:pt>
                <c:pt idx="4">
                  <c:v>-8.4</c:v>
                </c:pt>
                <c:pt idx="5">
                  <c:v>-7.8000000000000007</c:v>
                </c:pt>
                <c:pt idx="6">
                  <c:v>-7.2000000000000011</c:v>
                </c:pt>
                <c:pt idx="7">
                  <c:v>-6.6000000000000014</c:v>
                </c:pt>
                <c:pt idx="8">
                  <c:v>-6</c:v>
                </c:pt>
                <c:pt idx="9">
                  <c:v>-5.4</c:v>
                </c:pt>
                <c:pt idx="10">
                  <c:v>-4.8000000000000007</c:v>
                </c:pt>
                <c:pt idx="11">
                  <c:v>-4.2</c:v>
                </c:pt>
                <c:pt idx="12">
                  <c:v>-3.6000000000000014</c:v>
                </c:pt>
                <c:pt idx="13">
                  <c:v>-3</c:v>
                </c:pt>
                <c:pt idx="14">
                  <c:v>-2.4000000000000021</c:v>
                </c:pt>
                <c:pt idx="15">
                  <c:v>-1.8000000000000007</c:v>
                </c:pt>
                <c:pt idx="16">
                  <c:v>-1.1999999999999993</c:v>
                </c:pt>
                <c:pt idx="17">
                  <c:v>-0.60000000000000142</c:v>
                </c:pt>
                <c:pt idx="18">
                  <c:v>0</c:v>
                </c:pt>
                <c:pt idx="19">
                  <c:v>0.59999999999999787</c:v>
                </c:pt>
                <c:pt idx="20">
                  <c:v>1.1999999999999993</c:v>
                </c:pt>
                <c:pt idx="21">
                  <c:v>1.8000000000000007</c:v>
                </c:pt>
                <c:pt idx="22">
                  <c:v>2.4000000000000004</c:v>
                </c:pt>
                <c:pt idx="23">
                  <c:v>2.9999999999999982</c:v>
                </c:pt>
                <c:pt idx="24">
                  <c:v>3.5999999999999979</c:v>
                </c:pt>
                <c:pt idx="25">
                  <c:v>4.1999999999999993</c:v>
                </c:pt>
                <c:pt idx="26">
                  <c:v>4.8000000000000007</c:v>
                </c:pt>
                <c:pt idx="27">
                  <c:v>5.4000000000000021</c:v>
                </c:pt>
                <c:pt idx="28">
                  <c:v>5.9999999999999964</c:v>
                </c:pt>
                <c:pt idx="29">
                  <c:v>6.5999999999999979</c:v>
                </c:pt>
                <c:pt idx="30">
                  <c:v>7.1999999999999993</c:v>
                </c:pt>
                <c:pt idx="31">
                  <c:v>7.8000000000000007</c:v>
                </c:pt>
                <c:pt idx="32">
                  <c:v>8.4000000000000021</c:v>
                </c:pt>
                <c:pt idx="33">
                  <c:v>8.9999999999999964</c:v>
                </c:pt>
                <c:pt idx="34">
                  <c:v>9.5999999999999979</c:v>
                </c:pt>
                <c:pt idx="35">
                  <c:v>10.199999999999999</c:v>
                </c:pt>
                <c:pt idx="36">
                  <c:v>10.8</c:v>
                </c:pt>
                <c:pt idx="37">
                  <c:v>11.400000000000002</c:v>
                </c:pt>
                <c:pt idx="38">
                  <c:v>11.999999999999996</c:v>
                </c:pt>
                <c:pt idx="39">
                  <c:v>12.599999999999998</c:v>
                </c:pt>
                <c:pt idx="40">
                  <c:v>13.2</c:v>
                </c:pt>
                <c:pt idx="41">
                  <c:v>13.799999999999997</c:v>
                </c:pt>
                <c:pt idx="42">
                  <c:v>14.400000000000002</c:v>
                </c:pt>
                <c:pt idx="43">
                  <c:v>14.999999999999996</c:v>
                </c:pt>
                <c:pt idx="44">
                  <c:v>15.600000000000001</c:v>
                </c:pt>
                <c:pt idx="45">
                  <c:v>16.2</c:v>
                </c:pt>
                <c:pt idx="46">
                  <c:v>16.799999999999997</c:v>
                </c:pt>
                <c:pt idx="47">
                  <c:v>17.400000000000002</c:v>
                </c:pt>
                <c:pt idx="48">
                  <c:v>17.999999999999996</c:v>
                </c:pt>
                <c:pt idx="49">
                  <c:v>18.600000000000001</c:v>
                </c:pt>
                <c:pt idx="50">
                  <c:v>19.2</c:v>
                </c:pt>
                <c:pt idx="51">
                  <c:v>19.799999999999997</c:v>
                </c:pt>
                <c:pt idx="52">
                  <c:v>20.400000000000002</c:v>
                </c:pt>
                <c:pt idx="53">
                  <c:v>20.999999999999996</c:v>
                </c:pt>
                <c:pt idx="54">
                  <c:v>21.600000000000005</c:v>
                </c:pt>
                <c:pt idx="55">
                  <c:v>22.2</c:v>
                </c:pt>
                <c:pt idx="56">
                  <c:v>22.799999999999994</c:v>
                </c:pt>
                <c:pt idx="57">
                  <c:v>23.400000000000002</c:v>
                </c:pt>
                <c:pt idx="58">
                  <c:v>23.999999999999996</c:v>
                </c:pt>
                <c:pt idx="59">
                  <c:v>24.600000000000005</c:v>
                </c:pt>
                <c:pt idx="60">
                  <c:v>25.2</c:v>
                </c:pt>
                <c:pt idx="61">
                  <c:v>25.799999999999994</c:v>
                </c:pt>
                <c:pt idx="62">
                  <c:v>26.400000000000002</c:v>
                </c:pt>
                <c:pt idx="63">
                  <c:v>26.999999999999996</c:v>
                </c:pt>
                <c:pt idx="64">
                  <c:v>27.600000000000005</c:v>
                </c:pt>
                <c:pt idx="65">
                  <c:v>28.2</c:v>
                </c:pt>
                <c:pt idx="66">
                  <c:v>28.799999999999994</c:v>
                </c:pt>
                <c:pt idx="67">
                  <c:v>29.400000000000002</c:v>
                </c:pt>
                <c:pt idx="68">
                  <c:v>29.999999999999996</c:v>
                </c:pt>
                <c:pt idx="69">
                  <c:v>30.600000000000005</c:v>
                </c:pt>
                <c:pt idx="70">
                  <c:v>31.2</c:v>
                </c:pt>
              </c:numCache>
            </c:numRef>
          </c:yVal>
        </c:ser>
        <c:ser>
          <c:idx val="1"/>
          <c:order val="1"/>
          <c:tx>
            <c:strRef>
              <c:f>Sheet1!$C$5</c:f>
              <c:strCache>
                <c:ptCount val="1"/>
                <c:pt idx="0">
                  <c:v>[Al(OH)+2]</c:v>
                </c:pt>
              </c:strCache>
            </c:strRef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Sheet1!$C$6:$C$76</c:f>
              <c:numCache>
                <c:formatCode>General</c:formatCode>
                <c:ptCount val="71"/>
                <c:pt idx="0">
                  <c:v>-5.8</c:v>
                </c:pt>
                <c:pt idx="1">
                  <c:v>-5.3999999999999995</c:v>
                </c:pt>
                <c:pt idx="2">
                  <c:v>-5</c:v>
                </c:pt>
                <c:pt idx="3">
                  <c:v>-4.5999999999999996</c:v>
                </c:pt>
                <c:pt idx="4">
                  <c:v>-4.1999999999999993</c:v>
                </c:pt>
                <c:pt idx="5">
                  <c:v>-3.8</c:v>
                </c:pt>
                <c:pt idx="6">
                  <c:v>-3.4</c:v>
                </c:pt>
                <c:pt idx="7">
                  <c:v>-3</c:v>
                </c:pt>
                <c:pt idx="8">
                  <c:v>-2.5999999999999996</c:v>
                </c:pt>
                <c:pt idx="9">
                  <c:v>-2.1999999999999997</c:v>
                </c:pt>
                <c:pt idx="10">
                  <c:v>-1.7999999999999998</c:v>
                </c:pt>
                <c:pt idx="11">
                  <c:v>-1.3999999999999995</c:v>
                </c:pt>
                <c:pt idx="12">
                  <c:v>-1</c:v>
                </c:pt>
                <c:pt idx="13">
                  <c:v>-0.59999999999999964</c:v>
                </c:pt>
                <c:pt idx="14">
                  <c:v>-0.20000000000000018</c:v>
                </c:pt>
                <c:pt idx="15">
                  <c:v>0.20000000000000018</c:v>
                </c:pt>
                <c:pt idx="16">
                  <c:v>0.60000000000000053</c:v>
                </c:pt>
                <c:pt idx="17">
                  <c:v>1</c:v>
                </c:pt>
                <c:pt idx="18">
                  <c:v>1.4000000000000004</c:v>
                </c:pt>
                <c:pt idx="19">
                  <c:v>1.7999999999999998</c:v>
                </c:pt>
                <c:pt idx="20">
                  <c:v>2.2000000000000002</c:v>
                </c:pt>
                <c:pt idx="21">
                  <c:v>2.6000000000000005</c:v>
                </c:pt>
                <c:pt idx="22">
                  <c:v>3.0000000000000009</c:v>
                </c:pt>
                <c:pt idx="23">
                  <c:v>3.3999999999999995</c:v>
                </c:pt>
                <c:pt idx="24">
                  <c:v>3.8</c:v>
                </c:pt>
                <c:pt idx="25">
                  <c:v>4.2</c:v>
                </c:pt>
                <c:pt idx="26">
                  <c:v>4.6000000000000005</c:v>
                </c:pt>
                <c:pt idx="27">
                  <c:v>5.0000000000000009</c:v>
                </c:pt>
                <c:pt idx="28">
                  <c:v>5.3999999999999995</c:v>
                </c:pt>
                <c:pt idx="29">
                  <c:v>5.8</c:v>
                </c:pt>
                <c:pt idx="30">
                  <c:v>6.2</c:v>
                </c:pt>
                <c:pt idx="31">
                  <c:v>6.6000000000000005</c:v>
                </c:pt>
                <c:pt idx="32">
                  <c:v>7.0000000000000009</c:v>
                </c:pt>
                <c:pt idx="33">
                  <c:v>7.3999999999999995</c:v>
                </c:pt>
                <c:pt idx="34">
                  <c:v>7.8</c:v>
                </c:pt>
                <c:pt idx="35">
                  <c:v>8.1999999999999993</c:v>
                </c:pt>
                <c:pt idx="36">
                  <c:v>8.6000000000000014</c:v>
                </c:pt>
                <c:pt idx="37">
                  <c:v>9</c:v>
                </c:pt>
                <c:pt idx="38">
                  <c:v>9.3999999999999986</c:v>
                </c:pt>
                <c:pt idx="39">
                  <c:v>9.8000000000000007</c:v>
                </c:pt>
                <c:pt idx="40">
                  <c:v>10.199999999999999</c:v>
                </c:pt>
                <c:pt idx="41">
                  <c:v>10.599999999999998</c:v>
                </c:pt>
                <c:pt idx="42">
                  <c:v>11</c:v>
                </c:pt>
                <c:pt idx="43">
                  <c:v>11.399999999999999</c:v>
                </c:pt>
                <c:pt idx="44">
                  <c:v>11.8</c:v>
                </c:pt>
                <c:pt idx="45">
                  <c:v>12.2</c:v>
                </c:pt>
                <c:pt idx="46">
                  <c:v>12.599999999999998</c:v>
                </c:pt>
                <c:pt idx="47">
                  <c:v>13</c:v>
                </c:pt>
                <c:pt idx="48">
                  <c:v>13.399999999999999</c:v>
                </c:pt>
                <c:pt idx="49">
                  <c:v>13.8</c:v>
                </c:pt>
                <c:pt idx="50">
                  <c:v>14.2</c:v>
                </c:pt>
                <c:pt idx="51">
                  <c:v>14.599999999999998</c:v>
                </c:pt>
                <c:pt idx="52">
                  <c:v>15</c:v>
                </c:pt>
                <c:pt idx="53">
                  <c:v>15.399999999999999</c:v>
                </c:pt>
                <c:pt idx="54">
                  <c:v>15.8</c:v>
                </c:pt>
                <c:pt idx="55">
                  <c:v>16.2</c:v>
                </c:pt>
                <c:pt idx="56">
                  <c:v>16.599999999999998</c:v>
                </c:pt>
                <c:pt idx="57">
                  <c:v>17</c:v>
                </c:pt>
                <c:pt idx="58">
                  <c:v>17.399999999999999</c:v>
                </c:pt>
                <c:pt idx="59">
                  <c:v>17.8</c:v>
                </c:pt>
                <c:pt idx="60">
                  <c:v>18.2</c:v>
                </c:pt>
                <c:pt idx="61">
                  <c:v>18.599999999999998</c:v>
                </c:pt>
                <c:pt idx="62">
                  <c:v>19</c:v>
                </c:pt>
                <c:pt idx="63">
                  <c:v>19.399999999999999</c:v>
                </c:pt>
                <c:pt idx="64">
                  <c:v>19.8</c:v>
                </c:pt>
                <c:pt idx="65">
                  <c:v>20.2</c:v>
                </c:pt>
                <c:pt idx="66">
                  <c:v>20.599999999999998</c:v>
                </c:pt>
                <c:pt idx="67">
                  <c:v>21</c:v>
                </c:pt>
                <c:pt idx="68">
                  <c:v>21.4</c:v>
                </c:pt>
                <c:pt idx="69">
                  <c:v>21.8</c:v>
                </c:pt>
                <c:pt idx="70">
                  <c:v>22.2</c:v>
                </c:pt>
              </c:numCache>
            </c:numRef>
          </c:yVal>
        </c:ser>
        <c:ser>
          <c:idx val="2"/>
          <c:order val="2"/>
          <c:tx>
            <c:strRef>
              <c:f>Sheet1!$D$5</c:f>
              <c:strCache>
                <c:ptCount val="1"/>
                <c:pt idx="0">
                  <c:v>[Al(OH)2+1]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Sheet1!$D$6:$D$76</c:f>
              <c:numCache>
                <c:formatCode>General</c:formatCode>
                <c:ptCount val="71"/>
                <c:pt idx="0">
                  <c:v>-1.5</c:v>
                </c:pt>
                <c:pt idx="1">
                  <c:v>-1.3</c:v>
                </c:pt>
                <c:pt idx="2">
                  <c:v>-1.1000000000000001</c:v>
                </c:pt>
                <c:pt idx="3">
                  <c:v>-0.9</c:v>
                </c:pt>
                <c:pt idx="4">
                  <c:v>-0.7</c:v>
                </c:pt>
                <c:pt idx="5">
                  <c:v>-0.5</c:v>
                </c:pt>
                <c:pt idx="6">
                  <c:v>-0.30000000000000004</c:v>
                </c:pt>
                <c:pt idx="7">
                  <c:v>-0.10000000000000009</c:v>
                </c:pt>
                <c:pt idx="8">
                  <c:v>0.10000000000000009</c:v>
                </c:pt>
                <c:pt idx="9">
                  <c:v>0.30000000000000004</c:v>
                </c:pt>
                <c:pt idx="10">
                  <c:v>0.5</c:v>
                </c:pt>
                <c:pt idx="11">
                  <c:v>0.70000000000000018</c:v>
                </c:pt>
                <c:pt idx="12">
                  <c:v>0.89999999999999991</c:v>
                </c:pt>
                <c:pt idx="13">
                  <c:v>1.1000000000000001</c:v>
                </c:pt>
                <c:pt idx="14">
                  <c:v>1.2999999999999998</c:v>
                </c:pt>
                <c:pt idx="15">
                  <c:v>1.5</c:v>
                </c:pt>
                <c:pt idx="16">
                  <c:v>1.7000000000000002</c:v>
                </c:pt>
                <c:pt idx="17">
                  <c:v>1.9</c:v>
                </c:pt>
                <c:pt idx="18">
                  <c:v>2.1</c:v>
                </c:pt>
                <c:pt idx="19">
                  <c:v>2.2999999999999998</c:v>
                </c:pt>
                <c:pt idx="20">
                  <c:v>2.5</c:v>
                </c:pt>
                <c:pt idx="21">
                  <c:v>2.7</c:v>
                </c:pt>
                <c:pt idx="22">
                  <c:v>2.9000000000000004</c:v>
                </c:pt>
                <c:pt idx="23">
                  <c:v>3.0999999999999996</c:v>
                </c:pt>
                <c:pt idx="24">
                  <c:v>3.3</c:v>
                </c:pt>
                <c:pt idx="25">
                  <c:v>3.5</c:v>
                </c:pt>
                <c:pt idx="26">
                  <c:v>3.7</c:v>
                </c:pt>
                <c:pt idx="27">
                  <c:v>3.9000000000000004</c:v>
                </c:pt>
                <c:pt idx="28">
                  <c:v>4.0999999999999996</c:v>
                </c:pt>
                <c:pt idx="29">
                  <c:v>4.3</c:v>
                </c:pt>
                <c:pt idx="30">
                  <c:v>4.5</c:v>
                </c:pt>
                <c:pt idx="31">
                  <c:v>4.7</c:v>
                </c:pt>
                <c:pt idx="32">
                  <c:v>4.9000000000000004</c:v>
                </c:pt>
                <c:pt idx="33">
                  <c:v>5.0999999999999996</c:v>
                </c:pt>
                <c:pt idx="34">
                  <c:v>5.3</c:v>
                </c:pt>
                <c:pt idx="35">
                  <c:v>5.5</c:v>
                </c:pt>
                <c:pt idx="36">
                  <c:v>5.7</c:v>
                </c:pt>
                <c:pt idx="37">
                  <c:v>5.9</c:v>
                </c:pt>
                <c:pt idx="38">
                  <c:v>6.1</c:v>
                </c:pt>
                <c:pt idx="39">
                  <c:v>6.3</c:v>
                </c:pt>
                <c:pt idx="40">
                  <c:v>6.5</c:v>
                </c:pt>
                <c:pt idx="41">
                  <c:v>6.6999999999999993</c:v>
                </c:pt>
                <c:pt idx="42">
                  <c:v>6.9</c:v>
                </c:pt>
                <c:pt idx="43">
                  <c:v>7.1</c:v>
                </c:pt>
                <c:pt idx="44">
                  <c:v>7.3000000000000007</c:v>
                </c:pt>
                <c:pt idx="45">
                  <c:v>7.5</c:v>
                </c:pt>
                <c:pt idx="46">
                  <c:v>7.6999999999999993</c:v>
                </c:pt>
                <c:pt idx="47">
                  <c:v>7.9</c:v>
                </c:pt>
                <c:pt idx="48">
                  <c:v>8.1</c:v>
                </c:pt>
                <c:pt idx="49">
                  <c:v>8.3000000000000007</c:v>
                </c:pt>
                <c:pt idx="50">
                  <c:v>8.5</c:v>
                </c:pt>
                <c:pt idx="51">
                  <c:v>8.6999999999999993</c:v>
                </c:pt>
                <c:pt idx="52">
                  <c:v>8.9</c:v>
                </c:pt>
                <c:pt idx="53">
                  <c:v>9.1</c:v>
                </c:pt>
                <c:pt idx="54">
                  <c:v>9.3000000000000007</c:v>
                </c:pt>
                <c:pt idx="55">
                  <c:v>9.5</c:v>
                </c:pt>
                <c:pt idx="56">
                  <c:v>9.6999999999999993</c:v>
                </c:pt>
                <c:pt idx="57">
                  <c:v>9.9</c:v>
                </c:pt>
                <c:pt idx="58">
                  <c:v>10.1</c:v>
                </c:pt>
                <c:pt idx="59">
                  <c:v>10.3</c:v>
                </c:pt>
                <c:pt idx="60">
                  <c:v>10.5</c:v>
                </c:pt>
                <c:pt idx="61">
                  <c:v>10.7</c:v>
                </c:pt>
                <c:pt idx="62">
                  <c:v>10.9</c:v>
                </c:pt>
                <c:pt idx="63">
                  <c:v>11.1</c:v>
                </c:pt>
                <c:pt idx="64">
                  <c:v>11.3</c:v>
                </c:pt>
                <c:pt idx="65">
                  <c:v>11.5</c:v>
                </c:pt>
                <c:pt idx="66">
                  <c:v>11.7</c:v>
                </c:pt>
                <c:pt idx="67">
                  <c:v>11.9</c:v>
                </c:pt>
                <c:pt idx="68">
                  <c:v>12.1</c:v>
                </c:pt>
                <c:pt idx="69">
                  <c:v>12.3</c:v>
                </c:pt>
                <c:pt idx="70">
                  <c:v>12.5</c:v>
                </c:pt>
              </c:numCache>
            </c:numRef>
          </c:yVal>
        </c:ser>
        <c:ser>
          <c:idx val="3"/>
          <c:order val="3"/>
          <c:tx>
            <c:strRef>
              <c:f>Sheet1!$E$5</c:f>
              <c:strCache>
                <c:ptCount val="1"/>
                <c:pt idx="0">
                  <c:v>[Al(OH)3]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Sheet1!$E$6:$E$76</c:f>
              <c:numCache>
                <c:formatCode>General</c:formatCode>
                <c:ptCount val="71"/>
                <c:pt idx="0">
                  <c:v>4.2</c:v>
                </c:pt>
                <c:pt idx="1">
                  <c:v>4.2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4.2</c:v>
                </c:pt>
                <c:pt idx="6">
                  <c:v>4.2</c:v>
                </c:pt>
                <c:pt idx="7">
                  <c:v>4.2</c:v>
                </c:pt>
                <c:pt idx="8">
                  <c:v>4.2</c:v>
                </c:pt>
                <c:pt idx="9">
                  <c:v>4.2</c:v>
                </c:pt>
                <c:pt idx="10">
                  <c:v>4.2</c:v>
                </c:pt>
                <c:pt idx="11">
                  <c:v>4.2</c:v>
                </c:pt>
                <c:pt idx="12">
                  <c:v>4.2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4.2</c:v>
                </c:pt>
                <c:pt idx="26">
                  <c:v>4.2</c:v>
                </c:pt>
                <c:pt idx="27">
                  <c:v>4.2</c:v>
                </c:pt>
                <c:pt idx="28">
                  <c:v>4.2</c:v>
                </c:pt>
                <c:pt idx="29">
                  <c:v>4.2</c:v>
                </c:pt>
                <c:pt idx="30">
                  <c:v>4.2</c:v>
                </c:pt>
                <c:pt idx="31">
                  <c:v>4.2</c:v>
                </c:pt>
                <c:pt idx="32">
                  <c:v>4.2</c:v>
                </c:pt>
                <c:pt idx="33">
                  <c:v>4.2</c:v>
                </c:pt>
                <c:pt idx="34">
                  <c:v>4.2</c:v>
                </c:pt>
                <c:pt idx="35">
                  <c:v>4.2</c:v>
                </c:pt>
                <c:pt idx="36">
                  <c:v>4.2</c:v>
                </c:pt>
                <c:pt idx="37">
                  <c:v>4.2</c:v>
                </c:pt>
                <c:pt idx="38">
                  <c:v>4.2</c:v>
                </c:pt>
                <c:pt idx="39">
                  <c:v>4.2</c:v>
                </c:pt>
                <c:pt idx="40">
                  <c:v>4.2</c:v>
                </c:pt>
                <c:pt idx="41">
                  <c:v>4.2</c:v>
                </c:pt>
                <c:pt idx="42">
                  <c:v>4.2</c:v>
                </c:pt>
                <c:pt idx="43">
                  <c:v>4.2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4.2</c:v>
                </c:pt>
                <c:pt idx="48">
                  <c:v>4.2</c:v>
                </c:pt>
                <c:pt idx="49">
                  <c:v>4.2</c:v>
                </c:pt>
                <c:pt idx="50">
                  <c:v>4.2</c:v>
                </c:pt>
                <c:pt idx="51">
                  <c:v>4.2</c:v>
                </c:pt>
                <c:pt idx="52">
                  <c:v>4.2</c:v>
                </c:pt>
                <c:pt idx="53">
                  <c:v>4.2</c:v>
                </c:pt>
                <c:pt idx="54">
                  <c:v>4.2</c:v>
                </c:pt>
                <c:pt idx="55">
                  <c:v>4.2</c:v>
                </c:pt>
                <c:pt idx="56">
                  <c:v>4.2</c:v>
                </c:pt>
                <c:pt idx="57">
                  <c:v>4.2</c:v>
                </c:pt>
                <c:pt idx="58">
                  <c:v>4.2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4.2</c:v>
                </c:pt>
                <c:pt idx="64">
                  <c:v>4.2</c:v>
                </c:pt>
                <c:pt idx="65">
                  <c:v>4.2</c:v>
                </c:pt>
                <c:pt idx="66">
                  <c:v>4.2</c:v>
                </c:pt>
                <c:pt idx="67">
                  <c:v>4.2</c:v>
                </c:pt>
                <c:pt idx="68">
                  <c:v>4.2</c:v>
                </c:pt>
                <c:pt idx="69">
                  <c:v>4.2</c:v>
                </c:pt>
                <c:pt idx="70">
                  <c:v>4.2</c:v>
                </c:pt>
              </c:numCache>
            </c:numRef>
          </c:yVal>
        </c:ser>
        <c:ser>
          <c:idx val="4"/>
          <c:order val="4"/>
          <c:tx>
            <c:strRef>
              <c:f>Sheet1!$F$5</c:f>
              <c:strCache>
                <c:ptCount val="1"/>
                <c:pt idx="0">
                  <c:v>[Al(OH)4-1]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Sheet1!$F$6:$F$76</c:f>
              <c:numCache>
                <c:formatCode>General</c:formatCode>
                <c:ptCount val="71"/>
                <c:pt idx="0">
                  <c:v>12.2</c:v>
                </c:pt>
                <c:pt idx="1">
                  <c:v>12</c:v>
                </c:pt>
                <c:pt idx="2">
                  <c:v>11.799999999999999</c:v>
                </c:pt>
                <c:pt idx="3">
                  <c:v>11.6</c:v>
                </c:pt>
                <c:pt idx="4">
                  <c:v>11.399999999999999</c:v>
                </c:pt>
                <c:pt idx="5">
                  <c:v>11.2</c:v>
                </c:pt>
                <c:pt idx="6">
                  <c:v>11</c:v>
                </c:pt>
                <c:pt idx="7">
                  <c:v>10.799999999999999</c:v>
                </c:pt>
                <c:pt idx="8">
                  <c:v>10.6</c:v>
                </c:pt>
                <c:pt idx="9">
                  <c:v>10.399999999999999</c:v>
                </c:pt>
                <c:pt idx="10">
                  <c:v>10.199999999999999</c:v>
                </c:pt>
                <c:pt idx="11">
                  <c:v>10</c:v>
                </c:pt>
                <c:pt idx="12">
                  <c:v>9.7999999999999989</c:v>
                </c:pt>
                <c:pt idx="13">
                  <c:v>9.6</c:v>
                </c:pt>
                <c:pt idx="14">
                  <c:v>9.3999999999999986</c:v>
                </c:pt>
                <c:pt idx="15">
                  <c:v>9.1999999999999993</c:v>
                </c:pt>
                <c:pt idx="16">
                  <c:v>9</c:v>
                </c:pt>
                <c:pt idx="17">
                  <c:v>8.7999999999999989</c:v>
                </c:pt>
                <c:pt idx="18">
                  <c:v>8.6</c:v>
                </c:pt>
                <c:pt idx="19">
                  <c:v>8.3999999999999986</c:v>
                </c:pt>
                <c:pt idx="20">
                  <c:v>8.1999999999999993</c:v>
                </c:pt>
                <c:pt idx="21">
                  <c:v>7.9999999999999991</c:v>
                </c:pt>
                <c:pt idx="22">
                  <c:v>7.7999999999999989</c:v>
                </c:pt>
                <c:pt idx="23">
                  <c:v>7.6</c:v>
                </c:pt>
                <c:pt idx="24">
                  <c:v>7.3999999999999995</c:v>
                </c:pt>
                <c:pt idx="25">
                  <c:v>7.1999999999999993</c:v>
                </c:pt>
                <c:pt idx="26">
                  <c:v>6.9999999999999991</c:v>
                </c:pt>
                <c:pt idx="27">
                  <c:v>6.7999999999999989</c:v>
                </c:pt>
                <c:pt idx="28">
                  <c:v>6.6</c:v>
                </c:pt>
                <c:pt idx="29">
                  <c:v>6.3999999999999995</c:v>
                </c:pt>
                <c:pt idx="30">
                  <c:v>6.1999999999999993</c:v>
                </c:pt>
                <c:pt idx="31">
                  <c:v>5.9999999999999991</c:v>
                </c:pt>
                <c:pt idx="32">
                  <c:v>5.7999999999999989</c:v>
                </c:pt>
                <c:pt idx="33">
                  <c:v>5.6</c:v>
                </c:pt>
                <c:pt idx="34">
                  <c:v>5.3999999999999995</c:v>
                </c:pt>
                <c:pt idx="35">
                  <c:v>5.1999999999999993</c:v>
                </c:pt>
                <c:pt idx="36">
                  <c:v>4.9999999999999991</c:v>
                </c:pt>
                <c:pt idx="37">
                  <c:v>4.7999999999999989</c:v>
                </c:pt>
                <c:pt idx="38">
                  <c:v>4.5999999999999996</c:v>
                </c:pt>
                <c:pt idx="39">
                  <c:v>4.3999999999999995</c:v>
                </c:pt>
                <c:pt idx="40">
                  <c:v>4.1999999999999993</c:v>
                </c:pt>
                <c:pt idx="41">
                  <c:v>4</c:v>
                </c:pt>
                <c:pt idx="42">
                  <c:v>3.7999999999999989</c:v>
                </c:pt>
                <c:pt idx="43">
                  <c:v>3.5999999999999996</c:v>
                </c:pt>
                <c:pt idx="44">
                  <c:v>3.3999999999999986</c:v>
                </c:pt>
                <c:pt idx="45">
                  <c:v>3.1999999999999993</c:v>
                </c:pt>
                <c:pt idx="46">
                  <c:v>3</c:v>
                </c:pt>
                <c:pt idx="47">
                  <c:v>2.7999999999999989</c:v>
                </c:pt>
                <c:pt idx="48">
                  <c:v>2.5999999999999996</c:v>
                </c:pt>
                <c:pt idx="49">
                  <c:v>2.3999999999999986</c:v>
                </c:pt>
                <c:pt idx="50">
                  <c:v>2.1999999999999993</c:v>
                </c:pt>
                <c:pt idx="51">
                  <c:v>2</c:v>
                </c:pt>
                <c:pt idx="52">
                  <c:v>1.7999999999999989</c:v>
                </c:pt>
                <c:pt idx="53">
                  <c:v>1.5999999999999996</c:v>
                </c:pt>
                <c:pt idx="54">
                  <c:v>1.3999999999999986</c:v>
                </c:pt>
                <c:pt idx="55">
                  <c:v>1.1999999999999993</c:v>
                </c:pt>
                <c:pt idx="56">
                  <c:v>1</c:v>
                </c:pt>
                <c:pt idx="57">
                  <c:v>0.79999999999999893</c:v>
                </c:pt>
                <c:pt idx="58">
                  <c:v>0.59999999999999964</c:v>
                </c:pt>
                <c:pt idx="59">
                  <c:v>0.39999999999999858</c:v>
                </c:pt>
                <c:pt idx="60">
                  <c:v>0.19999999999999929</c:v>
                </c:pt>
                <c:pt idx="61">
                  <c:v>0</c:v>
                </c:pt>
                <c:pt idx="62">
                  <c:v>-0.20000000000000107</c:v>
                </c:pt>
                <c:pt idx="63">
                  <c:v>-0.40000000000000036</c:v>
                </c:pt>
                <c:pt idx="64">
                  <c:v>-0.60000000000000142</c:v>
                </c:pt>
                <c:pt idx="65">
                  <c:v>-0.80000000000000071</c:v>
                </c:pt>
                <c:pt idx="66">
                  <c:v>-1</c:v>
                </c:pt>
                <c:pt idx="67">
                  <c:v>-1.2000000000000011</c:v>
                </c:pt>
                <c:pt idx="68">
                  <c:v>-1.4000000000000004</c:v>
                </c:pt>
                <c:pt idx="69">
                  <c:v>-1.6000000000000014</c:v>
                </c:pt>
                <c:pt idx="70">
                  <c:v>-1.8000000000000007</c:v>
                </c:pt>
              </c:numCache>
            </c:numRef>
          </c:yVal>
        </c:ser>
        <c:ser>
          <c:idx val="5"/>
          <c:order val="5"/>
          <c:tx>
            <c:strRef>
              <c:f>Sheet1!$G$5</c:f>
              <c:strCache>
                <c:ptCount val="1"/>
                <c:pt idx="0">
                  <c:v>[Al2(OH)2+4]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Sheet1!$G$6:$G$76</c:f>
              <c:numCache>
                <c:formatCode>General</c:formatCode>
                <c:ptCount val="71"/>
                <c:pt idx="0">
                  <c:v>-13.9</c:v>
                </c:pt>
                <c:pt idx="1">
                  <c:v>-13.1</c:v>
                </c:pt>
                <c:pt idx="2">
                  <c:v>-12.3</c:v>
                </c:pt>
                <c:pt idx="3">
                  <c:v>-11.5</c:v>
                </c:pt>
                <c:pt idx="4">
                  <c:v>-10.7</c:v>
                </c:pt>
                <c:pt idx="5">
                  <c:v>-9.9</c:v>
                </c:pt>
                <c:pt idx="6">
                  <c:v>-9.1000000000000014</c:v>
                </c:pt>
                <c:pt idx="7">
                  <c:v>-8.3000000000000007</c:v>
                </c:pt>
                <c:pt idx="8">
                  <c:v>-7.5</c:v>
                </c:pt>
                <c:pt idx="9">
                  <c:v>-6.7</c:v>
                </c:pt>
                <c:pt idx="10">
                  <c:v>-5.9</c:v>
                </c:pt>
                <c:pt idx="11">
                  <c:v>-5.0999999999999996</c:v>
                </c:pt>
                <c:pt idx="12">
                  <c:v>-4.3000000000000007</c:v>
                </c:pt>
                <c:pt idx="13">
                  <c:v>-3.5</c:v>
                </c:pt>
                <c:pt idx="14">
                  <c:v>-2.7000000000000011</c:v>
                </c:pt>
                <c:pt idx="15">
                  <c:v>-1.9000000000000004</c:v>
                </c:pt>
                <c:pt idx="16">
                  <c:v>-1.0999999999999996</c:v>
                </c:pt>
                <c:pt idx="17">
                  <c:v>-0.30000000000000071</c:v>
                </c:pt>
                <c:pt idx="18">
                  <c:v>0.5</c:v>
                </c:pt>
                <c:pt idx="19">
                  <c:v>1.2999999999999989</c:v>
                </c:pt>
                <c:pt idx="20">
                  <c:v>2.0999999999999996</c:v>
                </c:pt>
                <c:pt idx="21">
                  <c:v>2.9000000000000004</c:v>
                </c:pt>
                <c:pt idx="22">
                  <c:v>3.7000000000000011</c:v>
                </c:pt>
                <c:pt idx="23">
                  <c:v>4.4999999999999982</c:v>
                </c:pt>
                <c:pt idx="24">
                  <c:v>5.2999999999999989</c:v>
                </c:pt>
                <c:pt idx="25">
                  <c:v>6.1</c:v>
                </c:pt>
                <c:pt idx="26">
                  <c:v>6.9</c:v>
                </c:pt>
                <c:pt idx="27">
                  <c:v>7.7000000000000011</c:v>
                </c:pt>
                <c:pt idx="28">
                  <c:v>8.4999999999999982</c:v>
                </c:pt>
                <c:pt idx="29">
                  <c:v>9.2999999999999989</c:v>
                </c:pt>
                <c:pt idx="30">
                  <c:v>10.1</c:v>
                </c:pt>
                <c:pt idx="31">
                  <c:v>10.9</c:v>
                </c:pt>
                <c:pt idx="32">
                  <c:v>11.700000000000001</c:v>
                </c:pt>
                <c:pt idx="33">
                  <c:v>12.499999999999998</c:v>
                </c:pt>
                <c:pt idx="34">
                  <c:v>13.299999999999999</c:v>
                </c:pt>
                <c:pt idx="35">
                  <c:v>14.1</c:v>
                </c:pt>
                <c:pt idx="36">
                  <c:v>14.9</c:v>
                </c:pt>
                <c:pt idx="37">
                  <c:v>15.700000000000001</c:v>
                </c:pt>
                <c:pt idx="38">
                  <c:v>16.5</c:v>
                </c:pt>
                <c:pt idx="39">
                  <c:v>17.299999999999997</c:v>
                </c:pt>
                <c:pt idx="40">
                  <c:v>18.100000000000001</c:v>
                </c:pt>
                <c:pt idx="41">
                  <c:v>18.899999999999999</c:v>
                </c:pt>
                <c:pt idx="42">
                  <c:v>19.700000000000003</c:v>
                </c:pt>
                <c:pt idx="43">
                  <c:v>20.5</c:v>
                </c:pt>
                <c:pt idx="44">
                  <c:v>21.300000000000004</c:v>
                </c:pt>
                <c:pt idx="45">
                  <c:v>22.1</c:v>
                </c:pt>
                <c:pt idx="46">
                  <c:v>22.9</c:v>
                </c:pt>
                <c:pt idx="47">
                  <c:v>23.700000000000003</c:v>
                </c:pt>
                <c:pt idx="48">
                  <c:v>24.5</c:v>
                </c:pt>
                <c:pt idx="49">
                  <c:v>25.300000000000004</c:v>
                </c:pt>
                <c:pt idx="50">
                  <c:v>26.1</c:v>
                </c:pt>
                <c:pt idx="51">
                  <c:v>26.9</c:v>
                </c:pt>
                <c:pt idx="52">
                  <c:v>27.700000000000003</c:v>
                </c:pt>
                <c:pt idx="53">
                  <c:v>28.5</c:v>
                </c:pt>
                <c:pt idx="54">
                  <c:v>29.300000000000004</c:v>
                </c:pt>
                <c:pt idx="55">
                  <c:v>30.1</c:v>
                </c:pt>
                <c:pt idx="56">
                  <c:v>30.9</c:v>
                </c:pt>
                <c:pt idx="57">
                  <c:v>31.700000000000003</c:v>
                </c:pt>
                <c:pt idx="58">
                  <c:v>32.5</c:v>
                </c:pt>
                <c:pt idx="59">
                  <c:v>33.300000000000004</c:v>
                </c:pt>
                <c:pt idx="60">
                  <c:v>34.1</c:v>
                </c:pt>
                <c:pt idx="61">
                  <c:v>34.9</c:v>
                </c:pt>
                <c:pt idx="62">
                  <c:v>35.700000000000003</c:v>
                </c:pt>
                <c:pt idx="63">
                  <c:v>36.5</c:v>
                </c:pt>
                <c:pt idx="64">
                  <c:v>37.300000000000004</c:v>
                </c:pt>
                <c:pt idx="65">
                  <c:v>38.1</c:v>
                </c:pt>
                <c:pt idx="66">
                  <c:v>38.9</c:v>
                </c:pt>
                <c:pt idx="67">
                  <c:v>39.700000000000003</c:v>
                </c:pt>
                <c:pt idx="68">
                  <c:v>40.5</c:v>
                </c:pt>
                <c:pt idx="69">
                  <c:v>41.300000000000004</c:v>
                </c:pt>
                <c:pt idx="70">
                  <c:v>42.1</c:v>
                </c:pt>
              </c:numCache>
            </c:numRef>
          </c:yVal>
        </c:ser>
        <c:ser>
          <c:idx val="6"/>
          <c:order val="6"/>
          <c:tx>
            <c:strRef>
              <c:f>Sheet1!$H$5</c:f>
              <c:strCache>
                <c:ptCount val="1"/>
                <c:pt idx="0">
                  <c:v>Alt</c:v>
                </c:pt>
              </c:strCache>
            </c:strRef>
          </c:tx>
          <c:spPr>
            <a:ln w="254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Sheet1!$H$6:$H$76</c:f>
              <c:numCache>
                <c:formatCode>General</c:formatCode>
                <c:ptCount val="71"/>
                <c:pt idx="0">
                  <c:v>-10.800004342923105</c:v>
                </c:pt>
                <c:pt idx="1">
                  <c:v>-10.200006883049134</c:v>
                </c:pt>
                <c:pt idx="2">
                  <c:v>-9.6000109088471568</c:v>
                </c:pt>
                <c:pt idx="3">
                  <c:v>-9.0000172892305912</c:v>
                </c:pt>
                <c:pt idx="4">
                  <c:v>-8.4000274012648593</c:v>
                </c:pt>
                <c:pt idx="5">
                  <c:v>-7.8000434272768624</c:v>
                </c:pt>
                <c:pt idx="6">
                  <c:v>-7.2000688255828731</c:v>
                </c:pt>
                <c:pt idx="7">
                  <c:v>-6.6001090761428669</c:v>
                </c:pt>
                <c:pt idx="8">
                  <c:v>-6.0001728613409897</c:v>
                </c:pt>
                <c:pt idx="9">
                  <c:v>-5.4002739348814961</c:v>
                </c:pt>
                <c:pt idx="10">
                  <c:v>-4.8004340774793191</c:v>
                </c:pt>
                <c:pt idx="11">
                  <c:v>-4.2006877654943207</c:v>
                </c:pt>
                <c:pt idx="12">
                  <c:v>-3.6010895305999795</c:v>
                </c:pt>
                <c:pt idx="13">
                  <c:v>-3.0017255250289012</c:v>
                </c:pt>
                <c:pt idx="14">
                  <c:v>-2.4027316043356248</c:v>
                </c:pt>
                <c:pt idx="15">
                  <c:v>-1.804321373786943</c:v>
                </c:pt>
                <c:pt idx="16">
                  <c:v>-1.2068291283394268</c:v>
                </c:pt>
                <c:pt idx="17">
                  <c:v>-0.61077422568061757</c:v>
                </c:pt>
                <c:pt idx="18">
                  <c:v>-1.6954290328664783E-2</c:v>
                </c:pt>
                <c:pt idx="19">
                  <c:v>0.57342761792931063</c:v>
                </c:pt>
                <c:pt idx="20">
                  <c:v>1.1586072753604595</c:v>
                </c:pt>
                <c:pt idx="21">
                  <c:v>1.7361077293233926</c:v>
                </c:pt>
                <c:pt idx="22">
                  <c:v>2.3026758244415473</c:v>
                </c:pt>
                <c:pt idx="23">
                  <c:v>2.8544517342798623</c:v>
                </c:pt>
                <c:pt idx="24">
                  <c:v>3.387515196413045</c:v>
                </c:pt>
                <c:pt idx="25">
                  <c:v>3.8987529113637875</c:v>
                </c:pt>
                <c:pt idx="26">
                  <c:v>4.3864986014223026</c:v>
                </c:pt>
                <c:pt idx="27">
                  <c:v>4.8495640733873948</c:v>
                </c:pt>
                <c:pt idx="28">
                  <c:v>5.2813106543656332</c:v>
                </c:pt>
                <c:pt idx="29">
                  <c:v>5.6508800895630227</c:v>
                </c:pt>
                <c:pt idx="30">
                  <c:v>5.8777807052660798</c:v>
                </c:pt>
                <c:pt idx="31">
                  <c:v>5.897210505553808</c:v>
                </c:pt>
                <c:pt idx="32">
                  <c:v>5.7724026822296173</c:v>
                </c:pt>
                <c:pt idx="33">
                  <c:v>5.5930007067425294</c:v>
                </c:pt>
                <c:pt idx="34">
                  <c:v>5.3982471823567737</c:v>
                </c:pt>
                <c:pt idx="35">
                  <c:v>5.1995615839361387</c:v>
                </c:pt>
                <c:pt idx="36">
                  <c:v>4.9998902357201622</c:v>
                </c:pt>
                <c:pt idx="37">
                  <c:v>4.7999724896521929</c:v>
                </c:pt>
                <c:pt idx="38">
                  <c:v>4.5999930996615639</c:v>
                </c:pt>
                <c:pt idx="39">
                  <c:v>4.3999982683057652</c:v>
                </c:pt>
                <c:pt idx="40">
                  <c:v>4.1999995652714395</c:v>
                </c:pt>
                <c:pt idx="41">
                  <c:v>3.999999890841341</c:v>
                </c:pt>
                <c:pt idx="42">
                  <c:v>3.7999999725869613</c:v>
                </c:pt>
                <c:pt idx="43">
                  <c:v>3.5999999931151665</c:v>
                </c:pt>
                <c:pt idx="44">
                  <c:v>3.3999999982707667</c:v>
                </c:pt>
                <c:pt idx="45">
                  <c:v>3.1999999995656609</c:v>
                </c:pt>
                <c:pt idx="46">
                  <c:v>2.9999999998909028</c:v>
                </c:pt>
                <c:pt idx="47">
                  <c:v>2.7999999999725955</c:v>
                </c:pt>
                <c:pt idx="48">
                  <c:v>2.5999999999931158</c:v>
                </c:pt>
                <c:pt idx="49">
                  <c:v>2.3999999999982693</c:v>
                </c:pt>
                <c:pt idx="50">
                  <c:v>2.199999999999565</c:v>
                </c:pt>
                <c:pt idx="51">
                  <c:v>1.9999999999998908</c:v>
                </c:pt>
                <c:pt idx="52">
                  <c:v>1.7999999999999716</c:v>
                </c:pt>
                <c:pt idx="53">
                  <c:v>1.5999999999999925</c:v>
                </c:pt>
                <c:pt idx="54">
                  <c:v>1.3999999999999968</c:v>
                </c:pt>
                <c:pt idx="55">
                  <c:v>1.1999999999999988</c:v>
                </c:pt>
                <c:pt idx="56">
                  <c:v>0.99999999999999978</c:v>
                </c:pt>
                <c:pt idx="57">
                  <c:v>0.79999999999999893</c:v>
                </c:pt>
                <c:pt idx="58">
                  <c:v>0.59999999999999953</c:v>
                </c:pt>
                <c:pt idx="59">
                  <c:v>0.39999999999999852</c:v>
                </c:pt>
                <c:pt idx="60">
                  <c:v>0.19999999999999929</c:v>
                </c:pt>
                <c:pt idx="61">
                  <c:v>-</c:v>
                </c:pt>
                <c:pt idx="62">
                  <c:v>-0.20000000000000107</c:v>
                </c:pt>
                <c:pt idx="63">
                  <c:v>-0.40000000000000036</c:v>
                </c:pt>
                <c:pt idx="64">
                  <c:v>-0.60000000000000142</c:v>
                </c:pt>
                <c:pt idx="65">
                  <c:v>-0.80000000000000071</c:v>
                </c:pt>
                <c:pt idx="66">
                  <c:v>-1</c:v>
                </c:pt>
                <c:pt idx="67">
                  <c:v>-1.2000000000000008</c:v>
                </c:pt>
                <c:pt idx="68">
                  <c:v>-1.4000000000000001</c:v>
                </c:pt>
                <c:pt idx="69">
                  <c:v>-1.6000000000000014</c:v>
                </c:pt>
                <c:pt idx="70">
                  <c:v>-1.8000000000000005</c:v>
                </c:pt>
              </c:numCache>
            </c:numRef>
          </c:yVal>
        </c:ser>
        <c:dLbls/>
        <c:axId val="66725760"/>
        <c:axId val="66740608"/>
      </c:scatterChart>
      <c:valAx>
        <c:axId val="66725760"/>
        <c:scaling>
          <c:orientation val="minMax"/>
          <c:max val="9"/>
          <c:min val="5"/>
        </c:scaling>
        <c:axPos val="t"/>
        <c:numFmt formatCode="General" sourceLinked="1"/>
        <c:maj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6740608"/>
        <c:crossesAt val="15"/>
        <c:crossBetween val="midCat"/>
      </c:valAx>
      <c:valAx>
        <c:axId val="66740608"/>
        <c:scaling>
          <c:orientation val="maxMin"/>
          <c:max val="6"/>
          <c:min val="3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pC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maj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6725760"/>
        <c:crosses val="autoZero"/>
        <c:crossBetween val="midCat"/>
        <c:majorUnit val="1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/>
    </c:legend>
    <c:plotVisOnly val="1"/>
    <c:dispBlanksAs val="gap"/>
  </c:chart>
  <c:spPr>
    <a:noFill/>
    <a:ln w="9525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Sheet1!$I$5</c:f>
              <c:strCache>
                <c:ptCount val="1"/>
                <c:pt idx="0">
                  <c:v>mg/L Al</c:v>
                </c:pt>
              </c:strCache>
            </c:strRef>
          </c:tx>
          <c:marker>
            <c:symbol val="none"/>
          </c:marker>
          <c:xVal>
            <c:numRef>
              <c:f>Sheet1!$A$6:$A$76</c:f>
              <c:numCache>
                <c:formatCode>General</c:formatCode>
                <c:ptCount val="7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</c:numCache>
            </c:numRef>
          </c:xVal>
          <c:yVal>
            <c:numRef>
              <c:f>Sheet1!$I$6:$I$76</c:f>
              <c:numCache>
                <c:formatCode>General</c:formatCode>
                <c:ptCount val="71"/>
                <c:pt idx="0">
                  <c:v>1.703601865944823E+18</c:v>
                </c:pt>
                <c:pt idx="1">
                  <c:v>4.2792794405786554E+17</c:v>
                </c:pt>
                <c:pt idx="2">
                  <c:v>1.0749163604944461E+17</c:v>
                </c:pt>
                <c:pt idx="3">
                  <c:v>2.7001074889360464E+16</c:v>
                </c:pt>
                <c:pt idx="4">
                  <c:v>6782521286237819</c:v>
                </c:pt>
                <c:pt idx="5">
                  <c:v>1703755188579530.2</c:v>
                </c:pt>
                <c:pt idx="6">
                  <c:v>427988982898151.19</c:v>
                </c:pt>
                <c:pt idx="7">
                  <c:v>107515936049444.34</c:v>
                </c:pt>
                <c:pt idx="8">
                  <c:v>27010748893604.902</c:v>
                </c:pt>
                <c:pt idx="9">
                  <c:v>6786372576695.5059</c:v>
                </c:pt>
                <c:pt idx="10">
                  <c:v>1705288414926.6199</c:v>
                </c:pt>
                <c:pt idx="11">
                  <c:v>428599371301.01019</c:v>
                </c:pt>
                <c:pt idx="12">
                  <c:v>107758936049.44878</c:v>
                </c:pt>
                <c:pt idx="13">
                  <c:v>27107488936.056213</c:v>
                </c:pt>
                <c:pt idx="14">
                  <c:v>6824885481.2830963</c:v>
                </c:pt>
                <c:pt idx="15">
                  <c:v>1720620678.4145248</c:v>
                </c:pt>
                <c:pt idx="16">
                  <c:v>434703255.35657579</c:v>
                </c:pt>
                <c:pt idx="17">
                  <c:v>110188936.0922367</c:v>
                </c:pt>
                <c:pt idx="18">
                  <c:v>28074889.428315375</c:v>
                </c:pt>
                <c:pt idx="19">
                  <c:v>7210014.6345293354</c:v>
                </c:pt>
                <c:pt idx="20">
                  <c:v>1873943.4834646599</c:v>
                </c:pt>
                <c:pt idx="21">
                  <c:v>495742.36561525892</c:v>
                </c:pt>
                <c:pt idx="22">
                  <c:v>134489.36397060615</c:v>
                </c:pt>
                <c:pt idx="23">
                  <c:v>37749.57181428108</c:v>
                </c:pt>
                <c:pt idx="24">
                  <c:v>11062.379874081415</c:v>
                </c:pt>
                <c:pt idx="25">
                  <c:v>3408.8732450231482</c:v>
                </c:pt>
                <c:pt idx="26">
                  <c:v>1108.8304984720867</c:v>
                </c:pt>
                <c:pt idx="27">
                  <c:v>381.76814766908842</c:v>
                </c:pt>
                <c:pt idx="28">
                  <c:v>141.27102941452057</c:v>
                </c:pt>
                <c:pt idx="29">
                  <c:v>60.323103166470439</c:v>
                </c:pt>
                <c:pt idx="30">
                  <c:v>35.775281432027036</c:v>
                </c:pt>
                <c:pt idx="31">
                  <c:v>34.210014527040521</c:v>
                </c:pt>
                <c:pt idx="32">
                  <c:v>45.599605132499697</c:v>
                </c:pt>
                <c:pt idx="33">
                  <c:v>68.922823011253129</c:v>
                </c:pt>
                <c:pt idx="34">
                  <c:v>107.92363930477408</c:v>
                </c:pt>
                <c:pt idx="35">
                  <c:v>170.53054507749238</c:v>
                </c:pt>
                <c:pt idx="36">
                  <c:v>270.06824885481325</c:v>
                </c:pt>
                <c:pt idx="37">
                  <c:v>427.94826945343846</c:v>
                </c:pt>
                <c:pt idx="38">
                  <c:v>678.22011240119343</c:v>
                </c:pt>
                <c:pt idx="39">
                  <c:v>1074.8936464881569</c:v>
                </c:pt>
                <c:pt idx="40">
                  <c:v>1703.5865353849433</c:v>
                </c:pt>
                <c:pt idx="41">
                  <c:v>2700.0006786372583</c:v>
                </c:pt>
                <c:pt idx="42">
                  <c:v>4279.2118897525079</c:v>
                </c:pt>
                <c:pt idx="43">
                  <c:v>6782.0934725918178</c:v>
                </c:pt>
                <c:pt idx="44">
                  <c:v>10748.893647743369</c:v>
                </c:pt>
                <c:pt idx="45">
                  <c:v>17035.848318002816</c:v>
                </c:pt>
                <c:pt idx="46">
                  <c:v>27000.000006782549</c:v>
                </c:pt>
                <c:pt idx="47">
                  <c:v>42792.116199150289</c:v>
                </c:pt>
                <c:pt idx="48">
                  <c:v>67820.933651833708</c:v>
                </c:pt>
                <c:pt idx="49">
                  <c:v>107488.93604987262</c:v>
                </c:pt>
                <c:pt idx="50">
                  <c:v>170358.48300982281</c:v>
                </c:pt>
                <c:pt idx="51">
                  <c:v>270000.00000006793</c:v>
                </c:pt>
                <c:pt idx="52">
                  <c:v>427921.16196452861</c:v>
                </c:pt>
                <c:pt idx="53">
                  <c:v>678209.33650759829</c:v>
                </c:pt>
                <c:pt idx="54">
                  <c:v>1074889.3604944504</c:v>
                </c:pt>
                <c:pt idx="55">
                  <c:v>1703584.8300965263</c:v>
                </c:pt>
                <c:pt idx="56">
                  <c:v>2700000.0000000009</c:v>
                </c:pt>
                <c:pt idx="57">
                  <c:v>4279211.6196450172</c:v>
                </c:pt>
                <c:pt idx="58">
                  <c:v>6782093.3650758741</c:v>
                </c:pt>
                <c:pt idx="59">
                  <c:v>10748893.604944462</c:v>
                </c:pt>
                <c:pt idx="60">
                  <c:v>17035848.300965246</c:v>
                </c:pt>
                <c:pt idx="61">
                  <c:v>27000000</c:v>
                </c:pt>
                <c:pt idx="62">
                  <c:v>42792116.196450166</c:v>
                </c:pt>
                <c:pt idx="63">
                  <c:v>67820933.650758713</c:v>
                </c:pt>
                <c:pt idx="64">
                  <c:v>107488936.0494446</c:v>
                </c:pt>
                <c:pt idx="65">
                  <c:v>170358483.00965247</c:v>
                </c:pt>
                <c:pt idx="66">
                  <c:v>270000000</c:v>
                </c:pt>
                <c:pt idx="67">
                  <c:v>427921161.96450144</c:v>
                </c:pt>
                <c:pt idx="68">
                  <c:v>678209336.50758684</c:v>
                </c:pt>
                <c:pt idx="69">
                  <c:v>1074889360.494446</c:v>
                </c:pt>
                <c:pt idx="70">
                  <c:v>1703584830.0965235</c:v>
                </c:pt>
              </c:numCache>
            </c:numRef>
          </c:yVal>
          <c:smooth val="1"/>
        </c:ser>
        <c:axId val="94785920"/>
        <c:axId val="91359872"/>
      </c:scatterChart>
      <c:valAx>
        <c:axId val="94785920"/>
        <c:scaling>
          <c:orientation val="minMax"/>
          <c:max val="9"/>
          <c:min val="4"/>
        </c:scaling>
        <c:axPos val="b"/>
        <c:numFmt formatCode="General" sourceLinked="1"/>
        <c:tickLblPos val="nextTo"/>
        <c:crossAx val="91359872"/>
        <c:crosses val="autoZero"/>
        <c:crossBetween val="midCat"/>
      </c:valAx>
      <c:valAx>
        <c:axId val="91359872"/>
        <c:scaling>
          <c:logBase val="10"/>
          <c:orientation val="minMax"/>
          <c:max val="100000"/>
          <c:min val="10"/>
        </c:scaling>
        <c:axPos val="l"/>
        <c:majorGridlines/>
        <c:numFmt formatCode="General" sourceLinked="1"/>
        <c:tickLblPos val="nextTo"/>
        <c:crossAx val="947859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77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0.8288</cdr:x>
      <cdr:y>0.31779</cdr:y>
    </cdr:from>
    <cdr:to>
      <cdr:x>1</cdr:x>
      <cdr:y>0.74787</cdr:y>
    </cdr:to>
    <cdr:sp macro="" textlink="">
      <cdr:nvSpPr>
        <cdr:cNvPr id="11" name="Rectangle 10"/>
        <cdr:cNvSpPr/>
      </cdr:nvSpPr>
      <cdr:spPr bwMode="auto">
        <a:xfrm xmlns:a="http://schemas.openxmlformats.org/drawingml/2006/main">
          <a:off x="7112825" y="1855519"/>
          <a:ext cx="1469199" cy="25111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>
            <a:ln>
              <a:solidFill>
                <a:schemeClr val="bg1"/>
              </a:solidFill>
            </a:ln>
          </a:endParaRPr>
        </a:p>
      </cdr:txBody>
    </cdr:sp>
  </cdr:relSizeAnchor>
  <cdr:relSizeAnchor xmlns:cdr="http://schemas.openxmlformats.org/drawingml/2006/chartDrawing">
    <cdr:from>
      <cdr:x>0.84132</cdr:x>
      <cdr:y>0.29506</cdr:y>
    </cdr:from>
    <cdr:to>
      <cdr:x>0.90357</cdr:x>
      <cdr:y>0.35381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1722778"/>
          <a:ext cx="534231" cy="3430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</a:t>
          </a:r>
          <a:r>
            <a:rPr lang="en-US" sz="180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+3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0.3474</cdr:y>
    </cdr:from>
    <cdr:to>
      <cdr:x>0.97982</cdr:x>
      <cdr:y>0.42315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2028390"/>
          <a:ext cx="1188611" cy="44229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[Al(OH)</a:t>
          </a:r>
          <a:r>
            <a:rPr lang="en-US" sz="180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+2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0.41674</cdr:y>
    </cdr:from>
    <cdr:to>
      <cdr:x>0.96682</cdr:x>
      <cdr:y>0.48024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2433262"/>
          <a:ext cx="1077044" cy="37076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[Al(OH)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US" sz="180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+1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0.47383</cdr:y>
    </cdr:from>
    <cdr:to>
      <cdr:x>0.94782</cdr:x>
      <cdr:y>0.53083</cdr:y>
    </cdr:to>
    <cdr:sp macro="" textlink="">
      <cdr:nvSpPr>
        <cdr:cNvPr id="20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2766609"/>
          <a:ext cx="913986" cy="33281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[Al(OH)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0.52442</cdr:y>
    </cdr:from>
    <cdr:to>
      <cdr:x>0.96232</cdr:x>
      <cdr:y>0.58792</cdr:y>
    </cdr:to>
    <cdr:sp macro="" textlink="">
      <cdr:nvSpPr>
        <cdr:cNvPr id="205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3062003"/>
          <a:ext cx="1038425" cy="37076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[Al(OH)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US" sz="180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-1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0.58151</cdr:y>
    </cdr:from>
    <cdr:to>
      <cdr:x>0.97557</cdr:x>
      <cdr:y>0.64501</cdr:y>
    </cdr:to>
    <cdr:sp macro="" textlink="">
      <cdr:nvSpPr>
        <cdr:cNvPr id="2054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3395350"/>
          <a:ext cx="1152137" cy="37076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(OH)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US" sz="180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+4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  <cdr:relSizeAnchor xmlns:cdr="http://schemas.openxmlformats.org/drawingml/2006/chartDrawing">
    <cdr:from>
      <cdr:x>0.84132</cdr:x>
      <cdr:y>0.6386</cdr:y>
    </cdr:from>
    <cdr:to>
      <cdr:x>0.89007</cdr:x>
      <cdr:y>0.6956</cdr:y>
    </cdr:to>
    <cdr:sp macro="" textlink="">
      <cdr:nvSpPr>
        <cdr:cNvPr id="2055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20232" y="3728696"/>
          <a:ext cx="418373" cy="33281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36576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[Al</a:t>
          </a:r>
          <a:r>
            <a:rPr lang="en-US" sz="18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t</a:t>
          </a:r>
          <a:r>
            <a:rPr lang="en-US" sz="1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]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57</xdr:row>
      <xdr:rowOff>9525</xdr:rowOff>
    </xdr:from>
    <xdr:to>
      <xdr:col>16</xdr:col>
      <xdr:colOff>523875</xdr:colOff>
      <xdr:row>74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76"/>
  <sheetViews>
    <sheetView workbookViewId="0">
      <pane ySplit="7620" topLeftCell="A54"/>
      <selection activeCell="C3" sqref="C3"/>
      <selection pane="bottomLeft" activeCell="V60" sqref="V60"/>
    </sheetView>
  </sheetViews>
  <sheetFormatPr defaultRowHeight="12.75"/>
  <cols>
    <col min="8" max="8" width="12" bestFit="1" customWidth="1"/>
    <col min="9" max="9" width="12.42578125" bestFit="1" customWidth="1"/>
    <col min="16" max="16" width="12.42578125" bestFit="1" customWidth="1"/>
  </cols>
  <sheetData>
    <row r="1" spans="1:18">
      <c r="A1" t="s">
        <v>7</v>
      </c>
      <c r="B1">
        <v>3</v>
      </c>
      <c r="C1">
        <v>2</v>
      </c>
      <c r="D1">
        <v>1</v>
      </c>
      <c r="E1">
        <v>0</v>
      </c>
      <c r="F1">
        <v>-1</v>
      </c>
      <c r="G1">
        <v>4</v>
      </c>
    </row>
    <row r="2" spans="1:18">
      <c r="C2">
        <v>4.99</v>
      </c>
      <c r="D2">
        <v>10.1</v>
      </c>
      <c r="E2">
        <v>31.6</v>
      </c>
      <c r="F2">
        <v>23</v>
      </c>
    </row>
    <row r="3" spans="1:18">
      <c r="C3">
        <f>-p(C2)*C1</f>
        <v>1.3962010912467797</v>
      </c>
      <c r="D3">
        <f t="shared" ref="D3:F3" si="0">-p(D2)*D1</f>
        <v>1.0043213737826424</v>
      </c>
      <c r="E3">
        <f t="shared" si="0"/>
        <v>0</v>
      </c>
      <c r="F3">
        <f t="shared" si="0"/>
        <v>-1.3617278360175928</v>
      </c>
    </row>
    <row r="4" spans="1:18">
      <c r="A4" t="s">
        <v>23</v>
      </c>
      <c r="B4">
        <v>-10.8</v>
      </c>
      <c r="C4">
        <v>-5.8</v>
      </c>
      <c r="D4">
        <v>-1.5</v>
      </c>
      <c r="E4">
        <v>4.2</v>
      </c>
      <c r="F4">
        <v>12.2</v>
      </c>
      <c r="G4">
        <v>-13.9</v>
      </c>
    </row>
    <row r="5" spans="1:18" ht="15.75">
      <c r="A5" t="s">
        <v>6</v>
      </c>
      <c r="B5" t="s">
        <v>8</v>
      </c>
      <c r="C5" t="s">
        <v>9</v>
      </c>
      <c r="D5" t="s">
        <v>10</v>
      </c>
      <c r="E5" t="s">
        <v>11</v>
      </c>
      <c r="F5" t="s">
        <v>12</v>
      </c>
      <c r="G5" t="s">
        <v>13</v>
      </c>
      <c r="H5" t="s">
        <v>14</v>
      </c>
      <c r="I5" t="s">
        <v>22</v>
      </c>
      <c r="J5" t="s">
        <v>0</v>
      </c>
      <c r="P5">
        <v>1.6E-2</v>
      </c>
      <c r="Q5" t="s">
        <v>15</v>
      </c>
      <c r="R5" t="s">
        <v>18</v>
      </c>
    </row>
    <row r="6" spans="1:18">
      <c r="A6">
        <v>0</v>
      </c>
      <c r="B6">
        <f t="shared" ref="B6:B23" si="1">m*pH+b</f>
        <v>-10.8</v>
      </c>
      <c r="C6">
        <f t="shared" ref="C6:G21" si="2">m*pH+b</f>
        <v>-5.8</v>
      </c>
      <c r="D6">
        <f t="shared" si="2"/>
        <v>-1.5</v>
      </c>
      <c r="E6">
        <f t="shared" si="2"/>
        <v>4.2</v>
      </c>
      <c r="F6">
        <f t="shared" si="2"/>
        <v>12.2</v>
      </c>
      <c r="G6">
        <f t="shared" si="2"/>
        <v>-13.9</v>
      </c>
      <c r="H6">
        <f>p(invp(B6)+invp(C6)+invp(F6))</f>
        <v>-10.800004342923105</v>
      </c>
      <c r="I6">
        <f>invp(H6)*$P$9*1000000</f>
        <v>1.703601865944823E+18</v>
      </c>
      <c r="P6">
        <v>300</v>
      </c>
      <c r="Q6" t="s">
        <v>16</v>
      </c>
    </row>
    <row r="7" spans="1:18" ht="14.25">
      <c r="A7">
        <v>0.2</v>
      </c>
      <c r="B7">
        <f t="shared" si="1"/>
        <v>-10.200000000000001</v>
      </c>
      <c r="C7">
        <f t="shared" si="2"/>
        <v>-5.3999999999999995</v>
      </c>
      <c r="D7">
        <f t="shared" si="2"/>
        <v>-1.3</v>
      </c>
      <c r="E7">
        <f t="shared" si="2"/>
        <v>4.2</v>
      </c>
      <c r="F7">
        <f t="shared" si="2"/>
        <v>12</v>
      </c>
      <c r="G7">
        <f t="shared" si="2"/>
        <v>-13.1</v>
      </c>
      <c r="H7">
        <f>p(invp(B7)+invp(C7)+invp(F7))</f>
        <v>-10.200006883049134</v>
      </c>
      <c r="I7">
        <f>invp(H7)*$P$9*1000000</f>
        <v>4.2792794405786554E+17</v>
      </c>
      <c r="J7" t="s">
        <v>1</v>
      </c>
      <c r="P7">
        <f>P5/P6</f>
        <v>5.3333333333333333E-5</v>
      </c>
      <c r="Q7" t="s">
        <v>17</v>
      </c>
    </row>
    <row r="8" spans="1:18">
      <c r="A8">
        <v>0.4</v>
      </c>
      <c r="B8">
        <f t="shared" si="1"/>
        <v>-9.6000000000000014</v>
      </c>
      <c r="C8">
        <f t="shared" si="2"/>
        <v>-5</v>
      </c>
      <c r="D8">
        <f t="shared" si="2"/>
        <v>-1.1000000000000001</v>
      </c>
      <c r="E8">
        <f t="shared" si="2"/>
        <v>4.2</v>
      </c>
      <c r="F8">
        <f t="shared" si="2"/>
        <v>11.799999999999999</v>
      </c>
      <c r="G8">
        <f t="shared" si="2"/>
        <v>-12.3</v>
      </c>
      <c r="H8">
        <f>p(invp(B8)+invp(C8)+invp(F8))</f>
        <v>-9.6000109088471568</v>
      </c>
      <c r="I8">
        <f>invp(H8)*$P$9*1000000</f>
        <v>1.0749163604944461E+17</v>
      </c>
      <c r="P8">
        <f>p(P7)</f>
        <v>4.2730012720637367</v>
      </c>
    </row>
    <row r="9" spans="1:18" ht="15.75">
      <c r="A9">
        <v>0.6</v>
      </c>
      <c r="B9">
        <f t="shared" si="1"/>
        <v>-9</v>
      </c>
      <c r="C9">
        <f t="shared" si="2"/>
        <v>-4.5999999999999996</v>
      </c>
      <c r="D9">
        <f t="shared" si="2"/>
        <v>-0.9</v>
      </c>
      <c r="E9">
        <f t="shared" si="2"/>
        <v>4.2</v>
      </c>
      <c r="F9">
        <f t="shared" si="2"/>
        <v>11.6</v>
      </c>
      <c r="G9">
        <f t="shared" si="2"/>
        <v>-11.5</v>
      </c>
      <c r="H9">
        <f>p(invp(B9)+invp(C9)+invp(F9))</f>
        <v>-9.0000172892305912</v>
      </c>
      <c r="I9">
        <f>invp(H9)*$P$9*1000000</f>
        <v>2.7001074889360464E+16</v>
      </c>
      <c r="J9" t="s">
        <v>2</v>
      </c>
      <c r="P9">
        <v>27</v>
      </c>
      <c r="Q9" t="s">
        <v>16</v>
      </c>
      <c r="R9" t="s">
        <v>19</v>
      </c>
    </row>
    <row r="10" spans="1:18">
      <c r="A10">
        <v>0.8</v>
      </c>
      <c r="B10">
        <f t="shared" si="1"/>
        <v>-8.4</v>
      </c>
      <c r="C10">
        <f t="shared" si="2"/>
        <v>-4.1999999999999993</v>
      </c>
      <c r="D10">
        <f t="shared" si="2"/>
        <v>-0.7</v>
      </c>
      <c r="E10">
        <f t="shared" si="2"/>
        <v>4.2</v>
      </c>
      <c r="F10">
        <f t="shared" si="2"/>
        <v>11.399999999999999</v>
      </c>
      <c r="G10">
        <f t="shared" si="2"/>
        <v>-10.7</v>
      </c>
      <c r="H10">
        <f>p(invp(B10)+invp(C10)+invp(F10))</f>
        <v>-8.4000274012648593</v>
      </c>
      <c r="I10">
        <f>invp(H10)*$P$9*1000000</f>
        <v>6782521286237819</v>
      </c>
    </row>
    <row r="11" spans="1:18" ht="15.75">
      <c r="A11">
        <v>1</v>
      </c>
      <c r="B11">
        <f t="shared" si="1"/>
        <v>-7.8000000000000007</v>
      </c>
      <c r="C11">
        <f t="shared" si="2"/>
        <v>-3.8</v>
      </c>
      <c r="D11">
        <f t="shared" si="2"/>
        <v>-0.5</v>
      </c>
      <c r="E11">
        <f t="shared" si="2"/>
        <v>4.2</v>
      </c>
      <c r="F11">
        <f t="shared" si="2"/>
        <v>11.2</v>
      </c>
      <c r="G11">
        <f t="shared" si="2"/>
        <v>-9.9</v>
      </c>
      <c r="H11">
        <f>p(invp(B11)+invp(C11)+invp(F11))</f>
        <v>-7.8000434272768624</v>
      </c>
      <c r="I11">
        <f>invp(H11)*$P$9*1000000</f>
        <v>1703755188579530.2</v>
      </c>
      <c r="J11" t="s">
        <v>3</v>
      </c>
      <c r="P11">
        <f>invp(E4)*P9*1000</f>
        <v>1.7035848300965211</v>
      </c>
      <c r="Q11" t="s">
        <v>20</v>
      </c>
      <c r="R11" t="s">
        <v>21</v>
      </c>
    </row>
    <row r="12" spans="1:18">
      <c r="A12">
        <v>1.2</v>
      </c>
      <c r="B12">
        <f t="shared" si="1"/>
        <v>-7.2000000000000011</v>
      </c>
      <c r="C12">
        <f t="shared" si="2"/>
        <v>-3.4</v>
      </c>
      <c r="D12">
        <f t="shared" si="2"/>
        <v>-0.30000000000000004</v>
      </c>
      <c r="E12">
        <f t="shared" si="2"/>
        <v>4.2</v>
      </c>
      <c r="F12">
        <f t="shared" si="2"/>
        <v>11</v>
      </c>
      <c r="G12">
        <f t="shared" si="2"/>
        <v>-9.1000000000000014</v>
      </c>
      <c r="H12">
        <f>p(invp(B12)+invp(C12)+invp(F12))</f>
        <v>-7.2000688255828731</v>
      </c>
      <c r="I12">
        <f>invp(H12)*$P$9*1000000</f>
        <v>427988982898151.19</v>
      </c>
      <c r="P12">
        <f>invp(5)*P9*1000000</f>
        <v>270</v>
      </c>
    </row>
    <row r="13" spans="1:18" ht="15.75">
      <c r="A13">
        <v>1.4</v>
      </c>
      <c r="B13">
        <f t="shared" si="1"/>
        <v>-6.6000000000000014</v>
      </c>
      <c r="C13">
        <f t="shared" si="2"/>
        <v>-3</v>
      </c>
      <c r="D13">
        <f t="shared" si="2"/>
        <v>-0.10000000000000009</v>
      </c>
      <c r="E13">
        <f t="shared" si="2"/>
        <v>4.2</v>
      </c>
      <c r="F13">
        <f t="shared" si="2"/>
        <v>10.799999999999999</v>
      </c>
      <c r="G13">
        <f t="shared" si="2"/>
        <v>-8.3000000000000007</v>
      </c>
      <c r="H13">
        <f>p(invp(B13)+invp(C13)+invp(F13))</f>
        <v>-6.6001090761428669</v>
      </c>
      <c r="I13">
        <f>invp(H13)*$P$9*1000000</f>
        <v>107515936049444.34</v>
      </c>
      <c r="J13" t="s">
        <v>4</v>
      </c>
    </row>
    <row r="14" spans="1:18">
      <c r="A14">
        <v>1.6</v>
      </c>
      <c r="B14">
        <f t="shared" si="1"/>
        <v>-6</v>
      </c>
      <c r="C14">
        <f t="shared" si="2"/>
        <v>-2.5999999999999996</v>
      </c>
      <c r="D14">
        <f t="shared" si="2"/>
        <v>0.10000000000000009</v>
      </c>
      <c r="E14">
        <f t="shared" si="2"/>
        <v>4.2</v>
      </c>
      <c r="F14">
        <f t="shared" si="2"/>
        <v>10.6</v>
      </c>
      <c r="G14">
        <f t="shared" si="2"/>
        <v>-7.5</v>
      </c>
      <c r="H14">
        <f>p(invp(B14)+invp(C14)+invp(F14))</f>
        <v>-6.0001728613409897</v>
      </c>
      <c r="I14">
        <f>invp(H14)*$P$9*1000000</f>
        <v>27010748893604.902</v>
      </c>
    </row>
    <row r="15" spans="1:18" ht="15.75">
      <c r="A15">
        <v>1.8</v>
      </c>
      <c r="B15">
        <f t="shared" si="1"/>
        <v>-5.4</v>
      </c>
      <c r="C15">
        <f t="shared" si="2"/>
        <v>-2.1999999999999997</v>
      </c>
      <c r="D15">
        <f t="shared" si="2"/>
        <v>0.30000000000000004</v>
      </c>
      <c r="E15">
        <f t="shared" si="2"/>
        <v>4.2</v>
      </c>
      <c r="F15">
        <f t="shared" si="2"/>
        <v>10.399999999999999</v>
      </c>
      <c r="G15">
        <f t="shared" si="2"/>
        <v>-6.7</v>
      </c>
      <c r="H15">
        <f>p(invp(B15)+invp(C15)+invp(F15))</f>
        <v>-5.4002739348814961</v>
      </c>
      <c r="I15">
        <f>invp(H15)*$P$9*1000000</f>
        <v>6786372576695.5059</v>
      </c>
      <c r="J15" t="s">
        <v>5</v>
      </c>
    </row>
    <row r="16" spans="1:18">
      <c r="A16">
        <v>2</v>
      </c>
      <c r="B16">
        <f t="shared" si="1"/>
        <v>-4.8000000000000007</v>
      </c>
      <c r="C16">
        <f t="shared" si="2"/>
        <v>-1.7999999999999998</v>
      </c>
      <c r="D16">
        <f t="shared" si="2"/>
        <v>0.5</v>
      </c>
      <c r="E16">
        <f t="shared" si="2"/>
        <v>4.2</v>
      </c>
      <c r="F16">
        <f t="shared" si="2"/>
        <v>10.199999999999999</v>
      </c>
      <c r="G16">
        <f t="shared" si="2"/>
        <v>-5.9</v>
      </c>
      <c r="H16">
        <f>p(invp(B16)+invp(C16)+invp(F16))</f>
        <v>-4.8004340774793191</v>
      </c>
      <c r="I16">
        <f>invp(H16)*$P$9*1000000</f>
        <v>1705288414926.6199</v>
      </c>
    </row>
    <row r="17" spans="1:9">
      <c r="A17">
        <v>2.2000000000000002</v>
      </c>
      <c r="B17">
        <f t="shared" si="1"/>
        <v>-4.2</v>
      </c>
      <c r="C17">
        <f t="shared" si="2"/>
        <v>-1.3999999999999995</v>
      </c>
      <c r="D17">
        <f t="shared" si="2"/>
        <v>0.70000000000000018</v>
      </c>
      <c r="E17">
        <f t="shared" si="2"/>
        <v>4.2</v>
      </c>
      <c r="F17">
        <f t="shared" si="2"/>
        <v>10</v>
      </c>
      <c r="G17">
        <f t="shared" si="2"/>
        <v>-5.0999999999999996</v>
      </c>
      <c r="H17">
        <f>p(invp(B17)+invp(C17)+invp(F17))</f>
        <v>-4.2006877654943207</v>
      </c>
      <c r="I17">
        <f>invp(H17)*$P$9*1000000</f>
        <v>428599371301.01019</v>
      </c>
    </row>
    <row r="18" spans="1:9">
      <c r="A18">
        <v>2.4</v>
      </c>
      <c r="B18">
        <f t="shared" si="1"/>
        <v>-3.6000000000000014</v>
      </c>
      <c r="C18">
        <f t="shared" si="2"/>
        <v>-1</v>
      </c>
      <c r="D18">
        <f t="shared" si="2"/>
        <v>0.89999999999999991</v>
      </c>
      <c r="E18">
        <f t="shared" si="2"/>
        <v>4.2</v>
      </c>
      <c r="F18">
        <f t="shared" si="2"/>
        <v>9.7999999999999989</v>
      </c>
      <c r="G18">
        <f t="shared" si="2"/>
        <v>-4.3000000000000007</v>
      </c>
      <c r="H18">
        <f>p(invp(B18)+invp(C18)+invp(F18))</f>
        <v>-3.6010895305999795</v>
      </c>
      <c r="I18">
        <f>invp(H18)*$P$9*1000000</f>
        <v>107758936049.44878</v>
      </c>
    </row>
    <row r="19" spans="1:9">
      <c r="A19">
        <v>2.6</v>
      </c>
      <c r="B19">
        <f t="shared" si="1"/>
        <v>-3</v>
      </c>
      <c r="C19">
        <f t="shared" si="2"/>
        <v>-0.59999999999999964</v>
      </c>
      <c r="D19">
        <f t="shared" si="2"/>
        <v>1.1000000000000001</v>
      </c>
      <c r="E19">
        <f t="shared" si="2"/>
        <v>4.2</v>
      </c>
      <c r="F19">
        <f t="shared" si="2"/>
        <v>9.6</v>
      </c>
      <c r="G19">
        <f t="shared" si="2"/>
        <v>-3.5</v>
      </c>
      <c r="H19">
        <f>p(invp(B19)+invp(C19)+invp(F19))</f>
        <v>-3.0017255250289012</v>
      </c>
      <c r="I19">
        <f>invp(H19)*$P$9*1000000</f>
        <v>27107488936.056213</v>
      </c>
    </row>
    <row r="20" spans="1:9">
      <c r="A20">
        <v>2.8</v>
      </c>
      <c r="B20">
        <f t="shared" si="1"/>
        <v>-2.4000000000000021</v>
      </c>
      <c r="C20">
        <f t="shared" si="2"/>
        <v>-0.20000000000000018</v>
      </c>
      <c r="D20">
        <f t="shared" si="2"/>
        <v>1.2999999999999998</v>
      </c>
      <c r="E20">
        <f t="shared" si="2"/>
        <v>4.2</v>
      </c>
      <c r="F20">
        <f t="shared" si="2"/>
        <v>9.3999999999999986</v>
      </c>
      <c r="G20">
        <f t="shared" si="2"/>
        <v>-2.7000000000000011</v>
      </c>
      <c r="H20">
        <f>p(invp(B20)+invp(C20)+invp(F20))</f>
        <v>-2.4027316043356248</v>
      </c>
      <c r="I20">
        <f>invp(H20)*$P$9*1000000</f>
        <v>6824885481.2830963</v>
      </c>
    </row>
    <row r="21" spans="1:9">
      <c r="A21">
        <v>3</v>
      </c>
      <c r="B21">
        <f t="shared" si="1"/>
        <v>-1.8000000000000007</v>
      </c>
      <c r="C21">
        <f t="shared" si="2"/>
        <v>0.20000000000000018</v>
      </c>
      <c r="D21">
        <f t="shared" si="2"/>
        <v>1.5</v>
      </c>
      <c r="E21">
        <f t="shared" si="2"/>
        <v>4.2</v>
      </c>
      <c r="F21">
        <f t="shared" si="2"/>
        <v>9.1999999999999993</v>
      </c>
      <c r="G21">
        <f t="shared" si="2"/>
        <v>-1.9000000000000004</v>
      </c>
      <c r="H21">
        <f>p(invp(B21)+invp(C21)+invp(F21))</f>
        <v>-1.804321373786943</v>
      </c>
      <c r="I21">
        <f>invp(H21)*$P$9*1000000</f>
        <v>1720620678.4145248</v>
      </c>
    </row>
    <row r="22" spans="1:9">
      <c r="A22">
        <v>3.2</v>
      </c>
      <c r="B22">
        <f t="shared" si="1"/>
        <v>-1.1999999999999993</v>
      </c>
      <c r="C22">
        <f t="shared" ref="C22:G23" si="3">m*pH+b</f>
        <v>0.60000000000000053</v>
      </c>
      <c r="D22">
        <f t="shared" si="3"/>
        <v>1.7000000000000002</v>
      </c>
      <c r="E22">
        <f t="shared" si="3"/>
        <v>4.2</v>
      </c>
      <c r="F22">
        <f t="shared" si="3"/>
        <v>9</v>
      </c>
      <c r="G22">
        <f t="shared" si="3"/>
        <v>-1.0999999999999996</v>
      </c>
      <c r="H22">
        <f>p(invp(B22)+invp(C22)+invp(F22))</f>
        <v>-1.2068291283394268</v>
      </c>
      <c r="I22">
        <f>invp(H22)*$P$9*1000000</f>
        <v>434703255.35657579</v>
      </c>
    </row>
    <row r="23" spans="1:9">
      <c r="A23">
        <v>3.4</v>
      </c>
      <c r="B23">
        <f t="shared" si="1"/>
        <v>-0.60000000000000142</v>
      </c>
      <c r="C23">
        <f t="shared" si="3"/>
        <v>1</v>
      </c>
      <c r="D23">
        <f t="shared" si="3"/>
        <v>1.9</v>
      </c>
      <c r="E23">
        <f t="shared" si="3"/>
        <v>4.2</v>
      </c>
      <c r="F23">
        <f t="shared" si="3"/>
        <v>8.7999999999999989</v>
      </c>
      <c r="G23">
        <f t="shared" si="3"/>
        <v>-0.30000000000000071</v>
      </c>
      <c r="H23">
        <f>p(invp(B23)+invp(C23)+invp(F23))</f>
        <v>-0.61077422568061757</v>
      </c>
      <c r="I23">
        <f>invp(H23)*$P$9*1000000</f>
        <v>110188936.0922367</v>
      </c>
    </row>
    <row r="24" spans="1:9">
      <c r="A24">
        <v>3.6</v>
      </c>
      <c r="B24">
        <f t="shared" ref="B24:G66" si="4">m*pH+b</f>
        <v>0</v>
      </c>
      <c r="C24">
        <f t="shared" si="4"/>
        <v>1.4000000000000004</v>
      </c>
      <c r="D24">
        <f t="shared" si="4"/>
        <v>2.1</v>
      </c>
      <c r="E24">
        <f t="shared" si="4"/>
        <v>4.2</v>
      </c>
      <c r="F24">
        <f t="shared" si="4"/>
        <v>8.6</v>
      </c>
      <c r="G24">
        <f t="shared" si="4"/>
        <v>0.5</v>
      </c>
      <c r="H24">
        <f>p(invp(B24)+invp(C24)+invp(F24))</f>
        <v>-1.6954290328664783E-2</v>
      </c>
      <c r="I24">
        <f>invp(H24)*$P$9*1000000</f>
        <v>28074889.428315375</v>
      </c>
    </row>
    <row r="25" spans="1:9">
      <c r="A25">
        <v>3.8</v>
      </c>
      <c r="B25">
        <f t="shared" si="4"/>
        <v>0.59999999999999787</v>
      </c>
      <c r="C25">
        <f t="shared" si="4"/>
        <v>1.7999999999999998</v>
      </c>
      <c r="D25">
        <f t="shared" si="4"/>
        <v>2.2999999999999998</v>
      </c>
      <c r="E25">
        <f t="shared" si="4"/>
        <v>4.2</v>
      </c>
      <c r="F25">
        <f t="shared" si="4"/>
        <v>8.3999999999999986</v>
      </c>
      <c r="G25">
        <f t="shared" si="4"/>
        <v>1.2999999999999989</v>
      </c>
      <c r="H25">
        <f>p(invp(B25)+invp(C25)+invp(F25))</f>
        <v>0.57342761792931063</v>
      </c>
      <c r="I25">
        <f>invp(H25)*$P$9*1000000</f>
        <v>7210014.6345293354</v>
      </c>
    </row>
    <row r="26" spans="1:9">
      <c r="A26">
        <v>4</v>
      </c>
      <c r="B26">
        <f t="shared" si="4"/>
        <v>1.1999999999999993</v>
      </c>
      <c r="C26">
        <f t="shared" si="4"/>
        <v>2.2000000000000002</v>
      </c>
      <c r="D26">
        <f t="shared" si="4"/>
        <v>2.5</v>
      </c>
      <c r="E26">
        <f t="shared" si="4"/>
        <v>4.2</v>
      </c>
      <c r="F26">
        <f t="shared" si="4"/>
        <v>8.1999999999999993</v>
      </c>
      <c r="G26">
        <f t="shared" si="4"/>
        <v>2.0999999999999996</v>
      </c>
      <c r="H26">
        <f>p(invp(B26)+invp(C26)+invp(F26))</f>
        <v>1.1586072753604595</v>
      </c>
      <c r="I26">
        <f>invp(H26)*$P$9*1000000</f>
        <v>1873943.4834646599</v>
      </c>
    </row>
    <row r="27" spans="1:9">
      <c r="A27">
        <v>4.2</v>
      </c>
      <c r="B27">
        <f t="shared" si="4"/>
        <v>1.8000000000000007</v>
      </c>
      <c r="C27">
        <f t="shared" si="4"/>
        <v>2.6000000000000005</v>
      </c>
      <c r="D27">
        <f t="shared" si="4"/>
        <v>2.7</v>
      </c>
      <c r="E27">
        <f t="shared" si="4"/>
        <v>4.2</v>
      </c>
      <c r="F27">
        <f t="shared" si="4"/>
        <v>7.9999999999999991</v>
      </c>
      <c r="G27">
        <f t="shared" si="4"/>
        <v>2.9000000000000004</v>
      </c>
      <c r="H27">
        <f>p(invp(B27)+invp(C27)+invp(F27))</f>
        <v>1.7361077293233926</v>
      </c>
      <c r="I27">
        <f>invp(H27)*$P$9*1000000</f>
        <v>495742.36561525892</v>
      </c>
    </row>
    <row r="28" spans="1:9">
      <c r="A28">
        <v>4.4000000000000004</v>
      </c>
      <c r="B28">
        <f t="shared" si="4"/>
        <v>2.4000000000000004</v>
      </c>
      <c r="C28">
        <f t="shared" si="4"/>
        <v>3.0000000000000009</v>
      </c>
      <c r="D28">
        <f t="shared" si="4"/>
        <v>2.9000000000000004</v>
      </c>
      <c r="E28">
        <f t="shared" si="4"/>
        <v>4.2</v>
      </c>
      <c r="F28">
        <f t="shared" si="4"/>
        <v>7.7999999999999989</v>
      </c>
      <c r="G28">
        <f t="shared" si="4"/>
        <v>3.7000000000000011</v>
      </c>
      <c r="H28">
        <f>p(invp(B28)+invp(C28)+invp(F28))</f>
        <v>2.3026758244415473</v>
      </c>
      <c r="I28">
        <f>invp(H28)*$P$9*1000000</f>
        <v>134489.36397060615</v>
      </c>
    </row>
    <row r="29" spans="1:9">
      <c r="A29">
        <v>4.5999999999999996</v>
      </c>
      <c r="B29">
        <f t="shared" si="4"/>
        <v>2.9999999999999982</v>
      </c>
      <c r="C29">
        <f t="shared" si="4"/>
        <v>3.3999999999999995</v>
      </c>
      <c r="D29">
        <f t="shared" si="4"/>
        <v>3.0999999999999996</v>
      </c>
      <c r="E29">
        <f t="shared" si="4"/>
        <v>4.2</v>
      </c>
      <c r="F29">
        <f t="shared" si="4"/>
        <v>7.6</v>
      </c>
      <c r="G29">
        <f t="shared" si="4"/>
        <v>4.4999999999999982</v>
      </c>
      <c r="H29">
        <f>p(invp(B29)+invp(C29)+invp(F29))</f>
        <v>2.8544517342798623</v>
      </c>
      <c r="I29">
        <f>invp(H29)*$P$9*1000000</f>
        <v>37749.57181428108</v>
      </c>
    </row>
    <row r="30" spans="1:9">
      <c r="A30">
        <v>4.8</v>
      </c>
      <c r="B30">
        <f t="shared" si="4"/>
        <v>3.5999999999999979</v>
      </c>
      <c r="C30">
        <f t="shared" si="4"/>
        <v>3.8</v>
      </c>
      <c r="D30">
        <f t="shared" si="4"/>
        <v>3.3</v>
      </c>
      <c r="E30">
        <f t="shared" si="4"/>
        <v>4.2</v>
      </c>
      <c r="F30">
        <f t="shared" si="4"/>
        <v>7.3999999999999995</v>
      </c>
      <c r="G30">
        <f t="shared" si="4"/>
        <v>5.2999999999999989</v>
      </c>
      <c r="H30">
        <f>p(invp(B30)+invp(C30)+invp(F30))</f>
        <v>3.387515196413045</v>
      </c>
      <c r="I30">
        <f>invp(H30)*$P$9*1000000</f>
        <v>11062.379874081415</v>
      </c>
    </row>
    <row r="31" spans="1:9">
      <c r="A31">
        <v>5</v>
      </c>
      <c r="B31">
        <f t="shared" si="4"/>
        <v>4.1999999999999993</v>
      </c>
      <c r="C31">
        <f t="shared" si="4"/>
        <v>4.2</v>
      </c>
      <c r="D31">
        <f t="shared" si="4"/>
        <v>3.5</v>
      </c>
      <c r="E31">
        <f t="shared" si="4"/>
        <v>4.2</v>
      </c>
      <c r="F31">
        <f t="shared" si="4"/>
        <v>7.1999999999999993</v>
      </c>
      <c r="G31">
        <f t="shared" si="4"/>
        <v>6.1</v>
      </c>
      <c r="H31">
        <f>p(invp(B31)+invp(C31)+invp(F31))</f>
        <v>3.8987529113637875</v>
      </c>
      <c r="I31">
        <f>invp(H31)*$P$9*1000000</f>
        <v>3408.8732450231482</v>
      </c>
    </row>
    <row r="32" spans="1:9">
      <c r="A32">
        <v>5.2</v>
      </c>
      <c r="B32">
        <f t="shared" si="4"/>
        <v>4.8000000000000007</v>
      </c>
      <c r="C32">
        <f t="shared" si="4"/>
        <v>4.6000000000000005</v>
      </c>
      <c r="D32">
        <f t="shared" si="4"/>
        <v>3.7</v>
      </c>
      <c r="E32">
        <f t="shared" si="4"/>
        <v>4.2</v>
      </c>
      <c r="F32">
        <f t="shared" si="4"/>
        <v>6.9999999999999991</v>
      </c>
      <c r="G32">
        <f t="shared" si="4"/>
        <v>6.9</v>
      </c>
      <c r="H32">
        <f>p(invp(B32)+invp(C32)+invp(F32))</f>
        <v>4.3864986014223026</v>
      </c>
      <c r="I32">
        <f>invp(H32)*$P$9*1000000</f>
        <v>1108.8304984720867</v>
      </c>
    </row>
    <row r="33" spans="1:9">
      <c r="A33">
        <v>5.4</v>
      </c>
      <c r="B33">
        <f t="shared" si="4"/>
        <v>5.4000000000000021</v>
      </c>
      <c r="C33">
        <f t="shared" si="4"/>
        <v>5.0000000000000009</v>
      </c>
      <c r="D33">
        <f t="shared" si="4"/>
        <v>3.9000000000000004</v>
      </c>
      <c r="E33">
        <f t="shared" si="4"/>
        <v>4.2</v>
      </c>
      <c r="F33">
        <f t="shared" si="4"/>
        <v>6.7999999999999989</v>
      </c>
      <c r="G33">
        <f t="shared" si="4"/>
        <v>7.7000000000000011</v>
      </c>
      <c r="H33">
        <f>p(invp(B33)+invp(C33)+invp(F33))</f>
        <v>4.8495640733873948</v>
      </c>
      <c r="I33">
        <f>invp(H33)*$P$9*1000000</f>
        <v>381.76814766908842</v>
      </c>
    </row>
    <row r="34" spans="1:9">
      <c r="A34">
        <v>5.6</v>
      </c>
      <c r="B34">
        <f t="shared" si="4"/>
        <v>5.9999999999999964</v>
      </c>
      <c r="C34">
        <f t="shared" si="4"/>
        <v>5.3999999999999995</v>
      </c>
      <c r="D34">
        <f t="shared" si="4"/>
        <v>4.0999999999999996</v>
      </c>
      <c r="E34">
        <f t="shared" si="4"/>
        <v>4.2</v>
      </c>
      <c r="F34">
        <f t="shared" si="4"/>
        <v>6.6</v>
      </c>
      <c r="G34">
        <f t="shared" si="4"/>
        <v>8.4999999999999982</v>
      </c>
      <c r="H34">
        <f>p(invp(B34)+invp(C34)+invp(F34))</f>
        <v>5.2813106543656332</v>
      </c>
      <c r="I34">
        <f>invp(H34)*$P$9*1000000</f>
        <v>141.27102941452057</v>
      </c>
    </row>
    <row r="35" spans="1:9">
      <c r="A35">
        <v>5.8</v>
      </c>
      <c r="B35">
        <f t="shared" si="4"/>
        <v>6.5999999999999979</v>
      </c>
      <c r="C35">
        <f t="shared" si="4"/>
        <v>5.8</v>
      </c>
      <c r="D35">
        <f t="shared" si="4"/>
        <v>4.3</v>
      </c>
      <c r="E35">
        <f t="shared" si="4"/>
        <v>4.2</v>
      </c>
      <c r="F35">
        <f t="shared" si="4"/>
        <v>6.3999999999999995</v>
      </c>
      <c r="G35">
        <f t="shared" si="4"/>
        <v>9.2999999999999989</v>
      </c>
      <c r="H35">
        <f>p(invp(B35)+invp(C35)+invp(F35))</f>
        <v>5.6508800895630227</v>
      </c>
      <c r="I35">
        <f>invp(H35)*$P$9*1000000</f>
        <v>60.323103166470439</v>
      </c>
    </row>
    <row r="36" spans="1:9">
      <c r="A36">
        <v>6</v>
      </c>
      <c r="B36">
        <f t="shared" si="4"/>
        <v>7.1999999999999993</v>
      </c>
      <c r="C36">
        <f t="shared" si="4"/>
        <v>6.2</v>
      </c>
      <c r="D36">
        <f t="shared" si="4"/>
        <v>4.5</v>
      </c>
      <c r="E36">
        <f t="shared" si="4"/>
        <v>4.2</v>
      </c>
      <c r="F36">
        <f t="shared" si="4"/>
        <v>6.1999999999999993</v>
      </c>
      <c r="G36">
        <f t="shared" si="4"/>
        <v>10.1</v>
      </c>
      <c r="H36">
        <f>p(invp(B36)+invp(C36)+invp(F36))</f>
        <v>5.8777807052660798</v>
      </c>
      <c r="I36">
        <f>invp(H36)*$P$9*1000000</f>
        <v>35.775281432027036</v>
      </c>
    </row>
    <row r="37" spans="1:9">
      <c r="A37">
        <v>6.2</v>
      </c>
      <c r="B37">
        <f t="shared" si="4"/>
        <v>7.8000000000000007</v>
      </c>
      <c r="C37">
        <f t="shared" si="4"/>
        <v>6.6000000000000005</v>
      </c>
      <c r="D37">
        <f t="shared" si="4"/>
        <v>4.7</v>
      </c>
      <c r="E37">
        <f t="shared" si="4"/>
        <v>4.2</v>
      </c>
      <c r="F37">
        <f t="shared" si="4"/>
        <v>5.9999999999999991</v>
      </c>
      <c r="G37">
        <f t="shared" si="4"/>
        <v>10.9</v>
      </c>
      <c r="H37">
        <f>p(invp(B37)+invp(C37)+invp(F37))</f>
        <v>5.897210505553808</v>
      </c>
      <c r="I37">
        <f>invp(H37)*$P$9*1000000</f>
        <v>34.210014527040521</v>
      </c>
    </row>
    <row r="38" spans="1:9">
      <c r="A38">
        <v>6.4</v>
      </c>
      <c r="B38">
        <f t="shared" si="4"/>
        <v>8.4000000000000021</v>
      </c>
      <c r="C38">
        <f t="shared" si="4"/>
        <v>7.0000000000000009</v>
      </c>
      <c r="D38">
        <f t="shared" si="4"/>
        <v>4.9000000000000004</v>
      </c>
      <c r="E38">
        <f t="shared" si="4"/>
        <v>4.2</v>
      </c>
      <c r="F38">
        <f t="shared" si="4"/>
        <v>5.7999999999999989</v>
      </c>
      <c r="G38">
        <f t="shared" si="4"/>
        <v>11.700000000000001</v>
      </c>
      <c r="H38">
        <f>p(invp(B38)+invp(C38)+invp(F38))</f>
        <v>5.7724026822296173</v>
      </c>
      <c r="I38">
        <f>invp(H38)*$P$9*1000000</f>
        <v>45.599605132499697</v>
      </c>
    </row>
    <row r="39" spans="1:9">
      <c r="A39">
        <v>6.6</v>
      </c>
      <c r="B39">
        <f t="shared" si="4"/>
        <v>8.9999999999999964</v>
      </c>
      <c r="C39">
        <f t="shared" si="4"/>
        <v>7.3999999999999995</v>
      </c>
      <c r="D39">
        <f t="shared" si="4"/>
        <v>5.0999999999999996</v>
      </c>
      <c r="E39">
        <f t="shared" si="4"/>
        <v>4.2</v>
      </c>
      <c r="F39">
        <f t="shared" si="4"/>
        <v>5.6</v>
      </c>
      <c r="G39">
        <f t="shared" si="4"/>
        <v>12.499999999999998</v>
      </c>
      <c r="H39">
        <f>p(invp(B39)+invp(C39)+invp(F39))</f>
        <v>5.5930007067425294</v>
      </c>
      <c r="I39">
        <f>invp(H39)*$P$9*1000000</f>
        <v>68.922823011253129</v>
      </c>
    </row>
    <row r="40" spans="1:9">
      <c r="A40">
        <v>6.8</v>
      </c>
      <c r="B40">
        <f t="shared" si="4"/>
        <v>9.5999999999999979</v>
      </c>
      <c r="C40">
        <f t="shared" si="4"/>
        <v>7.8</v>
      </c>
      <c r="D40">
        <f t="shared" si="4"/>
        <v>5.3</v>
      </c>
      <c r="E40">
        <f t="shared" si="4"/>
        <v>4.2</v>
      </c>
      <c r="F40">
        <f t="shared" si="4"/>
        <v>5.3999999999999995</v>
      </c>
      <c r="G40">
        <f t="shared" si="4"/>
        <v>13.299999999999999</v>
      </c>
      <c r="H40">
        <f>p(invp(B40)+invp(C40)+invp(F40))</f>
        <v>5.3982471823567737</v>
      </c>
      <c r="I40">
        <f>invp(H40)*$P$9*1000000</f>
        <v>107.92363930477408</v>
      </c>
    </row>
    <row r="41" spans="1:9">
      <c r="A41">
        <v>7</v>
      </c>
      <c r="B41">
        <f t="shared" si="4"/>
        <v>10.199999999999999</v>
      </c>
      <c r="C41">
        <f t="shared" si="4"/>
        <v>8.1999999999999993</v>
      </c>
      <c r="D41">
        <f t="shared" si="4"/>
        <v>5.5</v>
      </c>
      <c r="E41">
        <f t="shared" si="4"/>
        <v>4.2</v>
      </c>
      <c r="F41">
        <f t="shared" si="4"/>
        <v>5.1999999999999993</v>
      </c>
      <c r="G41">
        <f t="shared" si="4"/>
        <v>14.1</v>
      </c>
      <c r="H41">
        <f>p(invp(B41)+invp(C41)+invp(F41))</f>
        <v>5.1995615839361387</v>
      </c>
      <c r="I41">
        <f>invp(H41)*$P$9*1000000</f>
        <v>170.53054507749238</v>
      </c>
    </row>
    <row r="42" spans="1:9">
      <c r="A42">
        <v>7.2</v>
      </c>
      <c r="B42">
        <f t="shared" si="4"/>
        <v>10.8</v>
      </c>
      <c r="C42">
        <f t="shared" si="4"/>
        <v>8.6000000000000014</v>
      </c>
      <c r="D42">
        <f t="shared" si="4"/>
        <v>5.7</v>
      </c>
      <c r="E42">
        <f t="shared" si="4"/>
        <v>4.2</v>
      </c>
      <c r="F42">
        <f t="shared" si="4"/>
        <v>4.9999999999999991</v>
      </c>
      <c r="G42">
        <f t="shared" si="4"/>
        <v>14.9</v>
      </c>
      <c r="H42">
        <f>p(invp(B42)+invp(C42)+invp(F42))</f>
        <v>4.9998902357201622</v>
      </c>
      <c r="I42">
        <f>invp(H42)*$P$9*1000000</f>
        <v>270.06824885481325</v>
      </c>
    </row>
    <row r="43" spans="1:9">
      <c r="A43">
        <v>7.4</v>
      </c>
      <c r="B43">
        <f t="shared" si="4"/>
        <v>11.400000000000002</v>
      </c>
      <c r="C43">
        <f t="shared" si="4"/>
        <v>9</v>
      </c>
      <c r="D43">
        <f t="shared" si="4"/>
        <v>5.9</v>
      </c>
      <c r="E43">
        <f t="shared" si="4"/>
        <v>4.2</v>
      </c>
      <c r="F43">
        <f t="shared" si="4"/>
        <v>4.7999999999999989</v>
      </c>
      <c r="G43">
        <f t="shared" si="4"/>
        <v>15.700000000000001</v>
      </c>
      <c r="H43">
        <f>p(invp(B43)+invp(C43)+invp(F43))</f>
        <v>4.7999724896521929</v>
      </c>
      <c r="I43">
        <f>invp(H43)*$P$9*1000000</f>
        <v>427.94826945343846</v>
      </c>
    </row>
    <row r="44" spans="1:9">
      <c r="A44">
        <v>7.6</v>
      </c>
      <c r="B44">
        <f t="shared" si="4"/>
        <v>11.999999999999996</v>
      </c>
      <c r="C44">
        <f t="shared" si="4"/>
        <v>9.3999999999999986</v>
      </c>
      <c r="D44">
        <f t="shared" si="4"/>
        <v>6.1</v>
      </c>
      <c r="E44">
        <f t="shared" si="4"/>
        <v>4.2</v>
      </c>
      <c r="F44">
        <f t="shared" si="4"/>
        <v>4.5999999999999996</v>
      </c>
      <c r="G44">
        <f t="shared" si="4"/>
        <v>16.5</v>
      </c>
      <c r="H44">
        <f>p(invp(B44)+invp(C44)+invp(F44))</f>
        <v>4.5999930996615639</v>
      </c>
      <c r="I44">
        <f>invp(H44)*$P$9*1000000</f>
        <v>678.22011240119343</v>
      </c>
    </row>
    <row r="45" spans="1:9">
      <c r="A45">
        <v>7.8</v>
      </c>
      <c r="B45">
        <f t="shared" si="4"/>
        <v>12.599999999999998</v>
      </c>
      <c r="C45">
        <f t="shared" si="4"/>
        <v>9.8000000000000007</v>
      </c>
      <c r="D45">
        <f t="shared" si="4"/>
        <v>6.3</v>
      </c>
      <c r="E45">
        <f t="shared" si="4"/>
        <v>4.2</v>
      </c>
      <c r="F45">
        <f t="shared" si="4"/>
        <v>4.3999999999999995</v>
      </c>
      <c r="G45">
        <f t="shared" si="4"/>
        <v>17.299999999999997</v>
      </c>
      <c r="H45">
        <f>p(invp(B45)+invp(C45)+invp(F45))</f>
        <v>4.3999982683057652</v>
      </c>
      <c r="I45">
        <f>invp(H45)*$P$9*1000000</f>
        <v>1074.8936464881569</v>
      </c>
    </row>
    <row r="46" spans="1:9">
      <c r="A46">
        <v>8</v>
      </c>
      <c r="B46">
        <f t="shared" si="4"/>
        <v>13.2</v>
      </c>
      <c r="C46">
        <f t="shared" si="4"/>
        <v>10.199999999999999</v>
      </c>
      <c r="D46">
        <f t="shared" si="4"/>
        <v>6.5</v>
      </c>
      <c r="E46">
        <f t="shared" si="4"/>
        <v>4.2</v>
      </c>
      <c r="F46">
        <f t="shared" si="4"/>
        <v>4.1999999999999993</v>
      </c>
      <c r="G46">
        <f t="shared" si="4"/>
        <v>18.100000000000001</v>
      </c>
      <c r="H46">
        <f>p(invp(B46)+invp(C46)+invp(F46))</f>
        <v>4.1999995652714395</v>
      </c>
      <c r="I46">
        <f>invp(H46)*$P$9*1000000</f>
        <v>1703.5865353849433</v>
      </c>
    </row>
    <row r="47" spans="1:9">
      <c r="A47">
        <v>8.1999999999999993</v>
      </c>
      <c r="B47">
        <f t="shared" si="4"/>
        <v>13.799999999999997</v>
      </c>
      <c r="C47">
        <f t="shared" si="4"/>
        <v>10.599999999999998</v>
      </c>
      <c r="D47">
        <f t="shared" si="4"/>
        <v>6.6999999999999993</v>
      </c>
      <c r="E47">
        <f t="shared" si="4"/>
        <v>4.2</v>
      </c>
      <c r="F47">
        <f t="shared" si="4"/>
        <v>4</v>
      </c>
      <c r="G47">
        <f t="shared" si="4"/>
        <v>18.899999999999999</v>
      </c>
      <c r="H47">
        <f>p(invp(B47)+invp(C47)+invp(F47))</f>
        <v>3.999999890841341</v>
      </c>
      <c r="I47">
        <f>invp(H47)*$P$9*1000000</f>
        <v>2700.0006786372583</v>
      </c>
    </row>
    <row r="48" spans="1:9">
      <c r="A48">
        <v>8.4</v>
      </c>
      <c r="B48">
        <f t="shared" si="4"/>
        <v>14.400000000000002</v>
      </c>
      <c r="C48">
        <f t="shared" si="4"/>
        <v>11</v>
      </c>
      <c r="D48">
        <f t="shared" si="4"/>
        <v>6.9</v>
      </c>
      <c r="E48">
        <f t="shared" si="4"/>
        <v>4.2</v>
      </c>
      <c r="F48">
        <f t="shared" si="4"/>
        <v>3.7999999999999989</v>
      </c>
      <c r="G48">
        <f t="shared" si="4"/>
        <v>19.700000000000003</v>
      </c>
      <c r="H48">
        <f>p(invp(B48)+invp(C48)+invp(F48))</f>
        <v>3.7999999725869613</v>
      </c>
      <c r="I48">
        <f>invp(H48)*$P$9*1000000</f>
        <v>4279.2118897525079</v>
      </c>
    </row>
    <row r="49" spans="1:9">
      <c r="A49">
        <v>8.6</v>
      </c>
      <c r="B49">
        <f t="shared" si="4"/>
        <v>14.999999999999996</v>
      </c>
      <c r="C49">
        <f t="shared" si="4"/>
        <v>11.399999999999999</v>
      </c>
      <c r="D49">
        <f t="shared" si="4"/>
        <v>7.1</v>
      </c>
      <c r="E49">
        <f t="shared" si="4"/>
        <v>4.2</v>
      </c>
      <c r="F49">
        <f t="shared" si="4"/>
        <v>3.5999999999999996</v>
      </c>
      <c r="G49">
        <f t="shared" si="4"/>
        <v>20.5</v>
      </c>
      <c r="H49">
        <f>p(invp(B49)+invp(C49)+invp(F49))</f>
        <v>3.5999999931151665</v>
      </c>
      <c r="I49">
        <f>invp(H49)*$P$9*1000000</f>
        <v>6782.0934725918178</v>
      </c>
    </row>
    <row r="50" spans="1:9">
      <c r="A50">
        <v>8.8000000000000007</v>
      </c>
      <c r="B50">
        <f t="shared" si="4"/>
        <v>15.600000000000001</v>
      </c>
      <c r="C50">
        <f t="shared" si="4"/>
        <v>11.8</v>
      </c>
      <c r="D50">
        <f t="shared" si="4"/>
        <v>7.3000000000000007</v>
      </c>
      <c r="E50">
        <f t="shared" si="4"/>
        <v>4.2</v>
      </c>
      <c r="F50">
        <f t="shared" si="4"/>
        <v>3.3999999999999986</v>
      </c>
      <c r="G50">
        <f t="shared" si="4"/>
        <v>21.300000000000004</v>
      </c>
      <c r="H50">
        <f>p(invp(B50)+invp(C50)+invp(F50))</f>
        <v>3.3999999982707667</v>
      </c>
      <c r="I50">
        <f>invp(H50)*$P$9*1000000</f>
        <v>10748.893647743369</v>
      </c>
    </row>
    <row r="51" spans="1:9">
      <c r="A51">
        <v>9</v>
      </c>
      <c r="B51">
        <f t="shared" si="4"/>
        <v>16.2</v>
      </c>
      <c r="C51">
        <f t="shared" si="4"/>
        <v>12.2</v>
      </c>
      <c r="D51">
        <f t="shared" si="4"/>
        <v>7.5</v>
      </c>
      <c r="E51">
        <f t="shared" si="4"/>
        <v>4.2</v>
      </c>
      <c r="F51">
        <f t="shared" si="4"/>
        <v>3.1999999999999993</v>
      </c>
      <c r="G51">
        <f t="shared" si="4"/>
        <v>22.1</v>
      </c>
      <c r="H51">
        <f>p(invp(B51)+invp(C51)+invp(F51))</f>
        <v>3.1999999995656609</v>
      </c>
      <c r="I51">
        <f>invp(H51)*$P$9*1000000</f>
        <v>17035.848318002816</v>
      </c>
    </row>
    <row r="52" spans="1:9">
      <c r="A52">
        <v>9.1999999999999993</v>
      </c>
      <c r="B52">
        <f t="shared" si="4"/>
        <v>16.799999999999997</v>
      </c>
      <c r="C52">
        <f t="shared" si="4"/>
        <v>12.599999999999998</v>
      </c>
      <c r="D52">
        <f t="shared" si="4"/>
        <v>7.6999999999999993</v>
      </c>
      <c r="E52">
        <f t="shared" si="4"/>
        <v>4.2</v>
      </c>
      <c r="F52">
        <f t="shared" si="4"/>
        <v>3</v>
      </c>
      <c r="G52">
        <f t="shared" si="4"/>
        <v>22.9</v>
      </c>
      <c r="H52">
        <f>p(invp(B52)+invp(C52)+invp(F52))</f>
        <v>2.9999999998909028</v>
      </c>
      <c r="I52">
        <f>invp(H52)*$P$9*1000000</f>
        <v>27000.000006782549</v>
      </c>
    </row>
    <row r="53" spans="1:9">
      <c r="A53">
        <v>9.4</v>
      </c>
      <c r="B53">
        <f t="shared" si="4"/>
        <v>17.400000000000002</v>
      </c>
      <c r="C53">
        <f t="shared" si="4"/>
        <v>13</v>
      </c>
      <c r="D53">
        <f t="shared" si="4"/>
        <v>7.9</v>
      </c>
      <c r="E53">
        <f t="shared" si="4"/>
        <v>4.2</v>
      </c>
      <c r="F53">
        <f t="shared" si="4"/>
        <v>2.7999999999999989</v>
      </c>
      <c r="G53">
        <f t="shared" si="4"/>
        <v>23.700000000000003</v>
      </c>
      <c r="H53">
        <f>p(invp(B53)+invp(C53)+invp(F53))</f>
        <v>2.7999999999725955</v>
      </c>
      <c r="I53">
        <f>invp(H53)*$P$9*1000000</f>
        <v>42792.116199150289</v>
      </c>
    </row>
    <row r="54" spans="1:9">
      <c r="A54">
        <v>9.6</v>
      </c>
      <c r="B54">
        <f t="shared" si="4"/>
        <v>17.999999999999996</v>
      </c>
      <c r="C54">
        <f t="shared" si="4"/>
        <v>13.399999999999999</v>
      </c>
      <c r="D54">
        <f t="shared" si="4"/>
        <v>8.1</v>
      </c>
      <c r="E54">
        <f t="shared" si="4"/>
        <v>4.2</v>
      </c>
      <c r="F54">
        <f t="shared" si="4"/>
        <v>2.5999999999999996</v>
      </c>
      <c r="G54">
        <f t="shared" si="4"/>
        <v>24.5</v>
      </c>
      <c r="H54">
        <f>p(invp(B54)+invp(C54)+invp(F54))</f>
        <v>2.5999999999931158</v>
      </c>
      <c r="I54">
        <f>invp(H54)*$P$9*1000000</f>
        <v>67820.933651833708</v>
      </c>
    </row>
    <row r="55" spans="1:9">
      <c r="A55">
        <v>9.8000000000000007</v>
      </c>
      <c r="B55">
        <f t="shared" si="4"/>
        <v>18.600000000000001</v>
      </c>
      <c r="C55">
        <f t="shared" si="4"/>
        <v>13.8</v>
      </c>
      <c r="D55">
        <f t="shared" si="4"/>
        <v>8.3000000000000007</v>
      </c>
      <c r="E55">
        <f t="shared" si="4"/>
        <v>4.2</v>
      </c>
      <c r="F55">
        <f t="shared" si="4"/>
        <v>2.3999999999999986</v>
      </c>
      <c r="G55">
        <f t="shared" si="4"/>
        <v>25.300000000000004</v>
      </c>
      <c r="H55">
        <f>p(invp(B55)+invp(C55)+invp(F55))</f>
        <v>2.3999999999982693</v>
      </c>
      <c r="I55">
        <f>invp(H55)*$P$9*1000000</f>
        <v>107488.93604987262</v>
      </c>
    </row>
    <row r="56" spans="1:9">
      <c r="A56">
        <v>10</v>
      </c>
      <c r="B56">
        <f t="shared" si="4"/>
        <v>19.2</v>
      </c>
      <c r="C56">
        <f t="shared" si="4"/>
        <v>14.2</v>
      </c>
      <c r="D56">
        <f t="shared" si="4"/>
        <v>8.5</v>
      </c>
      <c r="E56">
        <f t="shared" si="4"/>
        <v>4.2</v>
      </c>
      <c r="F56">
        <f t="shared" si="4"/>
        <v>2.1999999999999993</v>
      </c>
      <c r="G56">
        <f t="shared" si="4"/>
        <v>26.1</v>
      </c>
      <c r="H56">
        <f>p(invp(B56)+invp(C56)+invp(F56))</f>
        <v>2.199999999999565</v>
      </c>
      <c r="I56">
        <f>invp(H56)*$P$9*1000000</f>
        <v>170358.48300982281</v>
      </c>
    </row>
    <row r="57" spans="1:9">
      <c r="A57">
        <v>10.199999999999999</v>
      </c>
      <c r="B57">
        <f t="shared" si="4"/>
        <v>19.799999999999997</v>
      </c>
      <c r="C57">
        <f t="shared" si="4"/>
        <v>14.599999999999998</v>
      </c>
      <c r="D57">
        <f t="shared" si="4"/>
        <v>8.6999999999999993</v>
      </c>
      <c r="E57">
        <f t="shared" si="4"/>
        <v>4.2</v>
      </c>
      <c r="F57">
        <f t="shared" si="4"/>
        <v>2</v>
      </c>
      <c r="G57">
        <f t="shared" si="4"/>
        <v>26.9</v>
      </c>
      <c r="H57">
        <f>p(invp(B57)+invp(C57)+invp(F57))</f>
        <v>1.9999999999998908</v>
      </c>
      <c r="I57">
        <f>invp(H57)*$P$9*1000000</f>
        <v>270000.00000006793</v>
      </c>
    </row>
    <row r="58" spans="1:9">
      <c r="A58">
        <v>10.4</v>
      </c>
      <c r="B58">
        <f t="shared" si="4"/>
        <v>20.400000000000002</v>
      </c>
      <c r="C58">
        <f t="shared" si="4"/>
        <v>15</v>
      </c>
      <c r="D58">
        <f t="shared" si="4"/>
        <v>8.9</v>
      </c>
      <c r="E58">
        <f t="shared" si="4"/>
        <v>4.2</v>
      </c>
      <c r="F58">
        <f t="shared" si="4"/>
        <v>1.7999999999999989</v>
      </c>
      <c r="G58">
        <f t="shared" si="4"/>
        <v>27.700000000000003</v>
      </c>
      <c r="H58">
        <f>p(invp(B58)+invp(C58)+invp(F58))</f>
        <v>1.7999999999999716</v>
      </c>
      <c r="I58">
        <f>invp(H58)*$P$9*1000000</f>
        <v>427921.16196452861</v>
      </c>
    </row>
    <row r="59" spans="1:9">
      <c r="A59">
        <v>10.6</v>
      </c>
      <c r="B59">
        <f t="shared" si="4"/>
        <v>20.999999999999996</v>
      </c>
      <c r="C59">
        <f t="shared" si="4"/>
        <v>15.399999999999999</v>
      </c>
      <c r="D59">
        <f t="shared" si="4"/>
        <v>9.1</v>
      </c>
      <c r="E59">
        <f t="shared" si="4"/>
        <v>4.2</v>
      </c>
      <c r="F59">
        <f t="shared" si="4"/>
        <v>1.5999999999999996</v>
      </c>
      <c r="G59">
        <f t="shared" si="4"/>
        <v>28.5</v>
      </c>
      <c r="H59">
        <f>p(invp(B59)+invp(C59)+invp(F59))</f>
        <v>1.5999999999999925</v>
      </c>
      <c r="I59">
        <f>invp(H59)*$P$9*1000000</f>
        <v>678209.33650759829</v>
      </c>
    </row>
    <row r="60" spans="1:9">
      <c r="A60">
        <v>10.8</v>
      </c>
      <c r="B60">
        <f t="shared" si="4"/>
        <v>21.600000000000005</v>
      </c>
      <c r="C60">
        <f t="shared" si="4"/>
        <v>15.8</v>
      </c>
      <c r="D60">
        <f t="shared" si="4"/>
        <v>9.3000000000000007</v>
      </c>
      <c r="E60">
        <f t="shared" si="4"/>
        <v>4.2</v>
      </c>
      <c r="F60">
        <f t="shared" si="4"/>
        <v>1.3999999999999986</v>
      </c>
      <c r="G60">
        <f t="shared" si="4"/>
        <v>29.300000000000004</v>
      </c>
      <c r="H60">
        <f>p(invp(B60)+invp(C60)+invp(F60))</f>
        <v>1.3999999999999968</v>
      </c>
      <c r="I60">
        <f>invp(H60)*$P$9*1000000</f>
        <v>1074889.3604944504</v>
      </c>
    </row>
    <row r="61" spans="1:9">
      <c r="A61">
        <v>11</v>
      </c>
      <c r="B61">
        <f t="shared" si="4"/>
        <v>22.2</v>
      </c>
      <c r="C61">
        <f t="shared" si="4"/>
        <v>16.2</v>
      </c>
      <c r="D61">
        <f t="shared" si="4"/>
        <v>9.5</v>
      </c>
      <c r="E61">
        <f t="shared" si="4"/>
        <v>4.2</v>
      </c>
      <c r="F61">
        <f t="shared" si="4"/>
        <v>1.1999999999999993</v>
      </c>
      <c r="G61">
        <f t="shared" si="4"/>
        <v>30.1</v>
      </c>
      <c r="H61">
        <f>p(invp(B61)+invp(C61)+invp(F61))</f>
        <v>1.1999999999999988</v>
      </c>
      <c r="I61">
        <f>invp(H61)*$P$9*1000000</f>
        <v>1703584.8300965263</v>
      </c>
    </row>
    <row r="62" spans="1:9">
      <c r="A62">
        <v>11.2</v>
      </c>
      <c r="B62">
        <f t="shared" si="4"/>
        <v>22.799999999999994</v>
      </c>
      <c r="C62">
        <f t="shared" si="4"/>
        <v>16.599999999999998</v>
      </c>
      <c r="D62">
        <f t="shared" si="4"/>
        <v>9.6999999999999993</v>
      </c>
      <c r="E62">
        <f t="shared" si="4"/>
        <v>4.2</v>
      </c>
      <c r="F62">
        <f t="shared" si="4"/>
        <v>1</v>
      </c>
      <c r="G62">
        <f t="shared" si="4"/>
        <v>30.9</v>
      </c>
      <c r="H62">
        <f>p(invp(B62)+invp(C62)+invp(F62))</f>
        <v>0.99999999999999978</v>
      </c>
      <c r="I62">
        <f>invp(H62)*$P$9*1000000</f>
        <v>2700000.0000000009</v>
      </c>
    </row>
    <row r="63" spans="1:9">
      <c r="A63">
        <v>11.4</v>
      </c>
      <c r="B63">
        <f t="shared" si="4"/>
        <v>23.400000000000002</v>
      </c>
      <c r="C63">
        <f t="shared" si="4"/>
        <v>17</v>
      </c>
      <c r="D63">
        <f t="shared" si="4"/>
        <v>9.9</v>
      </c>
      <c r="E63">
        <f t="shared" si="4"/>
        <v>4.2</v>
      </c>
      <c r="F63">
        <f t="shared" si="4"/>
        <v>0.79999999999999893</v>
      </c>
      <c r="G63">
        <f t="shared" si="4"/>
        <v>31.700000000000003</v>
      </c>
      <c r="H63">
        <f>p(invp(B63)+invp(C63)+invp(F63))</f>
        <v>0.79999999999999893</v>
      </c>
      <c r="I63">
        <f>invp(H63)*$P$9*1000000</f>
        <v>4279211.6196450172</v>
      </c>
    </row>
    <row r="64" spans="1:9">
      <c r="A64">
        <v>11.6</v>
      </c>
      <c r="B64">
        <f t="shared" si="4"/>
        <v>23.999999999999996</v>
      </c>
      <c r="C64">
        <f t="shared" si="4"/>
        <v>17.399999999999999</v>
      </c>
      <c r="D64">
        <f t="shared" si="4"/>
        <v>10.1</v>
      </c>
      <c r="E64">
        <f t="shared" si="4"/>
        <v>4.2</v>
      </c>
      <c r="F64">
        <f t="shared" si="4"/>
        <v>0.59999999999999964</v>
      </c>
      <c r="G64">
        <f t="shared" si="4"/>
        <v>32.5</v>
      </c>
      <c r="H64">
        <f>p(invp(B64)+invp(C64)+invp(F64))</f>
        <v>0.59999999999999953</v>
      </c>
      <c r="I64">
        <f>invp(H64)*$P$9*1000000</f>
        <v>6782093.3650758741</v>
      </c>
    </row>
    <row r="65" spans="1:9">
      <c r="A65">
        <v>11.8</v>
      </c>
      <c r="B65">
        <f t="shared" si="4"/>
        <v>24.600000000000005</v>
      </c>
      <c r="C65">
        <f t="shared" si="4"/>
        <v>17.8</v>
      </c>
      <c r="D65">
        <f t="shared" si="4"/>
        <v>10.3</v>
      </c>
      <c r="E65">
        <f t="shared" si="4"/>
        <v>4.2</v>
      </c>
      <c r="F65">
        <f t="shared" si="4"/>
        <v>0.39999999999999858</v>
      </c>
      <c r="G65">
        <f t="shared" si="4"/>
        <v>33.300000000000004</v>
      </c>
      <c r="H65">
        <f>p(invp(B65)+invp(C65)+invp(F65))</f>
        <v>0.39999999999999852</v>
      </c>
      <c r="I65">
        <f>invp(H65)*$P$9*1000000</f>
        <v>10748893.604944462</v>
      </c>
    </row>
    <row r="66" spans="1:9">
      <c r="A66">
        <v>12</v>
      </c>
      <c r="B66">
        <f t="shared" si="4"/>
        <v>25.2</v>
      </c>
      <c r="C66">
        <f t="shared" si="4"/>
        <v>18.2</v>
      </c>
      <c r="D66">
        <f t="shared" si="4"/>
        <v>10.5</v>
      </c>
      <c r="E66">
        <f t="shared" ref="C66:G76" si="5">m*pH+b</f>
        <v>4.2</v>
      </c>
      <c r="F66">
        <f t="shared" si="5"/>
        <v>0.19999999999999929</v>
      </c>
      <c r="G66">
        <f t="shared" si="5"/>
        <v>34.1</v>
      </c>
      <c r="H66">
        <f>p(invp(B66)+invp(C66)+invp(F66))</f>
        <v>0.19999999999999929</v>
      </c>
      <c r="I66">
        <f>invp(H66)*$P$9*1000000</f>
        <v>17035848.300965246</v>
      </c>
    </row>
    <row r="67" spans="1:9">
      <c r="A67">
        <v>12.2</v>
      </c>
      <c r="B67">
        <f t="shared" ref="B67:B76" si="6">m*pH+b</f>
        <v>25.799999999999994</v>
      </c>
      <c r="C67">
        <f t="shared" si="5"/>
        <v>18.599999999999998</v>
      </c>
      <c r="D67">
        <f t="shared" si="5"/>
        <v>10.7</v>
      </c>
      <c r="E67">
        <f t="shared" si="5"/>
        <v>4.2</v>
      </c>
      <c r="F67">
        <f t="shared" si="5"/>
        <v>0</v>
      </c>
      <c r="G67">
        <f t="shared" si="5"/>
        <v>34.9</v>
      </c>
      <c r="H67">
        <f>p(invp(B67)+invp(C67)+invp(F67))</f>
        <v>0</v>
      </c>
      <c r="I67">
        <f>invp(H67)*$P$9*1000000</f>
        <v>27000000</v>
      </c>
    </row>
    <row r="68" spans="1:9">
      <c r="A68">
        <v>12.4</v>
      </c>
      <c r="B68">
        <f t="shared" si="6"/>
        <v>26.400000000000002</v>
      </c>
      <c r="C68">
        <f t="shared" si="5"/>
        <v>19</v>
      </c>
      <c r="D68">
        <f t="shared" si="5"/>
        <v>10.9</v>
      </c>
      <c r="E68">
        <f t="shared" si="5"/>
        <v>4.2</v>
      </c>
      <c r="F68">
        <f t="shared" si="5"/>
        <v>-0.20000000000000107</v>
      </c>
      <c r="G68">
        <f t="shared" si="5"/>
        <v>35.700000000000003</v>
      </c>
      <c r="H68">
        <f>p(invp(B68)+invp(C68)+invp(F68))</f>
        <v>-0.20000000000000107</v>
      </c>
      <c r="I68">
        <f>invp(H68)*$P$9*1000000</f>
        <v>42792116.196450166</v>
      </c>
    </row>
    <row r="69" spans="1:9">
      <c r="A69">
        <v>12.6</v>
      </c>
      <c r="B69">
        <f t="shared" si="6"/>
        <v>26.999999999999996</v>
      </c>
      <c r="C69">
        <f t="shared" si="5"/>
        <v>19.399999999999999</v>
      </c>
      <c r="D69">
        <f t="shared" si="5"/>
        <v>11.1</v>
      </c>
      <c r="E69">
        <f t="shared" si="5"/>
        <v>4.2</v>
      </c>
      <c r="F69">
        <f t="shared" si="5"/>
        <v>-0.40000000000000036</v>
      </c>
      <c r="G69">
        <f t="shared" si="5"/>
        <v>36.5</v>
      </c>
      <c r="H69">
        <f>p(invp(B69)+invp(C69)+invp(F69))</f>
        <v>-0.40000000000000036</v>
      </c>
      <c r="I69">
        <f>invp(H69)*$P$9*1000000</f>
        <v>67820933.650758713</v>
      </c>
    </row>
    <row r="70" spans="1:9">
      <c r="A70">
        <v>12.8</v>
      </c>
      <c r="B70">
        <f t="shared" si="6"/>
        <v>27.600000000000005</v>
      </c>
      <c r="C70">
        <f t="shared" si="5"/>
        <v>19.8</v>
      </c>
      <c r="D70">
        <f t="shared" si="5"/>
        <v>11.3</v>
      </c>
      <c r="E70">
        <f t="shared" si="5"/>
        <v>4.2</v>
      </c>
      <c r="F70">
        <f t="shared" si="5"/>
        <v>-0.60000000000000142</v>
      </c>
      <c r="G70">
        <f t="shared" si="5"/>
        <v>37.300000000000004</v>
      </c>
      <c r="H70">
        <f>p(invp(B70)+invp(C70)+invp(F70))</f>
        <v>-0.60000000000000142</v>
      </c>
      <c r="I70">
        <f>invp(H70)*$P$9*1000000</f>
        <v>107488936.0494446</v>
      </c>
    </row>
    <row r="71" spans="1:9">
      <c r="A71">
        <v>13</v>
      </c>
      <c r="B71">
        <f t="shared" si="6"/>
        <v>28.2</v>
      </c>
      <c r="C71">
        <f t="shared" si="5"/>
        <v>20.2</v>
      </c>
      <c r="D71">
        <f t="shared" si="5"/>
        <v>11.5</v>
      </c>
      <c r="E71">
        <f t="shared" si="5"/>
        <v>4.2</v>
      </c>
      <c r="F71">
        <f t="shared" si="5"/>
        <v>-0.80000000000000071</v>
      </c>
      <c r="G71">
        <f t="shared" si="5"/>
        <v>38.1</v>
      </c>
      <c r="H71">
        <f>p(invp(B71)+invp(C71)+invp(F71))</f>
        <v>-0.80000000000000071</v>
      </c>
      <c r="I71">
        <f>invp(H71)*$P$9*1000000</f>
        <v>170358483.00965247</v>
      </c>
    </row>
    <row r="72" spans="1:9">
      <c r="A72">
        <v>13.2</v>
      </c>
      <c r="B72">
        <f t="shared" si="6"/>
        <v>28.799999999999994</v>
      </c>
      <c r="C72">
        <f t="shared" si="5"/>
        <v>20.599999999999998</v>
      </c>
      <c r="D72">
        <f t="shared" si="5"/>
        <v>11.7</v>
      </c>
      <c r="E72">
        <f t="shared" si="5"/>
        <v>4.2</v>
      </c>
      <c r="F72">
        <f t="shared" si="5"/>
        <v>-1</v>
      </c>
      <c r="G72">
        <f t="shared" si="5"/>
        <v>38.9</v>
      </c>
      <c r="H72">
        <f>p(invp(B72)+invp(C72)+invp(F72))</f>
        <v>-1</v>
      </c>
      <c r="I72">
        <f>invp(H72)*$P$9*1000000</f>
        <v>270000000</v>
      </c>
    </row>
    <row r="73" spans="1:9">
      <c r="A73">
        <v>13.4</v>
      </c>
      <c r="B73">
        <f t="shared" si="6"/>
        <v>29.400000000000002</v>
      </c>
      <c r="C73">
        <f t="shared" si="5"/>
        <v>21</v>
      </c>
      <c r="D73">
        <f t="shared" si="5"/>
        <v>11.9</v>
      </c>
      <c r="E73">
        <f t="shared" si="5"/>
        <v>4.2</v>
      </c>
      <c r="F73">
        <f t="shared" si="5"/>
        <v>-1.2000000000000011</v>
      </c>
      <c r="G73">
        <f t="shared" si="5"/>
        <v>39.700000000000003</v>
      </c>
      <c r="H73">
        <f>p(invp(B73)+invp(C73)+invp(F73))</f>
        <v>-1.2000000000000008</v>
      </c>
      <c r="I73">
        <f>invp(H73)*$P$9*1000000</f>
        <v>427921161.96450144</v>
      </c>
    </row>
    <row r="74" spans="1:9">
      <c r="A74">
        <v>13.6</v>
      </c>
      <c r="B74">
        <f t="shared" si="6"/>
        <v>29.999999999999996</v>
      </c>
      <c r="C74">
        <f t="shared" si="5"/>
        <v>21.4</v>
      </c>
      <c r="D74">
        <f t="shared" si="5"/>
        <v>12.1</v>
      </c>
      <c r="E74">
        <f t="shared" si="5"/>
        <v>4.2</v>
      </c>
      <c r="F74">
        <f t="shared" si="5"/>
        <v>-1.4000000000000004</v>
      </c>
      <c r="G74">
        <f t="shared" si="5"/>
        <v>40.5</v>
      </c>
      <c r="H74">
        <f>p(invp(B74)+invp(C74)+invp(F74))</f>
        <v>-1.4000000000000001</v>
      </c>
      <c r="I74">
        <f>invp(H74)*$P$9*1000000</f>
        <v>678209336.50758684</v>
      </c>
    </row>
    <row r="75" spans="1:9">
      <c r="A75">
        <v>13.8</v>
      </c>
      <c r="B75">
        <f t="shared" si="6"/>
        <v>30.600000000000005</v>
      </c>
      <c r="C75">
        <f t="shared" si="5"/>
        <v>21.8</v>
      </c>
      <c r="D75">
        <f t="shared" si="5"/>
        <v>12.3</v>
      </c>
      <c r="E75">
        <f t="shared" si="5"/>
        <v>4.2</v>
      </c>
      <c r="F75">
        <f t="shared" si="5"/>
        <v>-1.6000000000000014</v>
      </c>
      <c r="G75">
        <f t="shared" si="5"/>
        <v>41.300000000000004</v>
      </c>
      <c r="H75">
        <f>p(invp(B75)+invp(C75)+invp(F75))</f>
        <v>-1.6000000000000014</v>
      </c>
      <c r="I75">
        <f>invp(H75)*$P$9*1000000</f>
        <v>1074889360.494446</v>
      </c>
    </row>
    <row r="76" spans="1:9">
      <c r="A76">
        <v>14</v>
      </c>
      <c r="B76">
        <f t="shared" si="6"/>
        <v>31.2</v>
      </c>
      <c r="C76">
        <f t="shared" si="5"/>
        <v>22.2</v>
      </c>
      <c r="D76">
        <f t="shared" si="5"/>
        <v>12.5</v>
      </c>
      <c r="E76">
        <f t="shared" si="5"/>
        <v>4.2</v>
      </c>
      <c r="F76">
        <f t="shared" si="5"/>
        <v>-1.8000000000000007</v>
      </c>
      <c r="G76">
        <f t="shared" si="5"/>
        <v>42.1</v>
      </c>
      <c r="H76">
        <f>p(invp(B76)+invp(C76)+invp(F76))</f>
        <v>-1.8000000000000005</v>
      </c>
      <c r="I76">
        <f>invp(H76)*$P$9*1000000</f>
        <v>1703584830.0965235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Aluminum solubility</vt:lpstr>
      <vt:lpstr>b</vt:lpstr>
      <vt:lpstr>m</vt:lpstr>
      <vt:lpstr>pH</vt:lpstr>
    </vt:vector>
  </TitlesOfParts>
  <Company>Cornell U.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Monroe Weber-Shirk</dc:creator>
  <cp:lastModifiedBy>mw24</cp:lastModifiedBy>
  <dcterms:created xsi:type="dcterms:W3CDTF">2000-09-04T14:42:13Z</dcterms:created>
  <dcterms:modified xsi:type="dcterms:W3CDTF">2009-09-16T01:35:29Z</dcterms:modified>
</cp:coreProperties>
</file>